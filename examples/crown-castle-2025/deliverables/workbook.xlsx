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Facts" sheetId="2" r:id="rId2"/>
    <sheet name="Calculations" sheetId="3" r:id="rId3"/>
    <sheet name="Reconciliations" sheetId="4" r:id="rId4"/>
    <sheet name="Sources" sheetId="5" r:id="rId5"/>
    <sheet name="Evidence" sheetId="6" r:id="rId6"/>
    <sheet name="Findings" sheetId="7" r:id="rId7"/>
    <sheet name="Procedures" sheetId="8" r:id="rId8"/>
    <sheet name="Requests" sheetId="9" r:id="rId9"/>
    <sheet name="Quant1" sheetId="10" r:id="rId10"/>
    <sheet name="Quant1Notes" sheetId="11" r:id="rId11"/>
  </sheets>
  <definedNames>
    <definedName name="_xlnm._FilterDatabase" localSheetId="2" hidden="1">Calculations!$A$1:$O$117</definedName>
    <definedName name="_xlnm._FilterDatabase" localSheetId="5" hidden="1">Evidence!$A$1:$E$47</definedName>
    <definedName name="_xlnm._FilterDatabase" localSheetId="1" hidden="1">Facts!$A$1:$R$382</definedName>
    <definedName name="_xlnm._FilterDatabase" localSheetId="6" hidden="1">Findings!$A$1:$I$18</definedName>
    <definedName name="_xlnm._FilterDatabase" localSheetId="7" hidden="1">Procedures!$A$1:$J$9</definedName>
    <definedName name="_xlnm._FilterDatabase" localSheetId="9" hidden="1">Quant1!$A$1:$D$18</definedName>
    <definedName name="_xlnm._FilterDatabase" localSheetId="10" hidden="1">Quant1Notes!$A$1:$B$27</definedName>
    <definedName name="_xlnm._FilterDatabase" localSheetId="0" hidden="1">Readme!$A$1:$B$25</definedName>
    <definedName name="_xlnm._FilterDatabase" localSheetId="3" hidden="1">Reconciliations!$A$1:$J$85</definedName>
    <definedName name="_xlnm._FilterDatabase" localSheetId="8" hidden="1">Requests!$A$1:$F$10</definedName>
    <definedName name="_xlnm._FilterDatabase" localSheetId="4" hidden="1">Sources!$A$1:$F$17</definedName>
    <definedName name="_xlnm.Print_Titles" localSheetId="2">Calculations!$1:$1</definedName>
    <definedName name="_xlnm.Print_Titles" localSheetId="0">Readme!$1:$1</definedName>
    <definedName name="_xlnm.Print_Titles" localSheetId="3">Reconciliations!$1:$1</definedName>
  </definedNames>
  <calcPr calcId="124519" fullCalcOnLoad="1"/>
</workbook>
</file>

<file path=xl/sharedStrings.xml><?xml version="1.0" encoding="utf-8"?>
<sst xmlns="http://schemas.openxmlformats.org/spreadsheetml/2006/main" count="7524" uniqueCount="2228">
  <si>
    <t>字段 / field</t>
  </si>
  <si>
    <t>内容 / value</t>
  </si>
  <si>
    <t>任务</t>
  </si>
  <si>
    <t>Crown Castle 年报与Fiber出售分析</t>
  </si>
  <si>
    <t>版本</t>
  </si>
  <si>
    <t>crown-castle-2025-public-3</t>
  </si>
  <si>
    <t>信息截止</t>
  </si>
  <si>
    <t>2026-06-30</t>
  </si>
  <si>
    <t>范围</t>
  </si>
  <si>
    <t>合并报表；明确区分持续经营、终止经营及契约借款人口径</t>
  </si>
  <si>
    <t>准则</t>
  </si>
  <si>
    <t>US GAAP</t>
  </si>
  <si>
    <t>方法与适用范围</t>
  </si>
  <si>
    <t>下载官方 PDF，以 pypdf 提取；关键表逐页图像复核；原件 SHA-256 留存</t>
  </si>
  <si>
    <t>仅采用截止日前公开原件；分别保留原报、重列比较期和期后事项，禁止跨期倒填</t>
  </si>
  <si>
    <t>以共同底稿复算四表及交易调节；金额按原表百万美元记录，勾稽差额以美元列示</t>
  </si>
  <si>
    <t>已执行程序仅为公开资料阅读、版本对照和计算；内部审计证据列为待核请求</t>
  </si>
  <si>
    <t>读取出售备考、签署出售协议和新旧信贷定义，将备考假设、实际交割收付及尚未完成的计划分列。</t>
  </si>
  <si>
    <t>按S&amp;P Ratios and Adjustments 2025-12-17及Sector-Specific Corporate Methodology 2025-09-26数字基础设施章建立历史调整桥和条件路径；方法代理、实际现金和分析估计分列。</t>
  </si>
  <si>
    <t>单位</t>
  </si>
  <si>
    <t>Facts D=原始值，E=倍数，F=基础单位。Calculations D=基础单位，E=展示值。</t>
  </si>
  <si>
    <t>复算</t>
  </si>
  <si>
    <t>数值公式可编辑；修改主体、期间、币种、规则或资料后须重跑 export.py 复核口径。</t>
  </si>
  <si>
    <t>勾稽精度</t>
  </si>
  <si>
    <t>金额残差按本次Decimal输入/计算保留的小数位ROUND，消除Excel二进制尾差，不改变业务容差；提高输入小数精度后须重跑导出。</t>
  </si>
  <si>
    <t>缺口</t>
  </si>
  <si>
    <t>空值不是零。未执行程序、假设与已披露数据分别标识。</t>
  </si>
  <si>
    <t>限制</t>
  </si>
  <si>
    <t>研究执行于 2026-10-03；信息截止严格为 2026-06-30。2026 年二季报及七月业绩公告虽涉及六月期末，因发表日晚于截止日排除。</t>
  </si>
  <si>
    <t>完整下载不等于逐页阅读。2025 年报已重点阅读审计意见、四表、政策/减值、终止经营、债务、税、现金及期后事项；2024 年报和新协议阅读范围见来源说明。</t>
  </si>
  <si>
    <t>未取得企业内部总账、估值模型、银行流水、合规证明、资金上划限制清单、最终交割结算及完整出售协议附件；不能形成审计保证或可支用现金/正式评级。</t>
  </si>
  <si>
    <t>2024 原报收入与 2025 年报重列比较收入差异，以及 2026 Q1 对 2025 Q1 待售准备回述差异尚未解释。</t>
  </si>
  <si>
    <t>现金流桥使用合并表内持续/终止组成项目，不能将其视为法律母公司单体现金流。</t>
  </si>
  <si>
    <t>US GAAP 条款编号来自 SEC 公司回复及公司政策，未将公司回复视为 SEC 批准，亦未声称已阅读全文 FASB Codification。</t>
  </si>
  <si>
    <t>公开备考BS假设2025-12-31完成、利润表假设2025-01-01完成，2026-05-01发表；其金额不属于2025已报实数或2026五月实际现金。出售协议后续修订未找到可识别文本，最初签署机制不能视为全部最终条款。</t>
  </si>
  <si>
    <t>S&amp;P桥包含披露支持的最佳估计及局部敏感性；未完成主权/行业、竞争地位、前瞻财务、支持与债项全形成链，不宣告机构级别。</t>
  </si>
  <si>
    <t>来源 SSEC, SFASB 的正式公布日期未核验；不得据此证明在信息截止日前已公开。当前披露内容可以继续分析，历史时点结论须补充公告时间证据。</t>
  </si>
  <si>
    <t>ID</t>
  </si>
  <si>
    <t>原始科目</t>
  </si>
  <si>
    <t>证据</t>
  </si>
  <si>
    <t>原始数值</t>
  </si>
  <si>
    <t>倍数</t>
  </si>
  <si>
    <t>基础单位数值</t>
  </si>
  <si>
    <t>量纲</t>
  </si>
  <si>
    <t>币种</t>
  </si>
  <si>
    <t>实体</t>
  </si>
  <si>
    <t>开始</t>
  </si>
  <si>
    <t>结束</t>
  </si>
  <si>
    <t>统计类型</t>
  </si>
  <si>
    <t>状态</t>
  </si>
  <si>
    <t>说明</t>
  </si>
  <si>
    <t>概念</t>
  </si>
  <si>
    <t>实物单位</t>
  </si>
  <si>
    <t>cash2025</t>
  </si>
  <si>
    <t>2025 持续经营非受限现金</t>
  </si>
  <si>
    <t>E25BS</t>
  </si>
  <si>
    <t>money</t>
  </si>
  <si>
    <t>USD</t>
  </si>
  <si>
    <t>Crown Castle Inc. and subsidiaries</t>
  </si>
  <si>
    <t>consolidated</t>
  </si>
  <si>
    <t>2025-12-31</t>
  </si>
  <si>
    <t>instant</t>
  </si>
  <si>
    <t>reported</t>
  </si>
  <si>
    <t>cash</t>
  </si>
  <si>
    <t>cash2024</t>
  </si>
  <si>
    <t>2024 持续经营非受限现金</t>
  </si>
  <si>
    <t>2024-12-31</t>
  </si>
  <si>
    <t>restated</t>
  </si>
  <si>
    <t>2024 列是终止经营展示重列，不表示会计差错更正。</t>
  </si>
  <si>
    <t>restrict2025</t>
  </si>
  <si>
    <t>2025 持续经营流动受限现金</t>
  </si>
  <si>
    <t>restrict</t>
  </si>
  <si>
    <t>restrict2024</t>
  </si>
  <si>
    <t>2024 持续经营流动受限现金</t>
  </si>
  <si>
    <t>recv2025</t>
  </si>
  <si>
    <t>2025 持续经营净应收款</t>
  </si>
  <si>
    <t>recv</t>
  </si>
  <si>
    <t>recv2024</t>
  </si>
  <si>
    <t>2024 持续经营净应收款</t>
  </si>
  <si>
    <t>prepaid2025</t>
  </si>
  <si>
    <t>2025 预付款</t>
  </si>
  <si>
    <t>prepaid</t>
  </si>
  <si>
    <t>prepaid2024</t>
  </si>
  <si>
    <t>2024 预付款</t>
  </si>
  <si>
    <t>rentcur2025</t>
  </si>
  <si>
    <t>2025 流动递延站点租金应收</t>
  </si>
  <si>
    <t>rentcur</t>
  </si>
  <si>
    <t>rentcur2024</t>
  </si>
  <si>
    <t>2024 流动递延站点租金应收</t>
  </si>
  <si>
    <t>otherca2025</t>
  </si>
  <si>
    <t>2025 其他流动资产</t>
  </si>
  <si>
    <t>otherca</t>
  </si>
  <si>
    <t>otherca2024</t>
  </si>
  <si>
    <t>2024 其他流动资产</t>
  </si>
  <si>
    <t>disc_ca2025</t>
  </si>
  <si>
    <t>2025 终止经营流动资产</t>
  </si>
  <si>
    <t>disc_ca</t>
  </si>
  <si>
    <t>disc_ca2024</t>
  </si>
  <si>
    <t>2024 终止经营流动资产</t>
  </si>
  <si>
    <t>ca2025</t>
  </si>
  <si>
    <t>2025 流动资产</t>
  </si>
  <si>
    <t>ca</t>
  </si>
  <si>
    <t>ca2024</t>
  </si>
  <si>
    <t>2024 流动资产</t>
  </si>
  <si>
    <t>rentnoncur2025</t>
  </si>
  <si>
    <t>2025 非流动递延站点租金应收</t>
  </si>
  <si>
    <t>rentnoncur</t>
  </si>
  <si>
    <t>rentnoncur2024</t>
  </si>
  <si>
    <t>2024 非流动递延站点租金应收</t>
  </si>
  <si>
    <t>ppe2025</t>
  </si>
  <si>
    <t>2025 持续经营净 PPE</t>
  </si>
  <si>
    <t>ppe</t>
  </si>
  <si>
    <t>ppe2024</t>
  </si>
  <si>
    <t>2024 持续经营净 PPE</t>
  </si>
  <si>
    <t>rou2025</t>
  </si>
  <si>
    <t>2025 持续经营经营租赁 ROU</t>
  </si>
  <si>
    <t>rou</t>
  </si>
  <si>
    <t>rou2024</t>
  </si>
  <si>
    <t>2024 持续经营经营租赁 ROU</t>
  </si>
  <si>
    <t>gw2025</t>
  </si>
  <si>
    <t>2025 持续经营商誉</t>
  </si>
  <si>
    <t>gw</t>
  </si>
  <si>
    <t>gw2024</t>
  </si>
  <si>
    <t>2024 持续经营商誉</t>
  </si>
  <si>
    <t>siteint2025</t>
  </si>
  <si>
    <t>2025 租约及租户关系净无形资产</t>
  </si>
  <si>
    <t>siteint</t>
  </si>
  <si>
    <t>siteint2024</t>
  </si>
  <si>
    <t>2024 租约及租户关系净无形资产</t>
  </si>
  <si>
    <t>otherint2025</t>
  </si>
  <si>
    <t>2025 其他净无形资产</t>
  </si>
  <si>
    <t>otherint</t>
  </si>
  <si>
    <t>otherint2024</t>
  </si>
  <si>
    <t>2024 其他净无形资产</t>
  </si>
  <si>
    <t>othera2025</t>
  </si>
  <si>
    <t>2025 其他净资产</t>
  </si>
  <si>
    <t>othera</t>
  </si>
  <si>
    <t>othera2024</t>
  </si>
  <si>
    <t>2024 其他净资产</t>
  </si>
  <si>
    <t>disc_nca2025</t>
  </si>
  <si>
    <t>2025 终止经营非流动资产</t>
  </si>
  <si>
    <t>disc_nca</t>
  </si>
  <si>
    <t>disc_nca2024</t>
  </si>
  <si>
    <t>2024 终止经营非流动资产</t>
  </si>
  <si>
    <t>assets2025</t>
  </si>
  <si>
    <t>2025 合并总资产</t>
  </si>
  <si>
    <t>assets</t>
  </si>
  <si>
    <t>assets2024</t>
  </si>
  <si>
    <t>2024 合并总资产</t>
  </si>
  <si>
    <t>ap2025</t>
  </si>
  <si>
    <t>2025 持续经营应付款</t>
  </si>
  <si>
    <t>ap</t>
  </si>
  <si>
    <t>ap2024</t>
  </si>
  <si>
    <t>2024 持续经营应付款</t>
  </si>
  <si>
    <t>intaccr2025</t>
  </si>
  <si>
    <t>2025 应计利息</t>
  </si>
  <si>
    <t>intaccr</t>
  </si>
  <si>
    <t>intaccr2024</t>
  </si>
  <si>
    <t>2024 应计利息</t>
  </si>
  <si>
    <t>defrev2025</t>
  </si>
  <si>
    <t>2025 流动递延收入</t>
  </si>
  <si>
    <t>defrev</t>
  </si>
  <si>
    <t>defrev2024</t>
  </si>
  <si>
    <t>2024 流动递延收入</t>
  </si>
  <si>
    <t>accr2025</t>
  </si>
  <si>
    <t>2025 其他应计负债</t>
  </si>
  <si>
    <t>accr</t>
  </si>
  <si>
    <t>accr2024</t>
  </si>
  <si>
    <t>2024 其他应计负债</t>
  </si>
  <si>
    <t>debtcur2025</t>
  </si>
  <si>
    <t>2025 持续经营流动债务及其他义务</t>
  </si>
  <si>
    <t>debtcur</t>
  </si>
  <si>
    <t>debtcur2024</t>
  </si>
  <si>
    <t>2024 持续经营流动债务及其他义务</t>
  </si>
  <si>
    <t>leasecur2025</t>
  </si>
  <si>
    <t>2025 持续经营流动经营租赁负债</t>
  </si>
  <si>
    <t>leasecur</t>
  </si>
  <si>
    <t>leasecur2024</t>
  </si>
  <si>
    <t>2024 持续经营流动经营租赁负债</t>
  </si>
  <si>
    <t>disc_cl2025</t>
  </si>
  <si>
    <t>2025 终止经营流动负债</t>
  </si>
  <si>
    <t>disc_cl</t>
  </si>
  <si>
    <t>disc_cl2024</t>
  </si>
  <si>
    <t>2024 终止经营流动负债</t>
  </si>
  <si>
    <t>cl2025</t>
  </si>
  <si>
    <t>2025 流动负债</t>
  </si>
  <si>
    <t>cl</t>
  </si>
  <si>
    <t>cl2024</t>
  </si>
  <si>
    <t>2024 流动负债</t>
  </si>
  <si>
    <t>debtlong2025</t>
  </si>
  <si>
    <t>2025 持续经营长期债务及其他义务</t>
  </si>
  <si>
    <t>debtlong</t>
  </si>
  <si>
    <t>debtlong2024</t>
  </si>
  <si>
    <t>2024 持续经营长期债务及其他义务</t>
  </si>
  <si>
    <t>leaselong2025</t>
  </si>
  <si>
    <t>2025 持续经营非流动经营租赁负债</t>
  </si>
  <si>
    <t>leaselong</t>
  </si>
  <si>
    <t>leaselong2024</t>
  </si>
  <si>
    <t>2024 持续经营非流动经营租赁负债</t>
  </si>
  <si>
    <t>otherl2025</t>
  </si>
  <si>
    <t>2025 其他长期负债</t>
  </si>
  <si>
    <t>otherl</t>
  </si>
  <si>
    <t>otherl2024</t>
  </si>
  <si>
    <t>2024 其他长期负债</t>
  </si>
  <si>
    <t>disc_ncl2025</t>
  </si>
  <si>
    <t>2025 终止经营非流动负债</t>
  </si>
  <si>
    <t>disc_ncl</t>
  </si>
  <si>
    <t>disc_ncl2024</t>
  </si>
  <si>
    <t>2024 终止经营非流动负债</t>
  </si>
  <si>
    <t>liabilities2025</t>
  </si>
  <si>
    <t>2025 合并总负债</t>
  </si>
  <si>
    <t>liabilities</t>
  </si>
  <si>
    <t>liabilities2024</t>
  </si>
  <si>
    <t>2024 合并总负债</t>
  </si>
  <si>
    <t>common2025</t>
  </si>
  <si>
    <t>2025 普通股股本</t>
  </si>
  <si>
    <t>common</t>
  </si>
  <si>
    <t>common2024</t>
  </si>
  <si>
    <t>2024 普通股股本</t>
  </si>
  <si>
    <t>apic2025</t>
  </si>
  <si>
    <t>2025 资本公积</t>
  </si>
  <si>
    <t>apic</t>
  </si>
  <si>
    <t>apic2024</t>
  </si>
  <si>
    <t>2024 资本公积</t>
  </si>
  <si>
    <t>aoci2025</t>
  </si>
  <si>
    <t>2025 累计 OCI</t>
  </si>
  <si>
    <t>aoci</t>
  </si>
  <si>
    <t>aoci2024</t>
  </si>
  <si>
    <t>2024 累计 OCI</t>
  </si>
  <si>
    <t>deficit2025</t>
  </si>
  <si>
    <t>2025 累计分配超过收益</t>
  </si>
  <si>
    <t>deficit</t>
  </si>
  <si>
    <t>deficit2024</t>
  </si>
  <si>
    <t>2024 累计分配超过收益</t>
  </si>
  <si>
    <t>equity2025</t>
  </si>
  <si>
    <t>2025 合并权益/亏绌</t>
  </si>
  <si>
    <t>equity</t>
  </si>
  <si>
    <t>equity2024</t>
  </si>
  <si>
    <t>2024 合并权益/亏绌</t>
  </si>
  <si>
    <t>siterent2025</t>
  </si>
  <si>
    <t>2025 持续经营站点租金收入</t>
  </si>
  <si>
    <t>E25PL</t>
  </si>
  <si>
    <t>2025-01-01</t>
  </si>
  <si>
    <t>flow</t>
  </si>
  <si>
    <t>siterent</t>
  </si>
  <si>
    <t>siterent2024</t>
  </si>
  <si>
    <t>2024 持续经营站点租金收入</t>
  </si>
  <si>
    <t>2024-01-01</t>
  </si>
  <si>
    <t>services2025</t>
  </si>
  <si>
    <t>2025 持续经营服务等收入</t>
  </si>
  <si>
    <t>services</t>
  </si>
  <si>
    <t>services2024</t>
  </si>
  <si>
    <t>2024 持续经营服务等收入</t>
  </si>
  <si>
    <t>revenue2025</t>
  </si>
  <si>
    <t>2025 持续经营收入</t>
  </si>
  <si>
    <t>revenue</t>
  </si>
  <si>
    <t>revenue2024</t>
  </si>
  <si>
    <t>2024 持续经营收入</t>
  </si>
  <si>
    <t>costrent2025</t>
  </si>
  <si>
    <t>2025 站点经营成本</t>
  </si>
  <si>
    <t>costrent</t>
  </si>
  <si>
    <t>costrent2024</t>
  </si>
  <si>
    <t>2024 站点经营成本</t>
  </si>
  <si>
    <t>costservice2025</t>
  </si>
  <si>
    <t>2025 服务经营成本</t>
  </si>
  <si>
    <t>costservice</t>
  </si>
  <si>
    <t>costservice2024</t>
  </si>
  <si>
    <t>2024 服务经营成本</t>
  </si>
  <si>
    <t>sga2025</t>
  </si>
  <si>
    <t>2025 持续经营 SG&amp;A</t>
  </si>
  <si>
    <t>sga</t>
  </si>
  <si>
    <t>sga2024</t>
  </si>
  <si>
    <t>2024 持续经营 SG&amp;A</t>
  </si>
  <si>
    <t>writedown2025</t>
  </si>
  <si>
    <t>2025 持续经营资产核销</t>
  </si>
  <si>
    <t>writedown</t>
  </si>
  <si>
    <t>writedown2024</t>
  </si>
  <si>
    <t>2024 持续经营资产核销</t>
  </si>
  <si>
    <t>acqexpense2025</t>
  </si>
  <si>
    <t>2025 并购整合费用</t>
  </si>
  <si>
    <t>acqexpense</t>
  </si>
  <si>
    <t>acqexpense2024</t>
  </si>
  <si>
    <t>2024 并购整合费用</t>
  </si>
  <si>
    <t>daa2025</t>
  </si>
  <si>
    <t>2025 持续经营折旧摊销摊增</t>
  </si>
  <si>
    <t>daa</t>
  </si>
  <si>
    <t>daa2024</t>
  </si>
  <si>
    <t>2024 持续经营折旧摊销摊增</t>
  </si>
  <si>
    <t>restruct2025</t>
  </si>
  <si>
    <t>2025 持续经营重组费</t>
  </si>
  <si>
    <t>restruct</t>
  </si>
  <si>
    <t>restruct2024</t>
  </si>
  <si>
    <t>2024 持续经营重组费</t>
  </si>
  <si>
    <t>opex2025</t>
  </si>
  <si>
    <t>2025 持续经营总经营费用</t>
  </si>
  <si>
    <t>opex</t>
  </si>
  <si>
    <t>opex2024</t>
  </si>
  <si>
    <t>2024 持续经营总经营费用</t>
  </si>
  <si>
    <t>opincome2025</t>
  </si>
  <si>
    <t>2025 持续经营营业利润</t>
  </si>
  <si>
    <t>opincome</t>
  </si>
  <si>
    <t>opincome2024</t>
  </si>
  <si>
    <t>2024 持续经营营业利润</t>
  </si>
  <si>
    <t>interest2025</t>
  </si>
  <si>
    <t>2025 持续经营利息及融资摊销净支出（带符号）</t>
  </si>
  <si>
    <t>interest</t>
  </si>
  <si>
    <t>interest2024</t>
  </si>
  <si>
    <t>2024 持续经营利息及融资摊销净支出（带符号）</t>
  </si>
  <si>
    <t>intincome2025</t>
  </si>
  <si>
    <t>2025 利息收入</t>
  </si>
  <si>
    <t>intincome</t>
  </si>
  <si>
    <t>intincome2024</t>
  </si>
  <si>
    <t>2024 利息收入</t>
  </si>
  <si>
    <t>otherincome2025</t>
  </si>
  <si>
    <t>2025 其他损益</t>
  </si>
  <si>
    <t>otherincome</t>
  </si>
  <si>
    <t>otherincome2024</t>
  </si>
  <si>
    <t>2024 其他损益</t>
  </si>
  <si>
    <t>contpbt2025</t>
  </si>
  <si>
    <t>2025 持续经营税前利润</t>
  </si>
  <si>
    <t>contpbt</t>
  </si>
  <si>
    <t>contpbt2024</t>
  </si>
  <si>
    <t>2024 持续经营税前利润</t>
  </si>
  <si>
    <t>conttax2025</t>
  </si>
  <si>
    <t>2025 持续经营税项（费用为负）</t>
  </si>
  <si>
    <t>conttax</t>
  </si>
  <si>
    <t>conttax2024</t>
  </si>
  <si>
    <t>2024 持续经营税项（费用为负）</t>
  </si>
  <si>
    <t>contni2025</t>
  </si>
  <si>
    <t>2025 持续经营净利润</t>
  </si>
  <si>
    <t>contni</t>
  </si>
  <si>
    <t>contni2024</t>
  </si>
  <si>
    <t>2024 持续经营净利润</t>
  </si>
  <si>
    <t>discpre2025</t>
  </si>
  <si>
    <t>2025 终止经营处置前净损益</t>
  </si>
  <si>
    <t>discpre</t>
  </si>
  <si>
    <t>discpre2024</t>
  </si>
  <si>
    <t>2024 终止经营处置前净损益</t>
  </si>
  <si>
    <t>saleloss2025</t>
  </si>
  <si>
    <t>2025 终止经营处置损失（费用正数）</t>
  </si>
  <si>
    <t>saleloss</t>
  </si>
  <si>
    <t>saleloss2024</t>
  </si>
  <si>
    <t>2024 终止经营处置损失（费用正数）</t>
  </si>
  <si>
    <t>discni2025</t>
  </si>
  <si>
    <t>2025 终止经营净损益</t>
  </si>
  <si>
    <t>discni</t>
  </si>
  <si>
    <t>discni2024</t>
  </si>
  <si>
    <t>2024 终止经营净损益</t>
  </si>
  <si>
    <t>netincome2025</t>
  </si>
  <si>
    <t>2025 合并净利润</t>
  </si>
  <si>
    <t>netincome</t>
  </si>
  <si>
    <t>netincome2024</t>
  </si>
  <si>
    <t>2024 合并净利润</t>
  </si>
  <si>
    <t>oci2025</t>
  </si>
  <si>
    <t>2025 本期 OCI</t>
  </si>
  <si>
    <t>oci</t>
  </si>
  <si>
    <t>oci2024</t>
  </si>
  <si>
    <t>2024 本期 OCI</t>
  </si>
  <si>
    <t>comprehensive2025</t>
  </si>
  <si>
    <t>2025 综合收益</t>
  </si>
  <si>
    <t>comprehensive</t>
  </si>
  <si>
    <t>comprehensive2024</t>
  </si>
  <si>
    <t>2024 综合收益</t>
  </si>
  <si>
    <t>finamort2025</t>
  </si>
  <si>
    <t>2025 非现金利息及融资费摊销现金流调整</t>
  </si>
  <si>
    <t>E25CF</t>
  </si>
  <si>
    <t>finamort</t>
  </si>
  <si>
    <t>finamort2024</t>
  </si>
  <si>
    <t>2024 非现金利息及融资费摊销现金流调整</t>
  </si>
  <si>
    <t>sbc2025</t>
  </si>
  <si>
    <t>2025 持续经营股份支付现金流调整</t>
  </si>
  <si>
    <t>sbc</t>
  </si>
  <si>
    <t>sbc2024</t>
  </si>
  <si>
    <t>2024 持续经营股份支付现金流调整</t>
  </si>
  <si>
    <t>deftaxcf2025</t>
  </si>
  <si>
    <t>2025 递延所得税现金流调整</t>
  </si>
  <si>
    <t>deftaxcf</t>
  </si>
  <si>
    <t>deftaxcf2024</t>
  </si>
  <si>
    <t>2024 递延所得税现金流调整</t>
  </si>
  <si>
    <t>noncashrestruct2025</t>
  </si>
  <si>
    <t>2025 非现金重组调整</t>
  </si>
  <si>
    <t>noncashrestruct</t>
  </si>
  <si>
    <t>noncashrestruct2024</t>
  </si>
  <si>
    <t>2024 非现金重组调整</t>
  </si>
  <si>
    <t>othernoncash2025</t>
  </si>
  <si>
    <t>2025 其他非现金调整</t>
  </si>
  <si>
    <t>othernoncash</t>
  </si>
  <si>
    <t>othernoncash2024</t>
  </si>
  <si>
    <t>2024 其他非现金调整</t>
  </si>
  <si>
    <t>disccfo2025</t>
  </si>
  <si>
    <t>2025 终止经营 CFO</t>
  </si>
  <si>
    <t>disccfo</t>
  </si>
  <si>
    <t>disccfo2024</t>
  </si>
  <si>
    <t>2024 终止经营 CFO</t>
  </si>
  <si>
    <t>wcint2025</t>
  </si>
  <si>
    <t>2025 应计利息现金流变化</t>
  </si>
  <si>
    <t>wcint</t>
  </si>
  <si>
    <t>wcint2024</t>
  </si>
  <si>
    <t>2024 应计利息现金流变化</t>
  </si>
  <si>
    <t>wcap2025</t>
  </si>
  <si>
    <t>2025 应付现金流变化</t>
  </si>
  <si>
    <t>wcap</t>
  </si>
  <si>
    <t>wcap2024</t>
  </si>
  <si>
    <t>2024 应付现金流变化</t>
  </si>
  <si>
    <t>wcl2025</t>
  </si>
  <si>
    <t>2025 其他负债现金流变化</t>
  </si>
  <si>
    <t>wcl</t>
  </si>
  <si>
    <t>wcl2024</t>
  </si>
  <si>
    <t>2024 其他负债现金流变化</t>
  </si>
  <si>
    <t>wcrecv2025</t>
  </si>
  <si>
    <t>2025 应收现金流变化</t>
  </si>
  <si>
    <t>wcrecv</t>
  </si>
  <si>
    <t>wcrecv2024</t>
  </si>
  <si>
    <t>2024 应收现金流变化</t>
  </si>
  <si>
    <t>wca2025</t>
  </si>
  <si>
    <t>2025 其他资产现金流变化</t>
  </si>
  <si>
    <t>wca</t>
  </si>
  <si>
    <t>wca2024</t>
  </si>
  <si>
    <t>2024 其他资产现金流变化</t>
  </si>
  <si>
    <t>cfo2025</t>
  </si>
  <si>
    <t>2025 合并 CFO</t>
  </si>
  <si>
    <t>cfo</t>
  </si>
  <si>
    <t>cfo2024</t>
  </si>
  <si>
    <t>2024 合并 CFO</t>
  </si>
  <si>
    <t>capex2025</t>
  </si>
  <si>
    <t>2025 持续经营资本支出（现金流符号）</t>
  </si>
  <si>
    <t>capex</t>
  </si>
  <si>
    <t>capex2024</t>
  </si>
  <si>
    <t>2024 持续经营资本支出（现金流符号）</t>
  </si>
  <si>
    <t>acqcf2025</t>
  </si>
  <si>
    <t>2025 收购现金流</t>
  </si>
  <si>
    <t>acqcf</t>
  </si>
  <si>
    <t>acqcf2024</t>
  </si>
  <si>
    <t>2024 收购现金流</t>
  </si>
  <si>
    <t>othercfi2025</t>
  </si>
  <si>
    <t>2025 其他投资现金流</t>
  </si>
  <si>
    <t>othercfi</t>
  </si>
  <si>
    <t>othercfi2024</t>
  </si>
  <si>
    <t>2024 其他投资现金流</t>
  </si>
  <si>
    <t>disccfi2025</t>
  </si>
  <si>
    <t>2025 终止经营 CFI</t>
  </si>
  <si>
    <t>disccfi</t>
  </si>
  <si>
    <t>disccfi2024</t>
  </si>
  <si>
    <t>2024 终止经营 CFI</t>
  </si>
  <si>
    <t>cfi2025</t>
  </si>
  <si>
    <t>2025 合并 CFI</t>
  </si>
  <si>
    <t>cfi</t>
  </si>
  <si>
    <t>cfi2024</t>
  </si>
  <si>
    <t>2024 合并 CFI</t>
  </si>
  <si>
    <t>issuecf2025</t>
  </si>
  <si>
    <t>2025 长期债发行现金流</t>
  </si>
  <si>
    <t>issuecf</t>
  </si>
  <si>
    <t>issuecf2024</t>
  </si>
  <si>
    <t>2024 长期债发行现金流</t>
  </si>
  <si>
    <t>principalcf2025</t>
  </si>
  <si>
    <t>2025 长期债本息中本金及义务支付</t>
  </si>
  <si>
    <t>principalcf</t>
  </si>
  <si>
    <t>principalcf2024</t>
  </si>
  <si>
    <t>2024 长期债本息中本金及义务支付</t>
  </si>
  <si>
    <t>redeemcf2025</t>
  </si>
  <si>
    <t>2025 长期债购买及赎回</t>
  </si>
  <si>
    <t>redeemcf</t>
  </si>
  <si>
    <t>redeemcf2024</t>
  </si>
  <si>
    <t>2024 长期债购买及赎回</t>
  </si>
  <si>
    <t>drawcf2025</t>
  </si>
  <si>
    <t>2025 循环借款提款</t>
  </si>
  <si>
    <t>drawcf</t>
  </si>
  <si>
    <t>drawcf2024</t>
  </si>
  <si>
    <t>2024 循环借款提款</t>
  </si>
  <si>
    <t>repaycf2025</t>
  </si>
  <si>
    <t>2025 循环借款还款</t>
  </si>
  <si>
    <t>repaycf</t>
  </si>
  <si>
    <t>repaycf2024</t>
  </si>
  <si>
    <t>2024 循环借款还款</t>
  </si>
  <si>
    <t>cpcf2025</t>
  </si>
  <si>
    <t>2025 CP 净发行</t>
  </si>
  <si>
    <t>cpcf</t>
  </si>
  <si>
    <t>cpcf2024</t>
  </si>
  <si>
    <t>2024 CP 净发行</t>
  </si>
  <si>
    <t>feecf2025</t>
  </si>
  <si>
    <t>2025 融资费用支付</t>
  </si>
  <si>
    <t>feecf</t>
  </si>
  <si>
    <t>feecf2024</t>
  </si>
  <si>
    <t>2024 融资费用支付</t>
  </si>
  <si>
    <t>buycf2025</t>
  </si>
  <si>
    <t>2025 股份购买现金流</t>
  </si>
  <si>
    <t>buycf</t>
  </si>
  <si>
    <t>buycf2024</t>
  </si>
  <si>
    <t>2024 股份购买现金流</t>
  </si>
  <si>
    <t>divcf2025</t>
  </si>
  <si>
    <t>2025 股利/分配支付</t>
  </si>
  <si>
    <t>divcf</t>
  </si>
  <si>
    <t>divcf2024</t>
  </si>
  <si>
    <t>2024 股利/分配支付</t>
  </si>
  <si>
    <t>cff2025</t>
  </si>
  <si>
    <t>2025 合并 CFF</t>
  </si>
  <si>
    <t>cff</t>
  </si>
  <si>
    <t>cff2024</t>
  </si>
  <si>
    <t>2024 合并 CFF</t>
  </si>
  <si>
    <t>cashdelta2025</t>
  </si>
  <si>
    <t>2025 合并现金及受限现金增减（汇率前）</t>
  </si>
  <si>
    <t>cashdelta</t>
  </si>
  <si>
    <t>cashdelta2024</t>
  </si>
  <si>
    <t>2024 合并现金及受限现金增减（汇率前）</t>
  </si>
  <si>
    <t>fxcash2025</t>
  </si>
  <si>
    <t>2025 现金汇率变动</t>
  </si>
  <si>
    <t>fxcash</t>
  </si>
  <si>
    <t>fxcash2024</t>
  </si>
  <si>
    <t>2024 现金汇率变动</t>
  </si>
  <si>
    <t>cashend2025</t>
  </si>
  <si>
    <t>2025 CF 期末全部现金及受限现金</t>
  </si>
  <si>
    <t>E25CF, E25CASH</t>
  </si>
  <si>
    <t>cashend</t>
  </si>
  <si>
    <t>cashend2024</t>
  </si>
  <si>
    <t>2024 CF 期末全部现金及受限现金</t>
  </si>
  <si>
    <t>eqopen2025</t>
  </si>
  <si>
    <t>2025 本期权益期初余额</t>
  </si>
  <si>
    <t>E25EQ</t>
  </si>
  <si>
    <t>eqopen</t>
  </si>
  <si>
    <t>eqopen2024</t>
  </si>
  <si>
    <t>2024 本期权益期初余额</t>
  </si>
  <si>
    <t>2023-12-31</t>
  </si>
  <si>
    <t>cashopen2025</t>
  </si>
  <si>
    <t>2025 年初合并现金及受限现金</t>
  </si>
  <si>
    <t>cashopen</t>
  </si>
  <si>
    <t>cashopen2024</t>
  </si>
  <si>
    <t>2024 年初合并现金及受限现金</t>
  </si>
  <si>
    <t>eqstock2025</t>
  </si>
  <si>
    <t>2025 权益表股份支付相关净额</t>
  </si>
  <si>
    <t>股份支付相关权益净额与现金流表持续经营股份支付费用不是同口径；宣告分配也不等于当期支付。</t>
  </si>
  <si>
    <t>eqstock</t>
  </si>
  <si>
    <t>eqstock2024</t>
  </si>
  <si>
    <t>2024 权益表股份支付相关净额</t>
  </si>
  <si>
    <t>股份支付相关权益净额与现金流表持续经营股份支付费用不是同口径；宣告分配也不等于当期支付。 2024 列是终止经营展示重列，不表示会计差错更正。</t>
  </si>
  <si>
    <t>eqbuy2025</t>
  </si>
  <si>
    <t>2025 权益表股份购买</t>
  </si>
  <si>
    <t>eqbuy</t>
  </si>
  <si>
    <t>eqbuy2024</t>
  </si>
  <si>
    <t>2024 权益表股份购买</t>
  </si>
  <si>
    <t>eqdiv2025</t>
  </si>
  <si>
    <t>2025 权益表宣告分配</t>
  </si>
  <si>
    <t>eqdiv</t>
  </si>
  <si>
    <t>eqdiv2024</t>
  </si>
  <si>
    <t>2024 权益表宣告分配</t>
  </si>
  <si>
    <t>discrevenue2025</t>
  </si>
  <si>
    <t>2025 终止经营收入</t>
  </si>
  <si>
    <t>E25HFS</t>
  </si>
  <si>
    <t>discrevenue</t>
  </si>
  <si>
    <t>discrevenue2024</t>
  </si>
  <si>
    <t>2024 终止经营收入</t>
  </si>
  <si>
    <t>discopex2025</t>
  </si>
  <si>
    <t>2025 终止经营经营费用（商誉另列）</t>
  </si>
  <si>
    <t>discopex</t>
  </si>
  <si>
    <t>discopex2024</t>
  </si>
  <si>
    <t>2024 终止经营经营费用（商誉另列）</t>
  </si>
  <si>
    <t>discgw2025</t>
  </si>
  <si>
    <t>2025 终止经营商誉减值费用</t>
  </si>
  <si>
    <t>discgw</t>
  </si>
  <si>
    <t>discgw2024</t>
  </si>
  <si>
    <t>2024 终止经营商誉减值费用</t>
  </si>
  <si>
    <t>discpbt2025</t>
  </si>
  <si>
    <t>2025 终止经营税前损益</t>
  </si>
  <si>
    <t>discpbt</t>
  </si>
  <si>
    <t>discpbt2024</t>
  </si>
  <si>
    <t>2024 终止经营税前损益</t>
  </si>
  <si>
    <t>disctax2025</t>
  </si>
  <si>
    <t>2025 终止经营税项（费用为负）</t>
  </si>
  <si>
    <t>disctax</t>
  </si>
  <si>
    <t>disctax2024</t>
  </si>
  <si>
    <t>2024 终止经营税项（费用为负）</t>
  </si>
  <si>
    <t>discrecv2025</t>
  </si>
  <si>
    <t>2025 终止经营应收</t>
  </si>
  <si>
    <t>discrecv</t>
  </si>
  <si>
    <t>discrecv2024</t>
  </si>
  <si>
    <t>2024 终止经营应收</t>
  </si>
  <si>
    <t>discotherca2025</t>
  </si>
  <si>
    <t>2025 终止经营其他流动资产</t>
  </si>
  <si>
    <t>discotherca</t>
  </si>
  <si>
    <t>discotherca2024</t>
  </si>
  <si>
    <t>2024 终止经营其他流动资产</t>
  </si>
  <si>
    <t>discppe2025</t>
  </si>
  <si>
    <t>2025 终止经营 PPE</t>
  </si>
  <si>
    <t>discppe</t>
  </si>
  <si>
    <t>discppe2024</t>
  </si>
  <si>
    <t>2024 终止经营 PPE</t>
  </si>
  <si>
    <t>discint2025</t>
  </si>
  <si>
    <t>2025 终止经营无形资产</t>
  </si>
  <si>
    <t>discint</t>
  </si>
  <si>
    <t>discint2024</t>
  </si>
  <si>
    <t>2024 终止经营无形资产</t>
  </si>
  <si>
    <t>discothernca2025</t>
  </si>
  <si>
    <t>2025 终止经营 ROU 及其他非流动资产</t>
  </si>
  <si>
    <t>discothernca</t>
  </si>
  <si>
    <t>discothernca2024</t>
  </si>
  <si>
    <t>2024 终止经营 ROU 及其他非流动资产</t>
  </si>
  <si>
    <t>hfsallow2025</t>
  </si>
  <si>
    <t>2025 待售资产准备（扣减额正数）</t>
  </si>
  <si>
    <t>hfsallow</t>
  </si>
  <si>
    <t>hfsallow2024</t>
  </si>
  <si>
    <t>2024 待售资产准备（扣减额正数）</t>
  </si>
  <si>
    <t>discassets2025</t>
  </si>
  <si>
    <t>2025 终止经营总资产</t>
  </si>
  <si>
    <t>discassets</t>
  </si>
  <si>
    <t>discassets2024</t>
  </si>
  <si>
    <t>2024 终止经营总资产</t>
  </si>
  <si>
    <t>discap2025</t>
  </si>
  <si>
    <t>2025 终止经营应付</t>
  </si>
  <si>
    <t>discap</t>
  </si>
  <si>
    <t>discap2024</t>
  </si>
  <si>
    <t>2024 终止经营应付</t>
  </si>
  <si>
    <t>discdefrev2025</t>
  </si>
  <si>
    <t>2025 终止经营流动递延收入</t>
  </si>
  <si>
    <t>discdefrev</t>
  </si>
  <si>
    <t>discdefrev2024</t>
  </si>
  <si>
    <t>2024 终止经营流动递延收入</t>
  </si>
  <si>
    <t>discleasaccr2025</t>
  </si>
  <si>
    <t>2025 终止经营流动租赁及其他应计</t>
  </si>
  <si>
    <t>discleasaccr</t>
  </si>
  <si>
    <t>discleasaccr2024</t>
  </si>
  <si>
    <t>2024 终止经营流动租赁及其他应计</t>
  </si>
  <si>
    <t>discdebtcur2025</t>
  </si>
  <si>
    <t>2025 终止经营流动债务</t>
  </si>
  <si>
    <t>discdebtcur</t>
  </si>
  <si>
    <t>discdebtcur2024</t>
  </si>
  <si>
    <t>2024 终止经营流动债务</t>
  </si>
  <si>
    <t>discdebtlong2025</t>
  </si>
  <si>
    <t>2025 终止经营长期债务</t>
  </si>
  <si>
    <t>discdebtlong</t>
  </si>
  <si>
    <t>discdebtlong2024</t>
  </si>
  <si>
    <t>2024 终止经营长期债务</t>
  </si>
  <si>
    <t>discleaselong2025</t>
  </si>
  <si>
    <t>2025 终止经营非流动经营租赁</t>
  </si>
  <si>
    <t>discleaselong</t>
  </si>
  <si>
    <t>discleaselong2024</t>
  </si>
  <si>
    <t>2024 终止经营非流动经营租赁</t>
  </si>
  <si>
    <t>discotherl2025</t>
  </si>
  <si>
    <t>2025 终止经营递延收入及其他长期负债</t>
  </si>
  <si>
    <t>discotherl</t>
  </si>
  <si>
    <t>discotherl2024</t>
  </si>
  <si>
    <t>2024 终止经营递延收入及其他长期负债</t>
  </si>
  <si>
    <t>discliab2025</t>
  </si>
  <si>
    <t>2025 终止经营总负债</t>
  </si>
  <si>
    <t>discliab</t>
  </si>
  <si>
    <t>discliab2024</t>
  </si>
  <si>
    <t>2024 终止经营总负债</t>
  </si>
  <si>
    <t>sellcost2025</t>
  </si>
  <si>
    <t>2025 已发生售出费用</t>
  </si>
  <si>
    <t>费用发生额，不等于本期现金支付。</t>
  </si>
  <si>
    <t>sellcost</t>
  </si>
  <si>
    <t>saletax2025</t>
  </si>
  <si>
    <t>2025 处置损失所得税利益</t>
  </si>
  <si>
    <t>saletax</t>
  </si>
  <si>
    <t>gwopen2024</t>
  </si>
  <si>
    <t>2024 年初合并商誉</t>
  </si>
  <si>
    <t>E24IMPAIR</t>
  </si>
  <si>
    <t>gwopen</t>
  </si>
  <si>
    <t>gwend2024original</t>
  </si>
  <si>
    <t>2024 年末合并商誉（原报；全部为Towers）</t>
  </si>
  <si>
    <t>oldrevenue2024</t>
  </si>
  <si>
    <t>2024 原报合并收入</t>
  </si>
  <si>
    <t>E24ORIG</t>
  </si>
  <si>
    <t>oldrevenue</t>
  </si>
  <si>
    <t>oldpbt2024</t>
  </si>
  <si>
    <t>2024 原报合并税前损益</t>
  </si>
  <si>
    <t>oldpbt</t>
  </si>
  <si>
    <t>oldtax2024</t>
  </si>
  <si>
    <t>2024 原报合并税项</t>
  </si>
  <si>
    <t>oldtax</t>
  </si>
  <si>
    <t>oldni2024</t>
  </si>
  <si>
    <t>2024 原报合并净利润</t>
  </si>
  <si>
    <t>oldni</t>
  </si>
  <si>
    <t>oldwrite2024</t>
  </si>
  <si>
    <t>2024 原报资产核销费用</t>
  </si>
  <si>
    <t>E24WRITE</t>
  </si>
  <si>
    <t>oldwrite</t>
  </si>
  <si>
    <t>cancelwrite2024</t>
  </si>
  <si>
    <t>2024 取消节点相关资产核销</t>
  </si>
  <si>
    <t>cancelwrite</t>
  </si>
  <si>
    <t>statutorytax2025</t>
  </si>
  <si>
    <t>2025 法定税率对应税额（费用负数）</t>
  </si>
  <si>
    <t>E25TAX</t>
  </si>
  <si>
    <t>statutorytax</t>
  </si>
  <si>
    <t>statutorytax2024</t>
  </si>
  <si>
    <t>2024 法定税率对应税额（费用负数）</t>
  </si>
  <si>
    <t>reittax2025</t>
  </si>
  <si>
    <t>2025 REIT 税额调节</t>
  </si>
  <si>
    <t>reittax</t>
  </si>
  <si>
    <t>reittax2024</t>
  </si>
  <si>
    <t>2024 REIT 税额调节</t>
  </si>
  <si>
    <t>vatax2025</t>
  </si>
  <si>
    <t>2025 估值准备税额调节</t>
  </si>
  <si>
    <t>vatax</t>
  </si>
  <si>
    <t>vatax2024</t>
  </si>
  <si>
    <t>2024 估值准备税额调节</t>
  </si>
  <si>
    <t>statetax2025</t>
  </si>
  <si>
    <t>2025 州税调节</t>
  </si>
  <si>
    <t>statetax</t>
  </si>
  <si>
    <t>statetax2024</t>
  </si>
  <si>
    <t>2024 州税调节</t>
  </si>
  <si>
    <t>foreigntax2025</t>
  </si>
  <si>
    <t>2025 外国税调节</t>
  </si>
  <si>
    <t>foreigntax</t>
  </si>
  <si>
    <t>foreigntax2024</t>
  </si>
  <si>
    <t>2024 外国税调节</t>
  </si>
  <si>
    <t>restrictnoncur2025</t>
  </si>
  <si>
    <t>2025 持续经营非流动受限现金</t>
  </si>
  <si>
    <t>E25CASH</t>
  </si>
  <si>
    <t>restrictnoncur</t>
  </si>
  <si>
    <t>restrictnoncur2024</t>
  </si>
  <si>
    <t>2024 持续经营非流动受限现金</t>
  </si>
  <si>
    <t>disccash2025</t>
  </si>
  <si>
    <t>2025 终止经营非受限现金</t>
  </si>
  <si>
    <t>disccash</t>
  </si>
  <si>
    <t>disccash2024</t>
  </si>
  <si>
    <t>2024 终止经营非受限现金</t>
  </si>
  <si>
    <t>discrestrict2025</t>
  </si>
  <si>
    <t>2025 终止经营受限现金</t>
  </si>
  <si>
    <t>discrestrict</t>
  </si>
  <si>
    <t>discrestrict2024</t>
  </si>
  <si>
    <t>2024 终止经营受限现金</t>
  </si>
  <si>
    <t>contcashall2025</t>
  </si>
  <si>
    <t>2025 持续经营全部现金（含受限）</t>
  </si>
  <si>
    <t>contcashall</t>
  </si>
  <si>
    <t>contcashall2024</t>
  </si>
  <si>
    <t>2024 持续经营全部现金（含受限）</t>
  </si>
  <si>
    <t>disccashall2025</t>
  </si>
  <si>
    <t>2025 终止经营全部现金（含受限）</t>
  </si>
  <si>
    <t>disccashall</t>
  </si>
  <si>
    <t>disccashall2024</t>
  </si>
  <si>
    <t>2024 终止经营全部现金（含受限）</t>
  </si>
  <si>
    <t>debt2025</t>
  </si>
  <si>
    <t>持续经营债务及其他义务账面值</t>
  </si>
  <si>
    <t>E25DEBT</t>
  </si>
  <si>
    <t>debt</t>
  </si>
  <si>
    <t>secured2025</t>
  </si>
  <si>
    <t>持续经营有担保债务账面值</t>
  </si>
  <si>
    <t>secured</t>
  </si>
  <si>
    <t>unsecured2025</t>
  </si>
  <si>
    <t>持续经营无担保债务账面值</t>
  </si>
  <si>
    <t>unsecured</t>
  </si>
  <si>
    <t>cp2025</t>
  </si>
  <si>
    <t>持续经营 CP 账面值</t>
  </si>
  <si>
    <t>cp</t>
  </si>
  <si>
    <t>revolver2025</t>
  </si>
  <si>
    <t>旧循环贷款账面值</t>
  </si>
  <si>
    <t>revolver</t>
  </si>
  <si>
    <t>term2025</t>
  </si>
  <si>
    <t>旧定期贷款账面值</t>
  </si>
  <si>
    <t>term</t>
  </si>
  <si>
    <t>undrawn2025</t>
  </si>
  <si>
    <t>旧循环额度未提用</t>
  </si>
  <si>
    <t>均为合并披露组成；债务表排除终止经营债务。未提用额度受协议限制并为 CP 提供备用支持。</t>
  </si>
  <si>
    <t>undrawn</t>
  </si>
  <si>
    <t>towerbook2025</t>
  </si>
  <si>
    <t>2018 塔票据账面值</t>
  </si>
  <si>
    <t>towerbook</t>
  </si>
  <si>
    <t>towerface2025</t>
  </si>
  <si>
    <t>2018 塔票据本金</t>
  </si>
  <si>
    <t>towerface</t>
  </si>
  <si>
    <t>speppe2025</t>
  </si>
  <si>
    <t>相关担保 PPE 账面值</t>
  </si>
  <si>
    <t>speppe</t>
  </si>
  <si>
    <t>leverage2025</t>
  </si>
  <si>
    <t>旧协议实际总净杠杆</t>
  </si>
  <si>
    <t>E25COV</t>
  </si>
  <si>
    <t>ratio</t>
  </si>
  <si>
    <t>borrower covenant group</t>
  </si>
  <si>
    <t>contractual covenant</t>
  </si>
  <si>
    <t>leverage</t>
  </si>
  <si>
    <t>times</t>
  </si>
  <si>
    <t>limit2025</t>
  </si>
  <si>
    <t>旧协议净杠杆上限</t>
  </si>
  <si>
    <t>E25COV, EOLDCREDIT</t>
  </si>
  <si>
    <t>limit</t>
  </si>
  <si>
    <t>securedratio2025</t>
  </si>
  <si>
    <t>旧协议实际高级担保杠杆</t>
  </si>
  <si>
    <t>securedratio</t>
  </si>
  <si>
    <t>securedlimit2025</t>
  </si>
  <si>
    <t>高级担保杠杆上限</t>
  </si>
  <si>
    <t>securedlimit</t>
  </si>
  <si>
    <t>q_allow</t>
  </si>
  <si>
    <t>Q1 2026 期末待售准备</t>
  </si>
  <si>
    <t>EQ126HFS</t>
  </si>
  <si>
    <t>2026-03-31</t>
  </si>
  <si>
    <t>q_discassets</t>
  </si>
  <si>
    <t>Q1 2026 终止经营资产</t>
  </si>
  <si>
    <t>q_discliab</t>
  </si>
  <si>
    <t>Q1 2026 终止经营负债</t>
  </si>
  <si>
    <t>q_cash</t>
  </si>
  <si>
    <t>Q1 持续经营现金</t>
  </si>
  <si>
    <t>EQ126CF</t>
  </si>
  <si>
    <t>q_restrict</t>
  </si>
  <si>
    <t>Q1 持续经营流动受限现金</t>
  </si>
  <si>
    <t>q_restrictnoncur</t>
  </si>
  <si>
    <t>Q1 非流动受限现金</t>
  </si>
  <si>
    <t>q_disccash</t>
  </si>
  <si>
    <t>Q1 终止经营现金</t>
  </si>
  <si>
    <t>q_discrestrict</t>
  </si>
  <si>
    <t>Q1 终止经营受限现金</t>
  </si>
  <si>
    <t>q_cashtotal</t>
  </si>
  <si>
    <t>Q1 现金及受限现金总计</t>
  </si>
  <si>
    <t>q_debt</t>
  </si>
  <si>
    <t>Q1 持续经营债务账面值</t>
  </si>
  <si>
    <t>q_debtcur</t>
  </si>
  <si>
    <t>Q1 持续经营流动债务</t>
  </si>
  <si>
    <t>q_debtlong</t>
  </si>
  <si>
    <t>Q1 持续经营长期债务</t>
  </si>
  <si>
    <t>q_cp</t>
  </si>
  <si>
    <t>Q1 CP 账面值</t>
  </si>
  <si>
    <t>q_undrawn</t>
  </si>
  <si>
    <t>Q1 旧额度未提用</t>
  </si>
  <si>
    <t>q_saleloss</t>
  </si>
  <si>
    <t>Q1 2026 处置损失</t>
  </si>
  <si>
    <t>2026-01-01</t>
  </si>
  <si>
    <t>q_sellcost</t>
  </si>
  <si>
    <t>Q1 2026 已发生出售费用</t>
  </si>
  <si>
    <t>q_discrev</t>
  </si>
  <si>
    <t>Q1 2026 终止经营收入</t>
  </si>
  <si>
    <t>q_discopex</t>
  </si>
  <si>
    <t>Q1 2026 终止经营费用</t>
  </si>
  <si>
    <t>q_discpbt</t>
  </si>
  <si>
    <t>Q1 2026 终止经营税前利润</t>
  </si>
  <si>
    <t>q_disctax</t>
  </si>
  <si>
    <t>Q1 2026 终止经营税项</t>
  </si>
  <si>
    <t>q_discpre</t>
  </si>
  <si>
    <t>Q1 2026 终止经营处置前净利润</t>
  </si>
  <si>
    <t>priorallow_original</t>
  </si>
  <si>
    <t>2025 Q1 原报待售准备</t>
  </si>
  <si>
    <t>EQ125, ESECSALE</t>
  </si>
  <si>
    <t>2025-03-31</t>
  </si>
  <si>
    <t>priorallow_recalled</t>
  </si>
  <si>
    <t>2026 Q1 脚注回述的 2025 Q1 待售准备</t>
  </si>
  <si>
    <t>原文如此；与上年原报及 SEC 回复不符。尚未解释，不视为获证实重述。</t>
  </si>
  <si>
    <t>prior_disposal</t>
  </si>
  <si>
    <t>2025 Q1 处置损失</t>
  </si>
  <si>
    <t>ESECSALE</t>
  </si>
  <si>
    <t>prior_cost</t>
  </si>
  <si>
    <t>2025 Q1 已发生出售费用</t>
  </si>
  <si>
    <t>grossprice</t>
  </si>
  <si>
    <t>合同总价</t>
  </si>
  <si>
    <t>EQ126SALE</t>
  </si>
  <si>
    <t>2026-05-01</t>
  </si>
  <si>
    <t>disclosed transaction cash</t>
  </si>
  <si>
    <t>交割价调尚待结算；74 和 3300 为公司约数，不当成逐美元精确银行流水。</t>
  </si>
  <si>
    <t>priceadjust</t>
  </si>
  <si>
    <t>初步交割价调扣款</t>
  </si>
  <si>
    <t>costpaid</t>
  </si>
  <si>
    <t>交割时支付此前已计提费用（约）</t>
  </si>
  <si>
    <t>debtrepaid</t>
  </si>
  <si>
    <t>五月一日实际还债（约）</t>
  </si>
  <si>
    <t>plan_cp</t>
  </si>
  <si>
    <t>计划随后随到期偿还 CP（约）</t>
  </si>
  <si>
    <t>已披露管理层计划，不是截至五月一日或六月三十日的执行实绩。</t>
  </si>
  <si>
    <t>plan_otherdebt</t>
  </si>
  <si>
    <t>计划 2026 其他还债（约）</t>
  </si>
  <si>
    <t>plan_buyback</t>
  </si>
  <si>
    <t>计划回购（约）</t>
  </si>
  <si>
    <t>newcommit</t>
  </si>
  <si>
    <t>新循环协议总承诺</t>
  </si>
  <si>
    <t>ECREDIT</t>
  </si>
  <si>
    <t>Crown Castle Inc. borrower</t>
  </si>
  <si>
    <t>contractual facility</t>
  </si>
  <si>
    <t>newlc</t>
  </si>
  <si>
    <t>新协议生效时信用证余额</t>
  </si>
  <si>
    <t>newlimit</t>
  </si>
  <si>
    <t>新协议总净杠杆上限</t>
  </si>
  <si>
    <t>maycp</t>
  </si>
  <si>
    <t>五月五日仍存 CP（公司约数）</t>
  </si>
  <si>
    <t>EQ126FAC</t>
  </si>
  <si>
    <t>2026-05-05</t>
  </si>
  <si>
    <t>dishrecorded</t>
  </si>
  <si>
    <t>DISH 年末应收净敞口约数</t>
  </si>
  <si>
    <t>EDISH</t>
  </si>
  <si>
    <t>公司约数；细项亦为约数，不能当成精确逐美元桥。</t>
  </si>
  <si>
    <t>missing_discount</t>
  </si>
  <si>
    <t>Fiber 商誉测试折现率</t>
  </si>
  <si>
    <t>missing</t>
  </si>
  <si>
    <t>已读原件未提供可独立重建估值的完整数值假设；不能以模型记忆补数。</t>
  </si>
  <si>
    <t>missing_recoverability</t>
  </si>
  <si>
    <t>Fiber 未折现现金流超额</t>
  </si>
  <si>
    <t>公司称通过测试，但预测、账面资产组调整及超额金额未公开充分披露。</t>
  </si>
  <si>
    <t>missing_parent_cash</t>
  </si>
  <si>
    <t>法律母公司可支用现金</t>
  </si>
  <si>
    <t>缺法律实体银行余额、受限/归属及上划约束；不得用合并现金替代。</t>
  </si>
  <si>
    <t>missing_final_sale</t>
  </si>
  <si>
    <t>六月截止可证实最终处置损益</t>
  </si>
  <si>
    <t>2026-04-01</t>
  </si>
  <si>
    <t>最终第二季度金额在已读截止日前公开原件未给出；不能用七月公布的结果倒填。</t>
  </si>
  <si>
    <t>missing_covenant_ebitda</t>
  </si>
  <si>
    <t>新协议经认可的备考 EBITDA</t>
  </si>
  <si>
    <t>已得新旧公开定义和公开会计备考；缺按定义逐项金额、出售/偿债备考与合规证书。公开净利1,188或公司非GAAP EBITDA不能替代。</t>
  </si>
  <si>
    <t>pf_price</t>
  </si>
  <si>
    <t>公开备考合同毛价</t>
  </si>
  <si>
    <t>EPROBS, EPROBASIS</t>
  </si>
  <si>
    <t>assumption</t>
  </si>
  <si>
    <t>Reg S-X Article 11 public pro forma (published 2026-05-01)</t>
  </si>
  <si>
    <t>2026-05-01公开备考；BS假设2025-12-31完成，损益假设2025-01-01完成。不是五月实际余额、最终结算或契约计算。</t>
  </si>
  <si>
    <t>pf_adjust</t>
  </si>
  <si>
    <t>公开备考初步价调</t>
  </si>
  <si>
    <t>pf_cost</t>
  </si>
  <si>
    <t>公开备考估计交易及留任成本</t>
  </si>
  <si>
    <t>pf_repay</t>
  </si>
  <si>
    <t>公开备考按2025年末本金假设偿债</t>
  </si>
  <si>
    <t>pf_cashadd</t>
  </si>
  <si>
    <t>公开备考剩余现金调整</t>
  </si>
  <si>
    <t>pf_cashbase</t>
  </si>
  <si>
    <t>备考表历史现金基数（2025已报）</t>
  </si>
  <si>
    <t>2026-05-01公开备考；BS假设2025-12-31完成，损益假设2025-01-01完成。不是五月实际余额、最终结算或契约计算。 此行原为历史列已报金额，仅作为本备考计算的明示输入；未回写原US GAAP实数。</t>
  </si>
  <si>
    <t>pf_cash</t>
  </si>
  <si>
    <t>公开备考现金余额</t>
  </si>
  <si>
    <t>pf_disc_ca</t>
  </si>
  <si>
    <t>公开备考移除终止经营流动资产</t>
  </si>
  <si>
    <t>pf_disc_nca</t>
  </si>
  <si>
    <t>公开备考移除终止经营非流动资产</t>
  </si>
  <si>
    <t>pf_assetdelta</t>
  </si>
  <si>
    <t>公开备考总资产调整</t>
  </si>
  <si>
    <t>pf_debtcurdelta</t>
  </si>
  <si>
    <t>公开备考流动债务调整</t>
  </si>
  <si>
    <t>pf_debtlongdelta</t>
  </si>
  <si>
    <t>公开备考长期债务调整</t>
  </si>
  <si>
    <t>pf_intaccrdelta</t>
  </si>
  <si>
    <t>公开备考应计利息调整</t>
  </si>
  <si>
    <t>pf_disc_cl</t>
  </si>
  <si>
    <t>公开备考移除终止经营流动负债</t>
  </si>
  <si>
    <t>pf_disc_ncl</t>
  </si>
  <si>
    <t>公开备考移除终止经营非流动负债</t>
  </si>
  <si>
    <t>pf_liabdelta</t>
  </si>
  <si>
    <t>公开备考总负债调整</t>
  </si>
  <si>
    <t>pf_equitydelta</t>
  </si>
  <si>
    <t>公开备考综合权益调整（非单独处置损失）</t>
  </si>
  <si>
    <t>pf_equitybase</t>
  </si>
  <si>
    <t>备考表历史权益基数（2025已报）</t>
  </si>
  <si>
    <t>pf_equity</t>
  </si>
  <si>
    <t>公开备考权益</t>
  </si>
  <si>
    <t>pf_contnibase</t>
  </si>
  <si>
    <t>备考表历史持续经营利润基数（2025已报）</t>
  </si>
  <si>
    <t>EPROPL, EPROBASIS</t>
  </si>
  <si>
    <t>pf_interestbase</t>
  </si>
  <si>
    <t>备考表历史利息及融资摊销带符号基数（2025已报）</t>
  </si>
  <si>
    <t>pf_interestdelta</t>
  </si>
  <si>
    <t>公开备考利息减少对利润影响</t>
  </si>
  <si>
    <t>pf_interest</t>
  </si>
  <si>
    <t>公开备考利息及融资摊销（带符号）</t>
  </si>
  <si>
    <t>pf_contni</t>
  </si>
  <si>
    <t>公开备考持续经营利润</t>
  </si>
  <si>
    <t>fiber_gwopen</t>
  </si>
  <si>
    <t>2024 Fiber年初商誉</t>
  </si>
  <si>
    <t>Fiber reporting unit</t>
  </si>
  <si>
    <t>2024原报note5/p75，不是2025重列推定。</t>
  </si>
  <si>
    <t>fiber_gwloss</t>
  </si>
  <si>
    <t>2024 Fiber商誉减值</t>
  </si>
  <si>
    <t>fiber_gwend</t>
  </si>
  <si>
    <t>2024 Fiber年末商誉</t>
  </si>
  <si>
    <t>towers_gwend</t>
  </si>
  <si>
    <t>2024 Towers年末商誉</t>
  </si>
  <si>
    <t>Towers reporting unit</t>
  </si>
  <si>
    <t>原报p75：剩余合并商誉全部属于Towers。</t>
  </si>
  <si>
    <t>spa_fiberbase</t>
  </si>
  <si>
    <t>签署协议Fiber基价</t>
  </si>
  <si>
    <t>ESPAPRICE</t>
  </si>
  <si>
    <t>2025-03-13</t>
  </si>
  <si>
    <t>signed sale contract base prices</t>
  </si>
  <si>
    <t>2025-03-13签署、2025-03-17公开；不含实际营运资本/净债务/费用/CapEx等调整。</t>
  </si>
  <si>
    <t>spa_smallbase</t>
  </si>
  <si>
    <t>签署协议Small Cell基价</t>
  </si>
  <si>
    <t>sp_rou_cost</t>
  </si>
  <si>
    <t>ROU经营租赁成本</t>
  </si>
  <si>
    <t>E_SP_LEASE</t>
  </si>
  <si>
    <t>sp_variable_lease</t>
  </si>
  <si>
    <t>可变租赁费用</t>
  </si>
  <si>
    <t>sp_lease_cash</t>
  </si>
  <si>
    <t>经营租赁实际付现</t>
  </si>
  <si>
    <t>E_SP_SCOPE</t>
  </si>
  <si>
    <t>sp_interest_incurred</t>
  </si>
  <si>
    <t>应计债务利息</t>
  </si>
  <si>
    <t>E_SP_CASH</t>
  </si>
  <si>
    <t>sp_finance_fee</t>
  </si>
  <si>
    <t>损益内融资费用摊销</t>
  </si>
  <si>
    <t>sp_capitalized_interest</t>
  </si>
  <si>
    <t>当期资本化利息发生额</t>
  </si>
  <si>
    <t>sp_interest_paid_net</t>
  </si>
  <si>
    <t>经营现金付息（排除资本化利息）</t>
  </si>
  <si>
    <t>E_SP_XBRL</t>
  </si>
  <si>
    <t>sp_cash_tax</t>
  </si>
  <si>
    <t>实际现金所得税</t>
  </si>
  <si>
    <t>sp_rsu</t>
  </si>
  <si>
    <t>直接证实以一股普通股结算的RSU费用</t>
  </si>
  <si>
    <t>E_SP_SBC</t>
  </si>
  <si>
    <t>sp_ppe_writeoff</t>
  </si>
  <si>
    <t>PP&amp;E放弃和核销总额</t>
  </si>
  <si>
    <t>sp_aro_accretion</t>
  </si>
  <si>
    <t>ARO折现增值</t>
  </si>
  <si>
    <t>E_SP_ARO</t>
  </si>
  <si>
    <t>sp_aro_settled</t>
  </si>
  <si>
    <t>ARO结算减少</t>
  </si>
  <si>
    <t>原表为Settlements，未独立证明全部属于现金支付。</t>
  </si>
  <si>
    <t>sp_depreciation</t>
  </si>
  <si>
    <t>折旧</t>
  </si>
  <si>
    <t>sp_amortization</t>
  </si>
  <si>
    <t>摊销</t>
  </si>
  <si>
    <t>sp_lease_rate</t>
  </si>
  <si>
    <t>期末经营租赁加权贴现率</t>
  </si>
  <si>
    <t>sp_aro_open</t>
  </si>
  <si>
    <t>期初ARO</t>
  </si>
  <si>
    <t>sp_aro_end</t>
  </si>
  <si>
    <t>期末ARO</t>
  </si>
  <si>
    <t>sp_capitalized_cash_estimate</t>
  </si>
  <si>
    <t>资本化现金付息估计</t>
  </si>
  <si>
    <t>依Ratios¶35/133，以已披露当期资本化发生额作最佳估计；尚未取得独立实付拆分。不把发生额标作现金事实，敏感性按逐单位变化解释。</t>
  </si>
  <si>
    <t>sp_q1_cfo_2026</t>
  </si>
  <si>
    <t>Q1合并CFO 2026</t>
  </si>
  <si>
    <t>E_SP_Q1CFO</t>
  </si>
  <si>
    <t>sp_q1_disc_2026</t>
  </si>
  <si>
    <t>Q1终止经营CFO 2026</t>
  </si>
  <si>
    <t>sp_q1_cfo_2025</t>
  </si>
  <si>
    <t>Q1合并CFO 2025</t>
  </si>
  <si>
    <t>sp_q1_disc_2025</t>
  </si>
  <si>
    <t>Q1终止经营CFO 2025</t>
  </si>
  <si>
    <t>sp_billings_prior</t>
  </si>
  <si>
    <t>上年同期站点billings</t>
  </si>
  <si>
    <t>E_SP_Q1BILL</t>
  </si>
  <si>
    <t>Company non-GAAP site rental billings</t>
  </si>
  <si>
    <t>sp_billings_organic</t>
  </si>
  <si>
    <t>剔DISH/Sprint后的增量</t>
  </si>
  <si>
    <t>sp_billings_dish</t>
  </si>
  <si>
    <t>DISH终止增量</t>
  </si>
  <si>
    <t>sp_billings_sprint</t>
  </si>
  <si>
    <t>Sprint不续约增量</t>
  </si>
  <si>
    <t>sp_renew_att</t>
  </si>
  <si>
    <t>2028续约组AT&amp;T年度化现金支付暴露</t>
  </si>
  <si>
    <t>E_SP_RENEW</t>
  </si>
  <si>
    <t>Company annualized renewal exposure as of 2025-12-31</t>
  </si>
  <si>
    <t>续约/延期假设下的年度化租金；不是2028实际收款或预计损失。</t>
  </si>
  <si>
    <t>sp_renew_total</t>
  </si>
  <si>
    <t>2028续约组全部年度化现金支付暴露</t>
  </si>
  <si>
    <t>sp_owned_towers</t>
  </si>
  <si>
    <t>自有地块塔数</t>
  </si>
  <si>
    <t>E_SP_LAND</t>
  </si>
  <si>
    <t>count</t>
  </si>
  <si>
    <t>Company tower portfolio</t>
  </si>
  <si>
    <t>towers</t>
  </si>
  <si>
    <t>sp_total_towers</t>
  </si>
  <si>
    <t>合计塔数</t>
  </si>
  <si>
    <t>sp_owned_margin</t>
  </si>
  <si>
    <t>自有地块末季年化毛现金利润</t>
  </si>
  <si>
    <t>2025-10-01</t>
  </si>
  <si>
    <t>Company Q4 2025 LQA site rental gross cash margin</t>
  </si>
  <si>
    <t>末季年化值，排除直线收入、预收租金摊销及直线费用；不是2025全年现金流。</t>
  </si>
  <si>
    <t>sp_total_margin</t>
  </si>
  <si>
    <t>全部地块末季年化毛现金利润</t>
  </si>
  <si>
    <t>sp_restruct26_expense</t>
  </si>
  <si>
    <t>2026重组计划Q1费用</t>
  </si>
  <si>
    <t>原件按重组计划分组，不能将2026新计划视作全部重组。</t>
  </si>
  <si>
    <t>sp_restruct26_payment</t>
  </si>
  <si>
    <t>2026重组计划Q1支付</t>
  </si>
  <si>
    <t>sp_restruct26_liability</t>
  </si>
  <si>
    <t>2026重组计划期末负债</t>
  </si>
  <si>
    <t>sp_restruct_old_payment</t>
  </si>
  <si>
    <t>2023/2024重组计划本期支付</t>
  </si>
  <si>
    <t>sp_restruct_old_liability</t>
  </si>
  <si>
    <t>2023/2024重组计划期末负债</t>
  </si>
  <si>
    <t>指标或桥</t>
  </si>
  <si>
    <t>基础单位公式</t>
  </si>
  <si>
    <t>基础单位结果</t>
  </si>
  <si>
    <t>展示结果</t>
  </si>
  <si>
    <t>不计算原因</t>
  </si>
  <si>
    <t>定义</t>
  </si>
  <si>
    <t>解释边界</t>
  </si>
  <si>
    <t>展示单位</t>
  </si>
  <si>
    <t>C_ca_2025</t>
  </si>
  <si>
    <t>2025 流动资产分项合计</t>
  </si>
  <si>
    <t>calculated</t>
  </si>
  <si>
    <t>(1 × cash2025) + (1 × restrict2025) + (1 × recv2025) + (1 × prepaid2025) + (1 × rentcur2025) + (1 × otherca2025) + (1 × disc_ca2025)</t>
  </si>
  <si>
    <t>在披露精度内复算；不是新增管理层披露或审计保证。</t>
  </si>
  <si>
    <t>百万USD</t>
  </si>
  <si>
    <t>C_assets_2025</t>
  </si>
  <si>
    <t>2025 总资产分项合计</t>
  </si>
  <si>
    <t>(1 × ca2025) + (1 × rentnoncur2025) + (1 × ppe2025) + (1 × rou2025) + (1 × gw2025) + (1 × siteint2025) + (1 × otherint2025) + (1 × othera2025) + (1 × disc_nca2025)</t>
  </si>
  <si>
    <t>C_cl_2025</t>
  </si>
  <si>
    <t>2025 流动负债分项合计</t>
  </si>
  <si>
    <t>(1 × ap2025) + (1 × intaccr2025) + (1 × defrev2025) + (1 × accr2025) + (1 × debtcur2025) + (1 × leasecur2025) + (1 × disc_cl2025)</t>
  </si>
  <si>
    <t>C_liab_2025</t>
  </si>
  <si>
    <t>2025 总负债分项合计</t>
  </si>
  <si>
    <t>(1 × cl2025) + (1 × debtlong2025) + (1 × leaselong2025) + (1 × otherl2025) + (1 × disc_ncl2025)</t>
  </si>
  <si>
    <t>C_eqparts_2025</t>
  </si>
  <si>
    <t>2025 权益组成</t>
  </si>
  <si>
    <t>(1 × common2025) + (1 × apic2025) + (1 × aoci2025) + (1 × deficit2025)</t>
  </si>
  <si>
    <t>C_bs_2025</t>
  </si>
  <si>
    <t>2025 资产负债恒等式</t>
  </si>
  <si>
    <t>(1 × liabilities2025) + (1 × equity2025)</t>
  </si>
  <si>
    <t>C_rev_2025</t>
  </si>
  <si>
    <t>2025 持续收入组成</t>
  </si>
  <si>
    <t>(1 × siterent2025) + (1 × services2025)</t>
  </si>
  <si>
    <t>C_opex_2025</t>
  </si>
  <si>
    <t>2025 持续费用组成</t>
  </si>
  <si>
    <t>(1 × costrent2025) + (1 × costservice2025) + (1 × sga2025) + (1 × writedown2025) + (1 × acqexpense2025) + (1 × daa2025) + (1 × restruct2025)</t>
  </si>
  <si>
    <t>C_pbt_2025</t>
  </si>
  <si>
    <t>2025 持续税前利润桥</t>
  </si>
  <si>
    <t>(1 × opincome2025) + (1 × interest2025) + (1 × intincome2025) + (1 × otherincome2025)</t>
  </si>
  <si>
    <t>C_contni_2025</t>
  </si>
  <si>
    <t>2025 持续净利润桥</t>
  </si>
  <si>
    <t>(1 × contpbt2025) + (1 × conttax2025)</t>
  </si>
  <si>
    <t>C_net_2025</t>
  </si>
  <si>
    <t>2025 持续加终止净利润</t>
  </si>
  <si>
    <t>(1 × contni2025) + (1 × discni2025)</t>
  </si>
  <si>
    <t>C_comp_2025</t>
  </si>
  <si>
    <t>2025 综合收益桥</t>
  </si>
  <si>
    <t>(1 × netincome2025) + (1 × oci2025)</t>
  </si>
  <si>
    <t>C_cfi_2025</t>
  </si>
  <si>
    <t>2025 投资现金流组成</t>
  </si>
  <si>
    <t>(1 × capex2025) + (1 × acqcf2025) + (1 × othercfi2025) + (1 × disccfi2025)</t>
  </si>
  <si>
    <t>C_cff_2025</t>
  </si>
  <si>
    <t>2025 融资现金流组成</t>
  </si>
  <si>
    <t>(1 × issuecf2025) + (1 × principalcf2025) + (1 × redeemcf2025) + (1 × drawcf2025) + (1 × repaycf2025) + (1 × cpcf2025) + (1 × feecf2025) + (1 × buycf2025) + (1 × divcf2025)</t>
  </si>
  <si>
    <t>C_cashdelta_2025</t>
  </si>
  <si>
    <t>2025 三类现金流合计</t>
  </si>
  <si>
    <t>(1 × cfo2025) + (1 × cfi2025) + (1 × cff2025)</t>
  </si>
  <si>
    <t>C_discassets_2025</t>
  </si>
  <si>
    <t>2025 终止资产分项</t>
  </si>
  <si>
    <t>(1 × disc_ca2025) + (1 × discppe2025) + (1 × discint2025) + (1 × discothernca2025) + (-1 × hfsallow2025)</t>
  </si>
  <si>
    <t>C_discliab_2025</t>
  </si>
  <si>
    <t>2025 终止负债分项</t>
  </si>
  <si>
    <t>(1 × disc_cl2025) + (1 × discdebtlong2025) + (1 × discleaselong2025) + (1 × discotherl2025)</t>
  </si>
  <si>
    <t>C_discpbt_2025</t>
  </si>
  <si>
    <t>2025 终止税前利润桥</t>
  </si>
  <si>
    <t>(1 × discrevenue2025) + (-1 × discopex2025) + (-1 × discgw2025)</t>
  </si>
  <si>
    <t>C_discpre_2025</t>
  </si>
  <si>
    <t>2025 终止处置前净利润桥</t>
  </si>
  <si>
    <t>(1 × discpbt2025) + (1 × disctax2025)</t>
  </si>
  <si>
    <t>C_tax_2025</t>
  </si>
  <si>
    <t>2025 持续税额调节</t>
  </si>
  <si>
    <t>(1 × statutorytax2025) + (1 × reittax2025) + (1 × vatax2025) + (1 × statetax2025) + (1 × foreigntax2025)</t>
  </si>
  <si>
    <t>C_contcash_2025</t>
  </si>
  <si>
    <t>2025 持续现金分层</t>
  </si>
  <si>
    <t>(1 × cash2025) + (1 × restrict2025) + (1 × restrictnoncur2025)</t>
  </si>
  <si>
    <t>C_disccash_2025</t>
  </si>
  <si>
    <t>2025 终止现金分层</t>
  </si>
  <si>
    <t>(1 × disccash2025) + (1 × discrestrict2025)</t>
  </si>
  <si>
    <t>C_cashall_2025</t>
  </si>
  <si>
    <t>2025 全部现金分层</t>
  </si>
  <si>
    <t>(1 × contcashall2025) + (1 × disccashall2025)</t>
  </si>
  <si>
    <t>C_op_2025</t>
  </si>
  <si>
    <t>2025 持续营业利润</t>
  </si>
  <si>
    <t>(1 × revenue2025) + (-1 × opex2025)</t>
  </si>
  <si>
    <t>C_discni_2025</t>
  </si>
  <si>
    <t>2025 终止净损益</t>
  </si>
  <si>
    <t>(1 × discpre2025) + (-1 × saleloss2025)</t>
  </si>
  <si>
    <t>C_cfo_2025</t>
  </si>
  <si>
    <t>2025 从合并净利润到 CFO</t>
  </si>
  <si>
    <t>(1 × netincome2025) + (-1 × discpre2025) + (1 × saleloss2025) + (1 × daa2025) + (1 × finamort2025) + (1 × sbc2025) + (1 × writedown2025) + (1 × deftaxcf2025) + (1 × noncashrestruct2025) + (1 × othernoncash2025) + (1 × disccfo2025) + (1 × wcint2025) + (1 × wcap2025) + (1 × wcl2025) + (1 × wcrecv2025) + (1 × wca2025)</t>
  </si>
  <si>
    <t>C_cashroll_2025</t>
  </si>
  <si>
    <t>2025 现金期初至期末</t>
  </si>
  <si>
    <t>(1 × cashopen2025) + (1 × cashdelta2025) + (1 × fxcash2025)</t>
  </si>
  <si>
    <t>C_eqroll_2025</t>
  </si>
  <si>
    <t>2025 权益期初至期末</t>
  </si>
  <si>
    <t>(1 × eqopen2025) + (1 × eqstock2025) + (1 × eqbuy2025) + (1 × eqdiv2025) + (1 × netincome2025) + (1 × oci2025)</t>
  </si>
  <si>
    <t>C_contcfo_2025</t>
  </si>
  <si>
    <t>2025 持续经营 CFO</t>
  </si>
  <si>
    <t>(1 × cfo2025) + (-1 × disccfo2025)</t>
  </si>
  <si>
    <t>C_cashcapex_2025</t>
  </si>
  <si>
    <t>2025 持续 CFO 减持续资本支出</t>
  </si>
  <si>
    <t>(1 × C_contcfo_2025) + (1 × capex2025)</t>
  </si>
  <si>
    <t>简单现金覆盖观察，未称 AFFO、FCF 或契约 EBITDA。</t>
  </si>
  <si>
    <t>C_cashdiv_2025</t>
  </si>
  <si>
    <t>2025 持续 CFO 减持续资本支出及集团已付分配</t>
  </si>
  <si>
    <t>(1 × C_cashcapex_2025) + (1 × divcf2025)</t>
  </si>
  <si>
    <t>反事实覆盖观察：持续业务内部生成现金相对集团分配的缺口；并非母公司现金流或已归属的持续业务股利。</t>
  </si>
  <si>
    <t>C_disccashflow_2025</t>
  </si>
  <si>
    <t>2025 终止 CFO 加 CFI</t>
  </si>
  <si>
    <t>(1 × disccfo2025) + (1 × disccfi2025)</t>
  </si>
  <si>
    <t>只含终止经营披露的经营与投资净现金，不假定终止融资现金为零。</t>
  </si>
  <si>
    <t>C_ca_2024</t>
  </si>
  <si>
    <t>2024 流动资产分项合计</t>
  </si>
  <si>
    <t>(1 × cash2024) + (1 × restrict2024) + (1 × recv2024) + (1 × prepaid2024) + (1 × rentcur2024) + (1 × otherca2024) + (1 × disc_ca2024)</t>
  </si>
  <si>
    <t>C_assets_2024</t>
  </si>
  <si>
    <t>2024 总资产分项合计</t>
  </si>
  <si>
    <t>(1 × ca2024) + (1 × rentnoncur2024) + (1 × ppe2024) + (1 × rou2024) + (1 × gw2024) + (1 × siteint2024) + (1 × otherint2024) + (1 × othera2024) + (1 × disc_nca2024)</t>
  </si>
  <si>
    <t>C_cl_2024</t>
  </si>
  <si>
    <t>2024 流动负债分项合计</t>
  </si>
  <si>
    <t>(1 × ap2024) + (1 × intaccr2024) + (1 × defrev2024) + (1 × accr2024) + (1 × debtcur2024) + (1 × leasecur2024) + (1 × disc_cl2024)</t>
  </si>
  <si>
    <t>C_liab_2024</t>
  </si>
  <si>
    <t>2024 总负债分项合计</t>
  </si>
  <si>
    <t>(1 × cl2024) + (1 × debtlong2024) + (1 × leaselong2024) + (1 × otherl2024) + (1 × disc_ncl2024)</t>
  </si>
  <si>
    <t>C_eqparts_2024</t>
  </si>
  <si>
    <t>2024 权益组成</t>
  </si>
  <si>
    <t>(1 × common2024) + (1 × apic2024) + (1 × aoci2024) + (1 × deficit2024)</t>
  </si>
  <si>
    <t>C_bs_2024</t>
  </si>
  <si>
    <t>2024 资产负债恒等式</t>
  </si>
  <si>
    <t>(1 × liabilities2024) + (1 × equity2024)</t>
  </si>
  <si>
    <t>C_rev_2024</t>
  </si>
  <si>
    <t>2024 持续收入组成</t>
  </si>
  <si>
    <t>(1 × siterent2024) + (1 × services2024)</t>
  </si>
  <si>
    <t>C_opex_2024</t>
  </si>
  <si>
    <t>2024 持续费用组成</t>
  </si>
  <si>
    <t>(1 × costrent2024) + (1 × costservice2024) + (1 × sga2024) + (1 × writedown2024) + (1 × acqexpense2024) + (1 × daa2024) + (1 × restruct2024)</t>
  </si>
  <si>
    <t>C_pbt_2024</t>
  </si>
  <si>
    <t>2024 持续税前利润桥</t>
  </si>
  <si>
    <t>(1 × opincome2024) + (1 × interest2024) + (1 × intincome2024) + (1 × otherincome2024)</t>
  </si>
  <si>
    <t>C_contni_2024</t>
  </si>
  <si>
    <t>2024 持续净利润桥</t>
  </si>
  <si>
    <t>(1 × contpbt2024) + (1 × conttax2024)</t>
  </si>
  <si>
    <t>C_net_2024</t>
  </si>
  <si>
    <t>2024 持续加终止净利润</t>
  </si>
  <si>
    <t>(1 × contni2024) + (1 × discni2024)</t>
  </si>
  <si>
    <t>C_comp_2024</t>
  </si>
  <si>
    <t>2024 综合收益桥</t>
  </si>
  <si>
    <t>(1 × netincome2024) + (1 × oci2024)</t>
  </si>
  <si>
    <t>C_cfi_2024</t>
  </si>
  <si>
    <t>2024 投资现金流组成</t>
  </si>
  <si>
    <t>(1 × capex2024) + (1 × acqcf2024) + (1 × othercfi2024) + (1 × disccfi2024)</t>
  </si>
  <si>
    <t>C_cff_2024</t>
  </si>
  <si>
    <t>2024 融资现金流组成</t>
  </si>
  <si>
    <t>(1 × issuecf2024) + (1 × principalcf2024) + (1 × redeemcf2024) + (1 × drawcf2024) + (1 × repaycf2024) + (1 × cpcf2024) + (1 × feecf2024) + (1 × buycf2024) + (1 × divcf2024)</t>
  </si>
  <si>
    <t>C_cashdelta_2024</t>
  </si>
  <si>
    <t>2024 三类现金流合计</t>
  </si>
  <si>
    <t>(1 × cfo2024) + (1 × cfi2024) + (1 × cff2024)</t>
  </si>
  <si>
    <t>C_discassets_2024</t>
  </si>
  <si>
    <t>2024 终止资产分项</t>
  </si>
  <si>
    <t>(1 × disc_ca2024) + (1 × discppe2024) + (1 × discint2024) + (1 × discothernca2024) + (-1 × hfsallow2024)</t>
  </si>
  <si>
    <t>C_discliab_2024</t>
  </si>
  <si>
    <t>2024 终止负债分项</t>
  </si>
  <si>
    <t>(1 × disc_cl2024) + (1 × discdebtlong2024) + (1 × discleaselong2024) + (1 × discotherl2024)</t>
  </si>
  <si>
    <t>C_discpbt_2024</t>
  </si>
  <si>
    <t>2024 终止税前利润桥</t>
  </si>
  <si>
    <t>(1 × discrevenue2024) + (-1 × discopex2024) + (-1 × discgw2024)</t>
  </si>
  <si>
    <t>C_discpre_2024</t>
  </si>
  <si>
    <t>2024 终止处置前净利润桥</t>
  </si>
  <si>
    <t>(1 × discpbt2024) + (1 × disctax2024)</t>
  </si>
  <si>
    <t>C_tax_2024</t>
  </si>
  <si>
    <t>2024 持续税额调节</t>
  </si>
  <si>
    <t>(1 × statutorytax2024) + (1 × reittax2024) + (1 × vatax2024) + (1 × statetax2024) + (1 × foreigntax2024)</t>
  </si>
  <si>
    <t>C_contcash_2024</t>
  </si>
  <si>
    <t>2024 持续现金分层</t>
  </si>
  <si>
    <t>(1 × cash2024) + (1 × restrict2024) + (1 × restrictnoncur2024)</t>
  </si>
  <si>
    <t>C_disccash_2024</t>
  </si>
  <si>
    <t>2024 终止现金分层</t>
  </si>
  <si>
    <t>(1 × disccash2024) + (1 × discrestrict2024)</t>
  </si>
  <si>
    <t>C_cashall_2024</t>
  </si>
  <si>
    <t>2024 全部现金分层</t>
  </si>
  <si>
    <t>(1 × contcashall2024) + (1 × disccashall2024)</t>
  </si>
  <si>
    <t>C_op_2024</t>
  </si>
  <si>
    <t>2024 持续营业利润</t>
  </si>
  <si>
    <t>(1 × revenue2024) + (-1 × opex2024)</t>
  </si>
  <si>
    <t>C_discni_2024</t>
  </si>
  <si>
    <t>2024 终止净损益</t>
  </si>
  <si>
    <t>(1 × discpre2024) + (-1 × saleloss2024)</t>
  </si>
  <si>
    <t>C_cfo_2024</t>
  </si>
  <si>
    <t>2024 从合并净利润到 CFO</t>
  </si>
  <si>
    <t>(1 × netincome2024) + (-1 × discpre2024) + (1 × saleloss2024) + (1 × daa2024) + (1 × finamort2024) + (1 × sbc2024) + (1 × writedown2024) + (1 × deftaxcf2024) + (1 × noncashrestruct2024) + (1 × othernoncash2024) + (1 × disccfo2024) + (1 × wcint2024) + (1 × wcap2024) + (1 × wcl2024) + (1 × wcrecv2024) + (1 × wca2024)</t>
  </si>
  <si>
    <t>C_cashroll_2024</t>
  </si>
  <si>
    <t>2024 现金期初至期末</t>
  </si>
  <si>
    <t>(1 × cashopen2024) + (1 × cashdelta2024) + (1 × fxcash2024)</t>
  </si>
  <si>
    <t>C_eqroll_2024</t>
  </si>
  <si>
    <t>2024 权益期初至期末</t>
  </si>
  <si>
    <t>(1 × eqopen2024) + (1 × eqstock2024) + (1 × eqbuy2024) + (1 × eqdiv2024) + (1 × netincome2024) + (1 × oci2024)</t>
  </si>
  <si>
    <t>C_contcfo_2024</t>
  </si>
  <si>
    <t>2024 持续经营 CFO</t>
  </si>
  <si>
    <t>(1 × cfo2024) + (-1 × disccfo2024)</t>
  </si>
  <si>
    <t>C_cashcapex_2024</t>
  </si>
  <si>
    <t>2024 持续 CFO 减持续资本支出</t>
  </si>
  <si>
    <t>(1 × C_contcfo_2024) + (1 × capex2024)</t>
  </si>
  <si>
    <t>C_cashdiv_2024</t>
  </si>
  <si>
    <t>2024 持续 CFO 减持续资本支出及集团已付分配</t>
  </si>
  <si>
    <t>(1 × C_cashcapex_2024) + (1 × divcf2024)</t>
  </si>
  <si>
    <t>C_disccashflow_2024</t>
  </si>
  <si>
    <t>2024 终止 CFO 加 CFI</t>
  </si>
  <si>
    <t>(1 × disccfo2024) + (1 × disccfi2024)</t>
  </si>
  <si>
    <t>C_sale2025</t>
  </si>
  <si>
    <t>2025 处置损失组成</t>
  </si>
  <si>
    <t>(1 × hfsallow2025) + (1 × sellcost2025)</t>
  </si>
  <si>
    <t>C_gw2024</t>
  </si>
  <si>
    <t>2024 合并商誉滚动</t>
  </si>
  <si>
    <t>(1 × gwopen2024) + (-1 × discgw2024)</t>
  </si>
  <si>
    <t>合并10,085减Fiber商誉费用4,958至5,127；Fiber本身已全额减至0，剩余全部为Towers。</t>
  </si>
  <si>
    <t>C_recastrev2024</t>
  </si>
  <si>
    <t>2024 重列后持续加终止收入</t>
  </si>
  <si>
    <t>(1 × revenue2024) + (1 × discrevenue2024)</t>
  </si>
  <si>
    <t>C_recast_pbt</t>
  </si>
  <si>
    <t>2024 原报至重列 pbt 合计</t>
  </si>
  <si>
    <t>(1 × contpbt2024) + (1 × discpbt2024)</t>
  </si>
  <si>
    <t>C_recast_tax</t>
  </si>
  <si>
    <t>2024 原报至重列 tax 合计</t>
  </si>
  <si>
    <t>(1 × conttax2024) + (1 × disctax2024)</t>
  </si>
  <si>
    <t>C_recast_ni</t>
  </si>
  <si>
    <t>2024 原报至重列 ni 合计</t>
  </si>
  <si>
    <t>C_preallow_netassets</t>
  </si>
  <si>
    <t>2025 准备前终止净资产</t>
  </si>
  <si>
    <t>(1 × discassets2025) + (1 × hfsallow2025) + (-1 × discliab2025)</t>
  </si>
  <si>
    <t>C_postallow_netassets</t>
  </si>
  <si>
    <t>2025 准备后终止净资产</t>
  </si>
  <si>
    <t>(1 × discassets2025) + (-1 × discliab2025)</t>
  </si>
  <si>
    <t>C_debt2025</t>
  </si>
  <si>
    <t>持续债务流动加长期</t>
  </si>
  <si>
    <t>(1 × debtcur2025) + (1 × debtlong2025)</t>
  </si>
  <si>
    <t>C_debtsec2025</t>
  </si>
  <si>
    <t>有担保加无担保债务</t>
  </si>
  <si>
    <t>(1 × secured2025) + (1 × unsecured2025)</t>
  </si>
  <si>
    <t>C_oldnetavailability</t>
  </si>
  <si>
    <t>年末未提额度扣 CP 备用占用观察</t>
  </si>
  <si>
    <t>(1 × undrawn2025) + (-1 × cp2025)</t>
  </si>
  <si>
    <t>仅避免双算 CP 备用支持；不是已确认法律母公司可支用现金，仍需条款/信用证及合规核实。</t>
  </si>
  <si>
    <t>C_qnetavailability</t>
  </si>
  <si>
    <t>三月未提额度扣 CP 备用占用观察</t>
  </si>
  <si>
    <t>(1 × q_undrawn) + (-1 × q_cp)</t>
  </si>
  <si>
    <t>仅在相同三月时点作备用额度观察，五月新协议替代后不可再与新额度相加。</t>
  </si>
  <si>
    <t>C_headroom2025</t>
  </si>
  <si>
    <t>旧协议净杠杆比率余量</t>
  </si>
  <si>
    <t>(1 × limit2025) + (-1 × leverage2025)</t>
  </si>
  <si>
    <t>比率差额，不是可借美元金额；需契约 EBITDA 才能换算。</t>
  </si>
  <si>
    <t>倍</t>
  </si>
  <si>
    <t>C_qallow</t>
  </si>
  <si>
    <t>待售准备自年末到三月滚动</t>
  </si>
  <si>
    <t>(1 × hfsallow2025) + (1 × q_saleloss) + (-1 × q_sellcost)</t>
  </si>
  <si>
    <t>C_qpbt</t>
  </si>
  <si>
    <t>Q1 终止税前利润</t>
  </si>
  <si>
    <t>(1 × q_discrev) + (-1 × q_discopex)</t>
  </si>
  <si>
    <t>C_qdiscpre</t>
  </si>
  <si>
    <t>Q1 终止处置前净利润</t>
  </si>
  <si>
    <t>(1 × q_discpbt) + (1 × q_disctax)</t>
  </si>
  <si>
    <t>C_qcash</t>
  </si>
  <si>
    <t>Q1 现金分层总计</t>
  </si>
  <si>
    <t>(1 × q_cash) + (1 × q_restrict) + (1 × q_restrictnoncur) + (1 × q_disccash) + (1 × q_discrestrict)</t>
  </si>
  <si>
    <t>C_qdebt</t>
  </si>
  <si>
    <t>Q1 债务流动加长期</t>
  </si>
  <si>
    <t>(1 × q_debtcur) + (1 × q_debtlong)</t>
  </si>
  <si>
    <t>C_priorallow</t>
  </si>
  <si>
    <t>2025 Q1 处置损失扣售出成本</t>
  </si>
  <si>
    <t>(1 × prior_disposal) + (-1 × prior_cost)</t>
  </si>
  <si>
    <t>C_saleproceeds</t>
  </si>
  <si>
    <t>交割初步实际价款桥</t>
  </si>
  <si>
    <t>(1 × grossprice) + (-1 × priceadjust)</t>
  </si>
  <si>
    <t>以披露的百万美元精度复算，对应公司约 84 亿美元实收叙述；不是最终交割结算。</t>
  </si>
  <si>
    <t>C_salecashcost</t>
  </si>
  <si>
    <t>交割价款扣当时支付成本</t>
  </si>
  <si>
    <t>(1 × C_saleproceeds) + (-1 × costpaid)</t>
  </si>
  <si>
    <t>含约数及初步价调的现金观察；74 已预提，不重复计第二季度损益；非公司期末银行余额。</t>
  </si>
  <si>
    <t>C_newnetLC</t>
  </si>
  <si>
    <t>新承诺扣生效时信用证</t>
  </si>
  <si>
    <t>(1 × newcommit) + (-1 × newlc)</t>
  </si>
  <si>
    <t>扣信用证后的名义承诺；尚未扣同日 CP 备用占用及合规制约，不是自由现金，不与旧协议叠加。</t>
  </si>
  <si>
    <t>C_nimove</t>
  </si>
  <si>
    <t>合并净利润变化</t>
  </si>
  <si>
    <t>(1 × netincome2025) + (-1 × netincome2024)</t>
  </si>
  <si>
    <t>C_contnimove</t>
  </si>
  <si>
    <t>持续净利润变化</t>
  </si>
  <si>
    <t>(1 × contni2025) + (-1 × contni2024)</t>
  </si>
  <si>
    <t>C_discnimove</t>
  </si>
  <si>
    <t>终止净损益变化</t>
  </si>
  <si>
    <t>(1 × discni2025) + (-1 × discni2024)</t>
  </si>
  <si>
    <t>C_nimove_parts</t>
  </si>
  <si>
    <t>持续与终止变化合计</t>
  </si>
  <si>
    <t>(1 × C_contnimove) + (1 × C_discnimove)</t>
  </si>
  <si>
    <t>C_pf_cashadd</t>
  </si>
  <si>
    <t>公开备考价格—费用—偿债—剩余现金</t>
  </si>
  <si>
    <t>(1 × pf_price) + (-1 × pf_adjust) + (-1 × pf_cost) + (-1 × pf_repay)</t>
  </si>
  <si>
    <t>C_pf_cash</t>
  </si>
  <si>
    <t>公开备考现金基数加交易调整</t>
  </si>
  <si>
    <t>(1 × pf_cashbase) + (1 × pf_cashadd)</t>
  </si>
  <si>
    <t>C_pf_assetdelta</t>
  </si>
  <si>
    <t>公开备考资产调整</t>
  </si>
  <si>
    <t>(1 × pf_cashadd) + (-1 × pf_disc_ca) + (-1 × pf_disc_nca)</t>
  </si>
  <si>
    <t>C_pf_liabdelta</t>
  </si>
  <si>
    <t>公开备考负债调整</t>
  </si>
  <si>
    <t>(1 × pf_debtcurdelta) + (1 × pf_debtlongdelta) + (1 × pf_intaccrdelta) + (-1 × pf_disc_cl) + (-1 × pf_disc_ncl)</t>
  </si>
  <si>
    <t>C_pf_equitydelta</t>
  </si>
  <si>
    <t>公开备考资产/负债调整接权益</t>
  </si>
  <si>
    <t>(1 × pf_assetdelta) + (-1 × pf_liabdelta)</t>
  </si>
  <si>
    <t>C_pf_equity</t>
  </si>
  <si>
    <t>公开备考历史权益加综合调整</t>
  </si>
  <si>
    <t>(1 × pf_equitybase) + (1 × pf_equitydelta)</t>
  </si>
  <si>
    <t>C_pf_interest</t>
  </si>
  <si>
    <t>公开备考利息行</t>
  </si>
  <si>
    <t>(1 × pf_interestbase) + (1 × pf_interestdelta)</t>
  </si>
  <si>
    <t>C_pf_contni</t>
  </si>
  <si>
    <t>(1 × pf_contnibase) + (1 × pf_interestdelta)</t>
  </si>
  <si>
    <t>C_fibergw</t>
  </si>
  <si>
    <t>2024 Fiber商誉全额减至零</t>
  </si>
  <si>
    <t>(1 × fiber_gwopen) + (-1 × fiber_gwloss)</t>
  </si>
  <si>
    <t>分部滚动与集团合并滚动分开；不证明估值模型正确。</t>
  </si>
  <si>
    <t>C_spabase</t>
  </si>
  <si>
    <t>签署出售协议两业务基价合计</t>
  </si>
  <si>
    <t>(1 × spa_fiberbase) + (1 × spa_smallbase)</t>
  </si>
  <si>
    <t>仅合计基础价格；不等于最终应付或实收。</t>
  </si>
  <si>
    <t>C_sp_lease_open</t>
  </si>
  <si>
    <t>经营租赁负债合计 2024</t>
  </si>
  <si>
    <t>sum: leasecur2024 × 1, leaselong2024 × 1</t>
  </si>
  <si>
    <t>按输入原值及所列期间复算，范围不扩展至法律母公司或评级机构已发表指标。</t>
  </si>
  <si>
    <t>C_sp_lease_end</t>
  </si>
  <si>
    <t>经营租赁负债合计 2025</t>
  </si>
  <si>
    <t>sum: leasecur2025 × 1, leaselong2025 × 1</t>
  </si>
  <si>
    <t>C_sp_lease_average</t>
  </si>
  <si>
    <t>真实期初期末经营租赁负债均值</t>
  </si>
  <si>
    <t>average_balance: C_sp_lease_open × 1, C_sp_lease_end × 1</t>
  </si>
  <si>
    <t>C_sp_sbc_residual</t>
  </si>
  <si>
    <t>股份支付总额与直接证实RSU的差额</t>
  </si>
  <si>
    <t>difference: sbc2025 × 1, sp_rsu × 1</t>
  </si>
  <si>
    <t>C_sp_writeoff_difference</t>
  </si>
  <si>
    <t>PP&amp;E核销与损益净行差额</t>
  </si>
  <si>
    <t>difference: sp_ppe_writeoff × 1, writedown2025 × 1</t>
  </si>
  <si>
    <t>该差额未被解释，不能擅称减值转回。</t>
  </si>
  <si>
    <t>C_sp_interest</t>
  </si>
  <si>
    <t>带符号利息费用桥</t>
  </si>
  <si>
    <t>sum: sp_interest_incurred × -1, sp_finance_fee × -1, sp_capitalized_interest × 1</t>
  </si>
  <si>
    <t>C_sp_dda</t>
  </si>
  <si>
    <t>折旧摊销及ARO增值桥</t>
  </si>
  <si>
    <t>sum: sp_depreciation × 1, sp_amortization × 1, sp_aro_accretion × 1</t>
  </si>
  <si>
    <t>C_sp_aro</t>
  </si>
  <si>
    <t>ARO滚动</t>
  </si>
  <si>
    <t>sum: sp_aro_open × 1, sp_aro_accretion × 1, sp_aro_settled × -1</t>
  </si>
  <si>
    <t>C_sp_q1_cfo_2026</t>
  </si>
  <si>
    <t>持续经营Q1 CFO 2026</t>
  </si>
  <si>
    <t>difference: sp_q1_cfo_2026 × 1, sp_q1_disc_2026 × 1</t>
  </si>
  <si>
    <t>C_sp_q1_cfo_2025</t>
  </si>
  <si>
    <t>持续经营Q1 CFO 2025</t>
  </si>
  <si>
    <t>difference: sp_q1_cfo_2025 × 1, sp_q1_disc_2025 × 1</t>
  </si>
  <si>
    <t>C_sp_q1_cfo_change</t>
  </si>
  <si>
    <t>持续经营Q1 CFO同比</t>
  </si>
  <si>
    <t>growth: C_sp_q1_cfo_2026 × 1, C_sp_q1_cfo_2025 × 1</t>
  </si>
  <si>
    <t>%</t>
  </si>
  <si>
    <t>C_sp_bill_change</t>
  </si>
  <si>
    <t>Q1站点billings变动</t>
  </si>
  <si>
    <t>sum: sp_billings_organic × 1, sp_billings_dish × 1, sp_billings_sprint × 1</t>
  </si>
  <si>
    <t>C_sp_bill_current</t>
  </si>
  <si>
    <t>Q1站点billings桥后金额</t>
  </si>
  <si>
    <t>sum: C_sp_bill_change × 1, sp_billings_prior × 1</t>
  </si>
  <si>
    <t>C_sp_renew_share</t>
  </si>
  <si>
    <t>2028续约组AT&amp;T暴露占比</t>
  </si>
  <si>
    <t>ratio: sp_renew_att × 1, sp_renew_total × 1</t>
  </si>
  <si>
    <t>C_sp_owned_share</t>
  </si>
  <si>
    <t>自有地块塔数占比</t>
  </si>
  <si>
    <t>ratio: sp_owned_towers × 1, sp_total_towers × 1</t>
  </si>
  <si>
    <t>C_sp_owned_margin_share</t>
  </si>
  <si>
    <t>自有地块末季年化毛现金利润占比</t>
  </si>
  <si>
    <t>ratio: sp_owned_margin × 1, sp_total_margin × 1</t>
  </si>
  <si>
    <t>=(('Facts'!F2*1)+('Facts'!F4*1)+('Facts'!F6*1)+('Facts'!F8*1)+('Facts'!F10*1)+('Facts'!F12*1)+('Facts'!F14*1))*1</t>
  </si>
  <si>
    <t>=(('Facts'!F16*1)+('Facts'!F18*1)+('Facts'!F20*1)+('Facts'!F22*1)+('Facts'!F24*1)+('Facts'!F26*1)+('Facts'!F28*1)+('Facts'!F30*1)+('Facts'!F32*1))*1</t>
  </si>
  <si>
    <t>=(('Facts'!F36*1)+('Facts'!F38*1)+('Facts'!F40*1)+('Facts'!F42*1)+('Facts'!F44*1)+('Facts'!F46*1)+('Facts'!F48*1))*1</t>
  </si>
  <si>
    <t>=(('Facts'!F50*1)+('Facts'!F52*1)+('Facts'!F54*1)+('Facts'!F56*1)+('Facts'!F58*1))*1</t>
  </si>
  <si>
    <t>=(('Facts'!F62*1)+('Facts'!F64*1)+('Facts'!F66*1)+('Facts'!F68*1))*1</t>
  </si>
  <si>
    <t>=(('Facts'!F60*1)+('Facts'!F70*1))*1</t>
  </si>
  <si>
    <t>=(('Facts'!F72*1)+('Facts'!F74*1))*1</t>
  </si>
  <si>
    <t>=(('Facts'!F78*1)+('Facts'!F80*1)+('Facts'!F82*1)+('Facts'!F84*1)+('Facts'!F86*1)+('Facts'!F88*1)+('Facts'!F90*1))*1</t>
  </si>
  <si>
    <t>=(('Facts'!F94*1)+('Facts'!F96*1)+('Facts'!F98*1)+('Facts'!F100*1))*1</t>
  </si>
  <si>
    <t>=(('Facts'!F102*1)+('Facts'!F104*1))*1</t>
  </si>
  <si>
    <t>=(('Facts'!F106*1)+('Facts'!F112*1))*1</t>
  </si>
  <si>
    <t>=(('Facts'!F114*1)+('Facts'!F116*1))*1</t>
  </si>
  <si>
    <t>=(('Facts'!F144*1)+('Facts'!F146*1)+('Facts'!F148*1)+('Facts'!F150*1))*1</t>
  </si>
  <si>
    <t>=(('Facts'!F154*1)+('Facts'!F156*1)+('Facts'!F158*1)+('Facts'!F160*1)+('Facts'!F162*1)+('Facts'!F164*1)+('Facts'!F166*1)+('Facts'!F168*1)+('Facts'!F170*1))*1</t>
  </si>
  <si>
    <t>=(('Facts'!F142*1)+('Facts'!F152*1)+('Facts'!F172*1))*1</t>
  </si>
  <si>
    <t>=(('Facts'!F14*1)+('Facts'!F204*1)+('Facts'!F206*1)+('Facts'!F208*1)+('Facts'!F210*-1))*1</t>
  </si>
  <si>
    <t>=(('Facts'!F48*1)+('Facts'!F222*1)+('Facts'!F224*1)+('Facts'!F226*1))*1</t>
  </si>
  <si>
    <t>=(('Facts'!F190*1)+('Facts'!F192*-1)+('Facts'!F194*-1))*1</t>
  </si>
  <si>
    <t>=(('Facts'!F196*1)+('Facts'!F198*1))*1</t>
  </si>
  <si>
    <t>=(('Facts'!F240*1)+('Facts'!F242*1)+('Facts'!F244*1)+('Facts'!F246*1)+('Facts'!F248*1))*1</t>
  </si>
  <si>
    <t>=(('Facts'!F2*1)+('Facts'!F4*1)+('Facts'!F250*1))*1</t>
  </si>
  <si>
    <t>=(('Facts'!F252*1)+('Facts'!F254*1))*1</t>
  </si>
  <si>
    <t>=(('Facts'!F256*1)+('Facts'!F258*1))*1</t>
  </si>
  <si>
    <t>=(('Facts'!F76*1)+('Facts'!F92*-1))*1</t>
  </si>
  <si>
    <t>=(('Facts'!F108*1)+('Facts'!F110*-1))*1</t>
  </si>
  <si>
    <t>=(('Facts'!F114*1)+('Facts'!F108*-1)+('Facts'!F110*1)+('Facts'!F88*1)+('Facts'!F120*1)+('Facts'!F122*1)+('Facts'!F84*1)+('Facts'!F124*1)+('Facts'!F126*1)+('Facts'!F128*1)+('Facts'!F130*1)+('Facts'!F132*1)+('Facts'!F134*1)+('Facts'!F136*1)+('Facts'!F138*1)+('Facts'!F140*1))*1</t>
  </si>
  <si>
    <t>=(('Facts'!F182*1)+('Facts'!F174*1)+('Facts'!F176*1))*1</t>
  </si>
  <si>
    <t>=(('Facts'!F180*1)+('Facts'!F184*1)+('Facts'!F186*1)+('Facts'!F188*1)+('Facts'!F114*1)+('Facts'!F116*1))*1</t>
  </si>
  <si>
    <t>=(('Facts'!F142*1)+('Facts'!F130*-1))*1</t>
  </si>
  <si>
    <t>=(('Calculations'!D30*1)+('Facts'!F144*1))*1</t>
  </si>
  <si>
    <t>=(('Calculations'!D31*1)+('Facts'!F170*1))*1</t>
  </si>
  <si>
    <t>=(('Facts'!F130*1)+('Facts'!F150*1))*1</t>
  </si>
  <si>
    <t>=(('Facts'!F3*1)+('Facts'!F5*1)+('Facts'!F7*1)+('Facts'!F9*1)+('Facts'!F11*1)+('Facts'!F13*1)+('Facts'!F15*1))*1</t>
  </si>
  <si>
    <t>=(('Facts'!F17*1)+('Facts'!F19*1)+('Facts'!F21*1)+('Facts'!F23*1)+('Facts'!F25*1)+('Facts'!F27*1)+('Facts'!F29*1)+('Facts'!F31*1)+('Facts'!F33*1))*1</t>
  </si>
  <si>
    <t>=(('Facts'!F37*1)+('Facts'!F39*1)+('Facts'!F41*1)+('Facts'!F43*1)+('Facts'!F45*1)+('Facts'!F47*1)+('Facts'!F49*1))*1</t>
  </si>
  <si>
    <t>=(('Facts'!F51*1)+('Facts'!F53*1)+('Facts'!F55*1)+('Facts'!F57*1)+('Facts'!F59*1))*1</t>
  </si>
  <si>
    <t>=(('Facts'!F63*1)+('Facts'!F65*1)+('Facts'!F67*1)+('Facts'!F69*1))*1</t>
  </si>
  <si>
    <t>=(('Facts'!F61*1)+('Facts'!F71*1))*1</t>
  </si>
  <si>
    <t>=(('Facts'!F73*1)+('Facts'!F75*1))*1</t>
  </si>
  <si>
    <t>=(('Facts'!F79*1)+('Facts'!F81*1)+('Facts'!F83*1)+('Facts'!F85*1)+('Facts'!F87*1)+('Facts'!F89*1)+('Facts'!F91*1))*1</t>
  </si>
  <si>
    <t>=(('Facts'!F95*1)+('Facts'!F97*1)+('Facts'!F99*1)+('Facts'!F101*1))*1</t>
  </si>
  <si>
    <t>=(('Facts'!F103*1)+('Facts'!F105*1))*1</t>
  </si>
  <si>
    <t>=(('Facts'!F107*1)+('Facts'!F113*1))*1</t>
  </si>
  <si>
    <t>=(('Facts'!F115*1)+('Facts'!F117*1))*1</t>
  </si>
  <si>
    <t>=(('Facts'!F145*1)+('Facts'!F147*1)+('Facts'!F149*1)+('Facts'!F151*1))*1</t>
  </si>
  <si>
    <t>=(('Facts'!F155*1)+('Facts'!F157*1)+('Facts'!F159*1)+('Facts'!F161*1)+('Facts'!F163*1)+('Facts'!F165*1)+('Facts'!F167*1)+('Facts'!F169*1)+('Facts'!F171*1))*1</t>
  </si>
  <si>
    <t>=(('Facts'!F143*1)+('Facts'!F153*1)+('Facts'!F173*1))*1</t>
  </si>
  <si>
    <t>=(('Facts'!F15*1)+('Facts'!F205*1)+('Facts'!F207*1)+('Facts'!F209*1)+('Facts'!F211*-1))*1</t>
  </si>
  <si>
    <t>=(('Facts'!F49*1)+('Facts'!F223*1)+('Facts'!F225*1)+('Facts'!F227*1))*1</t>
  </si>
  <si>
    <t>=(('Facts'!F191*1)+('Facts'!F193*-1)+('Facts'!F195*-1))*1</t>
  </si>
  <si>
    <t>=(('Facts'!F197*1)+('Facts'!F199*1))*1</t>
  </si>
  <si>
    <t>=(('Facts'!F241*1)+('Facts'!F243*1)+('Facts'!F245*1)+('Facts'!F247*1)+('Facts'!F249*1))*1</t>
  </si>
  <si>
    <t>=(('Facts'!F3*1)+('Facts'!F5*1)+('Facts'!F251*1))*1</t>
  </si>
  <si>
    <t>=(('Facts'!F253*1)+('Facts'!F255*1))*1</t>
  </si>
  <si>
    <t>=(('Facts'!F257*1)+('Facts'!F259*1))*1</t>
  </si>
  <si>
    <t>=(('Facts'!F77*1)+('Facts'!F93*-1))*1</t>
  </si>
  <si>
    <t>=(('Facts'!F109*1)+('Facts'!F111*-1))*1</t>
  </si>
  <si>
    <t>=(('Facts'!F115*1)+('Facts'!F109*-1)+('Facts'!F111*1)+('Facts'!F89*1)+('Facts'!F121*1)+('Facts'!F123*1)+('Facts'!F85*1)+('Facts'!F125*1)+('Facts'!F127*1)+('Facts'!F129*1)+('Facts'!F131*1)+('Facts'!F133*1)+('Facts'!F135*1)+('Facts'!F137*1)+('Facts'!F139*1)+('Facts'!F141*1))*1</t>
  </si>
  <si>
    <t>=(('Facts'!F183*1)+('Facts'!F175*1)+('Facts'!F177*1))*1</t>
  </si>
  <si>
    <t>=(('Facts'!F181*1)+('Facts'!F185*1)+('Facts'!F187*1)+('Facts'!F189*1)+('Facts'!F115*1)+('Facts'!F117*1))*1</t>
  </si>
  <si>
    <t>=(('Facts'!F143*1)+('Facts'!F131*-1))*1</t>
  </si>
  <si>
    <t>=(('Calculations'!D62*1)+('Facts'!F145*1))*1</t>
  </si>
  <si>
    <t>=(('Calculations'!D63*1)+('Facts'!F171*1))*1</t>
  </si>
  <si>
    <t>=(('Facts'!F131*1)+('Facts'!F151*1))*1</t>
  </si>
  <si>
    <t>=(('Facts'!F210*1)+('Facts'!F230*1))*1</t>
  </si>
  <si>
    <t>=(('Facts'!F232*1)+('Facts'!F195*-1))*1</t>
  </si>
  <si>
    <t>=(('Facts'!F77*1)+('Facts'!F191*1))*1</t>
  </si>
  <si>
    <t>=(('Facts'!F103*1)+('Facts'!F197*1))*1</t>
  </si>
  <si>
    <t>=(('Facts'!F105*1)+('Facts'!F199*1))*1</t>
  </si>
  <si>
    <t>=(('Facts'!F212*1)+('Facts'!F210*1)+('Facts'!F228*-1))*1</t>
  </si>
  <si>
    <t>=(('Facts'!F212*1)+('Facts'!F228*-1))*1</t>
  </si>
  <si>
    <t>=(('Facts'!F44*1)+('Facts'!F52*1))*1</t>
  </si>
  <si>
    <t>=(('Facts'!F261*1)+('Facts'!F262*1))*1</t>
  </si>
  <si>
    <t>=(('Facts'!F266*1)+('Facts'!F263*-1))*1</t>
  </si>
  <si>
    <t>=(('Facts'!F287*1)+('Facts'!F286*-1))*1</t>
  </si>
  <si>
    <t>=(('Facts'!F271*1)+('Facts'!F270*-1))*1</t>
  </si>
  <si>
    <t>=(('Facts'!F210*1)+('Facts'!F288*1)+('Facts'!F289*-1))*1</t>
  </si>
  <si>
    <t>=(('Facts'!F290*1)+('Facts'!F291*-1))*1</t>
  </si>
  <si>
    <t>=(('Facts'!F292*1)+('Facts'!F293*1))*1</t>
  </si>
  <si>
    <t>=(('Facts'!F277*1)+('Facts'!F278*1)+('Facts'!F279*1)+('Facts'!F280*1)+('Facts'!F281*1))*1</t>
  </si>
  <si>
    <t>=(('Facts'!F284*1)+('Facts'!F285*1))*1</t>
  </si>
  <si>
    <t>=(('Facts'!F297*1)+('Facts'!F298*-1))*1</t>
  </si>
  <si>
    <t>=(('Facts'!F299*1)+('Facts'!F300*-1))*1</t>
  </si>
  <si>
    <t>=(('Calculations'!D85*1)+('Facts'!F301*-1))*1</t>
  </si>
  <si>
    <t>=(('Facts'!F306*1)+('Facts'!F307*-1))*1</t>
  </si>
  <si>
    <t>=(('Facts'!F114*1)+('Facts'!F115*-1))*1</t>
  </si>
  <si>
    <t>=(('Facts'!F106*1)+('Facts'!F107*-1))*1</t>
  </si>
  <si>
    <t>=(('Facts'!F112*1)+('Facts'!F113*-1))*1</t>
  </si>
  <si>
    <t>=(('Calculations'!D89*1)+('Calculations'!D90*1))*1</t>
  </si>
  <si>
    <t>=(('Facts'!F316*1)+('Facts'!F317*-1)+('Facts'!F318*-1)+('Facts'!F319*-1))*1</t>
  </si>
  <si>
    <t>=(('Facts'!F321*1)+('Facts'!F320*1))*1</t>
  </si>
  <si>
    <t>=(('Facts'!F320*1)+('Facts'!F323*-1)+('Facts'!F324*-1))*1</t>
  </si>
  <si>
    <t>=(('Facts'!F326*1)+('Facts'!F327*1)+('Facts'!F328*1)+('Facts'!F329*-1)+('Facts'!F330*-1))*1</t>
  </si>
  <si>
    <t>=(('Facts'!F325*1)+('Facts'!F331*-1))*1</t>
  </si>
  <si>
    <t>=(('Facts'!F333*1)+('Facts'!F332*1))*1</t>
  </si>
  <si>
    <t>=(('Facts'!F336*1)+('Facts'!F337*1))*1</t>
  </si>
  <si>
    <t>=(('Facts'!F335*1)+('Facts'!F337*1))*1</t>
  </si>
  <si>
    <t>=(('Facts'!F340*1)+('Facts'!F341*-1))*1</t>
  </si>
  <si>
    <t>=(('Facts'!F344*1)+('Facts'!F345*1))*1</t>
  </si>
  <si>
    <t>=(('Facts'!F47*1)+('Facts'!F55*1))*1</t>
  </si>
  <si>
    <t>=(('Facts'!F46*1)+('Facts'!F54*1))*1</t>
  </si>
  <si>
    <t>=(AVERAGE('Calculations'!D102,'Calculations'!D103))*1</t>
  </si>
  <si>
    <t>=(('Facts'!F122-'Facts'!F354))*1</t>
  </si>
  <si>
    <t>=(('Facts'!F355-'Facts'!F84))*1</t>
  </si>
  <si>
    <t>=(('Facts'!F349*-1)+('Facts'!F350*-1)+('Facts'!F351*1))*1</t>
  </si>
  <si>
    <t>=(('Facts'!F358*1)+('Facts'!F359*1)+('Facts'!F356*1))*1</t>
  </si>
  <si>
    <t>=(('Facts'!F361*1)+('Facts'!F356*1)+('Facts'!F357*-1))*1</t>
  </si>
  <si>
    <t>=(('Facts'!F364-'Facts'!F365))*1</t>
  </si>
  <si>
    <t>=(('Facts'!F366-'Facts'!F367))*1</t>
  </si>
  <si>
    <t>=IF(OR('Calculations'!D111&lt;=0,'Calculations'!D110&lt;0),NA(),((('Calculations'!D110-'Calculations'!D111)/'Calculations'!D111))*1)</t>
  </si>
  <si>
    <t>=(('Facts'!F369*1)+('Facts'!F370*1)+('Facts'!F371*1))*1</t>
  </si>
  <si>
    <t>=(('Calculations'!D113*1)+('Facts'!F368*1))*1</t>
  </si>
  <si>
    <t>=IF('Facts'!F373&lt;=0,NA(),(('Facts'!F372/'Facts'!F373))*1)</t>
  </si>
  <si>
    <t>=IF('Facts'!F375&lt;=0,NA(),(('Facts'!F374/'Facts'!F375))*1)</t>
  </si>
  <si>
    <t>=IF('Facts'!F377&lt;=0,NA(),(('Facts'!F376/'Facts'!F377))*1)</t>
  </si>
  <si>
    <t>勾稽</t>
  </si>
  <si>
    <t>实际</t>
  </si>
  <si>
    <t>目标</t>
  </si>
  <si>
    <t>残差 基础单位</t>
  </si>
  <si>
    <t>容差 基础单位</t>
  </si>
  <si>
    <t>容差依据</t>
  </si>
  <si>
    <t>未测试原因</t>
  </si>
  <si>
    <t>金额残差小数位</t>
  </si>
  <si>
    <t>R_ca_2025</t>
  </si>
  <si>
    <t>within_input_tolerance</t>
  </si>
  <si>
    <t>原表百万美元列示精度，检验可直接复算桥；阈值以美元计。</t>
  </si>
  <si>
    <t>R_assets_2025</t>
  </si>
  <si>
    <t>R_cl_2025</t>
  </si>
  <si>
    <t>R_liab_2025</t>
  </si>
  <si>
    <t>R_eqparts_2025</t>
  </si>
  <si>
    <t>R_bs_2025</t>
  </si>
  <si>
    <t>R_rev_2025</t>
  </si>
  <si>
    <t>R_opex_2025</t>
  </si>
  <si>
    <t>R_pbt_2025</t>
  </si>
  <si>
    <t>R_contni_2025</t>
  </si>
  <si>
    <t>R_net_2025</t>
  </si>
  <si>
    <t>R_comp_2025</t>
  </si>
  <si>
    <t>R_cfi_2025</t>
  </si>
  <si>
    <t>R_cff_2025</t>
  </si>
  <si>
    <t>R_cashdelta_2025</t>
  </si>
  <si>
    <t>R_discassets_2025</t>
  </si>
  <si>
    <t>R_discliab_2025</t>
  </si>
  <si>
    <t>R_discpbt_2025</t>
  </si>
  <si>
    <t>R_discpre_2025</t>
  </si>
  <si>
    <t>R_tax_2025</t>
  </si>
  <si>
    <t>R_contcash_2025</t>
  </si>
  <si>
    <t>R_disccash_2025</t>
  </si>
  <si>
    <t>R_cashall_2025</t>
  </si>
  <si>
    <t>R_op_2025</t>
  </si>
  <si>
    <t>R_discni_2025</t>
  </si>
  <si>
    <t>R_cfo_2025</t>
  </si>
  <si>
    <t>2025 CFO 全桥</t>
  </si>
  <si>
    <t>R_cashroll_2025</t>
  </si>
  <si>
    <t>2025 现金滚动</t>
  </si>
  <si>
    <t>R_eqroll_2025</t>
  </si>
  <si>
    <t>2025 权益滚动</t>
  </si>
  <si>
    <t>R_ca_2024</t>
  </si>
  <si>
    <t>R_assets_2024</t>
  </si>
  <si>
    <t>R_cl_2024</t>
  </si>
  <si>
    <t>R_liab_2024</t>
  </si>
  <si>
    <t>R_eqparts_2024</t>
  </si>
  <si>
    <t>R_bs_2024</t>
  </si>
  <si>
    <t>R_rev_2024</t>
  </si>
  <si>
    <t>R_opex_2024</t>
  </si>
  <si>
    <t>R_pbt_2024</t>
  </si>
  <si>
    <t>R_contni_2024</t>
  </si>
  <si>
    <t>R_net_2024</t>
  </si>
  <si>
    <t>R_comp_2024</t>
  </si>
  <si>
    <t>R_cfi_2024</t>
  </si>
  <si>
    <t>R_cff_2024</t>
  </si>
  <si>
    <t>R_cashdelta_2024</t>
  </si>
  <si>
    <t>R_discassets_2024</t>
  </si>
  <si>
    <t>R_discliab_2024</t>
  </si>
  <si>
    <t>R_discpbt_2024</t>
  </si>
  <si>
    <t>R_discpre_2024</t>
  </si>
  <si>
    <t>R_tax_2024</t>
  </si>
  <si>
    <t>R_contcash_2024</t>
  </si>
  <si>
    <t>R_disccash_2024</t>
  </si>
  <si>
    <t>R_cashall_2024</t>
  </si>
  <si>
    <t>R_op_2024</t>
  </si>
  <si>
    <t>R_discni_2024</t>
  </si>
  <si>
    <t>R_cfo_2024</t>
  </si>
  <si>
    <t>2024 CFO 全桥</t>
  </si>
  <si>
    <t>R_cashroll_2024</t>
  </si>
  <si>
    <t>2024 现金滚动</t>
  </si>
  <si>
    <t>R_eqroll_2024</t>
  </si>
  <si>
    <t>2024 权益滚动</t>
  </si>
  <si>
    <t>R_sale2025</t>
  </si>
  <si>
    <t>2025 准备与已发生费用至处置损失</t>
  </si>
  <si>
    <t>R_gw2024</t>
  </si>
  <si>
    <t>合并商誉减值至期末余额</t>
  </si>
  <si>
    <t>R_original_revenue</t>
  </si>
  <si>
    <t>2024 原报与重列收入版本桥</t>
  </si>
  <si>
    <t>unexplained_difference</t>
  </si>
  <si>
    <t>原报及重列皆原件实际读；2 百万美元差异未披露完整重列明细，零阈值保留差异，不作错报结论。</t>
  </si>
  <si>
    <t>R_recast_pbt</t>
  </si>
  <si>
    <t>2024 原报至重列 pbt</t>
  </si>
  <si>
    <t>R_recast_tax</t>
  </si>
  <si>
    <t>2024 原报至重列 tax</t>
  </si>
  <si>
    <t>R_recast_ni</t>
  </si>
  <si>
    <t>2024 原报至重列 ni</t>
  </si>
  <si>
    <t>R_debt2025</t>
  </si>
  <si>
    <t>债务附注至资产负债表</t>
  </si>
  <si>
    <t>R_debtsec2025</t>
  </si>
  <si>
    <t>债务分类桥</t>
  </si>
  <si>
    <t>R_qallow</t>
  </si>
  <si>
    <t>准备跨年滚动</t>
  </si>
  <si>
    <t>R_qpbt</t>
  </si>
  <si>
    <t>R_qdiscpre</t>
  </si>
  <si>
    <t>Q1 终止处置前税后利润</t>
  </si>
  <si>
    <t>R_qcash</t>
  </si>
  <si>
    <t>Q1 现金分层</t>
  </si>
  <si>
    <t>R_qdebt</t>
  </si>
  <si>
    <t>Q1 债务桥</t>
  </si>
  <si>
    <t>R_priorallow_original</t>
  </si>
  <si>
    <t>2025 Q1 原报准备与 SEC 回复</t>
  </si>
  <si>
    <t>R_priorallow_recalled</t>
  </si>
  <si>
    <t>2026 Q1 对上年准备回述与原报桥</t>
  </si>
  <si>
    <t>同日同项跨版本比较；差额 11 百万美元保留，未知是否笔误、口径变化或其他更正。</t>
  </si>
  <si>
    <t>R_nimove</t>
  </si>
  <si>
    <t>利润变化分解</t>
  </si>
  <si>
    <t>R_pf_cashadd</t>
  </si>
  <si>
    <t>仅复算官方公开表所列百万美元精度；零阈值不代表审计门槛，残差单位美元。</t>
  </si>
  <si>
    <t>R_pf_cash</t>
  </si>
  <si>
    <t>R_pf_assetdelta</t>
  </si>
  <si>
    <t>R_pf_liabdelta</t>
  </si>
  <si>
    <t>R_pf_equitydelta</t>
  </si>
  <si>
    <t>R_pf_equity</t>
  </si>
  <si>
    <t>R_pf_interest</t>
  </si>
  <si>
    <t>R_pf_contni</t>
  </si>
  <si>
    <t>R_fibergw</t>
  </si>
  <si>
    <t>Fiber报告单元商誉滚动</t>
  </si>
  <si>
    <t>R_sp_interest</t>
  </si>
  <si>
    <t>S&amp;P输入原报interest勾稽</t>
  </si>
  <si>
    <t>同一百万美元原表可直接复算，未扩大容差。</t>
  </si>
  <si>
    <t>R_sp_dda</t>
  </si>
  <si>
    <t>S&amp;P输入原报dda勾稽</t>
  </si>
  <si>
    <t>R_sp_aro</t>
  </si>
  <si>
    <t>S&amp;P输入原报aro勾稽</t>
  </si>
  <si>
    <t>文件</t>
  </si>
  <si>
    <t>链接</t>
  </si>
  <si>
    <t>公布日期</t>
  </si>
  <si>
    <t>SHA256</t>
  </si>
  <si>
    <t>时间证据与限制</t>
  </si>
  <si>
    <t>S25</t>
  </si>
  <si>
    <t>Crown Castle 2025 Form 10-K</t>
  </si>
  <si>
    <t>https://investor.crowncastle.com/static-files/68fb84e1-1dac-440d-96b4-55b9603e10dd</t>
  </si>
  <si>
    <t>2026-02-23</t>
  </si>
  <si>
    <t>56243c10e5fe5d02b60178eb88aff4ad5f4de6e3220b3060c2b1b3a9f70eb803</t>
  </si>
  <si>
    <t>官方 IR 原件；SEC accession 0001051470-26-000016。重点实际读印刷/物理页 40、45、56–61、65–72、75–81、87–90；数字表 p45/58/59/60/61/72/88 视觉复核。其余只用于检索定位，不称全页审阅。 核对note8/p75–79、note18/p89及Exhibit Index p101–102。</t>
  </si>
  <si>
    <t>S24</t>
  </si>
  <si>
    <t>Crown Castle 2024 Form 10-K（原报）</t>
  </si>
  <si>
    <t>https://investor.crowncastle.com/static-files/baed4489-6578-4e32-81e6-a084eea66a02</t>
  </si>
  <si>
    <t>2025-03-14</t>
  </si>
  <si>
    <t>2c228ec3bcecba25d66882f47bd38f6016b3932981e716b70c88b8fd2223993d</t>
  </si>
  <si>
    <t>官方IR原件；accession 0001051470-25-000089。承接原读p39、48–50、61、89；实际读取note5/p75和note14/p88–89，p75图像核对Fiber/Towers/合并商誉三列。</t>
  </si>
  <si>
    <t>SSEC</t>
  </si>
  <si>
    <t>Crown Castle 2025-06-04 SEC comment-response letter</t>
  </si>
  <si>
    <t>https://www.sec.gov/Archives/edgar/data/1051470/000105147025000154/filename1.htm</t>
  </si>
  <si>
    <t>未核验</t>
  </si>
  <si>
    <t>实际在线阅读完整公司回复；信函日期 2025-06-04、accession 为 2025 年；首次公开日期未独立核准，故 published=null。用于事后理解截至截止日已公开的会计解释，不是当时市场首次获悉日研究。 在线核对comments1–2；ASC360实际引用35-17，税及830/819差额均在comment2。</t>
  </si>
  <si>
    <t>SQ125</t>
  </si>
  <si>
    <t>Crown Castle Q1 2025 Form 10-Q 原报</t>
  </si>
  <si>
    <t>https://www.sec.gov/Archives/edgar/data/1051470/000105147025000141/cci-20250331.htm</t>
  </si>
  <si>
    <t>2025-05-09</t>
  </si>
  <si>
    <t>实际在线读 note 3 待售资产负债及准备；未本地保存全文。日期经公司 IR filing index 核对。</t>
  </si>
  <si>
    <t>SQ126</t>
  </si>
  <si>
    <t>Crown Castle Q1 2026 Form 10-Q</t>
  </si>
  <si>
    <t>https://investor.crowncastle.com/static-files/de60fca2-89d5-499d-899b-8e0a23030617</t>
  </si>
  <si>
    <t>2026-05-07</t>
  </si>
  <si>
    <t>f00ac5617bb5713a00240c46c0bf1915f161b658c26e815bb6a78984219c8f5b</t>
  </si>
  <si>
    <t>accession 0001051470-26-000059；印刷页比物理 PDF 页少 1。实际读四表相关行、note 3/p9、债务 p12、现金 p18、期后 p19–20、流动性 p28；物理 p10/19/20/21 视觉复核。未经审计中期报表。 另读Item6 Exhibit Index印刷p38/PDF p39，用于公开协议版本核查。</t>
  </si>
  <si>
    <t>SSALE</t>
  </si>
  <si>
    <t>Crown Castle announces completion of fiber and small cell sale</t>
  </si>
  <si>
    <t>https://investor.crowncastle.com/node/29086</t>
  </si>
  <si>
    <t>3fa9331057186a54cd18bdc580ed723fe6164a9f7de14980a769bf3918e31fff</t>
  </si>
  <si>
    <t>实际阅读公司 2026-05-01 09:19 EDT 新闻稿；区分已完成交割与预计未来偿债/回购。</t>
  </si>
  <si>
    <t>SCREDIT</t>
  </si>
  <si>
    <t>Crown Castle May 1 2026 Form 8-K and Exhibit 10.1 credit agreement</t>
  </si>
  <si>
    <t>https://investor.crowncastle.com/static-files/dd7712df-51aa-4a29-b6a5-67becf7b2234</t>
  </si>
  <si>
    <t>50bc26bcb8f671d133d1c36756a99d769d3780fcf2fdcdd4c598fc53a22d5d68</t>
  </si>
  <si>
    <t>accession 0001051470-26-000055；已读 8-K 概要、协议 §1.01 EBITDA/债务/现金定义、§1.04、§1.05、§4.02、§6.10；协议印刷页 43/44/93/108 对应 PDF 物理页 53/54/103/118。未声称检查所有附件。 核对8-K Item1.02及新协议Net Income印刷p12–13/PDF p22–23，与旧协议分别比较，不追溯使用新本金/租赁文字。</t>
  </si>
  <si>
    <t>SFASB</t>
  </si>
  <si>
    <t>FASB ASU 2017-04 — Simplifying the Test for Goodwill Impairment</t>
  </si>
  <si>
    <t>https://storage.fasb.org/ASU2017-04.pdf</t>
  </si>
  <si>
    <t>e2ee3d7f5672615190b8e14719576e110e4ad77f40fec4043b03fe387177f648</t>
  </si>
  <si>
    <t>封面 January 2017，未核定日级发表日期。实际读封面权威性说明、摘要、印刷 p8/PDF p14 与印刷 p12/PDF p18，后两页图像复核下划线新增和删除线。ASU 说明 Codification 变更，本身并非权威 Codification；未称已核对所有后续修订。</t>
  </si>
  <si>
    <t>SPROFORMA</t>
  </si>
  <si>
    <t>2026-05-01 出售8-K及Exhibit99.2公开未经审计备考</t>
  </si>
  <si>
    <t>https://investor.crowncastle.com/static-files/f4ff727f-0f13-4f18-affa-1ff461698ccf</t>
  </si>
  <si>
    <t>8027c9c3885a4c41f6b2a30687dedee25f084b96d06d8d8275ea1736f107c6c3</t>
  </si>
  <si>
    <t>官方21页PDF；实际读物理p2–3正文/索引、p5/p10公告及p18–21 Exhibit99.2，特别Note2(A)–(E)。完整下载和提取不等于全文审阅；BS假设2025-12-31、利润表假设2025-01-01完成。</t>
  </si>
  <si>
    <t>SSPA</t>
  </si>
  <si>
    <t>2025-03-13签署出售协议（2025-03-17提交8-K Exhibit2.1）</t>
  </si>
  <si>
    <t>https://investor.crowncastle.com/static-files/3b910737-4f3d-4197-a8b4-893f83855c9f</t>
  </si>
  <si>
    <t>2025-03-17</t>
  </si>
  <si>
    <t>47073f1af131b85356eb749a4ed8703ee22f5593fbd1cb01f06bbf75b6667c69</t>
  </si>
  <si>
    <t>官方169页PDF；SEC对应原件https://www.sec.gov/Archives/edgar/data/1051470/000095014225000762/eh250603725_ex0201.htm亦在线读。实际读§2.2–2.7（协议p35–44/PDF p45–54）、§1.1相关定义PDF p16/20/23/34–37/40和§12.9 PDF p160。附表/部分内容按Reg S-K省略；未把最初协议称作完整最终修订版。</t>
  </si>
  <si>
    <t>SOLDCREDIT</t>
  </si>
  <si>
    <t>2022-07-08 Amendment No.7及附后旧信用协议</t>
  </si>
  <si>
    <t>https://investor.crowncastle.com/static-files/d735da3e-9136-43ce-ad76-3a96bcb686cf</t>
  </si>
  <si>
    <t>2022-07-08</t>
  </si>
  <si>
    <t>8fcc0400dc2335a91feed8c83e4eb821b9750fa8fe86fca14b93918d23766333</t>
  </si>
  <si>
    <t>官方196页PDF，SEC对应https://www.sec.gov/Archives/edgar/data/1051470/000119312522190527/d536644dex101.htm。实际读指定定义PDF p42–43/45–46/56–57/69/73/79–81、§1.04/1.05 PDF p84–85（印刷p55–56）、§6.09/6.10 PDF p158（印刷p129）；SEC在线区分删除线。未全读所有附件。</t>
  </si>
  <si>
    <t>S_SP_Q4</t>
  </si>
  <si>
    <t>Crown Castle Q4 2025 Supplemental Information</t>
  </si>
  <si>
    <t>https://investor.crowncastle.com/static-files/bea23792-6649-4b95-9395-aa837e68396c</t>
  </si>
  <si>
    <t>2026-02-04</t>
  </si>
  <si>
    <t>9f02eedff49239618fc0454339d80c8b8edbfc13f3e0a166e93fad313b86854b</t>
  </si>
  <si>
    <t>官方原件；S&amp;P日期为当前所用重发版，原发日期与阅读范围见对应证据；公司补充资料页码为PDF物理页。</t>
  </si>
  <si>
    <t>S_SP_Q1</t>
  </si>
  <si>
    <t>Crown Castle Q1 2026 Supplemental Information</t>
  </si>
  <si>
    <t>https://investor.crowncastle.com/static-files/38f6a584-60a8-452d-bfd2-a44103aeec82</t>
  </si>
  <si>
    <t>2026-04-22</t>
  </si>
  <si>
    <t>cb5cd5c2bc971628c318e0d4c63014e036364c1044381af9885bfcc808684572</t>
  </si>
  <si>
    <t>S_SP_RATIOS</t>
  </si>
  <si>
    <t>S&amp;P Corporate Methodology: Ratios And Adjustments</t>
  </si>
  <si>
    <t>https://www.maalot.co.il/Publications/MT20251223092257.pdf</t>
  </si>
  <si>
    <t>2025-12-17</t>
  </si>
  <si>
    <t>0e97e341f6cc5f5662c76b021da898c243f10d32a89d13d3b233613d2b7619f3</t>
  </si>
  <si>
    <t>S_SP_SECTORS</t>
  </si>
  <si>
    <t>S&amp;P Sector-Specific Corporate Methodology — Digital Infrastructure</t>
  </si>
  <si>
    <t>https://www.maalot.co.il/Publications/MT20251012123218.pdf</t>
  </si>
  <si>
    <t>2025-09-26</t>
  </si>
  <si>
    <t>31a53f0162f26153a279644fe954a064efdb35dfc549accfe2e4b601e0be5474</t>
  </si>
  <si>
    <t>S_SP_XBRL</t>
  </si>
  <si>
    <t>SEC Companyfacts：Crown Castle 2025原申报事实</t>
  </si>
  <si>
    <t>https://data.sec.gov/api/xbrl/companyfacts/CIK0001051470.json</t>
  </si>
  <si>
    <t>26332892a4dcd974308249d90b2fd21a8a0a454f86190fc157c66b1699b57196</t>
  </si>
  <si>
    <t>API响应取得于2026-10-04；仅选accession 0001051470-26-000016、filed 2026-02-23、2025年度事实，未使用截止日后申报值。published为所选原申报公开日，非API快照取得日。</t>
  </si>
  <si>
    <t>来源</t>
  </si>
  <si>
    <t>定位</t>
  </si>
  <si>
    <t>观察</t>
  </si>
  <si>
    <t>可靠性与限制</t>
  </si>
  <si>
    <t>印刷及 PDF p58，Consolidated Balance Sheet，2025/2024 两列</t>
  </si>
  <si>
    <t>资产、负债及权益四表组成行；比较列已按终止经营重列。</t>
  </si>
  <si>
    <t>官方原件披露；阅读与复算不构成审计保证</t>
  </si>
  <si>
    <t>印刷及 PDF p59，Consolidated Statement of Operations and Comprehensive Income</t>
  </si>
  <si>
    <t>持续、终止、处置损失及合并损益分别列示。</t>
  </si>
  <si>
    <t>印刷及 PDF p60，Consolidated Statement of Cash Flows</t>
  </si>
  <si>
    <t>现金流始于合并净利润，先去除终止经营损益及处置损失，再并入终止经营 CFO；期末现金含受限及终止经营。</t>
  </si>
  <si>
    <t>印刷及 PDF p61，Consolidated Statement of Equity (Deficit)</t>
  </si>
  <si>
    <t>权益年初、股份支付相关净额、库存股/回购、综合收益和宣告分配桥。</t>
  </si>
  <si>
    <t>note 3，印刷及 PDF p71–72，尤其 p72 资产负债、损益及脚注 (b)(c)</t>
  </si>
  <si>
    <t>Fiber Business 出售构成重大策略转变；持有待售后停止折旧摊销；处置损失包括准备与已发生售出费用，REIT 未确认对应税益。</t>
  </si>
  <si>
    <t>p48–50 Critical Accounting Policies；note 5，印刷/PDF p75 goodwill rollforward</t>
  </si>
  <si>
    <t>长期资产用未折现现金流先测试可收回性；Fiber 商誉估值受 small cells 需求、扩张计划、长期现金流及估值假设影响；年末尚未满足持有待售。 p75分部表：Fiber商誉4,958全额减值至0；Towers5,127未变；集团合并10,085减至5,127，剩余全属Towers。</t>
  </si>
  <si>
    <t>MD&amp;A p39，Asset write-down charges</t>
  </si>
  <si>
    <t>当年取消约七千 greenfield nodes 有独立资产核销；不能把未触发 ASC360 资产组减值泛化为没有任何资产核销。</t>
  </si>
  <si>
    <t>ESECSEQ</t>
  </si>
  <si>
    <t>公司回复 Staff comment 1；引用 ASC350-20-35-31 和 ASC360-10-35-17</t>
  </si>
  <si>
    <t>公司明确先测长期资产再测商誉。Fiber segment 同时是最低独立现金流资产组及商誉报告单元；同一预算模型以未折现和折现两个计量基础形成不同结论。CBSA 分析为辅助，非主要测试单元。</t>
  </si>
  <si>
    <t>SEC 托管公司正式回复；非 SEC 接受结论或审计程序执行证据</t>
  </si>
  <si>
    <t>公司回复 comment 2；ASC205-20-45-3A、税项及830损失/819准备/11售出费用</t>
  </si>
  <si>
    <t>公司区分当季处置损失与持有待售准备，差额系已支付或应计售出成本；终止业务税额与处置税额不是同一事项。</t>
  </si>
  <si>
    <t>公司回复；未把其承诺的披露修订等同会计差错更正</t>
  </si>
  <si>
    <t>原报 p61 合并损益；note 14/p88–89 segment results，分部表p89</t>
  </si>
  <si>
    <t>保留原报合并收入及原 Tower/Fiber 分部收入，与次年重列版本独立比较。</t>
  </si>
  <si>
    <t>note 10，印刷及 PDF p80，所得税组成及法定税率金额调节</t>
  </si>
  <si>
    <t>持续经营税项以法定金额、REIT、州及外国税因素调节；REIT 不代表全部业务免税。</t>
  </si>
  <si>
    <t>note 16，印刷及 PDF p88，cash reconciliation table</t>
  </si>
  <si>
    <t>现金按持续/终止及受限/非受限分层；受限现金多为债务服务托管资金。</t>
  </si>
  <si>
    <t>note 8，p75–79 债务表、2018 Tower Revenue Notes、CP Program；MD&amp;A p40/p45</t>
  </si>
  <si>
    <t>账面债务含债务费用折抵；CP 虽呈长期仍属短票，备用承诺与 CP 不能相加；塔票据预期还款日与最终到期日不同。</t>
  </si>
  <si>
    <t>MD&amp;A p45 covenant table 及脚注</t>
  </si>
  <si>
    <t>旧协议报告合规比率；条件式利息保障只在两家指定评级触发时适用；报告比率不能直接由 GAAP 总债/管理层 EBITDA 替代。</t>
  </si>
  <si>
    <t>E25SPE</t>
  </si>
  <si>
    <t>note 8/p77–78，2018 Tower Revenue Notes 及 2009 Securitized Notes</t>
  </si>
  <si>
    <t>SPE 债项、现金流、担保品和非义务主体存在区别；某些 Verizon 相关实体分配可入偿债来源，但其资产不是担保物。</t>
  </si>
  <si>
    <t>E25AUDIT</t>
  </si>
  <si>
    <t>p56–57，PwC auditor report，2026-02-23</t>
  </si>
  <si>
    <t>PwC 对财务报表及内控发表意见；Fiber 处置列为 CAM。审计师所列合同检查/账簿勾稽并非本研究已完成程序。</t>
  </si>
  <si>
    <t>EQ125</t>
  </si>
  <si>
    <t>note 3，2025-03-31 held-for-sale table</t>
  </si>
  <si>
    <t>原报待售准备与 SEC 回复一致；保留为原始比较版本。</t>
  </si>
  <si>
    <t>note 3 印刷 p9/PDF p10，2026/2025 比较损益、准备表、脚注 (c)</t>
  </si>
  <si>
    <t>本期准备可按处置损失减售出费用滚动；脚注回述上年准备金额与上年原报不同，未见此处附解释。</t>
  </si>
  <si>
    <t>印刷 p18/PDF p19 现金调节；note 5/p12 债务；MD&amp;A/p28 流动性</t>
  </si>
  <si>
    <t>三月现金、债务和旧额度是出售前余额，不能减去五月偿还后仍称三月实际数。</t>
  </si>
  <si>
    <t>note 14 印刷 p19/PDF p20，Completion of Strategic Fiber Transaction</t>
  </si>
  <si>
    <t>五月实收为合同总价扣初步价调；交割成本此前已入账；实际已还贷与预计后续还贷分别披露；三月报表未因五月完成而调整。</t>
  </si>
  <si>
    <t>note 14 印刷 p20/PDF p21；MD&amp;A/p28 May 5 balances</t>
  </si>
  <si>
    <t>新额度替代旧协议，净杠杆门槛上调并移除利息保障条款；五月初 CP 尚未全部偿清。</t>
  </si>
  <si>
    <t>ESALE</t>
  </si>
  <si>
    <t>2026-05-01 官方 completion 公告开头、Use of proceeds</t>
  </si>
  <si>
    <t>确认交割已发生；后续还款和回购是管理层计划而非全额已执行。</t>
  </si>
  <si>
    <t>8-K Item 1.01；协议 §1.01、§1.04/p43、§1.05/p44、§4.02/p93、§6.10/p108</t>
  </si>
  <si>
    <t>新额度的法律借款人、承诺、信用证、指标定义及提款条件；总债按本金而非融资费用净额，租赁遵约按约定旧会计定义，出售要求备考调整 EBITDA。 新Net Income同样保留待售尚未处置例外。新§1.04全本金与2015-12-31租赁基础不得追溯旧版；Item1.02确认五月一日旧贷款已全还，不给出等同备考2,002的实际金额。</t>
  </si>
  <si>
    <t>note 18/p89，Subsequent Events—DISH Wireless</t>
  </si>
  <si>
    <t>DISH 违约争议后公司仍认为已有应收可收回；未来合同主张不是现金或无争议已实现资产。</t>
  </si>
  <si>
    <t>EFASB</t>
  </si>
  <si>
    <t>印刷 p12/PDF p18：350-20-35-31/32；印刷 p8/PDF p14：350-20-35-4/8 修订标记</t>
  </si>
  <si>
    <t>同日测试其他资产/资产组先于商誉；取消旧商誉 Step 2 后，报告单元账面超过公允价值的费用受分配商誉上限约束，适用时考虑可税扣商誉税影响。实际查看删除线，未误用被删除段落。</t>
  </si>
  <si>
    <t>FASB 官方准则变更原件；本身不是权威 Codification，结合公司当期政策和 SEC 回复使用</t>
  </si>
  <si>
    <t>EPROBASIS</t>
  </si>
  <si>
    <t>Ex99.2 PDF p18编制基础；p21 Note1</t>
  </si>
  <si>
    <t>BS假设2025-12-31交割；全年损益假设2025-01-01交割，2026-05-01发表。Article11说明性备考非预测或五月实际报表，未纳入其他非直接相关事项。</t>
  </si>
  <si>
    <t>官方公开原件；选定原文阅读与复算，不构成审计保证</t>
  </si>
  <si>
    <t>EPROBS</t>
  </si>
  <si>
    <t>Ex99.2 PDF p19资产负债表；p21 Note2(A)–(D)</t>
  </si>
  <si>
    <t>8,500−124初步价调−127估计交易及留任成本−2,002按2025年末本金假设偿债=6,247剩余现金，历史现金99至备考6,346；资产减少4,478、负债减少4,317，权益变化−161至−1,796。Note2(A)把124称作2025历史报表尚未反映的增量处置损失，仍为备考处理，非最终第二季度实绩。834行原件重复标Deferred site rental receivables，而2025年报p58称site rental contracts and tenant relationships；原标签差异保留，未据此改历史事实。</t>
  </si>
  <si>
    <t>EPROPL</t>
  </si>
  <si>
    <t>Ex99.2 PDF p20损益；p21 Note2(E)</t>
  </si>
  <si>
    <t>2025历史持续经营净利1,103加备考利息减少85至1,188；利息行−972+85=−887，税费16不变。85源自2025实际发生的旧额度及其融资偿债利息测算，非以2,002乘臆测利率，也非契约EBITDA。</t>
  </si>
  <si>
    <t>§2.2–2.3，PDF p45–48；§1.1定义PDF p16/20/23/34–37/40</t>
  </si>
  <si>
    <t>最初签署协议Fiber/Small Cell基价各4,250；按营运资本差、净债务、未付交易费用、分拆费用、CapEx及特定支付调整。相关定义有指定范围和防双计，不能用GAAP总流动项替代。定义/机制已公开，但不能由此拆出124初步调整或2025年末8,500与净资产8,411的89差额。</t>
  </si>
  <si>
    <t>ESPASETTLE</t>
  </si>
  <si>
    <t>§2.4–2.7，PDF p48–54；§12.9 PDF p160</t>
  </si>
  <si>
    <t>估计表、交割后买方初步表、卖方异议/会计师裁决及最终补款/退款机制已公开；Specified Payments等有例外。实际估计/最终表、附件分摊及可能未公开修订未取得，不能用期限经过推定结算完成。</t>
  </si>
  <si>
    <t>ESALEVERSION</t>
  </si>
  <si>
    <t>8-K PDF p2 Item2.01、p3 Exhibit Index；Ex99.1 p10 Fiber Business定义</t>
  </si>
  <si>
    <t>公司确认五月完成和约8.4bn实收；初步价格调整仍待交割后结算。正文未列可识别修订日期/条款；仅概括修订措辞不能证明某项已改或从未改。</t>
  </si>
  <si>
    <t>EQ126INDEX</t>
  </si>
  <si>
    <t>Item6 Exhibit Index，印刷p38/PDF p39</t>
  </si>
  <si>
    <t>Ex2.1仍指向2025-03-17出售协议；Ex10.3指向2026-05-01新信贷协议。未找到单独出售修订文本，无法证明初始机制所有细节均沿用至交割。</t>
  </si>
  <si>
    <t>EOLDCREDIT</t>
  </si>
  <si>
    <t>§1.01定义：印刷p13–17/27–28/40/44/50–52；§1.04/1.05 p55–56；§6.09/6.10 p129</t>
  </si>
  <si>
    <t>旧Net Income保留待售尚未处置组成部分；EBITDA按Borrower/Restricted Subsidiaries及列明调整。债务、Unrestricted Cash和Restricted定义及历史租赁冻结已读；旧§1.04并无2026新增全本金文字。§1.05含重大出售/偿债备考；旧常规净杠杆6.50、担保3.50及评级触发保障2.50，符合收购条件可有限期7.00。金额调整与合规证书尚缺。</t>
  </si>
  <si>
    <t>EOLDVERSION</t>
  </si>
  <si>
    <t>Exhibit Index p101–102，Ex10.49–10.55，尤其2022 Amendment7</t>
  </si>
  <si>
    <t>截至2025年报官方索引最后列明旧信贷2022-07-08 Amendment7；结合2026Q1索引和新信贷8-K终止披露、截止前官方定向搜索，所读范围未发现后续改变选定旧定义/门槛的提交文本。不能推定不存在未公开豁免。</t>
  </si>
  <si>
    <t>E_SP_RATIOS</t>
  </si>
  <si>
    <t>原发2019-04-01，2025-12-17重发，PDF7 ¶31–35；17–25 ¶86–137；44–45 ¶223–225</t>
  </si>
  <si>
    <t>例行调整资料不完整时允许有依据的最佳估计；经营租赁同步调整债、EBITDA、利息和现金流；资本化现金利息重分类不改变FOCF；内部使用软件通常不反转。现金抵债不普遍扣最低运营预算，特殊受限现金按实际目的判断。</t>
  </si>
  <si>
    <t>官方原件；按所列范围取证，估计及方法适用判断另标，不构成审计保证。</t>
  </si>
  <si>
    <t>note1/PDF及印刷p62；p60、p87–88</t>
  </si>
  <si>
    <t>附注除特别说明外采用持续经营范围。合并CFO含终止经营，需剥离；补充现金付息、现金税和租赁支付按该附注范围解释。现金总计308不能全部作为可抵债现金。</t>
  </si>
  <si>
    <t>PDF/印刷p58、p64、p75、p85、p87；note14</t>
  </si>
  <si>
    <t>经营租赁成本599对应ROU，另有可变147，经营租赁实际付现519；期末经营租赁负债5229，贴现率5.2%。融资租赁折旧185已含690，融资租赁负债5已含金融债务；不能重复加回。</t>
  </si>
  <si>
    <t>PDF/印刷p68利息表；p87补充现金流</t>
  </si>
  <si>
    <t>应计利息956、融资费摊销31、资本化15，净列费用972。现金付息965、现金税15，不能把所得税费用16或全部非现金利息当现金。资本化现金实付未单列，另作分析估计。</t>
  </si>
  <si>
    <t>PDF/印刷p59、p65、p83–84</t>
  </si>
  <si>
    <t>持续经营股份支付73，其中每RSU对应一股普通股的费用61。PP&amp;E放弃和核销12、损益净减记行11，差1未解释；不得将权益变动157代替费用73。</t>
  </si>
  <si>
    <t>PDF/印刷p65、p73–74；p80–82税务</t>
  </si>
  <si>
    <t>ARO301加增值25减结算4至322；折旧488、摊销177及ARO增值25合为690。未识别逐项税益/专款抵减，REIT身份不证明所有税益为零，也不能机械用21%。</t>
  </si>
  <si>
    <t>facts/us-gaap/InterestPaidNet、InterestCostsCapitalized、AllocatedShareBasedCompensationExpense、ShareBasedCompensation；指定原申报accession</t>
  </si>
  <si>
    <t>InterestPaidNet的2025值965百万美元，标签定义明确排除资本化利息且列经营活动。资本化利息15为发生额而非独立现金金额；73同时标为股份支付费用及非现金股份支付费用。</t>
  </si>
  <si>
    <t>PDF6/印刷p5，2026Q1/2025Q1现金流表；PDF19–20/印刷p18–19，note13重组事项</t>
  </si>
  <si>
    <t>合并CFO509/641，终止经营CFO213/270；比较期间均按同一持续经营范围剥离。2026重组计划费用14、已付12、未付2；2023/2024计划本季另付4、未付12。不能因公司非GAAP加回就从方法经营费用全部剔除。</t>
  </si>
  <si>
    <t>PDF10/印刷p9：2026Q1列，Components of changes in site rental revenues</t>
  </si>
  <si>
    <t>上年同期billings964；剔DISH及Sprint后的本期增量30，DISH终止影响−49、Sprint不续约−5，合为−24。该非GAAP经营桥不是现金回款或IFRS/CAS收入。</t>
  </si>
  <si>
    <t>PDF13/印刷p12；TENANT OVERVIEW及脚注(a)–(f)</t>
  </si>
  <si>
    <t>客户合同平均剩余6年，AT&amp;T3年；2028续约组年度化现金租金861，其中AT&amp;T775。该表假设续约/延期，排除DISH，不是2028确定损失或当年现金到期额。</t>
  </si>
  <si>
    <t>PDF14/印刷p13：GROUND INTEREST OVERVIEW及脚注(e)–(i)</t>
  </si>
  <si>
    <t>自有土地塔12045/39804，自有地块贡献末季年化站点租金毛现金利润1280/2999。租地加权剩余35年含续约选择权，与账内租赁15年、客户当前6年不可等同。</t>
  </si>
  <si>
    <t>E_SP_SECTORS</t>
  </si>
  <si>
    <t>2025-07-07原发、2025-09-26重发；PDF61–78数字基础设施章，尤其68–71及77</t>
  </si>
  <si>
    <t>塔资产提供方与移动运营商付塔费不同。波动档要求业务风险、竞争地位及可预测CFO等共同条件，90%/2/3不是租赁收入比例。土地控制、客户质量和网络必要性可以缓释，但不能替代续约及违约压力。</t>
  </si>
  <si>
    <t>问题</t>
  </si>
  <si>
    <t>结论</t>
  </si>
  <si>
    <t>机制</t>
  </si>
  <si>
    <t>依据</t>
  </si>
  <si>
    <t>反证</t>
  </si>
  <si>
    <t>其他解释</t>
  </si>
  <si>
    <t>改变结论条件</t>
  </si>
  <si>
    <t>F01</t>
  </si>
  <si>
    <t>US GAAP 顺序、计量基础与测试单元是否被混为一谈？</t>
  </si>
  <si>
    <t>公司先测长期资产未折现可收回性，再测商誉。Fiber商誉4,958.00 百万USD全额减至0.00 百万USD；合并商誉由10,085.00 百万USD减至5,127.00 百万USD，剩余5,127.00 百万USD全部属于Towers。长期资产通过与Fiber商誉全额减值可同时成立。</t>
  </si>
  <si>
    <t>资产组及报告单元均为 Fiber segment；未折现现金流门槛与报告单元公允价值测试不是同一计量。取消节点另有 106.00 百万USD 核销，故‘未触发资产组减值’不能表述为无核销。估值数值重做仍缺预测、资产组账面调整、折现/退出假设与敏感性。</t>
  </si>
  <si>
    <t>supported</t>
  </si>
  <si>
    <t>ESECSEQ, E24IMPAIR, E24WRITE, EFASB, C_gw2024, C_fibergw</t>
  </si>
  <si>
    <t>missing_discount, missing_recoverability</t>
  </si>
  <si>
    <t>估值顺序披露一致，并不证明管理层预测可实现；未折现余量大小尚不明。</t>
  </si>
  <si>
    <t>取得模型后若测试单元、顺序、现金流或计量调整不符，应重做减值及税/权益影响，不能只改商誉一个数字。</t>
  </si>
  <si>
    <t>F02</t>
  </si>
  <si>
    <t>出售分类与损失是否按时点区分？</t>
  </si>
  <si>
    <t>原年末仍未达到持有待售；次年签约后列终止经营并重列比较列。2025 处置损失 1,575.00 百万USD = 准备 1,507.00 百万USD + 已发生售出成本 68.00 百万USD，处置税益 0.00 百万USD。</t>
  </si>
  <si>
    <t>已发生费用不同于支付现金；持有待售后停止折旧摊销，使终止业务跨年营业表现不可直接解读为经营改善。净资产准备前 9,918.00 百万USD、准备后 8,411.00 百万USD 均可复算，但总价与净资产差额缺估计售出成本/价调逐项表，不能臆认其性质。
已取得最初签署协议§2.2–2.7价格调整及结算机制（两业务基价合计8,500.00 百万USD），也取得2026五月发表的公开备考；它们未解释2025年末上述89差额，不以五月初步124或备考127倒填年末计量。</t>
  </si>
  <si>
    <t>E25HFS, E24IMPAIR, ESECSALE, C_sale2025, C_preallow_netassets, C_postallow_netassets, ESPAPRICE, ESPASETTLE, EPROBS, EQ126INDEX</t>
  </si>
  <si>
    <t>总价和净资产的剩余差可能涉及预计售出成本或交易调整；未取得明细前不定性。</t>
  </si>
  <si>
    <t>取得分类日内部备忘录、未公开附表及估计净售价逐项测算，核对公开签署版本后实际适用的修订；解释2025年末89差额后再更新计量判断。</t>
  </si>
  <si>
    <t>F03</t>
  </si>
  <si>
    <t>扭亏是否代表持续经营现金创造改善？</t>
  </si>
  <si>
    <t>合并净利润从 -3,903.00 百万USD 至 444.00 百万USD，变化 4,347.00 百万USD；持续净利润却变化 -59.00 百万USD，终止净损益变化 4,406.00 百万USD。权益由 -133.00 百万USD 经本期损益、股份及分配滚动至 -1,635.00 百万USD。</t>
  </si>
  <si>
    <t>商誉减值、处置减值和停折旧影响利润，现金流表另作去除及调整。权益亏绌由累计结果和分配共同形成；不能从负权益直接宣布无偿债能力，也不能用非现金损失解释掉实际股利与资本支出。</t>
  </si>
  <si>
    <t>C_nimove, C_contnimove, C_discnimove, C_eqroll_2025, C_eqroll_2024, E25CF</t>
  </si>
  <si>
    <t>持续净利润仍受融资成本及非现金会计项目影响；需正常化业务现金与未来债务服务才形成信用判断。</t>
  </si>
  <si>
    <t>若分配合法性、可持续 CFO 或售后业务现金预测恶化，主体流动性判断可能转弱。</t>
  </si>
  <si>
    <t>F04</t>
  </si>
  <si>
    <t>合并净利、综合收益、权益、现金及资产负债表是否串接？</t>
  </si>
  <si>
    <t>2025 合并 CFO 3,057.00 百万USD、CFI -1,158.00 百万USD、CFF -1,886.00 百万USD 合计 13.00 百万USD，年初现金 295.00 百万USD 至年末 308.00 百万USD。税调节复算持续税费 -16.00 百万USD，REIT 不等于所有主体免税。</t>
  </si>
  <si>
    <t>四表主要加总、净利润接现金流、净利润/OCI接权益、资产=负债+权益均已复算。股份支付权益净额与持续经营股份支付现金流调整属于不同口径；上年宣告分配和实付差额不能擅自认作应付股利增减。</t>
  </si>
  <si>
    <t>E25BS, E25PL, E25CF, E25EQ, E25TAX, C_cfo_2025, C_tax_2025, C_bs_2025</t>
  </si>
  <si>
    <t>算术通过只证明所列公开数字一致，不能验证交易发生、计价或完整性。</t>
  </si>
  <si>
    <t>取得相反的正式更正或企业底稿后重新评估。</t>
  </si>
  <si>
    <t>F05</t>
  </si>
  <si>
    <t>哪些金额可纳入现金、额度和债务资源？</t>
  </si>
  <si>
    <t>年末全部现金 308.00 百万USD 含持续受限及终止现金；持续非受限现金仅 99.00 百万USD。持续 CFO 减资本支出 1,690.00 百万USD，再与集团分配比较为 -390.00 百万USD；旧额度扣 CP 备用占用观察 4,084.00 百万USD。</t>
  </si>
  <si>
    <t>把合并受限/终止现金、旧额度及 CP 发行能力全部相加会重复或夸大资源。持续业务覆盖缺口只是一项压力观察，非母公司现金缺口精确证明；还需要费用、租约、资本承诺、到期时间及上划限制。</t>
  </si>
  <si>
    <t>E25CASH, E25DEBT, C_cashall_2025, C_contcfo_2025, C_cashdiv_2025, C_oldnetavailability</t>
  </si>
  <si>
    <t>C_disccashflow_2025, missing_parent_cash</t>
  </si>
  <si>
    <t>资产出售确已提供期后资金，但不得倒填为年末已持有现金。</t>
  </si>
  <si>
    <t>取得法律实体银行确认、受限明细、现金转移限制及滚动资金计划后，才可形成母公司可用流动性和覆盖倍数。</t>
  </si>
  <si>
    <t>F06</t>
  </si>
  <si>
    <t>主体风险能否直接转成每一债项评级？</t>
  </si>
  <si>
    <t>持续经营债务 24,337.00 百万USD 与流动/长期及担保/无担保分类勾稽。塔票据账面 748.00 百万USD 与本金 750.00 百万USD 不同；担保 PPE 账面 610.00 百万USD 不能当作回收价值。</t>
  </si>
  <si>
    <t>CP 实际短期限与长期报表分类须分开；塔票据预期还款日后的现金清扫/加息条款早于最终到期日。SPE 债务偿还来源、担保物与可贡献分配的非义务主体并非一组。主体能力→法律义务人→担保/优先顺位→现金隔离与契约→回收及债项调整，链条仍缺法律/估值证据，故不输出债项字母。 已取得新旧主信贷原文；旧Total Indebtedness/§1.04与新强制全额本金文字不同，不能追溯套用。票据/SPE原始契约全量核查尚未完成，后续应先取官方公开原件，仅把无法公开取得的补充条款/证书/估值列为内部请求。</t>
  </si>
  <si>
    <t>conditional</t>
  </si>
  <si>
    <t>E25DEBT, E25SPE, C_debt2025, C_debtsec2025, EOLDCREDIT, ECREDIT</t>
  </si>
  <si>
    <t>即使发行人经营风险相同，母公司无担保票据与隔离塔资产票据仍可能面临不同损失路径。</t>
  </si>
  <si>
    <t>按具体票据先补读已公开契约，再取得未公开补充担保/隔离结构、DSCR/现金陷阱证书与回收估值；不把公开可取得协议泛称内部缺口。</t>
  </si>
  <si>
    <t>F07</t>
  </si>
  <si>
    <t>报告比率、限制和可借美元金额的界线在哪里？</t>
  </si>
  <si>
    <t>旧协议净杠杆 5.90 倍 对限额 6.50 倍，比率余量 0.60 倍；高级担保杠杆 0.20 倍 对 3.50 倍。</t>
  </si>
  <si>
    <t>旧§1.01/1.04/1.05/6.09/6.10及EBITDA、净利、债务和现金定义已实际补读。净利定义保留待售但尚未处置组成部分，因此GAAP终止经营并不证明交割前Fiber已经剔除。历史租赁冻结、指定评级触发的保障要求、重大出售及偿债备考均有原文；缺的是定义调整的逐项数值和已签合规证书，0.6倍不能直接变成借款美元。</t>
  </si>
  <si>
    <t>E25COV, C_headroom2025, EOLDCREDIT, EOLDVERSION, EQ126INDEX</t>
  </si>
  <si>
    <t>本案只复核公开报告及原条款，不独立确认公司所有遵约指标。</t>
  </si>
  <si>
    <t>取得签署合规证书、定义逐项调整及同日债务/现金明细后重算。</t>
  </si>
  <si>
    <t>F08</t>
  </si>
  <si>
    <t>截至六月可知的实际事项与计划如何区分？</t>
  </si>
  <si>
    <t>五月实际交割：合同总价 8,500.00 百万USD 减初步价调 124.00 百万USD，复算价款 8,376.00 百万USD；另付约 74.00 百万USD 先前已计提费用。实际还债约 3,300.00 百万USD；随后 CP 1,800.00 百万USD、其他还债 2,100.00 百万USD、回购 1,000.00 百万USD 为计划。
另有公开备考：8,500.00 百万USD−124.00 百万USD−127.00 百万USD−2,002.00 百万USD=6,247.00 百万USD，连历史现金99.00 百万USD至6,346.00 百万USD；这是假设2025年末已出售的表，不是五月实际期末现金。</t>
  </si>
  <si>
    <t>三月待售准备 1,836.00 百万USD = 年末 1,507.00 百万USD + 当季损失 345.00 百万USD − 当季费用 16.00 百万USD。五月完成未调整三月报表；交割现金与确认费用时间不同。七月公布的第二季度实绩不在截止信息集中，最终处置损益仍为待核。
2026-05-01发表的备考以2025-12-31为BS假设日、2025-01-01为损益假设日：权益-1,635.00 百万USD经综合调整-161.00 百万USD至-1,796.00 百万USD，持续经营利润1,103.00 百万USD+85.00 百万USD=1,188.00 百万USD。−161不是单独处置损失；2,002为年末本金假设偿债，127为估计交易及留任成本，均不得替代五月实际3,300还款或约74已计提成本支付。</t>
  </si>
  <si>
    <t>EQ126SALE, ESALE, C_saleproceeds, C_salecashcost, C_qallow, EPROBASIS, EPROBS, EPROPL, ESALEVERSION, ESPASETTLE, C_pf_cashadd, C_pf_equity, C_pf_contni</t>
  </si>
  <si>
    <t>maycp, missing_final_sale</t>
  </si>
  <si>
    <t>五月初仍有 CP 余额佐证后续偿债计划未在交割当日全部实现。</t>
  </si>
  <si>
    <t>取得截止前已公开的还款确认或最终结算原件可补充事实；后于截止的披露只能作为另一期验证。</t>
  </si>
  <si>
    <t>F09</t>
  </si>
  <si>
    <t>出售后资源改善能否直接得出杠杆/评级改善？</t>
  </si>
  <si>
    <t>五月新循环承诺 4,500.00 百万USD 替代旧协议；扣生效时信用证 39.40 百万USD 后名义余额 4,460.60 百万USD，并非自由现金。总净杠杆限额改为 7.00 倍，旧利息保障条款移除。</t>
  </si>
  <si>
    <t>新协议按全额本金定义债务、约定历史租赁会计基础，并要求出售备考调整；既要减还债，也要剔除出售业务 EBITDA。提款仍需真实性陈述、无违约和申请。额度价格挂钩外部高级无担保评级，未替代本研究的独立主体/债项论证。 两版Net Income均保留尚未处置的待售组成部分例外；新协议生效后须按实际处置和偿债重建备考。公开Article11利润1,188及85节息不是契约EBITDA或独立遵约结果。有限公开版本检查未发现后续旧信贷定义修订，五月一日明确由新协议替代。</t>
  </si>
  <si>
    <t>ECREDIT, EQ126FAC, C_newnetLC, EOLDCREDIT, EOLDVERSION, EQ126INDEX, EPROPL</t>
  </si>
  <si>
    <t>放宽契约可能增加财务灵活性，但不自动代表经济杠杆较低或评级改善。</t>
  </si>
  <si>
    <t>以新协议定义取得持续业务备考 EBITDA、限制性付款及担保债务明细、CP 同日余额，再重算提款余量和偿债覆盖。</t>
  </si>
  <si>
    <t>F10</t>
  </si>
  <si>
    <t>比较期间是否真的同口径？</t>
  </si>
  <si>
    <t>2024 原报合并收入 6,568.00 百万USD，次年重列持续加终止为 6,570.00 百万USD；税前损益、税项及净利润仍精确勾稽。上年一季准备原报 819.00 百万USD，后年脚注回述 830.00 百万USD，但 SEC 桥支持前者。</t>
  </si>
  <si>
    <t>原 Tower segment 不应无解释地当作重列持续业务；收入差异可能源于范围/抵销重分类。上年准备回述也可能是标签或文字错误，但没有原件证明前不选定原因。两项在计算结果中保留未解释差异。</t>
  </si>
  <si>
    <t>unresolved</t>
  </si>
  <si>
    <t>E24ORIG, E25PL, E25HFS, EQ125, ESECSALE, EQ126HFS, C_recastrev2024, C_priorallow</t>
  </si>
  <si>
    <t>收入范围与抵销重分类
比较脚注笔误或未解释口径变化</t>
  </si>
  <si>
    <t>取得正式更正或管理层原报→重列逐项桥及上年准备滚动表后，才消除差异。</t>
  </si>
  <si>
    <t>F11</t>
  </si>
  <si>
    <t>已有应收是否可以无条件当作未来现金？</t>
  </si>
  <si>
    <t>年末 DISH 应收净敞口公司约报 165.00 百万USD；公司未因期后违约争议计提相关准备，并暂停后续相关收入确认。</t>
  </si>
  <si>
    <t>管理层认为可收回是一项判断；争议中的未来合同请求不是已到手现金。已签租约、直线确认的应收与现金收取节奏不同，是现金质量及预测的风险入口。</t>
  </si>
  <si>
    <t>最终法律回收、和解及抵销金额可能不同于公司当前主张。</t>
  </si>
  <si>
    <t>取得法律意见、债务人能力与期后收款/和解证据，再重估应收损失、收入预测与信用压力。</t>
  </si>
  <si>
    <t>F12</t>
  </si>
  <si>
    <t>本 workpaper 证据能证明什么？</t>
  </si>
  <si>
    <t>已完成官方原件取得、选定页阅读/视觉复核和四表复算；未声称执行银行函证、内部控制测试、合同全量测试或估值重建。</t>
  </si>
  <si>
    <t>PwC 已将 Fiber 出售作为关键审计事项并列明其工作；本研究可引用其报告存在，不能将审计师工作复制成自己已执行程序。来源可证实公司披露，内部测算与最终评级决定链仍需实证补足。</t>
  </si>
  <si>
    <t>E25AUDIT, E25BS, E25HFS</t>
  </si>
  <si>
    <t>算术一致与披露齐备仍不能替代存在性、计价和完整性审计证据。</t>
  </si>
  <si>
    <t>F13</t>
  </si>
  <si>
    <t>ROU成本、实际支付和方法代理是否被混用？</t>
  </si>
  <si>
    <t>期末经营租赁负债5,229.00 百万USD，真实期初期末均值5,277.50 百万USD。按披露贴现率计算利息代理274.43 百万USD及CFO加回代理324.57 百万USD；实际经营租赁付现519.00 百万USD另列。该分类不增加可支用现金。</t>
  </si>
  <si>
    <t>ROU成本599.00 百万USD与可变费用147.00 百万USD分开；可变费用没有进入对应租赁负债，继续留经营成本。融资租赁折旧已在DDA内、融资租赁负债已在金融债内；预付租赁PPA和直线租赁成本不能再叠加到ROU成本。Crown为塔资产提供方，不直接套移动运营商MSA付塔费分支。</t>
  </si>
  <si>
    <t>E_SP_RATIOS, E_SP_SCOPE, E_SP_LEASE, sp_lease_interest, sp_lease_principal_proxy</t>
  </si>
  <si>
    <t>期末披露贴现率是方法要求的年度利息代理；实际租赁现金仍可能因预付、确认节奏和新增合同不同于该代理。</t>
  </si>
  <si>
    <t>未来续租、可变租金、地块迁移或合同范围改变时重做债务与现金路径；不把租赁CFO加回当新增偿债来源。</t>
  </si>
  <si>
    <t>F14</t>
  </si>
  <si>
    <t>哪些金额已证实，哪些只需有限敏感性？</t>
  </si>
  <si>
    <t>SEC原申报确认现金付息965.00 百万USD排除资本化利息。以资本化现金付息15.00 百万USD估计，EBITDA为3,448.00 百万USD、FFO为2,178.57 百万USD、CFO为2,181.57 百万USD、FOCF为2,014.57 百万USD。这些为方法分析估计，不是机构已发表指标；FOCF尚非支付全部租赁本金后的自由现金。</t>
  </si>
  <si>
    <t>现金税采用15.00 百万USD而非费用16；ARO非现金增值只接应计利息，不再当现金。股份支付73.00 百万USD中RSU61.00 百万USD已直接证实，差额12.00 百万USD另作敏感性：只加回RSU时EBITDA3,436.00 百万USD、FFO2,166.57 百万USD。净减记行与PP&amp;E核销差1.00 百万USD未解释，采用总额敏感性EBITDA3,449.00 百万USD。现有业务没有外售软件触发，适用内部使用软件不反转分支；不把未披露IT投入全额费用化。资本化现金估计每增加一单位，FFO/CFO各下降一单位，capex也下降一单位，FOCF不变。</t>
  </si>
  <si>
    <t>E_SP_RATIOS, E_SP_CASH, E_SP_SBC, E_SP_ARO, E_SP_XBRL, sp_ebitda, sp_ffo, sp_focf</t>
  </si>
  <si>
    <t>C_sp_sbc_residual, C_sp_writeoff_difference</t>
  </si>
  <si>
    <t>非RSU差额可能仍符合权益结算条件，不能把仅加回RSU的敏感性当已证实主值；净减记与PP&amp;E总额差异也不能未经证据命名为转回。</t>
  </si>
  <si>
    <t>取得资本化现金结算、股份支付差额分类或减记差额后更新相关项及聚合影响；接近财务分档临界值时提高精确取证程度，不暂停已可完成的分析。</t>
  </si>
  <si>
    <t>F15</t>
  </si>
  <si>
    <t>2025方法债务能否直接扣除2026出售总价？</t>
  </si>
  <si>
    <t>将经营租赁及尚未抵减ARO接入后，2025债务估计29,888.00 百万USD。仅在普通现金符合可动用条件时净债为29,789.00 百万USD，对应历史债务/EBITDA8.64 倍、FFO/债务7.31%。这是2025保留业务与债务的历史压力，不是出售后杠杆或评级等级。</t>
  </si>
  <si>
    <t>ARO滚动可勾稽，但具体税益、专用基金及残值需继续核；不能对REIT机械套21%或认定税益必为零。受限现金须按用途判断，不能全扣或永久全排除；最低运营现金需求属于实际预算，不能擅加为S&amp;P抵债的普遍条件。2025备考按2,002.00 百万USD偿债、利息改善85.00 百万USD；五月实际已偿约3,300.00 百万USD，后续偿债与回购仍为计划。出售现金释放与保留租赁义务、资本分配需同时接入预测，不能以出售总价直接冲历史债务。</t>
  </si>
  <si>
    <t>E_SP_RATIOS, E_SP_ARO, E25CASH, EPROBASIS, EPROBS, EPROPL, EQ126SALE, sp_net_debt, sp_leverage</t>
  </si>
  <si>
    <t>已完成出售和偿债降低融资负担，但租赁义务仍保留，回购与资本投入会消耗释放现金；历史杠杆不能单独说明售后状态。</t>
  </si>
  <si>
    <t>取得截至六月的售后实际债务、可支用现金和完成回购记录后更新债务/现金桥，再用经营及续约预测判断财务档和流动性。</t>
  </si>
  <si>
    <t>F16</t>
  </si>
  <si>
    <t>持续租赁业务的可预测性是否经得起实际变化？</t>
  </si>
  <si>
    <t>同口径持续经营Q1 CFO由371.00 百万USD降至296.00 百万USD，同比-20.22%。剔DISH/Sprint后的billings增量30.00 百万USD，被DISH-49.00 百万USD及Sprint-5.00 百万USD抵销，净变动-24.00 百万USD。现金降幅不能全归因DISH；需继续分解营运资本、支付节奏和重组。</t>
  </si>
  <si>
    <t>公司Q1的2026重组计划费用14.00 百万USD、支付12.00 百万USD和余额2.00 百万USD；2023/2024计划另有本期支付4.00 百万USD、余额12.00 百万USD。经营性重组不能跟随公司非GAAP任意全部加回。DISH索赔不是现金，管理层应收可回收判断也不是确定回款。当前实际证据支持压力已经发生，同时说明剔除两个事件的业务仍有增长，不能只给单方向故事。</t>
  </si>
  <si>
    <t>E_SP_Q1CFO, E_SP_Q1BILL, EDISH, C_sp_q1_cfo_change, C_sp_bill_change</t>
  </si>
  <si>
    <t>应付结算、计息支付及重组付款可令季度CFO变化大于经常盈利变化；DISH实际损失不排除其他客户仍有新增租赁及合同提价。</t>
  </si>
  <si>
    <t>取得Q1现金变化逐项归因、DISH实收及后续续约后更新现金预测；对持续增长和特定客户损失分别建情景。</t>
  </si>
  <si>
    <t>F17</t>
  </si>
  <si>
    <t>经营优势能否支持较低现金流波动档？</t>
  </si>
  <si>
    <t>自有土地覆盖30.26%的塔，贡献42.68%的末季年化毛现金利润。2028续约组年度化租金暴露中AT&amp;T占90.01%，该暴露不代表当年确定损失。长期租赁及续约经济性支持将medial列为待验证候选；若相应条件不满足则检验standard，不能预授low或直接输出等级。</t>
  </si>
  <si>
    <t>租地35年含公司续约权、账内租赁15年、客户当前合同6年/AT&amp;T3年各有不同定义。土地控制和核心市场规模是正面证据，客户集中及DISH违约为反证。S&amp;P数字基础设施章低/中波动要求业务风险、竞争地位及至少90%/2/3可预测CFO等共同条件；收入占比不能替代CFO归属，客户短剩余期也不单独否定支持性框架路径。本案尚未独立完成CICRA、竞争地位、预测CFO及支持债项形成链，保留明确分支，不将保守标签视作已证实分类。</t>
  </si>
  <si>
    <t>E_SP_LAND, E_SP_RENEW, E_SP_SECTORS, E_SP_Q1BILL, C_sp_renew_share</t>
  </si>
  <si>
    <t>网络迁移成本、核心站点及可执行土地续约权可能缓释集中风险；DISH违约和AT&amp;T续约集中则要求验证客户质量和费率假设，不能由平均合同期直接定档。</t>
  </si>
  <si>
    <t>把实际土地续约权、客户续约费率/迁移经济性和违约压力接入预测，核准竞争地位及现金归属，再确定波动档和后续评级路径。</t>
  </si>
  <si>
    <t>事项</t>
  </si>
  <si>
    <t>目的与认定</t>
  </si>
  <si>
    <t>总体</t>
  </si>
  <si>
    <t>选取</t>
  </si>
  <si>
    <t>步骤</t>
  </si>
  <si>
    <t>实际结果</t>
  </si>
  <si>
    <t>执行者日期</t>
  </si>
  <si>
    <t>P01</t>
  </si>
  <si>
    <t>核实减值先后及测试单元 / 披露一致性, 计算准确性, 期间及范围</t>
  </si>
  <si>
    <t>上述来源已明确定位的公开页面与表格，非企业交易总体</t>
  </si>
  <si>
    <t>围绕交易、四表及资金债务的针对性选取；不是统计审计抽样</t>
  </si>
  <si>
    <t>读 2024 年报政策、商誉滚动和资产核销段落
读 SEC 问询回复关于测试顺序、资产组、CBSA 及计量基础的说明
读 FASB ASU 2017-04 选定条款并视觉区分增删标记，不把 ASU 称权威 Codification
复算商誉期初减费用至期末
重新读note5/p75并核图像：Fiber4,958至0、Towers5,127不变；更正合并标签并复算分部桥</t>
  </si>
  <si>
    <t>performed</t>
  </si>
  <si>
    <t>公开披露顺序与算术支持；未取得模型，未重新执行估值。</t>
  </si>
  <si>
    <t>E24IMPAIR, E24WRITE, ESECSEQ, EFASB, C_gw2024, C_fibergw</t>
  </si>
  <si>
    <t>Codex 公开原件研究复算（非审计） 2026-10-03</t>
  </si>
  <si>
    <t>P02</t>
  </si>
  <si>
    <t>验证持有待售损失组成 / 披露一致性, 计算准确性, 期间及范围</t>
  </si>
  <si>
    <t>读年报 note 3 及脚注，逐页图像核对金额与列头
把准备与售出费用同表损失勾稽；分别保留税、现金及范围
实际补读最初签署协议§2.2–2.7及所用定义，区分公开机制、未公开附表和实际结算
读取五月公开备考，明确不能倒填2025年末89差额；检查已读官方索引的修订信息</t>
  </si>
  <si>
    <t>分类与2025损失桥保留；公开价格/结算机制及备考已取得，年末89差额、实际结算和未识别修订影响仍未解释。</t>
  </si>
  <si>
    <t>E25HFS, ESECSALE, C_sale2025, ESPAPRICE, ESPASETTLE, EPROBS, EQ126INDEX</t>
  </si>
  <si>
    <t>P03</t>
  </si>
  <si>
    <t>复算四表及税现金桥 / 披露一致性, 计算准确性, 期间及范围</t>
  </si>
  <si>
    <t>读取并视觉核对年报四表和现金调节表
用现有 calculate.evaluate 复算加总、损益—现金—权益及资产负债恒等式
检验现金单位/期初期末/终止范围，保留输出差额</t>
  </si>
  <si>
    <t>四表列示加总和滚动复算；算术结果另存 results.json，非审计意见。</t>
  </si>
  <si>
    <t>E25BS, E25PL, E25CF, E25EQ, E25TAX, E25CASH</t>
  </si>
  <si>
    <t>P04</t>
  </si>
  <si>
    <t>核验原报与重列版本 / 披露一致性, 计算准确性, 期间及范围</t>
  </si>
  <si>
    <t>读原 2024 年报损益及分部表，并视觉复核
对比 2025 年报 2024 持续和终止列；分别核验收入、税前利润、税、净利润
读 2025 Q1 原 note 3、SEC 回复和 2026 Q1 脚注，保持来源版本</t>
  </si>
  <si>
    <t>两处版本差异保留并请求解释，没有替换原文数字。</t>
  </si>
  <si>
    <t>E24ORIG, EQ125, ESECSALE, EQ126HFS, C_recastrev2024, C_priorallow</t>
  </si>
  <si>
    <t>P05</t>
  </si>
  <si>
    <t>验证出售与偿债时间界线 / 披露一致性, 计算准确性, 期间及范围</t>
  </si>
  <si>
    <t>读五月一日完成公告和五月七日 Q1 报告期后附注
将三月准备滚动、交割价调、已预提成本支付、实际及计划偿债分开
排除七月及之后发表的 Q2 结果
实际读出售8-K Ex99.2 p18–21及Note2(A)–(E)，将发表日、BS/损益假设日、五月实际/计划逐层区分
复算公开备考现金、资产/负债调整接权益、利息和持续经营利润；保留834行原始标签差异</t>
  </si>
  <si>
    <t>实际约数和备考均各有来源：备考现金调整6,247、现金6,346、权益−1,796、持续利润1,188闭合；未将其认作五月实际现金、最终处置损益或契约EBITDA。</t>
  </si>
  <si>
    <t>ESALE, EQ126SALE, C_qallow, C_saleproceeds, EPROBASIS, EPROBS, EPROPL, ESALEVERSION, C_pf_cashadd, C_pf_equity, C_pf_contni</t>
  </si>
  <si>
    <t>P06</t>
  </si>
  <si>
    <t>阅读新旧融资资源与定义 / 披露一致性, 计算准确性, 期间及范围</t>
  </si>
  <si>
    <t>阅读年报债务表、契约报告和隔离实体说明
读新协议 §1.01、1.04、1.05、4.02、6.10，复核替代关系及提款约束
分开账面值、本金、旧未提额度、CP 备用占用及新信用证
补读2022 Amendment7附后旧协议指定定义及§1.04/1.05/6.09/6.10，与新原文分别核对
读2025年报和2026Q1附件索引、五月新8-K终止条款，有限检索截止前后续版本；无证据不推定不存在未公开修订</t>
  </si>
  <si>
    <t>旧新主信贷选定条款链现已补齐；旧待售例外和租赁/债务口径分别标明。内部缺口限数值调整、合规证明及非公开条款，未声称检查所有SPE票据契约。</t>
  </si>
  <si>
    <t>E25DEBT, E25COV, E25SPE, ECREDIT, C_oldnetavailability, C_newnetLC, EOLDCREDIT, EOLDVERSION, EQ126INDEX</t>
  </si>
  <si>
    <t>P07</t>
  </si>
  <si>
    <t>寻找不利证据 / 披露一致性, 计算准确性, 期间及范围</t>
  </si>
  <si>
    <t>读 DISH 期后披露及现金/收入确认含义
将公司可收回判断与独立收款证据区分</t>
  </si>
  <si>
    <t>将应收收回风险作为反证；未进行法律或收款函证。</t>
  </si>
  <si>
    <t>P_SP</t>
  </si>
  <si>
    <t>复核持续经营范围及跨会计和信用方法的调整桥 / 完整性, 分类, 计算准确性, 期间及范围</t>
  </si>
  <si>
    <t>所列官方年报、Q1披露、SEC原申报标签与S&amp;P相关条文</t>
  </si>
  <si>
    <t>按实际租赁、付息、股份支付、减记、ARO及客户事件取证，不是企业交易统计审计抽样</t>
  </si>
  <si>
    <t>核对原报附注默认持续经营范围及现金流剥离
核原SEC accession和InterestPaidNet定义，分别记录应计与现金资本化利息
阅读租赁/ARO/股份支付/软件及最佳估计条款并建立无重复加回的桥
从同一底稿执行确定性计算及案例专用方法桥，保留局部敏感性
核对Q1实际变化、续约表头及土地指标定义</t>
  </si>
  <si>
    <t>原报利息、DDA和ARO滚动勾稽，资本化现金与分类残余保留估计；不构成完整主体或债项评级。</t>
  </si>
  <si>
    <t>E_SP_RATIOS, E_SP_XBRL, E_SP_Q1CFO, E_SP_RENEW, E_SP_LAND, sp_ffo, C_sp_aro</t>
  </si>
  <si>
    <t>公开资料研究复算（非审计） 2026-10-03</t>
  </si>
  <si>
    <t>所需资料</t>
  </si>
  <si>
    <t>影响</t>
  </si>
  <si>
    <t>责任角色</t>
  </si>
  <si>
    <t>关闭条件</t>
  </si>
  <si>
    <t>Q01</t>
  </si>
  <si>
    <t>资产组/报告单元组织图、长期资产账面基数、未折现预测、商誉 DCF/市场法、税属性及敏感性</t>
  </si>
  <si>
    <t>不能从公司结论独立重做可收回性或公允价值</t>
  </si>
  <si>
    <t>财务估值/业务预算负责人</t>
  </si>
  <si>
    <t>取得可追溯模型、董事会预算及实际回测，按正确顺序重做并解释余量</t>
  </si>
  <si>
    <t>Q02</t>
  </si>
  <si>
    <t>分类日内部会计备忘录、公开原件省略的ScheduleII/VI等附表及出售估值/费用明细、准备滚动；实际适用但未在已取得的公开原件找到的签署修订</t>
  </si>
  <si>
    <t>最初签署协议及§2.2–2.7机制已读；公开备考不能解释2025年末89差额或证明所有初始/后续计量</t>
  </si>
  <si>
    <t>交易会计/法务</t>
  </si>
  <si>
    <t>按2025分类/年末各日期逐项连接净资产、估计售价、费用与准备；说明89差额及实际适用修订，避免五月信息倒填</t>
  </si>
  <si>
    <t>Q03</t>
  </si>
  <si>
    <t>按法律实体的银行确认、受限现金、CP 备用额度、现金上划限制、未来逐月支出债务服务</t>
  </si>
  <si>
    <t>集团现金不等于法律母公司可动用资源，不能双算融资来源</t>
  </si>
  <si>
    <t>司库/法务</t>
  </si>
  <si>
    <t>形成同一时点来源用途表、到期梯度与压力情境，分清承诺/限制/备用占用</t>
  </si>
  <si>
    <t>Q04</t>
  </si>
  <si>
    <t>已公开票据/SPE契约之外的未公开补充担保/现金限制、实际DSCR及现金陷阱合规证书、回收估值和估值输入</t>
  </si>
  <si>
    <t>公开契约的后续补读另见F06，不列为内部资料缺口；母公司主信用协议定义已读，但不替代每项SPE实际遵约与回收价值证据</t>
  </si>
  <si>
    <t>融资法务/司库</t>
  </si>
  <si>
    <t>完成主体→债项法律及资金链，若需评级字母另选截止内正式方法并公开判断调整</t>
  </si>
  <si>
    <t>Q05</t>
  </si>
  <si>
    <t>新旧已签合规证书、Borrower/Restricted Subsidiary总体及债务/合格现金/EBITDA逐项数值调整、出售及偿债备考底稿、实际限制性付款和未公开豁免</t>
  </si>
  <si>
    <t>公开新旧定义及会计备考已取得；缺按各适用版本执行的金额与证明，Article11净利润/节息不等于契约EBITDA</t>
  </si>
  <si>
    <t>司库/贷款代理行</t>
  </si>
  <si>
    <t>分别按生效版本重建合规证书，验证待售例外/出售剔除及本金/租赁/现金调整、提款当日CP和条件，确认美元余量</t>
  </si>
  <si>
    <t>Q06</t>
  </si>
  <si>
    <t>未公开的交割前估计表、实际124价调组成、最终结算表及尾款、银行收款/还款凭证、127备考估计与实际费用/留任支付及74已应计费用支付桥、四月新增投资</t>
  </si>
  <si>
    <t>公开8,500−124−127−2,002=6,247备考已取得；它不证明最终现金、实际还债时间或最终损益；最初合同机制不提供未公开结算数</t>
  </si>
  <si>
    <t>交易财务/司库</t>
  </si>
  <si>
    <t>从实际交割凭证逐项连接最终价格、费用应计/支付及每笔偿债；确定后续修订影响。截止后材料另列验证层，不回填截止事实</t>
  </si>
  <si>
    <t>Q07</t>
  </si>
  <si>
    <t>原 2024 分部到重列持续/终止收入的逐项抵销与范围桥；2025 Q1 准备脚注差异正式解释</t>
  </si>
  <si>
    <t>两处公开版本算术不能无解释合并</t>
  </si>
  <si>
    <t>财务报告负责人</t>
  </si>
  <si>
    <t>正式桥或更正分别解释两项差异，不将猜测写成事实</t>
  </si>
  <si>
    <t>Q08</t>
  </si>
  <si>
    <t>DISH 合同争议法律意见、期后收款、和解及对手方能力证据</t>
  </si>
  <si>
    <t>管理层可收回判断需要独立反证与收款支持</t>
  </si>
  <si>
    <t>法务/信用控制</t>
  </si>
  <si>
    <t>按公开信息截止和法律实体区分已收、争议、预计收回及计量调整</t>
  </si>
  <si>
    <t>Q_SP</t>
  </si>
  <si>
    <t>资本化现金利息的结算拆分、股份支付非RSU差额的结算分类、PP&amp;E核销与净减记差额说明；ARO可用税益及专款抵减</t>
  </si>
  <si>
    <t>收窄实际存在的估计差额和评级临界性；965付息gross/net以及RSU已知部分无需重复索取</t>
  </si>
  <si>
    <t>资金、财务及税务负责人</t>
  </si>
  <si>
    <t>逐项解释已识别差额，重新执行同一方法桥并评价聚合影响；不要求无关的全量内部资料才提供已有分析</t>
  </si>
  <si>
    <t>metric</t>
  </si>
  <si>
    <t>result</t>
  </si>
  <si>
    <t>formula</t>
  </si>
  <si>
    <t>status</t>
  </si>
  <si>
    <t>经营租赁利息代理</t>
  </si>
  <si>
    <t>274.4300</t>
  </si>
  <si>
    <t>C_sp_lease_average × sp_lease_rate</t>
  </si>
  <si>
    <t>method_proxy</t>
  </si>
  <si>
    <t>经营租赁折旧及CFO加回代理</t>
  </si>
  <si>
    <t>324.5700</t>
  </si>
  <si>
    <t>sp_rou_cost − sp_lease_interest</t>
  </si>
  <si>
    <t>S&amp;P口径EBITDA分析估计</t>
  </si>
  <si>
    <t>3448</t>
  </si>
  <si>
    <t>opincome2025 + daa2025 + sp_rou_cost + sbc2025 + writedown2025</t>
  </si>
  <si>
    <t>analysis_estimate</t>
  </si>
  <si>
    <t>应计利息已识别调整小计</t>
  </si>
  <si>
    <t>1286.4300</t>
  </si>
  <si>
    <t>−interest2025 + sp_capitalized_interest + sp_lease_interest + sp_aro_accretion</t>
  </si>
  <si>
    <t>现金利息分析估计（含租赁代理）</t>
  </si>
  <si>
    <t>1254.4300</t>
  </si>
  <si>
    <t>sp_interest_paid_net + sp_capitalized_cash_estimate + sp_lease_interest</t>
  </si>
  <si>
    <t>FFO分析估计</t>
  </si>
  <si>
    <t>2178.5700</t>
  </si>
  <si>
    <t>sp_ebitda − sp_cash_interest − sp_cash_tax</t>
  </si>
  <si>
    <t>CFO分析估计</t>
  </si>
  <si>
    <t>2181.5700</t>
  </si>
  <si>
    <t>C_contcfo_2025 + sp_lease_principal_proxy − sp_capitalized_cash_estimate</t>
  </si>
  <si>
    <t>资本支出分析估计（移出资本化现金利息）</t>
  </si>
  <si>
    <t>167</t>
  </si>
  <si>
    <t>−capex2025 − sp_capitalized_cash_estimate</t>
  </si>
  <si>
    <t>FOCF分析估计（尚非付完全部租赁本金的现金）</t>
  </si>
  <si>
    <t>2014.5700</t>
  </si>
  <si>
    <t>sp_cfo − sp_capex</t>
  </si>
  <si>
    <t>仅加回已直接证实RSU的EBITDA敏感性</t>
  </si>
  <si>
    <t>3436</t>
  </si>
  <si>
    <t>sp_ebitda − C_sp_sbc_residual</t>
  </si>
  <si>
    <t>classification_sensitivity</t>
  </si>
  <si>
    <t>仅加回已直接证实RSU的FFO敏感性</t>
  </si>
  <si>
    <t>2166.5700</t>
  </si>
  <si>
    <t>sp_ffo − C_sp_sbc_residual</t>
  </si>
  <si>
    <t>采用PP&amp;E核销总额的EBITDA敏感性</t>
  </si>
  <si>
    <t>3449</t>
  </si>
  <si>
    <t>sp_ebitda + C_sp_writeoff_difference</t>
  </si>
  <si>
    <t>债务分析估计（ARO尚未抵减）</t>
  </si>
  <si>
    <t>29888</t>
  </si>
  <si>
    <t>debt2025 + C_sp_lease_end + sp_aro_end</t>
  </si>
  <si>
    <t>仅扣99合格现金的条件债务</t>
  </si>
  <si>
    <t>29789</t>
  </si>
  <si>
    <t>sp_gross_debt − cash2025</t>
  </si>
  <si>
    <t>conditional_cash_accessibility</t>
  </si>
  <si>
    <t>2025历史条件债务/EBITDA</t>
  </si>
  <si>
    <t>8.639501160092807424593967517</t>
  </si>
  <si>
    <t>sp_net_debt / sp_ebitda</t>
  </si>
  <si>
    <t>historical_not_post_sale</t>
  </si>
  <si>
    <t>2025历史条件FFO/债务</t>
  </si>
  <si>
    <t>0.07313337137869683440196045520</t>
  </si>
  <si>
    <t>sp_ffo / sp_net_debt</t>
  </si>
  <si>
    <t>股份支付差额对EBITDA的影响</t>
  </si>
  <si>
    <t>0.003480278422273781902552204176</t>
  </si>
  <si>
    <t>C_sp_sbc_residual / sp_ebitda</t>
  </si>
  <si>
    <t>field</t>
  </si>
  <si>
    <t>value</t>
  </si>
  <si>
    <t>id</t>
  </si>
  <si>
    <t>Q_sp_crown</t>
  </si>
  <si>
    <t>method</t>
  </si>
  <si>
    <t>S&amp;P Ratios and Adjustments 2025-12-17；案例专用Decimal复算</t>
  </si>
  <si>
    <t>as_of</t>
  </si>
  <si>
    <t>evidence</t>
  </si>
  <si>
    <t>E_SP_RATIOS, E_SP_SCOPE, E_SP_LEASE, E_SP_CASH, E_SP_SBC, E_SP_ARO, E_SP_XBRL</t>
  </si>
  <si>
    <t>input references</t>
  </si>
  <si>
    <t>C_sp_lease_average, sp_lease_rate, sp_rou_cost, opincome2025, daa2025, sbc2025, writedown2025, interest2025, sp_capitalized_interest, sp_aro_accretion, sp_capitalized_cash_estimate, sp_interest_paid_net, sp_cash_tax, C_contcfo_2025, capex2025, C_sp_sbc_residual, C_sp_writeoff_difference, debt2025, C_sp_lease_end, sp_aro_end, cash2025</t>
  </si>
  <si>
    <t>assumptions</t>
  </si>
  <si>
    <t>资本化现金付息以同年已披露应计资本化利息估计，原报值与估计分列；改变该估计时FFO和CFO同额反向变动，资本支出同额反向变动，FOCF不变。
股份支付全部作为权益结算、资产净减记全部作为非流动项是有披露支持的分析估计；RSU已直接证实，余项另给敏感性。内部使用软件按适用方法不反转。
ARO先采用未抵减负债的分析估计；税益、专款和残值尚未量化。条件净债仅扣普通现金，并以其符合方法可动用条件为前提。</t>
  </si>
  <si>
    <t>limitations</t>
  </si>
  <si>
    <t>指标是按已识别事项形成的分析估计，不是S&amp;P发表的发行人指标或会计报表重述；不构成主体或债项等级。
历史2025持续经营利润与当年末保留债务配套；未把2026实际出售收款直接从历史债务扣除。
租赁CFO加回是方法分类代理，不等于实际付款，也不增加可支用现金。受限现金用途及最终售后债务现金仍需独立取证。</t>
  </si>
  <si>
    <t>reproduction</t>
  </si>
  <si>
    <t>See quantitative-Q_sp_crown.json input_snapshot and method version</t>
  </si>
  <si>
    <t>execution</t>
  </si>
  <si>
    <t>已运行专门结果快照；本次导出未重新计算或校验。输入或方法改变后须重跑专门脚本并重新导出。</t>
  </si>
  <si>
    <t>sp_lease_interest</t>
  </si>
  <si>
    <t>经营租赁利息代理；artifact.rows[0].result；{"entity":"Crown Castle Inc. and subsidiaries","scope":"continuing_operations_method_bridge","start":"2025-01-01","end":"2025-12-31","aggregation":"flow","basis":"US GAAP to S&amp;P Ratios and Adjustments (2025-12-17)","measure":"money","currency":"USD","scale":"1000000","physical_unit":null}</t>
  </si>
  <si>
    <t>sp_lease_principal_proxy</t>
  </si>
  <si>
    <t>经营租赁折旧及CFO加回代理；artifact.rows[1].result；{"entity":"Crown Castle Inc. and subsidiaries","scope":"continuing_operations_method_bridge","start":"2025-01-01","end":"2025-12-31","aggregation":"flow","basis":"US GAAP to S&amp;P Ratios and Adjustments (2025-12-17)","measure":"money","currency":"USD","scale":"1000000","physical_unit":null}</t>
  </si>
  <si>
    <t>sp_ebitda</t>
  </si>
  <si>
    <t>S&amp;P口径EBITDA分析估计；artifact.rows[2].result；{"entity":"Crown Castle Inc. and subsidiaries","scope":"continuing_operations_method_bridge","start":"2025-01-01","end":"2025-12-31","aggregation":"flow","basis":"US GAAP to S&amp;P Ratios and Adjustments (2025-12-17)","measure":"money","currency":"USD","scale":"1000000","physical_unit":null}</t>
  </si>
  <si>
    <t>sp_accrual_interest</t>
  </si>
  <si>
    <t>应计利息已识别调整小计；artifact.rows[3].result；{"entity":"Crown Castle Inc. and subsidiaries","scope":"continuing_operations_method_bridge","start":"2025-01-01","end":"2025-12-31","aggregation":"flow","basis":"US GAAP to S&amp;P Ratios and Adjustments (2025-12-17)","measure":"money","currency":"USD","scale":"1000000","physical_unit":null}</t>
  </si>
  <si>
    <t>sp_cash_interest</t>
  </si>
  <si>
    <t>现金利息分析估计（含租赁代理）；artifact.rows[4].result；{"entity":"Crown Castle Inc. and subsidiaries","scope":"continuing_operations_method_bridge","start":"2025-01-01","end":"2025-12-31","aggregation":"flow","basis":"US GAAP to S&amp;P Ratios and Adjustments (2025-12-17)","measure":"money","currency":"USD","scale":"1000000","physical_unit":null}</t>
  </si>
  <si>
    <t>sp_ffo</t>
  </si>
  <si>
    <t>FFO分析估计；artifact.rows[5].result；{"entity":"Crown Castle Inc. and subsidiaries","scope":"continuing_operations_method_bridge","start":"2025-01-01","end":"2025-12-31","aggregation":"flow","basis":"US GAAP to S&amp;P Ratios and Adjustments (2025-12-17)","measure":"money","currency":"USD","scale":"1000000","physical_unit":null}</t>
  </si>
  <si>
    <t>sp_cfo</t>
  </si>
  <si>
    <t>CFO分析估计；artifact.rows[6].result；{"entity":"Crown Castle Inc. and subsidiaries","scope":"continuing_operations_method_bridge","start":"2025-01-01","end":"2025-12-31","aggregation":"flow","basis":"US GAAP to S&amp;P Ratios and Adjustments (2025-12-17)","measure":"money","currency":"USD","scale":"1000000","physical_unit":null}</t>
  </si>
  <si>
    <t>sp_capex</t>
  </si>
  <si>
    <t>资本支出分析估计（移出资本化现金利息）；artifact.rows[7].result；{"entity":"Crown Castle Inc. and subsidiaries","scope":"continuing_operations_method_bridge","start":"2025-01-01","end":"2025-12-31","aggregation":"flow","basis":"US GAAP to S&amp;P Ratios and Adjustments (2025-12-17)","measure":"money","currency":"USD","scale":"1000000","physical_unit":null}</t>
  </si>
  <si>
    <t>sp_focf</t>
  </si>
  <si>
    <t>FOCF分析估计（尚非付完全部租赁本金的现金）；artifact.rows[8].result；{"entity":"Crown Castle Inc. and subsidiaries","scope":"continuing_operations_method_bridge","start":"2025-01-01","end":"2025-12-31","aggregation":"flow","basis":"US GAAP to S&amp;P Ratios and Adjustments (2025-12-17)","measure":"money","currency":"USD","scale":"1000000","physical_unit":null}</t>
  </si>
  <si>
    <t>sp_ebitda_rsu</t>
  </si>
  <si>
    <t>仅加回已直接证实RSU的EBITDA敏感性；artifact.rows[9].result；{"entity":"Crown Castle Inc. and subsidiaries","scope":"continuing_operations_method_bridge","start":"2025-01-01","end":"2025-12-31","aggregation":"flow","basis":"US GAAP to S&amp;P Ratios and Adjustments (2025-12-17)","measure":"money","currency":"USD","scale":"1000000","physical_unit":null}</t>
  </si>
  <si>
    <t>sp_ffo_rsu</t>
  </si>
  <si>
    <t>仅加回已直接证实RSU的FFO敏感性；artifact.rows[10].result；{"entity":"Crown Castle Inc. and subsidiaries","scope":"continuing_operations_method_bridge","start":"2025-01-01","end":"2025-12-31","aggregation":"flow","basis":"US GAAP to S&amp;P Ratios and Adjustments (2025-12-17)","measure":"money","currency":"USD","scale":"1000000","physical_unit":null}</t>
  </si>
  <si>
    <t>sp_ebitda_writeoff</t>
  </si>
  <si>
    <t>采用PP&amp;E核销总额的EBITDA敏感性；artifact.rows[11].result；{"entity":"Crown Castle Inc. and subsidiaries","scope":"continuing_operations_method_bridge","start":"2025-01-01","end":"2025-12-31","aggregation":"flow","basis":"US GAAP to S&amp;P Ratios and Adjustments (2025-12-17)","measure":"money","currency":"USD","scale":"1000000","physical_unit":null}</t>
  </si>
  <si>
    <t>sp_gross_debt</t>
  </si>
  <si>
    <t>债务分析估计（ARO尚未抵减）；artifact.rows[12].result；{"entity":"Crown Castle Inc. and subsidiaries","scope":"continuing_operations_method_bridge","start":null,"end":"2025-12-31","aggregation":"instant","basis":"US GAAP to S&amp;P Ratios and Adjustments (2025-12-17)","measure":"money","currency":"USD","scale":"1000000","physical_unit":null}</t>
  </si>
  <si>
    <t>sp_net_debt</t>
  </si>
  <si>
    <t>仅扣99合格现金的条件债务；artifact.rows[13].result；{"entity":"Crown Castle Inc. and subsidiaries","scope":"continuing_operations_method_bridge","start":null,"end":"2025-12-31","aggregation":"instant","basis":"US GAAP to S&amp;P Ratios and Adjustments (2025-12-17)","measure":"money","currency":"USD","scale":"1000000","physical_unit":null}</t>
  </si>
  <si>
    <t>sp_leverage</t>
  </si>
  <si>
    <t>2025历史条件债务/EBITDA；artifact.rows[14].result；{"entity":"Crown Castle Inc. and subsidiaries","scope":"continuing_operations_method_bridge","start":"2025-01-01","end":"2025-12-31","aggregation":"ratio","basis":"US GAAP to S&amp;P Ratios and Adjustments (2025-12-17)","measure":"ratio","currency":null,"scale":"1","physical_unit":"times"}</t>
  </si>
  <si>
    <t>sp_ffo_debt</t>
  </si>
  <si>
    <t>2025历史条件FFO/债务；artifact.rows[15].result；{"entity":"Crown Castle Inc. and subsidiaries","scope":"continuing_operations_method_bridge","start":"2025-01-01","end":"2025-12-31","aggregation":"ratio","basis":"US GAAP to S&amp;P Ratios and Adjustments (2025-12-17)","measure":"ratio","currency":null,"scale":"1","physical_unit":null}</t>
  </si>
  <si>
    <t>sp_sbc_effect</t>
  </si>
  <si>
    <t>股份支付差额对EBITDA的影响；artifact.rows[16].result；{"entity":"Crown Castle Inc. and subsidiaries","scope":"continuing_operations_method_bridge","start":"2025-01-01","end":"2025-12-31","aggregation":"ratio","basis":"US GAAP to S&amp;P Ratios and Adjustments (2025-12-17)","measure":"ratio","currency":null,"scale":"1","physical_unit":null}</t>
  </si>
</sst>
</file>

<file path=xl/styles.xml><?xml version="1.0" encoding="utf-8"?>
<styleSheet xmlns="http://schemas.openxmlformats.org/spreadsheetml/2006/main">
  <numFmts count="3">
    <numFmt numFmtId="164" formatCode="#,##0.00;[Red](#,##0.00)"/>
    <numFmt numFmtId="165" formatCode="#,##0.00&quot; 倍&quot;;[Red](#,##0.00&quot; 倍&quot;)"/>
    <numFmt numFmtId="166" formatCode="0.00%;[Red](0.00%)"/>
  </numFmts>
  <fonts count="2">
    <font>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213B45"/>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wrapText="1"/>
    </xf>
    <xf numFmtId="0" fontId="0" fillId="0" borderId="0" xfId="0" applyAlignment="1">
      <alignment vertical="top" wrapText="1"/>
    </xf>
    <xf numFmtId="164" fontId="0" fillId="0" borderId="0" xfId="0" applyNumberFormat="1"/>
    <xf numFmtId="165" fontId="0" fillId="0" borderId="0" xfId="0" applyNumberFormat="1"/>
    <xf numFmtId="166" fontId="0" fillId="0" borderId="0" xfId="0" applyNumberFormat="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theme" Target="theme/theme1.xml"/><Relationship Id="rId13" Type="http://schemas.openxmlformats.org/officeDocument/2006/relationships/styles" Target="styles.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1"/>
  </sheetPr>
  <dimension ref="A1:B25"/>
  <sheetViews>
    <sheetView tabSelected="1"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2.7109375" customWidth="1"/>
    <col min="2" max="2" width="110.7109375" customWidth="1"/>
  </cols>
  <sheetData>
    <row r="1" spans="1:2" ht="32" customHeight="1">
      <c r="A1" s="1" t="s">
        <v>0</v>
      </c>
      <c r="B1" s="1" t="s">
        <v>1</v>
      </c>
    </row>
    <row r="2" spans="1:2" ht="18" customHeight="1">
      <c r="A2" s="2" t="s">
        <v>2</v>
      </c>
      <c r="B2" s="2" t="s">
        <v>3</v>
      </c>
    </row>
    <row r="3" spans="1:2" ht="18" customHeight="1">
      <c r="A3" s="2" t="s">
        <v>4</v>
      </c>
      <c r="B3" s="2" t="s">
        <v>5</v>
      </c>
    </row>
    <row r="4" spans="1:2" ht="18" customHeight="1">
      <c r="A4" s="2" t="s">
        <v>6</v>
      </c>
      <c r="B4" s="2" t="s">
        <v>7</v>
      </c>
    </row>
    <row r="5" spans="1:2" ht="18" customHeight="1">
      <c r="A5" s="2" t="s">
        <v>8</v>
      </c>
      <c r="B5" s="2" t="s">
        <v>9</v>
      </c>
    </row>
    <row r="6" spans="1:2" ht="18" customHeight="1">
      <c r="A6" s="2" t="s">
        <v>10</v>
      </c>
      <c r="B6" s="2" t="s">
        <v>11</v>
      </c>
    </row>
    <row r="7" spans="1:2" ht="18" customHeight="1">
      <c r="A7" s="2" t="s">
        <v>12</v>
      </c>
      <c r="B7" s="2" t="s">
        <v>13</v>
      </c>
    </row>
    <row r="8" spans="1:2" ht="18" customHeight="1">
      <c r="A8" s="2" t="s">
        <v>12</v>
      </c>
      <c r="B8" s="2" t="s">
        <v>14</v>
      </c>
    </row>
    <row r="9" spans="1:2" ht="18" customHeight="1">
      <c r="A9" s="2" t="s">
        <v>12</v>
      </c>
      <c r="B9" s="2" t="s">
        <v>15</v>
      </c>
    </row>
    <row r="10" spans="1:2" ht="18" customHeight="1">
      <c r="A10" s="2" t="s">
        <v>12</v>
      </c>
      <c r="B10" s="2" t="s">
        <v>16</v>
      </c>
    </row>
    <row r="11" spans="1:2" ht="18" customHeight="1">
      <c r="A11" s="2" t="s">
        <v>12</v>
      </c>
      <c r="B11" s="2" t="s">
        <v>17</v>
      </c>
    </row>
    <row r="12" spans="1:2" ht="33" customHeight="1">
      <c r="A12" s="2" t="s">
        <v>12</v>
      </c>
      <c r="B12" s="2" t="s">
        <v>18</v>
      </c>
    </row>
    <row r="13" spans="1:2" ht="18" customHeight="1">
      <c r="A13" s="2" t="s">
        <v>19</v>
      </c>
      <c r="B13" s="2" t="s">
        <v>20</v>
      </c>
    </row>
    <row r="14" spans="1:2" ht="18" customHeight="1">
      <c r="A14" s="2" t="s">
        <v>21</v>
      </c>
      <c r="B14" s="2" t="s">
        <v>22</v>
      </c>
    </row>
    <row r="15" spans="1:2" ht="33" customHeight="1">
      <c r="A15" s="2" t="s">
        <v>23</v>
      </c>
      <c r="B15" s="2" t="s">
        <v>24</v>
      </c>
    </row>
    <row r="16" spans="1:2" ht="18" customHeight="1">
      <c r="A16" s="2" t="s">
        <v>25</v>
      </c>
      <c r="B16" s="2" t="s">
        <v>26</v>
      </c>
    </row>
    <row r="17" spans="1:2" ht="33" customHeight="1">
      <c r="A17" s="2" t="s">
        <v>27</v>
      </c>
      <c r="B17" s="2" t="s">
        <v>28</v>
      </c>
    </row>
    <row r="18" spans="1:2" ht="33" customHeight="1">
      <c r="A18" s="2" t="s">
        <v>27</v>
      </c>
      <c r="B18" s="2" t="s">
        <v>29</v>
      </c>
    </row>
    <row r="19" spans="1:2" ht="33" customHeight="1">
      <c r="A19" s="2" t="s">
        <v>27</v>
      </c>
      <c r="B19" s="2" t="s">
        <v>30</v>
      </c>
    </row>
    <row r="20" spans="1:2" ht="18" customHeight="1">
      <c r="A20" s="2" t="s">
        <v>27</v>
      </c>
      <c r="B20" s="2" t="s">
        <v>31</v>
      </c>
    </row>
    <row r="21" spans="1:2" ht="18" customHeight="1">
      <c r="A21" s="2" t="s">
        <v>27</v>
      </c>
      <c r="B21" s="2" t="s">
        <v>32</v>
      </c>
    </row>
    <row r="22" spans="1:2" ht="33" customHeight="1">
      <c r="A22" s="2" t="s">
        <v>27</v>
      </c>
      <c r="B22" s="2" t="s">
        <v>33</v>
      </c>
    </row>
    <row r="23" spans="1:2" ht="33" customHeight="1">
      <c r="A23" s="2" t="s">
        <v>27</v>
      </c>
      <c r="B23" s="2" t="s">
        <v>34</v>
      </c>
    </row>
    <row r="24" spans="1:2" ht="33" customHeight="1">
      <c r="A24" s="2" t="s">
        <v>27</v>
      </c>
      <c r="B24" s="2" t="s">
        <v>35</v>
      </c>
    </row>
    <row r="25" spans="1:2" ht="33" customHeight="1">
      <c r="A25" s="2" t="s">
        <v>27</v>
      </c>
      <c r="B25" s="2" t="s">
        <v>36</v>
      </c>
    </row>
  </sheetData>
  <autoFilter ref="A1:B25"/>
  <pageMargins left="0.7" right="0.7" top="0.75" bottom="0.75" header="0.3" footer="0.3"/>
  <pageSetup paperSize="9" fitToHeight="0" orientation="landscape"/>
</worksheet>
</file>

<file path=xl/worksheets/sheet2.xml><?xml version="1.0" encoding="utf-8"?>
<worksheet xmlns="http://schemas.openxmlformats.org/spreadsheetml/2006/main" xmlns:r="http://schemas.openxmlformats.org/officeDocument/2006/relationships">
  <dimension ref="A1:R382"/>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8" width="28.7109375" customWidth="1"/>
  </cols>
  <sheetData>
    <row r="1" spans="1:18" ht="32" customHeight="1">
      <c r="A1" s="1" t="s">
        <v>37</v>
      </c>
      <c r="B1" s="1" t="s">
        <v>38</v>
      </c>
      <c r="C1" s="1" t="s">
        <v>39</v>
      </c>
      <c r="D1" s="1" t="s">
        <v>40</v>
      </c>
      <c r="E1" s="1" t="s">
        <v>41</v>
      </c>
      <c r="F1" s="1" t="s">
        <v>42</v>
      </c>
      <c r="G1" s="1" t="s">
        <v>43</v>
      </c>
      <c r="H1" s="1" t="s">
        <v>44</v>
      </c>
      <c r="I1" s="1" t="s">
        <v>45</v>
      </c>
      <c r="J1" s="1" t="s">
        <v>8</v>
      </c>
      <c r="K1" s="1" t="s">
        <v>46</v>
      </c>
      <c r="L1" s="1" t="s">
        <v>47</v>
      </c>
      <c r="M1" s="1" t="s">
        <v>48</v>
      </c>
      <c r="N1" s="1" t="s">
        <v>49</v>
      </c>
      <c r="O1" s="1" t="s">
        <v>10</v>
      </c>
      <c r="P1" s="1" t="s">
        <v>50</v>
      </c>
      <c r="Q1" s="1" t="s">
        <v>51</v>
      </c>
      <c r="R1" s="1" t="s">
        <v>52</v>
      </c>
    </row>
    <row r="2" spans="1:18">
      <c r="A2" s="2" t="s">
        <v>53</v>
      </c>
      <c r="B2" s="2" t="s">
        <v>54</v>
      </c>
      <c r="C2" s="2" t="s">
        <v>55</v>
      </c>
      <c r="D2" s="2">
        <v>99</v>
      </c>
      <c r="E2" s="2">
        <v>1000000</v>
      </c>
      <c r="F2" s="3">
        <f>IF(COUNT(D2,E2)=2,D2*E2,NA())</f>
        <v>99000000.0</v>
      </c>
      <c r="G2" s="2" t="s">
        <v>56</v>
      </c>
      <c r="H2" s="2" t="s">
        <v>57</v>
      </c>
      <c r="I2" s="2" t="s">
        <v>58</v>
      </c>
      <c r="J2" s="2" t="s">
        <v>59</v>
      </c>
      <c r="K2" s="2"/>
      <c r="L2" s="2" t="s">
        <v>60</v>
      </c>
      <c r="M2" s="2" t="s">
        <v>61</v>
      </c>
      <c r="N2" s="2" t="s">
        <v>62</v>
      </c>
      <c r="O2" s="2" t="s">
        <v>11</v>
      </c>
      <c r="P2" s="2"/>
      <c r="Q2" s="2" t="s">
        <v>63</v>
      </c>
      <c r="R2" s="2"/>
    </row>
    <row r="3" spans="1:18">
      <c r="A3" s="2" t="s">
        <v>64</v>
      </c>
      <c r="B3" s="2" t="s">
        <v>65</v>
      </c>
      <c r="C3" s="2" t="s">
        <v>55</v>
      </c>
      <c r="D3" s="2">
        <v>100</v>
      </c>
      <c r="E3" s="2">
        <v>1000000</v>
      </c>
      <c r="F3" s="3">
        <f>IF(COUNT(D3,E3)=2,D3*E3,NA())</f>
        <v>100000000.0</v>
      </c>
      <c r="G3" s="2" t="s">
        <v>56</v>
      </c>
      <c r="H3" s="2" t="s">
        <v>57</v>
      </c>
      <c r="I3" s="2" t="s">
        <v>58</v>
      </c>
      <c r="J3" s="2" t="s">
        <v>59</v>
      </c>
      <c r="K3" s="2"/>
      <c r="L3" s="2" t="s">
        <v>66</v>
      </c>
      <c r="M3" s="2" t="s">
        <v>61</v>
      </c>
      <c r="N3" s="2" t="s">
        <v>67</v>
      </c>
      <c r="O3" s="2" t="s">
        <v>11</v>
      </c>
      <c r="P3" s="2" t="s">
        <v>68</v>
      </c>
      <c r="Q3" s="2" t="s">
        <v>63</v>
      </c>
      <c r="R3" s="2"/>
    </row>
    <row r="4" spans="1:18">
      <c r="A4" s="2" t="s">
        <v>69</v>
      </c>
      <c r="B4" s="2" t="s">
        <v>70</v>
      </c>
      <c r="C4" s="2" t="s">
        <v>55</v>
      </c>
      <c r="D4" s="2">
        <v>170</v>
      </c>
      <c r="E4" s="2">
        <v>1000000</v>
      </c>
      <c r="F4" s="3">
        <f>IF(COUNT(D4,E4)=2,D4*E4,NA())</f>
        <v>170000000.0</v>
      </c>
      <c r="G4" s="2" t="s">
        <v>56</v>
      </c>
      <c r="H4" s="2" t="s">
        <v>57</v>
      </c>
      <c r="I4" s="2" t="s">
        <v>58</v>
      </c>
      <c r="J4" s="2" t="s">
        <v>59</v>
      </c>
      <c r="K4" s="2"/>
      <c r="L4" s="2" t="s">
        <v>60</v>
      </c>
      <c r="M4" s="2" t="s">
        <v>61</v>
      </c>
      <c r="N4" s="2" t="s">
        <v>62</v>
      </c>
      <c r="O4" s="2" t="s">
        <v>11</v>
      </c>
      <c r="P4" s="2"/>
      <c r="Q4" s="2" t="s">
        <v>71</v>
      </c>
      <c r="R4" s="2"/>
    </row>
    <row r="5" spans="1:18">
      <c r="A5" s="2" t="s">
        <v>72</v>
      </c>
      <c r="B5" s="2" t="s">
        <v>73</v>
      </c>
      <c r="C5" s="2" t="s">
        <v>55</v>
      </c>
      <c r="D5" s="2">
        <v>170</v>
      </c>
      <c r="E5" s="2">
        <v>1000000</v>
      </c>
      <c r="F5" s="3">
        <f>IF(COUNT(D5,E5)=2,D5*E5,NA())</f>
        <v>170000000.0</v>
      </c>
      <c r="G5" s="2" t="s">
        <v>56</v>
      </c>
      <c r="H5" s="2" t="s">
        <v>57</v>
      </c>
      <c r="I5" s="2" t="s">
        <v>58</v>
      </c>
      <c r="J5" s="2" t="s">
        <v>59</v>
      </c>
      <c r="K5" s="2"/>
      <c r="L5" s="2" t="s">
        <v>66</v>
      </c>
      <c r="M5" s="2" t="s">
        <v>61</v>
      </c>
      <c r="N5" s="2" t="s">
        <v>67</v>
      </c>
      <c r="O5" s="2" t="s">
        <v>11</v>
      </c>
      <c r="P5" s="2" t="s">
        <v>68</v>
      </c>
      <c r="Q5" s="2" t="s">
        <v>71</v>
      </c>
      <c r="R5" s="2"/>
    </row>
    <row r="6" spans="1:18">
      <c r="A6" s="2" t="s">
        <v>74</v>
      </c>
      <c r="B6" s="2" t="s">
        <v>75</v>
      </c>
      <c r="C6" s="2" t="s">
        <v>55</v>
      </c>
      <c r="D6" s="2">
        <v>172</v>
      </c>
      <c r="E6" s="2">
        <v>1000000</v>
      </c>
      <c r="F6" s="3">
        <f>IF(COUNT(D6,E6)=2,D6*E6,NA())</f>
        <v>172000000.0</v>
      </c>
      <c r="G6" s="2" t="s">
        <v>56</v>
      </c>
      <c r="H6" s="2" t="s">
        <v>57</v>
      </c>
      <c r="I6" s="2" t="s">
        <v>58</v>
      </c>
      <c r="J6" s="2" t="s">
        <v>59</v>
      </c>
      <c r="K6" s="2"/>
      <c r="L6" s="2" t="s">
        <v>60</v>
      </c>
      <c r="M6" s="2" t="s">
        <v>61</v>
      </c>
      <c r="N6" s="2" t="s">
        <v>62</v>
      </c>
      <c r="O6" s="2" t="s">
        <v>11</v>
      </c>
      <c r="P6" s="2"/>
      <c r="Q6" s="2" t="s">
        <v>76</v>
      </c>
      <c r="R6" s="2"/>
    </row>
    <row r="7" spans="1:18">
      <c r="A7" s="2" t="s">
        <v>77</v>
      </c>
      <c r="B7" s="2" t="s">
        <v>78</v>
      </c>
      <c r="C7" s="2" t="s">
        <v>55</v>
      </c>
      <c r="D7" s="2">
        <v>129</v>
      </c>
      <c r="E7" s="2">
        <v>1000000</v>
      </c>
      <c r="F7" s="3">
        <f>IF(COUNT(D7,E7)=2,D7*E7,NA())</f>
        <v>129000000.0</v>
      </c>
      <c r="G7" s="2" t="s">
        <v>56</v>
      </c>
      <c r="H7" s="2" t="s">
        <v>57</v>
      </c>
      <c r="I7" s="2" t="s">
        <v>58</v>
      </c>
      <c r="J7" s="2" t="s">
        <v>59</v>
      </c>
      <c r="K7" s="2"/>
      <c r="L7" s="2" t="s">
        <v>66</v>
      </c>
      <c r="M7" s="2" t="s">
        <v>61</v>
      </c>
      <c r="N7" s="2" t="s">
        <v>67</v>
      </c>
      <c r="O7" s="2" t="s">
        <v>11</v>
      </c>
      <c r="P7" s="2" t="s">
        <v>68</v>
      </c>
      <c r="Q7" s="2" t="s">
        <v>76</v>
      </c>
      <c r="R7" s="2"/>
    </row>
    <row r="8" spans="1:18">
      <c r="A8" s="2" t="s">
        <v>79</v>
      </c>
      <c r="B8" s="2" t="s">
        <v>80</v>
      </c>
      <c r="C8" s="2" t="s">
        <v>55</v>
      </c>
      <c r="D8" s="2">
        <v>79</v>
      </c>
      <c r="E8" s="2">
        <v>1000000</v>
      </c>
      <c r="F8" s="3">
        <f>IF(COUNT(D8,E8)=2,D8*E8,NA())</f>
        <v>79000000.0</v>
      </c>
      <c r="G8" s="2" t="s">
        <v>56</v>
      </c>
      <c r="H8" s="2" t="s">
        <v>57</v>
      </c>
      <c r="I8" s="2" t="s">
        <v>58</v>
      </c>
      <c r="J8" s="2" t="s">
        <v>59</v>
      </c>
      <c r="K8" s="2"/>
      <c r="L8" s="2" t="s">
        <v>60</v>
      </c>
      <c r="M8" s="2" t="s">
        <v>61</v>
      </c>
      <c r="N8" s="2" t="s">
        <v>62</v>
      </c>
      <c r="O8" s="2" t="s">
        <v>11</v>
      </c>
      <c r="P8" s="2"/>
      <c r="Q8" s="2" t="s">
        <v>81</v>
      </c>
      <c r="R8" s="2"/>
    </row>
    <row r="9" spans="1:18">
      <c r="A9" s="2" t="s">
        <v>82</v>
      </c>
      <c r="B9" s="2" t="s">
        <v>83</v>
      </c>
      <c r="C9" s="2" t="s">
        <v>55</v>
      </c>
      <c r="D9" s="2">
        <v>74</v>
      </c>
      <c r="E9" s="2">
        <v>1000000</v>
      </c>
      <c r="F9" s="3">
        <f>IF(COUNT(D9,E9)=2,D9*E9,NA())</f>
        <v>74000000.0</v>
      </c>
      <c r="G9" s="2" t="s">
        <v>56</v>
      </c>
      <c r="H9" s="2" t="s">
        <v>57</v>
      </c>
      <c r="I9" s="2" t="s">
        <v>58</v>
      </c>
      <c r="J9" s="2" t="s">
        <v>59</v>
      </c>
      <c r="K9" s="2"/>
      <c r="L9" s="2" t="s">
        <v>66</v>
      </c>
      <c r="M9" s="2" t="s">
        <v>61</v>
      </c>
      <c r="N9" s="2" t="s">
        <v>67</v>
      </c>
      <c r="O9" s="2" t="s">
        <v>11</v>
      </c>
      <c r="P9" s="2" t="s">
        <v>68</v>
      </c>
      <c r="Q9" s="2" t="s">
        <v>81</v>
      </c>
      <c r="R9" s="2"/>
    </row>
    <row r="10" spans="1:18">
      <c r="A10" s="2" t="s">
        <v>84</v>
      </c>
      <c r="B10" s="2" t="s">
        <v>85</v>
      </c>
      <c r="C10" s="2" t="s">
        <v>55</v>
      </c>
      <c r="D10" s="2">
        <v>167</v>
      </c>
      <c r="E10" s="2">
        <v>1000000</v>
      </c>
      <c r="F10" s="3">
        <f>IF(COUNT(D10,E10)=2,D10*E10,NA())</f>
        <v>167000000.0</v>
      </c>
      <c r="G10" s="2" t="s">
        <v>56</v>
      </c>
      <c r="H10" s="2" t="s">
        <v>57</v>
      </c>
      <c r="I10" s="2" t="s">
        <v>58</v>
      </c>
      <c r="J10" s="2" t="s">
        <v>59</v>
      </c>
      <c r="K10" s="2"/>
      <c r="L10" s="2" t="s">
        <v>60</v>
      </c>
      <c r="M10" s="2" t="s">
        <v>61</v>
      </c>
      <c r="N10" s="2" t="s">
        <v>62</v>
      </c>
      <c r="O10" s="2" t="s">
        <v>11</v>
      </c>
      <c r="P10" s="2"/>
      <c r="Q10" s="2" t="s">
        <v>86</v>
      </c>
      <c r="R10" s="2"/>
    </row>
    <row r="11" spans="1:18">
      <c r="A11" s="2" t="s">
        <v>87</v>
      </c>
      <c r="B11" s="2" t="s">
        <v>88</v>
      </c>
      <c r="C11" s="2" t="s">
        <v>55</v>
      </c>
      <c r="D11" s="2">
        <v>164</v>
      </c>
      <c r="E11" s="2">
        <v>1000000</v>
      </c>
      <c r="F11" s="3">
        <f>IF(COUNT(D11,E11)=2,D11*E11,NA())</f>
        <v>164000000.0</v>
      </c>
      <c r="G11" s="2" t="s">
        <v>56</v>
      </c>
      <c r="H11" s="2" t="s">
        <v>57</v>
      </c>
      <c r="I11" s="2" t="s">
        <v>58</v>
      </c>
      <c r="J11" s="2" t="s">
        <v>59</v>
      </c>
      <c r="K11" s="2"/>
      <c r="L11" s="2" t="s">
        <v>66</v>
      </c>
      <c r="M11" s="2" t="s">
        <v>61</v>
      </c>
      <c r="N11" s="2" t="s">
        <v>67</v>
      </c>
      <c r="O11" s="2" t="s">
        <v>11</v>
      </c>
      <c r="P11" s="2" t="s">
        <v>68</v>
      </c>
      <c r="Q11" s="2" t="s">
        <v>86</v>
      </c>
      <c r="R11" s="2"/>
    </row>
    <row r="12" spans="1:18">
      <c r="A12" s="2" t="s">
        <v>89</v>
      </c>
      <c r="B12" s="2" t="s">
        <v>90</v>
      </c>
      <c r="C12" s="2" t="s">
        <v>55</v>
      </c>
      <c r="D12" s="2">
        <v>23</v>
      </c>
      <c r="E12" s="2">
        <v>1000000</v>
      </c>
      <c r="F12" s="3">
        <f>IF(COUNT(D12,E12)=2,D12*E12,NA())</f>
        <v>23000000.0</v>
      </c>
      <c r="G12" s="2" t="s">
        <v>56</v>
      </c>
      <c r="H12" s="2" t="s">
        <v>57</v>
      </c>
      <c r="I12" s="2" t="s">
        <v>58</v>
      </c>
      <c r="J12" s="2" t="s">
        <v>59</v>
      </c>
      <c r="K12" s="2"/>
      <c r="L12" s="2" t="s">
        <v>60</v>
      </c>
      <c r="M12" s="2" t="s">
        <v>61</v>
      </c>
      <c r="N12" s="2" t="s">
        <v>62</v>
      </c>
      <c r="O12" s="2" t="s">
        <v>11</v>
      </c>
      <c r="P12" s="2"/>
      <c r="Q12" s="2" t="s">
        <v>91</v>
      </c>
      <c r="R12" s="2"/>
    </row>
    <row r="13" spans="1:18">
      <c r="A13" s="2" t="s">
        <v>92</v>
      </c>
      <c r="B13" s="2" t="s">
        <v>93</v>
      </c>
      <c r="C13" s="2" t="s">
        <v>55</v>
      </c>
      <c r="D13" s="2">
        <v>24</v>
      </c>
      <c r="E13" s="2">
        <v>1000000</v>
      </c>
      <c r="F13" s="3">
        <f>IF(COUNT(D13,E13)=2,D13*E13,NA())</f>
        <v>24000000.0</v>
      </c>
      <c r="G13" s="2" t="s">
        <v>56</v>
      </c>
      <c r="H13" s="2" t="s">
        <v>57</v>
      </c>
      <c r="I13" s="2" t="s">
        <v>58</v>
      </c>
      <c r="J13" s="2" t="s">
        <v>59</v>
      </c>
      <c r="K13" s="2"/>
      <c r="L13" s="2" t="s">
        <v>66</v>
      </c>
      <c r="M13" s="2" t="s">
        <v>61</v>
      </c>
      <c r="N13" s="2" t="s">
        <v>67</v>
      </c>
      <c r="O13" s="2" t="s">
        <v>11</v>
      </c>
      <c r="P13" s="2" t="s">
        <v>68</v>
      </c>
      <c r="Q13" s="2" t="s">
        <v>91</v>
      </c>
      <c r="R13" s="2"/>
    </row>
    <row r="14" spans="1:18">
      <c r="A14" s="2" t="s">
        <v>94</v>
      </c>
      <c r="B14" s="2" t="s">
        <v>95</v>
      </c>
      <c r="C14" s="2" t="s">
        <v>55</v>
      </c>
      <c r="D14" s="2">
        <v>434</v>
      </c>
      <c r="E14" s="2">
        <v>1000000</v>
      </c>
      <c r="F14" s="3">
        <f>IF(COUNT(D14,E14)=2,D14*E14,NA())</f>
        <v>434000000.0</v>
      </c>
      <c r="G14" s="2" t="s">
        <v>56</v>
      </c>
      <c r="H14" s="2" t="s">
        <v>57</v>
      </c>
      <c r="I14" s="2" t="s">
        <v>58</v>
      </c>
      <c r="J14" s="2" t="s">
        <v>59</v>
      </c>
      <c r="K14" s="2"/>
      <c r="L14" s="2" t="s">
        <v>60</v>
      </c>
      <c r="M14" s="2" t="s">
        <v>61</v>
      </c>
      <c r="N14" s="2" t="s">
        <v>62</v>
      </c>
      <c r="O14" s="2" t="s">
        <v>11</v>
      </c>
      <c r="P14" s="2"/>
      <c r="Q14" s="2" t="s">
        <v>96</v>
      </c>
      <c r="R14" s="2"/>
    </row>
    <row r="15" spans="1:18">
      <c r="A15" s="2" t="s">
        <v>97</v>
      </c>
      <c r="B15" s="2" t="s">
        <v>98</v>
      </c>
      <c r="C15" s="2" t="s">
        <v>55</v>
      </c>
      <c r="D15" s="2">
        <v>429</v>
      </c>
      <c r="E15" s="2">
        <v>1000000</v>
      </c>
      <c r="F15" s="3">
        <f>IF(COUNT(D15,E15)=2,D15*E15,NA())</f>
        <v>429000000.0</v>
      </c>
      <c r="G15" s="2" t="s">
        <v>56</v>
      </c>
      <c r="H15" s="2" t="s">
        <v>57</v>
      </c>
      <c r="I15" s="2" t="s">
        <v>58</v>
      </c>
      <c r="J15" s="2" t="s">
        <v>59</v>
      </c>
      <c r="K15" s="2"/>
      <c r="L15" s="2" t="s">
        <v>66</v>
      </c>
      <c r="M15" s="2" t="s">
        <v>61</v>
      </c>
      <c r="N15" s="2" t="s">
        <v>67</v>
      </c>
      <c r="O15" s="2" t="s">
        <v>11</v>
      </c>
      <c r="P15" s="2" t="s">
        <v>68</v>
      </c>
      <c r="Q15" s="2" t="s">
        <v>96</v>
      </c>
      <c r="R15" s="2"/>
    </row>
    <row r="16" spans="1:18">
      <c r="A16" s="2" t="s">
        <v>99</v>
      </c>
      <c r="B16" s="2" t="s">
        <v>100</v>
      </c>
      <c r="C16" s="2" t="s">
        <v>55</v>
      </c>
      <c r="D16" s="2">
        <v>1144</v>
      </c>
      <c r="E16" s="2">
        <v>1000000</v>
      </c>
      <c r="F16" s="3">
        <f>IF(COUNT(D16,E16)=2,D16*E16,NA())</f>
        <v>1144000000.0</v>
      </c>
      <c r="G16" s="2" t="s">
        <v>56</v>
      </c>
      <c r="H16" s="2" t="s">
        <v>57</v>
      </c>
      <c r="I16" s="2" t="s">
        <v>58</v>
      </c>
      <c r="J16" s="2" t="s">
        <v>59</v>
      </c>
      <c r="K16" s="2"/>
      <c r="L16" s="2" t="s">
        <v>60</v>
      </c>
      <c r="M16" s="2" t="s">
        <v>61</v>
      </c>
      <c r="N16" s="2" t="s">
        <v>62</v>
      </c>
      <c r="O16" s="2" t="s">
        <v>11</v>
      </c>
      <c r="P16" s="2"/>
      <c r="Q16" s="2" t="s">
        <v>101</v>
      </c>
      <c r="R16" s="2"/>
    </row>
    <row r="17" spans="1:18">
      <c r="A17" s="2" t="s">
        <v>102</v>
      </c>
      <c r="B17" s="2" t="s">
        <v>103</v>
      </c>
      <c r="C17" s="2" t="s">
        <v>55</v>
      </c>
      <c r="D17" s="2">
        <v>1090</v>
      </c>
      <c r="E17" s="2">
        <v>1000000</v>
      </c>
      <c r="F17" s="3">
        <f>IF(COUNT(D17,E17)=2,D17*E17,NA())</f>
        <v>1090000000.0</v>
      </c>
      <c r="G17" s="2" t="s">
        <v>56</v>
      </c>
      <c r="H17" s="2" t="s">
        <v>57</v>
      </c>
      <c r="I17" s="2" t="s">
        <v>58</v>
      </c>
      <c r="J17" s="2" t="s">
        <v>59</v>
      </c>
      <c r="K17" s="2"/>
      <c r="L17" s="2" t="s">
        <v>66</v>
      </c>
      <c r="M17" s="2" t="s">
        <v>61</v>
      </c>
      <c r="N17" s="2" t="s">
        <v>67</v>
      </c>
      <c r="O17" s="2" t="s">
        <v>11</v>
      </c>
      <c r="P17" s="2" t="s">
        <v>68</v>
      </c>
      <c r="Q17" s="2" t="s">
        <v>101</v>
      </c>
      <c r="R17" s="2"/>
    </row>
    <row r="18" spans="1:18">
      <c r="A18" s="2" t="s">
        <v>104</v>
      </c>
      <c r="B18" s="2" t="s">
        <v>105</v>
      </c>
      <c r="C18" s="2" t="s">
        <v>55</v>
      </c>
      <c r="D18" s="2">
        <v>2288</v>
      </c>
      <c r="E18" s="2">
        <v>1000000</v>
      </c>
      <c r="F18" s="3">
        <f>IF(COUNT(D18,E18)=2,D18*E18,NA())</f>
        <v>2288000000.0</v>
      </c>
      <c r="G18" s="2" t="s">
        <v>56</v>
      </c>
      <c r="H18" s="2" t="s">
        <v>57</v>
      </c>
      <c r="I18" s="2" t="s">
        <v>58</v>
      </c>
      <c r="J18" s="2" t="s">
        <v>59</v>
      </c>
      <c r="K18" s="2"/>
      <c r="L18" s="2" t="s">
        <v>60</v>
      </c>
      <c r="M18" s="2" t="s">
        <v>61</v>
      </c>
      <c r="N18" s="2" t="s">
        <v>62</v>
      </c>
      <c r="O18" s="2" t="s">
        <v>11</v>
      </c>
      <c r="P18" s="2"/>
      <c r="Q18" s="2" t="s">
        <v>106</v>
      </c>
      <c r="R18" s="2"/>
    </row>
    <row r="19" spans="1:18">
      <c r="A19" s="2" t="s">
        <v>107</v>
      </c>
      <c r="B19" s="2" t="s">
        <v>108</v>
      </c>
      <c r="C19" s="2" t="s">
        <v>55</v>
      </c>
      <c r="D19" s="2">
        <v>2279</v>
      </c>
      <c r="E19" s="2">
        <v>1000000</v>
      </c>
      <c r="F19" s="3">
        <f>IF(COUNT(D19,E19)=2,D19*E19,NA())</f>
        <v>2279000000.0</v>
      </c>
      <c r="G19" s="2" t="s">
        <v>56</v>
      </c>
      <c r="H19" s="2" t="s">
        <v>57</v>
      </c>
      <c r="I19" s="2" t="s">
        <v>58</v>
      </c>
      <c r="J19" s="2" t="s">
        <v>59</v>
      </c>
      <c r="K19" s="2"/>
      <c r="L19" s="2" t="s">
        <v>66</v>
      </c>
      <c r="M19" s="2" t="s">
        <v>61</v>
      </c>
      <c r="N19" s="2" t="s">
        <v>67</v>
      </c>
      <c r="O19" s="2" t="s">
        <v>11</v>
      </c>
      <c r="P19" s="2" t="s">
        <v>68</v>
      </c>
      <c r="Q19" s="2" t="s">
        <v>106</v>
      </c>
      <c r="R19" s="2"/>
    </row>
    <row r="20" spans="1:18">
      <c r="A20" s="2" t="s">
        <v>109</v>
      </c>
      <c r="B20" s="2" t="s">
        <v>110</v>
      </c>
      <c r="C20" s="2" t="s">
        <v>55</v>
      </c>
      <c r="D20" s="2">
        <v>6273</v>
      </c>
      <c r="E20" s="2">
        <v>1000000</v>
      </c>
      <c r="F20" s="3">
        <f>IF(COUNT(D20,E20)=2,D20*E20,NA())</f>
        <v>6273000000.0</v>
      </c>
      <c r="G20" s="2" t="s">
        <v>56</v>
      </c>
      <c r="H20" s="2" t="s">
        <v>57</v>
      </c>
      <c r="I20" s="2" t="s">
        <v>58</v>
      </c>
      <c r="J20" s="2" t="s">
        <v>59</v>
      </c>
      <c r="K20" s="2"/>
      <c r="L20" s="2" t="s">
        <v>60</v>
      </c>
      <c r="M20" s="2" t="s">
        <v>61</v>
      </c>
      <c r="N20" s="2" t="s">
        <v>62</v>
      </c>
      <c r="O20" s="2" t="s">
        <v>11</v>
      </c>
      <c r="P20" s="2"/>
      <c r="Q20" s="2" t="s">
        <v>111</v>
      </c>
      <c r="R20" s="2"/>
    </row>
    <row r="21" spans="1:18">
      <c r="A21" s="2" t="s">
        <v>112</v>
      </c>
      <c r="B21" s="2" t="s">
        <v>113</v>
      </c>
      <c r="C21" s="2" t="s">
        <v>55</v>
      </c>
      <c r="D21" s="2">
        <v>6577</v>
      </c>
      <c r="E21" s="2">
        <v>1000000</v>
      </c>
      <c r="F21" s="3">
        <f>IF(COUNT(D21,E21)=2,D21*E21,NA())</f>
        <v>6577000000.0</v>
      </c>
      <c r="G21" s="2" t="s">
        <v>56</v>
      </c>
      <c r="H21" s="2" t="s">
        <v>57</v>
      </c>
      <c r="I21" s="2" t="s">
        <v>58</v>
      </c>
      <c r="J21" s="2" t="s">
        <v>59</v>
      </c>
      <c r="K21" s="2"/>
      <c r="L21" s="2" t="s">
        <v>66</v>
      </c>
      <c r="M21" s="2" t="s">
        <v>61</v>
      </c>
      <c r="N21" s="2" t="s">
        <v>67</v>
      </c>
      <c r="O21" s="2" t="s">
        <v>11</v>
      </c>
      <c r="P21" s="2" t="s">
        <v>68</v>
      </c>
      <c r="Q21" s="2" t="s">
        <v>111</v>
      </c>
      <c r="R21" s="2"/>
    </row>
    <row r="22" spans="1:18">
      <c r="A22" s="2" t="s">
        <v>114</v>
      </c>
      <c r="B22" s="2" t="s">
        <v>115</v>
      </c>
      <c r="C22" s="2" t="s">
        <v>55</v>
      </c>
      <c r="D22" s="2">
        <v>5473</v>
      </c>
      <c r="E22" s="2">
        <v>1000000</v>
      </c>
      <c r="F22" s="3">
        <f>IF(COUNT(D22,E22)=2,D22*E22,NA())</f>
        <v>5473000000.0</v>
      </c>
      <c r="G22" s="2" t="s">
        <v>56</v>
      </c>
      <c r="H22" s="2" t="s">
        <v>57</v>
      </c>
      <c r="I22" s="2" t="s">
        <v>58</v>
      </c>
      <c r="J22" s="2" t="s">
        <v>59</v>
      </c>
      <c r="K22" s="2"/>
      <c r="L22" s="2" t="s">
        <v>60</v>
      </c>
      <c r="M22" s="2" t="s">
        <v>61</v>
      </c>
      <c r="N22" s="2" t="s">
        <v>62</v>
      </c>
      <c r="O22" s="2" t="s">
        <v>11</v>
      </c>
      <c r="P22" s="2"/>
      <c r="Q22" s="2" t="s">
        <v>116</v>
      </c>
      <c r="R22" s="2"/>
    </row>
    <row r="23" spans="1:18">
      <c r="A23" s="2" t="s">
        <v>117</v>
      </c>
      <c r="B23" s="2" t="s">
        <v>118</v>
      </c>
      <c r="C23" s="2" t="s">
        <v>55</v>
      </c>
      <c r="D23" s="2">
        <v>5600</v>
      </c>
      <c r="E23" s="2">
        <v>1000000</v>
      </c>
      <c r="F23" s="3">
        <f>IF(COUNT(D23,E23)=2,D23*E23,NA())</f>
        <v>5600000000.0</v>
      </c>
      <c r="G23" s="2" t="s">
        <v>56</v>
      </c>
      <c r="H23" s="2" t="s">
        <v>57</v>
      </c>
      <c r="I23" s="2" t="s">
        <v>58</v>
      </c>
      <c r="J23" s="2" t="s">
        <v>59</v>
      </c>
      <c r="K23" s="2"/>
      <c r="L23" s="2" t="s">
        <v>66</v>
      </c>
      <c r="M23" s="2" t="s">
        <v>61</v>
      </c>
      <c r="N23" s="2" t="s">
        <v>67</v>
      </c>
      <c r="O23" s="2" t="s">
        <v>11</v>
      </c>
      <c r="P23" s="2" t="s">
        <v>68</v>
      </c>
      <c r="Q23" s="2" t="s">
        <v>116</v>
      </c>
      <c r="R23" s="2"/>
    </row>
    <row r="24" spans="1:18">
      <c r="A24" s="2" t="s">
        <v>119</v>
      </c>
      <c r="B24" s="2" t="s">
        <v>120</v>
      </c>
      <c r="C24" s="2" t="s">
        <v>55</v>
      </c>
      <c r="D24" s="2">
        <v>5127</v>
      </c>
      <c r="E24" s="2">
        <v>1000000</v>
      </c>
      <c r="F24" s="3">
        <f>IF(COUNT(D24,E24)=2,D24*E24,NA())</f>
        <v>5127000000.0</v>
      </c>
      <c r="G24" s="2" t="s">
        <v>56</v>
      </c>
      <c r="H24" s="2" t="s">
        <v>57</v>
      </c>
      <c r="I24" s="2" t="s">
        <v>58</v>
      </c>
      <c r="J24" s="2" t="s">
        <v>59</v>
      </c>
      <c r="K24" s="2"/>
      <c r="L24" s="2" t="s">
        <v>60</v>
      </c>
      <c r="M24" s="2" t="s">
        <v>61</v>
      </c>
      <c r="N24" s="2" t="s">
        <v>62</v>
      </c>
      <c r="O24" s="2" t="s">
        <v>11</v>
      </c>
      <c r="P24" s="2"/>
      <c r="Q24" s="2" t="s">
        <v>121</v>
      </c>
      <c r="R24" s="2"/>
    </row>
    <row r="25" spans="1:18">
      <c r="A25" s="2" t="s">
        <v>122</v>
      </c>
      <c r="B25" s="2" t="s">
        <v>123</v>
      </c>
      <c r="C25" s="2" t="s">
        <v>55</v>
      </c>
      <c r="D25" s="2">
        <v>5127</v>
      </c>
      <c r="E25" s="2">
        <v>1000000</v>
      </c>
      <c r="F25" s="3">
        <f>IF(COUNT(D25,E25)=2,D25*E25,NA())</f>
        <v>5127000000.0</v>
      </c>
      <c r="G25" s="2" t="s">
        <v>56</v>
      </c>
      <c r="H25" s="2" t="s">
        <v>57</v>
      </c>
      <c r="I25" s="2" t="s">
        <v>58</v>
      </c>
      <c r="J25" s="2" t="s">
        <v>59</v>
      </c>
      <c r="K25" s="2"/>
      <c r="L25" s="2" t="s">
        <v>66</v>
      </c>
      <c r="M25" s="2" t="s">
        <v>61</v>
      </c>
      <c r="N25" s="2" t="s">
        <v>67</v>
      </c>
      <c r="O25" s="2" t="s">
        <v>11</v>
      </c>
      <c r="P25" s="2" t="s">
        <v>68</v>
      </c>
      <c r="Q25" s="2" t="s">
        <v>121</v>
      </c>
      <c r="R25" s="2"/>
    </row>
    <row r="26" spans="1:18">
      <c r="A26" s="2" t="s">
        <v>124</v>
      </c>
      <c r="B26" s="2" t="s">
        <v>125</v>
      </c>
      <c r="C26" s="2" t="s">
        <v>55</v>
      </c>
      <c r="D26" s="2">
        <v>834</v>
      </c>
      <c r="E26" s="2">
        <v>1000000</v>
      </c>
      <c r="F26" s="3">
        <f>IF(COUNT(D26,E26)=2,D26*E26,NA())</f>
        <v>834000000.0</v>
      </c>
      <c r="G26" s="2" t="s">
        <v>56</v>
      </c>
      <c r="H26" s="2" t="s">
        <v>57</v>
      </c>
      <c r="I26" s="2" t="s">
        <v>58</v>
      </c>
      <c r="J26" s="2" t="s">
        <v>59</v>
      </c>
      <c r="K26" s="2"/>
      <c r="L26" s="2" t="s">
        <v>60</v>
      </c>
      <c r="M26" s="2" t="s">
        <v>61</v>
      </c>
      <c r="N26" s="2" t="s">
        <v>62</v>
      </c>
      <c r="O26" s="2" t="s">
        <v>11</v>
      </c>
      <c r="P26" s="2"/>
      <c r="Q26" s="2" t="s">
        <v>126</v>
      </c>
      <c r="R26" s="2"/>
    </row>
    <row r="27" spans="1:18">
      <c r="A27" s="2" t="s">
        <v>127</v>
      </c>
      <c r="B27" s="2" t="s">
        <v>128</v>
      </c>
      <c r="C27" s="2" t="s">
        <v>55</v>
      </c>
      <c r="D27" s="2">
        <v>1009</v>
      </c>
      <c r="E27" s="2">
        <v>1000000</v>
      </c>
      <c r="F27" s="3">
        <f>IF(COUNT(D27,E27)=2,D27*E27,NA())</f>
        <v>1009000000.0</v>
      </c>
      <c r="G27" s="2" t="s">
        <v>56</v>
      </c>
      <c r="H27" s="2" t="s">
        <v>57</v>
      </c>
      <c r="I27" s="2" t="s">
        <v>58</v>
      </c>
      <c r="J27" s="2" t="s">
        <v>59</v>
      </c>
      <c r="K27" s="2"/>
      <c r="L27" s="2" t="s">
        <v>66</v>
      </c>
      <c r="M27" s="2" t="s">
        <v>61</v>
      </c>
      <c r="N27" s="2" t="s">
        <v>67</v>
      </c>
      <c r="O27" s="2" t="s">
        <v>11</v>
      </c>
      <c r="P27" s="2" t="s">
        <v>68</v>
      </c>
      <c r="Q27" s="2" t="s">
        <v>126</v>
      </c>
      <c r="R27" s="2"/>
    </row>
    <row r="28" spans="1:18">
      <c r="A28" s="2" t="s">
        <v>129</v>
      </c>
      <c r="B28" s="2" t="s">
        <v>130</v>
      </c>
      <c r="C28" s="2" t="s">
        <v>55</v>
      </c>
      <c r="D28" s="2">
        <v>27</v>
      </c>
      <c r="E28" s="2">
        <v>1000000</v>
      </c>
      <c r="F28" s="3">
        <f>IF(COUNT(D28,E28)=2,D28*E28,NA())</f>
        <v>27000000.0</v>
      </c>
      <c r="G28" s="2" t="s">
        <v>56</v>
      </c>
      <c r="H28" s="2" t="s">
        <v>57</v>
      </c>
      <c r="I28" s="2" t="s">
        <v>58</v>
      </c>
      <c r="J28" s="2" t="s">
        <v>59</v>
      </c>
      <c r="K28" s="2"/>
      <c r="L28" s="2" t="s">
        <v>60</v>
      </c>
      <c r="M28" s="2" t="s">
        <v>61</v>
      </c>
      <c r="N28" s="2" t="s">
        <v>62</v>
      </c>
      <c r="O28" s="2" t="s">
        <v>11</v>
      </c>
      <c r="P28" s="2"/>
      <c r="Q28" s="2" t="s">
        <v>131</v>
      </c>
      <c r="R28" s="2"/>
    </row>
    <row r="29" spans="1:18">
      <c r="A29" s="2" t="s">
        <v>132</v>
      </c>
      <c r="B29" s="2" t="s">
        <v>133</v>
      </c>
      <c r="C29" s="2" t="s">
        <v>55</v>
      </c>
      <c r="D29" s="2">
        <v>28</v>
      </c>
      <c r="E29" s="2">
        <v>1000000</v>
      </c>
      <c r="F29" s="3">
        <f>IF(COUNT(D29,E29)=2,D29*E29,NA())</f>
        <v>28000000.0</v>
      </c>
      <c r="G29" s="2" t="s">
        <v>56</v>
      </c>
      <c r="H29" s="2" t="s">
        <v>57</v>
      </c>
      <c r="I29" s="2" t="s">
        <v>58</v>
      </c>
      <c r="J29" s="2" t="s">
        <v>59</v>
      </c>
      <c r="K29" s="2"/>
      <c r="L29" s="2" t="s">
        <v>66</v>
      </c>
      <c r="M29" s="2" t="s">
        <v>61</v>
      </c>
      <c r="N29" s="2" t="s">
        <v>67</v>
      </c>
      <c r="O29" s="2" t="s">
        <v>11</v>
      </c>
      <c r="P29" s="2" t="s">
        <v>68</v>
      </c>
      <c r="Q29" s="2" t="s">
        <v>131</v>
      </c>
      <c r="R29" s="2"/>
    </row>
    <row r="30" spans="1:18">
      <c r="A30" s="2" t="s">
        <v>134</v>
      </c>
      <c r="B30" s="2" t="s">
        <v>135</v>
      </c>
      <c r="C30" s="2" t="s">
        <v>55</v>
      </c>
      <c r="D30" s="2">
        <v>61</v>
      </c>
      <c r="E30" s="2">
        <v>1000000</v>
      </c>
      <c r="F30" s="3">
        <f>IF(COUNT(D30,E30)=2,D30*E30,NA())</f>
        <v>61000000.0</v>
      </c>
      <c r="G30" s="2" t="s">
        <v>56</v>
      </c>
      <c r="H30" s="2" t="s">
        <v>57</v>
      </c>
      <c r="I30" s="2" t="s">
        <v>58</v>
      </c>
      <c r="J30" s="2" t="s">
        <v>59</v>
      </c>
      <c r="K30" s="2"/>
      <c r="L30" s="2" t="s">
        <v>60</v>
      </c>
      <c r="M30" s="2" t="s">
        <v>61</v>
      </c>
      <c r="N30" s="2" t="s">
        <v>62</v>
      </c>
      <c r="O30" s="2" t="s">
        <v>11</v>
      </c>
      <c r="P30" s="2"/>
      <c r="Q30" s="2" t="s">
        <v>136</v>
      </c>
      <c r="R30" s="2"/>
    </row>
    <row r="31" spans="1:18">
      <c r="A31" s="2" t="s">
        <v>137</v>
      </c>
      <c r="B31" s="2" t="s">
        <v>138</v>
      </c>
      <c r="C31" s="2" t="s">
        <v>55</v>
      </c>
      <c r="D31" s="2">
        <v>58</v>
      </c>
      <c r="E31" s="2">
        <v>1000000</v>
      </c>
      <c r="F31" s="3">
        <f>IF(COUNT(D31,E31)=2,D31*E31,NA())</f>
        <v>58000000.0</v>
      </c>
      <c r="G31" s="2" t="s">
        <v>56</v>
      </c>
      <c r="H31" s="2" t="s">
        <v>57</v>
      </c>
      <c r="I31" s="2" t="s">
        <v>58</v>
      </c>
      <c r="J31" s="2" t="s">
        <v>59</v>
      </c>
      <c r="K31" s="2"/>
      <c r="L31" s="2" t="s">
        <v>66</v>
      </c>
      <c r="M31" s="2" t="s">
        <v>61</v>
      </c>
      <c r="N31" s="2" t="s">
        <v>67</v>
      </c>
      <c r="O31" s="2" t="s">
        <v>11</v>
      </c>
      <c r="P31" s="2" t="s">
        <v>68</v>
      </c>
      <c r="Q31" s="2" t="s">
        <v>136</v>
      </c>
      <c r="R31" s="2"/>
    </row>
    <row r="32" spans="1:18">
      <c r="A32" s="2" t="s">
        <v>139</v>
      </c>
      <c r="B32" s="2" t="s">
        <v>140</v>
      </c>
      <c r="C32" s="2" t="s">
        <v>55</v>
      </c>
      <c r="D32" s="2">
        <v>10291</v>
      </c>
      <c r="E32" s="2">
        <v>1000000</v>
      </c>
      <c r="F32" s="3">
        <f>IF(COUNT(D32,E32)=2,D32*E32,NA())</f>
        <v>10291000000.0</v>
      </c>
      <c r="G32" s="2" t="s">
        <v>56</v>
      </c>
      <c r="H32" s="2" t="s">
        <v>57</v>
      </c>
      <c r="I32" s="2" t="s">
        <v>58</v>
      </c>
      <c r="J32" s="2" t="s">
        <v>59</v>
      </c>
      <c r="K32" s="2"/>
      <c r="L32" s="2" t="s">
        <v>60</v>
      </c>
      <c r="M32" s="2" t="s">
        <v>61</v>
      </c>
      <c r="N32" s="2" t="s">
        <v>62</v>
      </c>
      <c r="O32" s="2" t="s">
        <v>11</v>
      </c>
      <c r="P32" s="2"/>
      <c r="Q32" s="2" t="s">
        <v>141</v>
      </c>
      <c r="R32" s="2"/>
    </row>
    <row r="33" spans="1:18">
      <c r="A33" s="2" t="s">
        <v>142</v>
      </c>
      <c r="B33" s="2" t="s">
        <v>143</v>
      </c>
      <c r="C33" s="2" t="s">
        <v>55</v>
      </c>
      <c r="D33" s="2">
        <v>10968</v>
      </c>
      <c r="E33" s="2">
        <v>1000000</v>
      </c>
      <c r="F33" s="3">
        <f>IF(COUNT(D33,E33)=2,D33*E33,NA())</f>
        <v>10968000000.0</v>
      </c>
      <c r="G33" s="2" t="s">
        <v>56</v>
      </c>
      <c r="H33" s="2" t="s">
        <v>57</v>
      </c>
      <c r="I33" s="2" t="s">
        <v>58</v>
      </c>
      <c r="J33" s="2" t="s">
        <v>59</v>
      </c>
      <c r="K33" s="2"/>
      <c r="L33" s="2" t="s">
        <v>66</v>
      </c>
      <c r="M33" s="2" t="s">
        <v>61</v>
      </c>
      <c r="N33" s="2" t="s">
        <v>67</v>
      </c>
      <c r="O33" s="2" t="s">
        <v>11</v>
      </c>
      <c r="P33" s="2" t="s">
        <v>68</v>
      </c>
      <c r="Q33" s="2" t="s">
        <v>141</v>
      </c>
      <c r="R33" s="2"/>
    </row>
    <row r="34" spans="1:18">
      <c r="A34" s="2" t="s">
        <v>144</v>
      </c>
      <c r="B34" s="2" t="s">
        <v>145</v>
      </c>
      <c r="C34" s="2" t="s">
        <v>55</v>
      </c>
      <c r="D34" s="2">
        <v>31518</v>
      </c>
      <c r="E34" s="2">
        <v>1000000</v>
      </c>
      <c r="F34" s="3">
        <f>IF(COUNT(D34,E34)=2,D34*E34,NA())</f>
        <v>31518000000.0</v>
      </c>
      <c r="G34" s="2" t="s">
        <v>56</v>
      </c>
      <c r="H34" s="2" t="s">
        <v>57</v>
      </c>
      <c r="I34" s="2" t="s">
        <v>58</v>
      </c>
      <c r="J34" s="2" t="s">
        <v>59</v>
      </c>
      <c r="K34" s="2"/>
      <c r="L34" s="2" t="s">
        <v>60</v>
      </c>
      <c r="M34" s="2" t="s">
        <v>61</v>
      </c>
      <c r="N34" s="2" t="s">
        <v>62</v>
      </c>
      <c r="O34" s="2" t="s">
        <v>11</v>
      </c>
      <c r="P34" s="2"/>
      <c r="Q34" s="2" t="s">
        <v>146</v>
      </c>
      <c r="R34" s="2"/>
    </row>
    <row r="35" spans="1:18">
      <c r="A35" s="2" t="s">
        <v>147</v>
      </c>
      <c r="B35" s="2" t="s">
        <v>148</v>
      </c>
      <c r="C35" s="2" t="s">
        <v>55</v>
      </c>
      <c r="D35" s="2">
        <v>32736</v>
      </c>
      <c r="E35" s="2">
        <v>1000000</v>
      </c>
      <c r="F35" s="3">
        <f>IF(COUNT(D35,E35)=2,D35*E35,NA())</f>
        <v>32736000000.0</v>
      </c>
      <c r="G35" s="2" t="s">
        <v>56</v>
      </c>
      <c r="H35" s="2" t="s">
        <v>57</v>
      </c>
      <c r="I35" s="2" t="s">
        <v>58</v>
      </c>
      <c r="J35" s="2" t="s">
        <v>59</v>
      </c>
      <c r="K35" s="2"/>
      <c r="L35" s="2" t="s">
        <v>66</v>
      </c>
      <c r="M35" s="2" t="s">
        <v>61</v>
      </c>
      <c r="N35" s="2" t="s">
        <v>67</v>
      </c>
      <c r="O35" s="2" t="s">
        <v>11</v>
      </c>
      <c r="P35" s="2" t="s">
        <v>68</v>
      </c>
      <c r="Q35" s="2" t="s">
        <v>146</v>
      </c>
      <c r="R35" s="2"/>
    </row>
    <row r="36" spans="1:18">
      <c r="A36" s="2" t="s">
        <v>149</v>
      </c>
      <c r="B36" s="2" t="s">
        <v>150</v>
      </c>
      <c r="C36" s="2" t="s">
        <v>55</v>
      </c>
      <c r="D36" s="2">
        <v>71</v>
      </c>
      <c r="E36" s="2">
        <v>1000000</v>
      </c>
      <c r="F36" s="3">
        <f>IF(COUNT(D36,E36)=2,D36*E36,NA())</f>
        <v>71000000.0</v>
      </c>
      <c r="G36" s="2" t="s">
        <v>56</v>
      </c>
      <c r="H36" s="2" t="s">
        <v>57</v>
      </c>
      <c r="I36" s="2" t="s">
        <v>58</v>
      </c>
      <c r="J36" s="2" t="s">
        <v>59</v>
      </c>
      <c r="K36" s="2"/>
      <c r="L36" s="2" t="s">
        <v>60</v>
      </c>
      <c r="M36" s="2" t="s">
        <v>61</v>
      </c>
      <c r="N36" s="2" t="s">
        <v>62</v>
      </c>
      <c r="O36" s="2" t="s">
        <v>11</v>
      </c>
      <c r="P36" s="2"/>
      <c r="Q36" s="2" t="s">
        <v>151</v>
      </c>
      <c r="R36" s="2"/>
    </row>
    <row r="37" spans="1:18">
      <c r="A37" s="2" t="s">
        <v>152</v>
      </c>
      <c r="B37" s="2" t="s">
        <v>153</v>
      </c>
      <c r="C37" s="2" t="s">
        <v>55</v>
      </c>
      <c r="D37" s="2">
        <v>48</v>
      </c>
      <c r="E37" s="2">
        <v>1000000</v>
      </c>
      <c r="F37" s="3">
        <f>IF(COUNT(D37,E37)=2,D37*E37,NA())</f>
        <v>48000000.0</v>
      </c>
      <c r="G37" s="2" t="s">
        <v>56</v>
      </c>
      <c r="H37" s="2" t="s">
        <v>57</v>
      </c>
      <c r="I37" s="2" t="s">
        <v>58</v>
      </c>
      <c r="J37" s="2" t="s">
        <v>59</v>
      </c>
      <c r="K37" s="2"/>
      <c r="L37" s="2" t="s">
        <v>66</v>
      </c>
      <c r="M37" s="2" t="s">
        <v>61</v>
      </c>
      <c r="N37" s="2" t="s">
        <v>67</v>
      </c>
      <c r="O37" s="2" t="s">
        <v>11</v>
      </c>
      <c r="P37" s="2" t="s">
        <v>68</v>
      </c>
      <c r="Q37" s="2" t="s">
        <v>151</v>
      </c>
      <c r="R37" s="2"/>
    </row>
    <row r="38" spans="1:18">
      <c r="A38" s="2" t="s">
        <v>154</v>
      </c>
      <c r="B38" s="2" t="s">
        <v>155</v>
      </c>
      <c r="C38" s="2" t="s">
        <v>55</v>
      </c>
      <c r="D38" s="2">
        <v>235</v>
      </c>
      <c r="E38" s="2">
        <v>1000000</v>
      </c>
      <c r="F38" s="3">
        <f>IF(COUNT(D38,E38)=2,D38*E38,NA())</f>
        <v>235000000.0</v>
      </c>
      <c r="G38" s="2" t="s">
        <v>56</v>
      </c>
      <c r="H38" s="2" t="s">
        <v>57</v>
      </c>
      <c r="I38" s="2" t="s">
        <v>58</v>
      </c>
      <c r="J38" s="2" t="s">
        <v>59</v>
      </c>
      <c r="K38" s="2"/>
      <c r="L38" s="2" t="s">
        <v>60</v>
      </c>
      <c r="M38" s="2" t="s">
        <v>61</v>
      </c>
      <c r="N38" s="2" t="s">
        <v>62</v>
      </c>
      <c r="O38" s="2" t="s">
        <v>11</v>
      </c>
      <c r="P38" s="2"/>
      <c r="Q38" s="2" t="s">
        <v>156</v>
      </c>
      <c r="R38" s="2"/>
    </row>
    <row r="39" spans="1:18">
      <c r="A39" s="2" t="s">
        <v>157</v>
      </c>
      <c r="B39" s="2" t="s">
        <v>158</v>
      </c>
      <c r="C39" s="2" t="s">
        <v>55</v>
      </c>
      <c r="D39" s="2">
        <v>244</v>
      </c>
      <c r="E39" s="2">
        <v>1000000</v>
      </c>
      <c r="F39" s="3">
        <f>IF(COUNT(D39,E39)=2,D39*E39,NA())</f>
        <v>244000000.0</v>
      </c>
      <c r="G39" s="2" t="s">
        <v>56</v>
      </c>
      <c r="H39" s="2" t="s">
        <v>57</v>
      </c>
      <c r="I39" s="2" t="s">
        <v>58</v>
      </c>
      <c r="J39" s="2" t="s">
        <v>59</v>
      </c>
      <c r="K39" s="2"/>
      <c r="L39" s="2" t="s">
        <v>66</v>
      </c>
      <c r="M39" s="2" t="s">
        <v>61</v>
      </c>
      <c r="N39" s="2" t="s">
        <v>67</v>
      </c>
      <c r="O39" s="2" t="s">
        <v>11</v>
      </c>
      <c r="P39" s="2" t="s">
        <v>68</v>
      </c>
      <c r="Q39" s="2" t="s">
        <v>156</v>
      </c>
      <c r="R39" s="2"/>
    </row>
    <row r="40" spans="1:18">
      <c r="A40" s="2" t="s">
        <v>159</v>
      </c>
      <c r="B40" s="2" t="s">
        <v>160</v>
      </c>
      <c r="C40" s="2" t="s">
        <v>55</v>
      </c>
      <c r="D40" s="2">
        <v>192</v>
      </c>
      <c r="E40" s="2">
        <v>1000000</v>
      </c>
      <c r="F40" s="3">
        <f>IF(COUNT(D40,E40)=2,D40*E40,NA())</f>
        <v>192000000.0</v>
      </c>
      <c r="G40" s="2" t="s">
        <v>56</v>
      </c>
      <c r="H40" s="2" t="s">
        <v>57</v>
      </c>
      <c r="I40" s="2" t="s">
        <v>58</v>
      </c>
      <c r="J40" s="2" t="s">
        <v>59</v>
      </c>
      <c r="K40" s="2"/>
      <c r="L40" s="2" t="s">
        <v>60</v>
      </c>
      <c r="M40" s="2" t="s">
        <v>61</v>
      </c>
      <c r="N40" s="2" t="s">
        <v>62</v>
      </c>
      <c r="O40" s="2" t="s">
        <v>11</v>
      </c>
      <c r="P40" s="2"/>
      <c r="Q40" s="2" t="s">
        <v>161</v>
      </c>
      <c r="R40" s="2"/>
    </row>
    <row r="41" spans="1:18">
      <c r="A41" s="2" t="s">
        <v>162</v>
      </c>
      <c r="B41" s="2" t="s">
        <v>163</v>
      </c>
      <c r="C41" s="2" t="s">
        <v>55</v>
      </c>
      <c r="D41" s="2">
        <v>141</v>
      </c>
      <c r="E41" s="2">
        <v>1000000</v>
      </c>
      <c r="F41" s="3">
        <f>IF(COUNT(D41,E41)=2,D41*E41,NA())</f>
        <v>141000000.0</v>
      </c>
      <c r="G41" s="2" t="s">
        <v>56</v>
      </c>
      <c r="H41" s="2" t="s">
        <v>57</v>
      </c>
      <c r="I41" s="2" t="s">
        <v>58</v>
      </c>
      <c r="J41" s="2" t="s">
        <v>59</v>
      </c>
      <c r="K41" s="2"/>
      <c r="L41" s="2" t="s">
        <v>66</v>
      </c>
      <c r="M41" s="2" t="s">
        <v>61</v>
      </c>
      <c r="N41" s="2" t="s">
        <v>67</v>
      </c>
      <c r="O41" s="2" t="s">
        <v>11</v>
      </c>
      <c r="P41" s="2" t="s">
        <v>68</v>
      </c>
      <c r="Q41" s="2" t="s">
        <v>161</v>
      </c>
      <c r="R41" s="2"/>
    </row>
    <row r="42" spans="1:18">
      <c r="A42" s="2" t="s">
        <v>164</v>
      </c>
      <c r="B42" s="2" t="s">
        <v>165</v>
      </c>
      <c r="C42" s="2" t="s">
        <v>55</v>
      </c>
      <c r="D42" s="2">
        <v>168</v>
      </c>
      <c r="E42" s="2">
        <v>1000000</v>
      </c>
      <c r="F42" s="3">
        <f>IF(COUNT(D42,E42)=2,D42*E42,NA())</f>
        <v>168000000.0</v>
      </c>
      <c r="G42" s="2" t="s">
        <v>56</v>
      </c>
      <c r="H42" s="2" t="s">
        <v>57</v>
      </c>
      <c r="I42" s="2" t="s">
        <v>58</v>
      </c>
      <c r="J42" s="2" t="s">
        <v>59</v>
      </c>
      <c r="K42" s="2"/>
      <c r="L42" s="2" t="s">
        <v>60</v>
      </c>
      <c r="M42" s="2" t="s">
        <v>61</v>
      </c>
      <c r="N42" s="2" t="s">
        <v>62</v>
      </c>
      <c r="O42" s="2" t="s">
        <v>11</v>
      </c>
      <c r="P42" s="2"/>
      <c r="Q42" s="2" t="s">
        <v>166</v>
      </c>
      <c r="R42" s="2"/>
    </row>
    <row r="43" spans="1:18">
      <c r="A43" s="2" t="s">
        <v>167</v>
      </c>
      <c r="B43" s="2" t="s">
        <v>168</v>
      </c>
      <c r="C43" s="2" t="s">
        <v>55</v>
      </c>
      <c r="D43" s="2">
        <v>167</v>
      </c>
      <c r="E43" s="2">
        <v>1000000</v>
      </c>
      <c r="F43" s="3">
        <f>IF(COUNT(D43,E43)=2,D43*E43,NA())</f>
        <v>167000000.0</v>
      </c>
      <c r="G43" s="2" t="s">
        <v>56</v>
      </c>
      <c r="H43" s="2" t="s">
        <v>57</v>
      </c>
      <c r="I43" s="2" t="s">
        <v>58</v>
      </c>
      <c r="J43" s="2" t="s">
        <v>59</v>
      </c>
      <c r="K43" s="2"/>
      <c r="L43" s="2" t="s">
        <v>66</v>
      </c>
      <c r="M43" s="2" t="s">
        <v>61</v>
      </c>
      <c r="N43" s="2" t="s">
        <v>67</v>
      </c>
      <c r="O43" s="2" t="s">
        <v>11</v>
      </c>
      <c r="P43" s="2" t="s">
        <v>68</v>
      </c>
      <c r="Q43" s="2" t="s">
        <v>166</v>
      </c>
      <c r="R43" s="2"/>
    </row>
    <row r="44" spans="1:18">
      <c r="A44" s="2" t="s">
        <v>169</v>
      </c>
      <c r="B44" s="2" t="s">
        <v>170</v>
      </c>
      <c r="C44" s="2" t="s">
        <v>55</v>
      </c>
      <c r="D44" s="2">
        <v>2783</v>
      </c>
      <c r="E44" s="2">
        <v>1000000</v>
      </c>
      <c r="F44" s="3">
        <f>IF(COUNT(D44,E44)=2,D44*E44,NA())</f>
        <v>2783000000.0</v>
      </c>
      <c r="G44" s="2" t="s">
        <v>56</v>
      </c>
      <c r="H44" s="2" t="s">
        <v>57</v>
      </c>
      <c r="I44" s="2" t="s">
        <v>58</v>
      </c>
      <c r="J44" s="2" t="s">
        <v>59</v>
      </c>
      <c r="K44" s="2"/>
      <c r="L44" s="2" t="s">
        <v>60</v>
      </c>
      <c r="M44" s="2" t="s">
        <v>61</v>
      </c>
      <c r="N44" s="2" t="s">
        <v>62</v>
      </c>
      <c r="O44" s="2" t="s">
        <v>11</v>
      </c>
      <c r="P44" s="2"/>
      <c r="Q44" s="2" t="s">
        <v>171</v>
      </c>
      <c r="R44" s="2"/>
    </row>
    <row r="45" spans="1:18">
      <c r="A45" s="2" t="s">
        <v>172</v>
      </c>
      <c r="B45" s="2" t="s">
        <v>173</v>
      </c>
      <c r="C45" s="2" t="s">
        <v>55</v>
      </c>
      <c r="D45" s="2">
        <v>603</v>
      </c>
      <c r="E45" s="2">
        <v>1000000</v>
      </c>
      <c r="F45" s="3">
        <f>IF(COUNT(D45,E45)=2,D45*E45,NA())</f>
        <v>603000000.0</v>
      </c>
      <c r="G45" s="2" t="s">
        <v>56</v>
      </c>
      <c r="H45" s="2" t="s">
        <v>57</v>
      </c>
      <c r="I45" s="2" t="s">
        <v>58</v>
      </c>
      <c r="J45" s="2" t="s">
        <v>59</v>
      </c>
      <c r="K45" s="2"/>
      <c r="L45" s="2" t="s">
        <v>66</v>
      </c>
      <c r="M45" s="2" t="s">
        <v>61</v>
      </c>
      <c r="N45" s="2" t="s">
        <v>67</v>
      </c>
      <c r="O45" s="2" t="s">
        <v>11</v>
      </c>
      <c r="P45" s="2" t="s">
        <v>68</v>
      </c>
      <c r="Q45" s="2" t="s">
        <v>171</v>
      </c>
      <c r="R45" s="2"/>
    </row>
    <row r="46" spans="1:18">
      <c r="A46" s="2" t="s">
        <v>174</v>
      </c>
      <c r="B46" s="2" t="s">
        <v>175</v>
      </c>
      <c r="C46" s="2" t="s">
        <v>55</v>
      </c>
      <c r="D46" s="2">
        <v>268</v>
      </c>
      <c r="E46" s="2">
        <v>1000000</v>
      </c>
      <c r="F46" s="3">
        <f>IF(COUNT(D46,E46)=2,D46*E46,NA())</f>
        <v>268000000.0</v>
      </c>
      <c r="G46" s="2" t="s">
        <v>56</v>
      </c>
      <c r="H46" s="2" t="s">
        <v>57</v>
      </c>
      <c r="I46" s="2" t="s">
        <v>58</v>
      </c>
      <c r="J46" s="2" t="s">
        <v>59</v>
      </c>
      <c r="K46" s="2"/>
      <c r="L46" s="2" t="s">
        <v>60</v>
      </c>
      <c r="M46" s="2" t="s">
        <v>61</v>
      </c>
      <c r="N46" s="2" t="s">
        <v>62</v>
      </c>
      <c r="O46" s="2" t="s">
        <v>11</v>
      </c>
      <c r="P46" s="2"/>
      <c r="Q46" s="2" t="s">
        <v>176</v>
      </c>
      <c r="R46" s="2"/>
    </row>
    <row r="47" spans="1:18">
      <c r="A47" s="2" t="s">
        <v>177</v>
      </c>
      <c r="B47" s="2" t="s">
        <v>178</v>
      </c>
      <c r="C47" s="2" t="s">
        <v>55</v>
      </c>
      <c r="D47" s="2">
        <v>264</v>
      </c>
      <c r="E47" s="2">
        <v>1000000</v>
      </c>
      <c r="F47" s="3">
        <f>IF(COUNT(D47,E47)=2,D47*E47,NA())</f>
        <v>264000000.0</v>
      </c>
      <c r="G47" s="2" t="s">
        <v>56</v>
      </c>
      <c r="H47" s="2" t="s">
        <v>57</v>
      </c>
      <c r="I47" s="2" t="s">
        <v>58</v>
      </c>
      <c r="J47" s="2" t="s">
        <v>59</v>
      </c>
      <c r="K47" s="2"/>
      <c r="L47" s="2" t="s">
        <v>66</v>
      </c>
      <c r="M47" s="2" t="s">
        <v>61</v>
      </c>
      <c r="N47" s="2" t="s">
        <v>67</v>
      </c>
      <c r="O47" s="2" t="s">
        <v>11</v>
      </c>
      <c r="P47" s="2" t="s">
        <v>68</v>
      </c>
      <c r="Q47" s="2" t="s">
        <v>176</v>
      </c>
      <c r="R47" s="2"/>
    </row>
    <row r="48" spans="1:18">
      <c r="A48" s="2" t="s">
        <v>179</v>
      </c>
      <c r="B48" s="2" t="s">
        <v>180</v>
      </c>
      <c r="C48" s="2" t="s">
        <v>55</v>
      </c>
      <c r="D48" s="2">
        <v>762</v>
      </c>
      <c r="E48" s="2">
        <v>1000000</v>
      </c>
      <c r="F48" s="3">
        <f>IF(COUNT(D48,E48)=2,D48*E48,NA())</f>
        <v>762000000.0</v>
      </c>
      <c r="G48" s="2" t="s">
        <v>56</v>
      </c>
      <c r="H48" s="2" t="s">
        <v>57</v>
      </c>
      <c r="I48" s="2" t="s">
        <v>58</v>
      </c>
      <c r="J48" s="2" t="s">
        <v>59</v>
      </c>
      <c r="K48" s="2"/>
      <c r="L48" s="2" t="s">
        <v>60</v>
      </c>
      <c r="M48" s="2" t="s">
        <v>61</v>
      </c>
      <c r="N48" s="2" t="s">
        <v>62</v>
      </c>
      <c r="O48" s="2" t="s">
        <v>11</v>
      </c>
      <c r="P48" s="2"/>
      <c r="Q48" s="2" t="s">
        <v>181</v>
      </c>
      <c r="R48" s="2"/>
    </row>
    <row r="49" spans="1:18">
      <c r="A49" s="2" t="s">
        <v>182</v>
      </c>
      <c r="B49" s="2" t="s">
        <v>183</v>
      </c>
      <c r="C49" s="2" t="s">
        <v>55</v>
      </c>
      <c r="D49" s="2">
        <v>710</v>
      </c>
      <c r="E49" s="2">
        <v>1000000</v>
      </c>
      <c r="F49" s="3">
        <f>IF(COUNT(D49,E49)=2,D49*E49,NA())</f>
        <v>710000000.0</v>
      </c>
      <c r="G49" s="2" t="s">
        <v>56</v>
      </c>
      <c r="H49" s="2" t="s">
        <v>57</v>
      </c>
      <c r="I49" s="2" t="s">
        <v>58</v>
      </c>
      <c r="J49" s="2" t="s">
        <v>59</v>
      </c>
      <c r="K49" s="2"/>
      <c r="L49" s="2" t="s">
        <v>66</v>
      </c>
      <c r="M49" s="2" t="s">
        <v>61</v>
      </c>
      <c r="N49" s="2" t="s">
        <v>67</v>
      </c>
      <c r="O49" s="2" t="s">
        <v>11</v>
      </c>
      <c r="P49" s="2" t="s">
        <v>68</v>
      </c>
      <c r="Q49" s="2" t="s">
        <v>181</v>
      </c>
      <c r="R49" s="2"/>
    </row>
    <row r="50" spans="1:18">
      <c r="A50" s="2" t="s">
        <v>184</v>
      </c>
      <c r="B50" s="2" t="s">
        <v>185</v>
      </c>
      <c r="C50" s="2" t="s">
        <v>55</v>
      </c>
      <c r="D50" s="2">
        <v>4479</v>
      </c>
      <c r="E50" s="2">
        <v>1000000</v>
      </c>
      <c r="F50" s="3">
        <f>IF(COUNT(D50,E50)=2,D50*E50,NA())</f>
        <v>4479000000.0</v>
      </c>
      <c r="G50" s="2" t="s">
        <v>56</v>
      </c>
      <c r="H50" s="2" t="s">
        <v>57</v>
      </c>
      <c r="I50" s="2" t="s">
        <v>58</v>
      </c>
      <c r="J50" s="2" t="s">
        <v>59</v>
      </c>
      <c r="K50" s="2"/>
      <c r="L50" s="2" t="s">
        <v>60</v>
      </c>
      <c r="M50" s="2" t="s">
        <v>61</v>
      </c>
      <c r="N50" s="2" t="s">
        <v>62</v>
      </c>
      <c r="O50" s="2" t="s">
        <v>11</v>
      </c>
      <c r="P50" s="2"/>
      <c r="Q50" s="2" t="s">
        <v>186</v>
      </c>
      <c r="R50" s="2"/>
    </row>
    <row r="51" spans="1:18">
      <c r="A51" s="2" t="s">
        <v>187</v>
      </c>
      <c r="B51" s="2" t="s">
        <v>188</v>
      </c>
      <c r="C51" s="2" t="s">
        <v>55</v>
      </c>
      <c r="D51" s="2">
        <v>2177</v>
      </c>
      <c r="E51" s="2">
        <v>1000000</v>
      </c>
      <c r="F51" s="3">
        <f>IF(COUNT(D51,E51)=2,D51*E51,NA())</f>
        <v>2177000000.0</v>
      </c>
      <c r="G51" s="2" t="s">
        <v>56</v>
      </c>
      <c r="H51" s="2" t="s">
        <v>57</v>
      </c>
      <c r="I51" s="2" t="s">
        <v>58</v>
      </c>
      <c r="J51" s="2" t="s">
        <v>59</v>
      </c>
      <c r="K51" s="2"/>
      <c r="L51" s="2" t="s">
        <v>66</v>
      </c>
      <c r="M51" s="2" t="s">
        <v>61</v>
      </c>
      <c r="N51" s="2" t="s">
        <v>67</v>
      </c>
      <c r="O51" s="2" t="s">
        <v>11</v>
      </c>
      <c r="P51" s="2" t="s">
        <v>68</v>
      </c>
      <c r="Q51" s="2" t="s">
        <v>186</v>
      </c>
      <c r="R51" s="2"/>
    </row>
    <row r="52" spans="1:18">
      <c r="A52" s="2" t="s">
        <v>189</v>
      </c>
      <c r="B52" s="2" t="s">
        <v>190</v>
      </c>
      <c r="C52" s="2" t="s">
        <v>55</v>
      </c>
      <c r="D52" s="2">
        <v>21554</v>
      </c>
      <c r="E52" s="2">
        <v>1000000</v>
      </c>
      <c r="F52" s="3">
        <f>IF(COUNT(D52,E52)=2,D52*E52,NA())</f>
        <v>21554000000.0</v>
      </c>
      <c r="G52" s="2" t="s">
        <v>56</v>
      </c>
      <c r="H52" s="2" t="s">
        <v>57</v>
      </c>
      <c r="I52" s="2" t="s">
        <v>58</v>
      </c>
      <c r="J52" s="2" t="s">
        <v>59</v>
      </c>
      <c r="K52" s="2"/>
      <c r="L52" s="2" t="s">
        <v>60</v>
      </c>
      <c r="M52" s="2" t="s">
        <v>61</v>
      </c>
      <c r="N52" s="2" t="s">
        <v>62</v>
      </c>
      <c r="O52" s="2" t="s">
        <v>11</v>
      </c>
      <c r="P52" s="2"/>
      <c r="Q52" s="2" t="s">
        <v>191</v>
      </c>
      <c r="R52" s="2"/>
    </row>
    <row r="53" spans="1:18">
      <c r="A53" s="2" t="s">
        <v>192</v>
      </c>
      <c r="B53" s="2" t="s">
        <v>193</v>
      </c>
      <c r="C53" s="2" t="s">
        <v>55</v>
      </c>
      <c r="D53" s="2">
        <v>23451</v>
      </c>
      <c r="E53" s="2">
        <v>1000000</v>
      </c>
      <c r="F53" s="3">
        <f>IF(COUNT(D53,E53)=2,D53*E53,NA())</f>
        <v>23451000000.0</v>
      </c>
      <c r="G53" s="2" t="s">
        <v>56</v>
      </c>
      <c r="H53" s="2" t="s">
        <v>57</v>
      </c>
      <c r="I53" s="2" t="s">
        <v>58</v>
      </c>
      <c r="J53" s="2" t="s">
        <v>59</v>
      </c>
      <c r="K53" s="2"/>
      <c r="L53" s="2" t="s">
        <v>66</v>
      </c>
      <c r="M53" s="2" t="s">
        <v>61</v>
      </c>
      <c r="N53" s="2" t="s">
        <v>67</v>
      </c>
      <c r="O53" s="2" t="s">
        <v>11</v>
      </c>
      <c r="P53" s="2" t="s">
        <v>68</v>
      </c>
      <c r="Q53" s="2" t="s">
        <v>191</v>
      </c>
      <c r="R53" s="2"/>
    </row>
    <row r="54" spans="1:18">
      <c r="A54" s="2" t="s">
        <v>194</v>
      </c>
      <c r="B54" s="2" t="s">
        <v>195</v>
      </c>
      <c r="C54" s="2" t="s">
        <v>55</v>
      </c>
      <c r="D54" s="2">
        <v>4961</v>
      </c>
      <c r="E54" s="2">
        <v>1000000</v>
      </c>
      <c r="F54" s="3">
        <f>IF(COUNT(D54,E54)=2,D54*E54,NA())</f>
        <v>4961000000.0</v>
      </c>
      <c r="G54" s="2" t="s">
        <v>56</v>
      </c>
      <c r="H54" s="2" t="s">
        <v>57</v>
      </c>
      <c r="I54" s="2" t="s">
        <v>58</v>
      </c>
      <c r="J54" s="2" t="s">
        <v>59</v>
      </c>
      <c r="K54" s="2"/>
      <c r="L54" s="2" t="s">
        <v>60</v>
      </c>
      <c r="M54" s="2" t="s">
        <v>61</v>
      </c>
      <c r="N54" s="2" t="s">
        <v>62</v>
      </c>
      <c r="O54" s="2" t="s">
        <v>11</v>
      </c>
      <c r="P54" s="2"/>
      <c r="Q54" s="2" t="s">
        <v>196</v>
      </c>
      <c r="R54" s="2"/>
    </row>
    <row r="55" spans="1:18">
      <c r="A55" s="2" t="s">
        <v>197</v>
      </c>
      <c r="B55" s="2" t="s">
        <v>198</v>
      </c>
      <c r="C55" s="2" t="s">
        <v>55</v>
      </c>
      <c r="D55" s="2">
        <v>5062</v>
      </c>
      <c r="E55" s="2">
        <v>1000000</v>
      </c>
      <c r="F55" s="3">
        <f>IF(COUNT(D55,E55)=2,D55*E55,NA())</f>
        <v>5062000000.0</v>
      </c>
      <c r="G55" s="2" t="s">
        <v>56</v>
      </c>
      <c r="H55" s="2" t="s">
        <v>57</v>
      </c>
      <c r="I55" s="2" t="s">
        <v>58</v>
      </c>
      <c r="J55" s="2" t="s">
        <v>59</v>
      </c>
      <c r="K55" s="2"/>
      <c r="L55" s="2" t="s">
        <v>66</v>
      </c>
      <c r="M55" s="2" t="s">
        <v>61</v>
      </c>
      <c r="N55" s="2" t="s">
        <v>67</v>
      </c>
      <c r="O55" s="2" t="s">
        <v>11</v>
      </c>
      <c r="P55" s="2" t="s">
        <v>68</v>
      </c>
      <c r="Q55" s="2" t="s">
        <v>196</v>
      </c>
      <c r="R55" s="2"/>
    </row>
    <row r="56" spans="1:18">
      <c r="A56" s="2" t="s">
        <v>199</v>
      </c>
      <c r="B56" s="2" t="s">
        <v>200</v>
      </c>
      <c r="C56" s="2" t="s">
        <v>55</v>
      </c>
      <c r="D56" s="2">
        <v>607</v>
      </c>
      <c r="E56" s="2">
        <v>1000000</v>
      </c>
      <c r="F56" s="3">
        <f>IF(COUNT(D56,E56)=2,D56*E56,NA())</f>
        <v>607000000.0</v>
      </c>
      <c r="G56" s="2" t="s">
        <v>56</v>
      </c>
      <c r="H56" s="2" t="s">
        <v>57</v>
      </c>
      <c r="I56" s="2" t="s">
        <v>58</v>
      </c>
      <c r="J56" s="2" t="s">
        <v>59</v>
      </c>
      <c r="K56" s="2"/>
      <c r="L56" s="2" t="s">
        <v>60</v>
      </c>
      <c r="M56" s="2" t="s">
        <v>61</v>
      </c>
      <c r="N56" s="2" t="s">
        <v>62</v>
      </c>
      <c r="O56" s="2" t="s">
        <v>11</v>
      </c>
      <c r="P56" s="2"/>
      <c r="Q56" s="2" t="s">
        <v>201</v>
      </c>
      <c r="R56" s="2"/>
    </row>
    <row r="57" spans="1:18">
      <c r="A57" s="2" t="s">
        <v>202</v>
      </c>
      <c r="B57" s="2" t="s">
        <v>203</v>
      </c>
      <c r="C57" s="2" t="s">
        <v>55</v>
      </c>
      <c r="D57" s="2">
        <v>645</v>
      </c>
      <c r="E57" s="2">
        <v>1000000</v>
      </c>
      <c r="F57" s="3">
        <f>IF(COUNT(D57,E57)=2,D57*E57,NA())</f>
        <v>645000000.0</v>
      </c>
      <c r="G57" s="2" t="s">
        <v>56</v>
      </c>
      <c r="H57" s="2" t="s">
        <v>57</v>
      </c>
      <c r="I57" s="2" t="s">
        <v>58</v>
      </c>
      <c r="J57" s="2" t="s">
        <v>59</v>
      </c>
      <c r="K57" s="2"/>
      <c r="L57" s="2" t="s">
        <v>66</v>
      </c>
      <c r="M57" s="2" t="s">
        <v>61</v>
      </c>
      <c r="N57" s="2" t="s">
        <v>67</v>
      </c>
      <c r="O57" s="2" t="s">
        <v>11</v>
      </c>
      <c r="P57" s="2" t="s">
        <v>68</v>
      </c>
      <c r="Q57" s="2" t="s">
        <v>201</v>
      </c>
      <c r="R57" s="2"/>
    </row>
    <row r="58" spans="1:18">
      <c r="A58" s="2" t="s">
        <v>204</v>
      </c>
      <c r="B58" s="2" t="s">
        <v>205</v>
      </c>
      <c r="C58" s="2" t="s">
        <v>55</v>
      </c>
      <c r="D58" s="2">
        <v>1552</v>
      </c>
      <c r="E58" s="2">
        <v>1000000</v>
      </c>
      <c r="F58" s="3">
        <f>IF(COUNT(D58,E58)=2,D58*E58,NA())</f>
        <v>1552000000.0</v>
      </c>
      <c r="G58" s="2" t="s">
        <v>56</v>
      </c>
      <c r="H58" s="2" t="s">
        <v>57</v>
      </c>
      <c r="I58" s="2" t="s">
        <v>58</v>
      </c>
      <c r="J58" s="2" t="s">
        <v>59</v>
      </c>
      <c r="K58" s="2"/>
      <c r="L58" s="2" t="s">
        <v>60</v>
      </c>
      <c r="M58" s="2" t="s">
        <v>61</v>
      </c>
      <c r="N58" s="2" t="s">
        <v>62</v>
      </c>
      <c r="O58" s="2" t="s">
        <v>11</v>
      </c>
      <c r="P58" s="2"/>
      <c r="Q58" s="2" t="s">
        <v>206</v>
      </c>
      <c r="R58" s="2"/>
    </row>
    <row r="59" spans="1:18">
      <c r="A59" s="2" t="s">
        <v>207</v>
      </c>
      <c r="B59" s="2" t="s">
        <v>208</v>
      </c>
      <c r="C59" s="2" t="s">
        <v>55</v>
      </c>
      <c r="D59" s="2">
        <v>1534</v>
      </c>
      <c r="E59" s="2">
        <v>1000000</v>
      </c>
      <c r="F59" s="3">
        <f>IF(COUNT(D59,E59)=2,D59*E59,NA())</f>
        <v>1534000000.0</v>
      </c>
      <c r="G59" s="2" t="s">
        <v>56</v>
      </c>
      <c r="H59" s="2" t="s">
        <v>57</v>
      </c>
      <c r="I59" s="2" t="s">
        <v>58</v>
      </c>
      <c r="J59" s="2" t="s">
        <v>59</v>
      </c>
      <c r="K59" s="2"/>
      <c r="L59" s="2" t="s">
        <v>66</v>
      </c>
      <c r="M59" s="2" t="s">
        <v>61</v>
      </c>
      <c r="N59" s="2" t="s">
        <v>67</v>
      </c>
      <c r="O59" s="2" t="s">
        <v>11</v>
      </c>
      <c r="P59" s="2" t="s">
        <v>68</v>
      </c>
      <c r="Q59" s="2" t="s">
        <v>206</v>
      </c>
      <c r="R59" s="2"/>
    </row>
    <row r="60" spans="1:18">
      <c r="A60" s="2" t="s">
        <v>209</v>
      </c>
      <c r="B60" s="2" t="s">
        <v>210</v>
      </c>
      <c r="C60" s="2" t="s">
        <v>55</v>
      </c>
      <c r="D60" s="2">
        <v>33153</v>
      </c>
      <c r="E60" s="2">
        <v>1000000</v>
      </c>
      <c r="F60" s="3">
        <f>IF(COUNT(D60,E60)=2,D60*E60,NA())</f>
        <v>33153000000.0</v>
      </c>
      <c r="G60" s="2" t="s">
        <v>56</v>
      </c>
      <c r="H60" s="2" t="s">
        <v>57</v>
      </c>
      <c r="I60" s="2" t="s">
        <v>58</v>
      </c>
      <c r="J60" s="2" t="s">
        <v>59</v>
      </c>
      <c r="K60" s="2"/>
      <c r="L60" s="2" t="s">
        <v>60</v>
      </c>
      <c r="M60" s="2" t="s">
        <v>61</v>
      </c>
      <c r="N60" s="2" t="s">
        <v>62</v>
      </c>
      <c r="O60" s="2" t="s">
        <v>11</v>
      </c>
      <c r="P60" s="2"/>
      <c r="Q60" s="2" t="s">
        <v>211</v>
      </c>
      <c r="R60" s="2"/>
    </row>
    <row r="61" spans="1:18">
      <c r="A61" s="2" t="s">
        <v>212</v>
      </c>
      <c r="B61" s="2" t="s">
        <v>213</v>
      </c>
      <c r="C61" s="2" t="s">
        <v>55</v>
      </c>
      <c r="D61" s="2">
        <v>32869</v>
      </c>
      <c r="E61" s="2">
        <v>1000000</v>
      </c>
      <c r="F61" s="3">
        <f>IF(COUNT(D61,E61)=2,D61*E61,NA())</f>
        <v>32869000000.0</v>
      </c>
      <c r="G61" s="2" t="s">
        <v>56</v>
      </c>
      <c r="H61" s="2" t="s">
        <v>57</v>
      </c>
      <c r="I61" s="2" t="s">
        <v>58</v>
      </c>
      <c r="J61" s="2" t="s">
        <v>59</v>
      </c>
      <c r="K61" s="2"/>
      <c r="L61" s="2" t="s">
        <v>66</v>
      </c>
      <c r="M61" s="2" t="s">
        <v>61</v>
      </c>
      <c r="N61" s="2" t="s">
        <v>67</v>
      </c>
      <c r="O61" s="2" t="s">
        <v>11</v>
      </c>
      <c r="P61" s="2" t="s">
        <v>68</v>
      </c>
      <c r="Q61" s="2" t="s">
        <v>211</v>
      </c>
      <c r="R61" s="2"/>
    </row>
    <row r="62" spans="1:18">
      <c r="A62" s="2" t="s">
        <v>214</v>
      </c>
      <c r="B62" s="2" t="s">
        <v>215</v>
      </c>
      <c r="C62" s="2" t="s">
        <v>55</v>
      </c>
      <c r="D62" s="2">
        <v>4</v>
      </c>
      <c r="E62" s="2">
        <v>1000000</v>
      </c>
      <c r="F62" s="3">
        <f>IF(COUNT(D62,E62)=2,D62*E62,NA())</f>
        <v>4000000.0</v>
      </c>
      <c r="G62" s="2" t="s">
        <v>56</v>
      </c>
      <c r="H62" s="2" t="s">
        <v>57</v>
      </c>
      <c r="I62" s="2" t="s">
        <v>58</v>
      </c>
      <c r="J62" s="2" t="s">
        <v>59</v>
      </c>
      <c r="K62" s="2"/>
      <c r="L62" s="2" t="s">
        <v>60</v>
      </c>
      <c r="M62" s="2" t="s">
        <v>61</v>
      </c>
      <c r="N62" s="2" t="s">
        <v>62</v>
      </c>
      <c r="O62" s="2" t="s">
        <v>11</v>
      </c>
      <c r="P62" s="2"/>
      <c r="Q62" s="2" t="s">
        <v>216</v>
      </c>
      <c r="R62" s="2"/>
    </row>
    <row r="63" spans="1:18">
      <c r="A63" s="2" t="s">
        <v>217</v>
      </c>
      <c r="B63" s="2" t="s">
        <v>218</v>
      </c>
      <c r="C63" s="2" t="s">
        <v>55</v>
      </c>
      <c r="D63" s="2">
        <v>4</v>
      </c>
      <c r="E63" s="2">
        <v>1000000</v>
      </c>
      <c r="F63" s="3">
        <f>IF(COUNT(D63,E63)=2,D63*E63,NA())</f>
        <v>4000000.0</v>
      </c>
      <c r="G63" s="2" t="s">
        <v>56</v>
      </c>
      <c r="H63" s="2" t="s">
        <v>57</v>
      </c>
      <c r="I63" s="2" t="s">
        <v>58</v>
      </c>
      <c r="J63" s="2" t="s">
        <v>59</v>
      </c>
      <c r="K63" s="2"/>
      <c r="L63" s="2" t="s">
        <v>66</v>
      </c>
      <c r="M63" s="2" t="s">
        <v>61</v>
      </c>
      <c r="N63" s="2" t="s">
        <v>67</v>
      </c>
      <c r="O63" s="2" t="s">
        <v>11</v>
      </c>
      <c r="P63" s="2" t="s">
        <v>68</v>
      </c>
      <c r="Q63" s="2" t="s">
        <v>216</v>
      </c>
      <c r="R63" s="2"/>
    </row>
    <row r="64" spans="1:18">
      <c r="A64" s="2" t="s">
        <v>219</v>
      </c>
      <c r="B64" s="2" t="s">
        <v>220</v>
      </c>
      <c r="C64" s="2" t="s">
        <v>55</v>
      </c>
      <c r="D64" s="2">
        <v>18527</v>
      </c>
      <c r="E64" s="2">
        <v>1000000</v>
      </c>
      <c r="F64" s="3">
        <f>IF(COUNT(D64,E64)=2,D64*E64,NA())</f>
        <v>18527000000.0</v>
      </c>
      <c r="G64" s="2" t="s">
        <v>56</v>
      </c>
      <c r="H64" s="2" t="s">
        <v>57</v>
      </c>
      <c r="I64" s="2" t="s">
        <v>58</v>
      </c>
      <c r="J64" s="2" t="s">
        <v>59</v>
      </c>
      <c r="K64" s="2"/>
      <c r="L64" s="2" t="s">
        <v>60</v>
      </c>
      <c r="M64" s="2" t="s">
        <v>61</v>
      </c>
      <c r="N64" s="2" t="s">
        <v>62</v>
      </c>
      <c r="O64" s="2" t="s">
        <v>11</v>
      </c>
      <c r="P64" s="2"/>
      <c r="Q64" s="2" t="s">
        <v>221</v>
      </c>
      <c r="R64" s="2"/>
    </row>
    <row r="65" spans="1:18">
      <c r="A65" s="2" t="s">
        <v>222</v>
      </c>
      <c r="B65" s="2" t="s">
        <v>223</v>
      </c>
      <c r="C65" s="2" t="s">
        <v>55</v>
      </c>
      <c r="D65" s="2">
        <v>18393</v>
      </c>
      <c r="E65" s="2">
        <v>1000000</v>
      </c>
      <c r="F65" s="3">
        <f>IF(COUNT(D65,E65)=2,D65*E65,NA())</f>
        <v>18393000000.0</v>
      </c>
      <c r="G65" s="2" t="s">
        <v>56</v>
      </c>
      <c r="H65" s="2" t="s">
        <v>57</v>
      </c>
      <c r="I65" s="2" t="s">
        <v>58</v>
      </c>
      <c r="J65" s="2" t="s">
        <v>59</v>
      </c>
      <c r="K65" s="2"/>
      <c r="L65" s="2" t="s">
        <v>66</v>
      </c>
      <c r="M65" s="2" t="s">
        <v>61</v>
      </c>
      <c r="N65" s="2" t="s">
        <v>67</v>
      </c>
      <c r="O65" s="2" t="s">
        <v>11</v>
      </c>
      <c r="P65" s="2" t="s">
        <v>68</v>
      </c>
      <c r="Q65" s="2" t="s">
        <v>221</v>
      </c>
      <c r="R65" s="2"/>
    </row>
    <row r="66" spans="1:18">
      <c r="A66" s="2" t="s">
        <v>224</v>
      </c>
      <c r="B66" s="2" t="s">
        <v>225</v>
      </c>
      <c r="C66" s="2" t="s">
        <v>55</v>
      </c>
      <c r="D66" s="2">
        <v>-5</v>
      </c>
      <c r="E66" s="2">
        <v>1000000</v>
      </c>
      <c r="F66" s="3">
        <f>IF(COUNT(D66,E66)=2,D66*E66,NA())</f>
        <v>-5000000.0</v>
      </c>
      <c r="G66" s="2" t="s">
        <v>56</v>
      </c>
      <c r="H66" s="2" t="s">
        <v>57</v>
      </c>
      <c r="I66" s="2" t="s">
        <v>58</v>
      </c>
      <c r="J66" s="2" t="s">
        <v>59</v>
      </c>
      <c r="K66" s="2"/>
      <c r="L66" s="2" t="s">
        <v>60</v>
      </c>
      <c r="M66" s="2" t="s">
        <v>61</v>
      </c>
      <c r="N66" s="2" t="s">
        <v>62</v>
      </c>
      <c r="O66" s="2" t="s">
        <v>11</v>
      </c>
      <c r="P66" s="2"/>
      <c r="Q66" s="2" t="s">
        <v>226</v>
      </c>
      <c r="R66" s="2"/>
    </row>
    <row r="67" spans="1:18">
      <c r="A67" s="2" t="s">
        <v>227</v>
      </c>
      <c r="B67" s="2" t="s">
        <v>228</v>
      </c>
      <c r="C67" s="2" t="s">
        <v>55</v>
      </c>
      <c r="D67" s="2">
        <v>-5</v>
      </c>
      <c r="E67" s="2">
        <v>1000000</v>
      </c>
      <c r="F67" s="3">
        <f>IF(COUNT(D67,E67)=2,D67*E67,NA())</f>
        <v>-5000000.0</v>
      </c>
      <c r="G67" s="2" t="s">
        <v>56</v>
      </c>
      <c r="H67" s="2" t="s">
        <v>57</v>
      </c>
      <c r="I67" s="2" t="s">
        <v>58</v>
      </c>
      <c r="J67" s="2" t="s">
        <v>59</v>
      </c>
      <c r="K67" s="2"/>
      <c r="L67" s="2" t="s">
        <v>66</v>
      </c>
      <c r="M67" s="2" t="s">
        <v>61</v>
      </c>
      <c r="N67" s="2" t="s">
        <v>67</v>
      </c>
      <c r="O67" s="2" t="s">
        <v>11</v>
      </c>
      <c r="P67" s="2" t="s">
        <v>68</v>
      </c>
      <c r="Q67" s="2" t="s">
        <v>226</v>
      </c>
      <c r="R67" s="2"/>
    </row>
    <row r="68" spans="1:18">
      <c r="A68" s="2" t="s">
        <v>229</v>
      </c>
      <c r="B68" s="2" t="s">
        <v>230</v>
      </c>
      <c r="C68" s="2" t="s">
        <v>55</v>
      </c>
      <c r="D68" s="2">
        <v>-20161</v>
      </c>
      <c r="E68" s="2">
        <v>1000000</v>
      </c>
      <c r="F68" s="3">
        <f>IF(COUNT(D68,E68)=2,D68*E68,NA())</f>
        <v>-20161000000.0</v>
      </c>
      <c r="G68" s="2" t="s">
        <v>56</v>
      </c>
      <c r="H68" s="2" t="s">
        <v>57</v>
      </c>
      <c r="I68" s="2" t="s">
        <v>58</v>
      </c>
      <c r="J68" s="2" t="s">
        <v>59</v>
      </c>
      <c r="K68" s="2"/>
      <c r="L68" s="2" t="s">
        <v>60</v>
      </c>
      <c r="M68" s="2" t="s">
        <v>61</v>
      </c>
      <c r="N68" s="2" t="s">
        <v>62</v>
      </c>
      <c r="O68" s="2" t="s">
        <v>11</v>
      </c>
      <c r="P68" s="2"/>
      <c r="Q68" s="2" t="s">
        <v>231</v>
      </c>
      <c r="R68" s="2"/>
    </row>
    <row r="69" spans="1:18">
      <c r="A69" s="2" t="s">
        <v>232</v>
      </c>
      <c r="B69" s="2" t="s">
        <v>233</v>
      </c>
      <c r="C69" s="2" t="s">
        <v>55</v>
      </c>
      <c r="D69" s="2">
        <v>-18525</v>
      </c>
      <c r="E69" s="2">
        <v>1000000</v>
      </c>
      <c r="F69" s="3">
        <f>IF(COUNT(D69,E69)=2,D69*E69,NA())</f>
        <v>-18525000000.0</v>
      </c>
      <c r="G69" s="2" t="s">
        <v>56</v>
      </c>
      <c r="H69" s="2" t="s">
        <v>57</v>
      </c>
      <c r="I69" s="2" t="s">
        <v>58</v>
      </c>
      <c r="J69" s="2" t="s">
        <v>59</v>
      </c>
      <c r="K69" s="2"/>
      <c r="L69" s="2" t="s">
        <v>66</v>
      </c>
      <c r="M69" s="2" t="s">
        <v>61</v>
      </c>
      <c r="N69" s="2" t="s">
        <v>67</v>
      </c>
      <c r="O69" s="2" t="s">
        <v>11</v>
      </c>
      <c r="P69" s="2" t="s">
        <v>68</v>
      </c>
      <c r="Q69" s="2" t="s">
        <v>231</v>
      </c>
      <c r="R69" s="2"/>
    </row>
    <row r="70" spans="1:18">
      <c r="A70" s="2" t="s">
        <v>234</v>
      </c>
      <c r="B70" s="2" t="s">
        <v>235</v>
      </c>
      <c r="C70" s="2" t="s">
        <v>55</v>
      </c>
      <c r="D70" s="2">
        <v>-1635</v>
      </c>
      <c r="E70" s="2">
        <v>1000000</v>
      </c>
      <c r="F70" s="3">
        <f>IF(COUNT(D70,E70)=2,D70*E70,NA())</f>
        <v>-1635000000.0</v>
      </c>
      <c r="G70" s="2" t="s">
        <v>56</v>
      </c>
      <c r="H70" s="2" t="s">
        <v>57</v>
      </c>
      <c r="I70" s="2" t="s">
        <v>58</v>
      </c>
      <c r="J70" s="2" t="s">
        <v>59</v>
      </c>
      <c r="K70" s="2"/>
      <c r="L70" s="2" t="s">
        <v>60</v>
      </c>
      <c r="M70" s="2" t="s">
        <v>61</v>
      </c>
      <c r="N70" s="2" t="s">
        <v>62</v>
      </c>
      <c r="O70" s="2" t="s">
        <v>11</v>
      </c>
      <c r="P70" s="2"/>
      <c r="Q70" s="2" t="s">
        <v>236</v>
      </c>
      <c r="R70" s="2"/>
    </row>
    <row r="71" spans="1:18">
      <c r="A71" s="2" t="s">
        <v>237</v>
      </c>
      <c r="B71" s="2" t="s">
        <v>238</v>
      </c>
      <c r="C71" s="2" t="s">
        <v>55</v>
      </c>
      <c r="D71" s="2">
        <v>-133</v>
      </c>
      <c r="E71" s="2">
        <v>1000000</v>
      </c>
      <c r="F71" s="3">
        <f>IF(COUNT(D71,E71)=2,D71*E71,NA())</f>
        <v>-133000000.0</v>
      </c>
      <c r="G71" s="2" t="s">
        <v>56</v>
      </c>
      <c r="H71" s="2" t="s">
        <v>57</v>
      </c>
      <c r="I71" s="2" t="s">
        <v>58</v>
      </c>
      <c r="J71" s="2" t="s">
        <v>59</v>
      </c>
      <c r="K71" s="2"/>
      <c r="L71" s="2" t="s">
        <v>66</v>
      </c>
      <c r="M71" s="2" t="s">
        <v>61</v>
      </c>
      <c r="N71" s="2" t="s">
        <v>67</v>
      </c>
      <c r="O71" s="2" t="s">
        <v>11</v>
      </c>
      <c r="P71" s="2" t="s">
        <v>68</v>
      </c>
      <c r="Q71" s="2" t="s">
        <v>236</v>
      </c>
      <c r="R71" s="2"/>
    </row>
    <row r="72" spans="1:18">
      <c r="A72" s="2" t="s">
        <v>239</v>
      </c>
      <c r="B72" s="2" t="s">
        <v>240</v>
      </c>
      <c r="C72" s="2" t="s">
        <v>241</v>
      </c>
      <c r="D72" s="2">
        <v>4049</v>
      </c>
      <c r="E72" s="2">
        <v>1000000</v>
      </c>
      <c r="F72" s="3">
        <f>IF(COUNT(D72,E72)=2,D72*E72,NA())</f>
        <v>4049000000.0</v>
      </c>
      <c r="G72" s="2" t="s">
        <v>56</v>
      </c>
      <c r="H72" s="2" t="s">
        <v>57</v>
      </c>
      <c r="I72" s="2" t="s">
        <v>58</v>
      </c>
      <c r="J72" s="2" t="s">
        <v>59</v>
      </c>
      <c r="K72" s="2" t="s">
        <v>242</v>
      </c>
      <c r="L72" s="2" t="s">
        <v>60</v>
      </c>
      <c r="M72" s="2" t="s">
        <v>243</v>
      </c>
      <c r="N72" s="2" t="s">
        <v>62</v>
      </c>
      <c r="O72" s="2" t="s">
        <v>11</v>
      </c>
      <c r="P72" s="2"/>
      <c r="Q72" s="2" t="s">
        <v>244</v>
      </c>
      <c r="R72" s="2"/>
    </row>
    <row r="73" spans="1:18">
      <c r="A73" s="2" t="s">
        <v>245</v>
      </c>
      <c r="B73" s="2" t="s">
        <v>246</v>
      </c>
      <c r="C73" s="2" t="s">
        <v>241</v>
      </c>
      <c r="D73" s="2">
        <v>4268</v>
      </c>
      <c r="E73" s="2">
        <v>1000000</v>
      </c>
      <c r="F73" s="3">
        <f>IF(COUNT(D73,E73)=2,D73*E73,NA())</f>
        <v>4268000000.0</v>
      </c>
      <c r="G73" s="2" t="s">
        <v>56</v>
      </c>
      <c r="H73" s="2" t="s">
        <v>57</v>
      </c>
      <c r="I73" s="2" t="s">
        <v>58</v>
      </c>
      <c r="J73" s="2" t="s">
        <v>59</v>
      </c>
      <c r="K73" s="2" t="s">
        <v>247</v>
      </c>
      <c r="L73" s="2" t="s">
        <v>66</v>
      </c>
      <c r="M73" s="2" t="s">
        <v>243</v>
      </c>
      <c r="N73" s="2" t="s">
        <v>67</v>
      </c>
      <c r="O73" s="2" t="s">
        <v>11</v>
      </c>
      <c r="P73" s="2" t="s">
        <v>68</v>
      </c>
      <c r="Q73" s="2" t="s">
        <v>244</v>
      </c>
      <c r="R73" s="2"/>
    </row>
    <row r="74" spans="1:18">
      <c r="A74" s="2" t="s">
        <v>248</v>
      </c>
      <c r="B74" s="2" t="s">
        <v>249</v>
      </c>
      <c r="C74" s="2" t="s">
        <v>241</v>
      </c>
      <c r="D74" s="2">
        <v>215</v>
      </c>
      <c r="E74" s="2">
        <v>1000000</v>
      </c>
      <c r="F74" s="3">
        <f>IF(COUNT(D74,E74)=2,D74*E74,NA())</f>
        <v>215000000.0</v>
      </c>
      <c r="G74" s="2" t="s">
        <v>56</v>
      </c>
      <c r="H74" s="2" t="s">
        <v>57</v>
      </c>
      <c r="I74" s="2" t="s">
        <v>58</v>
      </c>
      <c r="J74" s="2" t="s">
        <v>59</v>
      </c>
      <c r="K74" s="2" t="s">
        <v>242</v>
      </c>
      <c r="L74" s="2" t="s">
        <v>60</v>
      </c>
      <c r="M74" s="2" t="s">
        <v>243</v>
      </c>
      <c r="N74" s="2" t="s">
        <v>62</v>
      </c>
      <c r="O74" s="2" t="s">
        <v>11</v>
      </c>
      <c r="P74" s="2"/>
      <c r="Q74" s="2" t="s">
        <v>250</v>
      </c>
      <c r="R74" s="2"/>
    </row>
    <row r="75" spans="1:18">
      <c r="A75" s="2" t="s">
        <v>251</v>
      </c>
      <c r="B75" s="2" t="s">
        <v>252</v>
      </c>
      <c r="C75" s="2" t="s">
        <v>241</v>
      </c>
      <c r="D75" s="2">
        <v>192</v>
      </c>
      <c r="E75" s="2">
        <v>1000000</v>
      </c>
      <c r="F75" s="3">
        <f>IF(COUNT(D75,E75)=2,D75*E75,NA())</f>
        <v>192000000.0</v>
      </c>
      <c r="G75" s="2" t="s">
        <v>56</v>
      </c>
      <c r="H75" s="2" t="s">
        <v>57</v>
      </c>
      <c r="I75" s="2" t="s">
        <v>58</v>
      </c>
      <c r="J75" s="2" t="s">
        <v>59</v>
      </c>
      <c r="K75" s="2" t="s">
        <v>247</v>
      </c>
      <c r="L75" s="2" t="s">
        <v>66</v>
      </c>
      <c r="M75" s="2" t="s">
        <v>243</v>
      </c>
      <c r="N75" s="2" t="s">
        <v>67</v>
      </c>
      <c r="O75" s="2" t="s">
        <v>11</v>
      </c>
      <c r="P75" s="2" t="s">
        <v>68</v>
      </c>
      <c r="Q75" s="2" t="s">
        <v>250</v>
      </c>
      <c r="R75" s="2"/>
    </row>
    <row r="76" spans="1:18">
      <c r="A76" s="2" t="s">
        <v>253</v>
      </c>
      <c r="B76" s="2" t="s">
        <v>254</v>
      </c>
      <c r="C76" s="2" t="s">
        <v>241</v>
      </c>
      <c r="D76" s="2">
        <v>4264</v>
      </c>
      <c r="E76" s="2">
        <v>1000000</v>
      </c>
      <c r="F76" s="3">
        <f>IF(COUNT(D76,E76)=2,D76*E76,NA())</f>
        <v>4264000000.0</v>
      </c>
      <c r="G76" s="2" t="s">
        <v>56</v>
      </c>
      <c r="H76" s="2" t="s">
        <v>57</v>
      </c>
      <c r="I76" s="2" t="s">
        <v>58</v>
      </c>
      <c r="J76" s="2" t="s">
        <v>59</v>
      </c>
      <c r="K76" s="2" t="s">
        <v>242</v>
      </c>
      <c r="L76" s="2" t="s">
        <v>60</v>
      </c>
      <c r="M76" s="2" t="s">
        <v>243</v>
      </c>
      <c r="N76" s="2" t="s">
        <v>62</v>
      </c>
      <c r="O76" s="2" t="s">
        <v>11</v>
      </c>
      <c r="P76" s="2"/>
      <c r="Q76" s="2" t="s">
        <v>255</v>
      </c>
      <c r="R76" s="2"/>
    </row>
    <row r="77" spans="1:18">
      <c r="A77" s="2" t="s">
        <v>256</v>
      </c>
      <c r="B77" s="2" t="s">
        <v>257</v>
      </c>
      <c r="C77" s="2" t="s">
        <v>241</v>
      </c>
      <c r="D77" s="2">
        <v>4460</v>
      </c>
      <c r="E77" s="2">
        <v>1000000</v>
      </c>
      <c r="F77" s="3">
        <f>IF(COUNT(D77,E77)=2,D77*E77,NA())</f>
        <v>4460000000.0</v>
      </c>
      <c r="G77" s="2" t="s">
        <v>56</v>
      </c>
      <c r="H77" s="2" t="s">
        <v>57</v>
      </c>
      <c r="I77" s="2" t="s">
        <v>58</v>
      </c>
      <c r="J77" s="2" t="s">
        <v>59</v>
      </c>
      <c r="K77" s="2" t="s">
        <v>247</v>
      </c>
      <c r="L77" s="2" t="s">
        <v>66</v>
      </c>
      <c r="M77" s="2" t="s">
        <v>243</v>
      </c>
      <c r="N77" s="2" t="s">
        <v>67</v>
      </c>
      <c r="O77" s="2" t="s">
        <v>11</v>
      </c>
      <c r="P77" s="2" t="s">
        <v>68</v>
      </c>
      <c r="Q77" s="2" t="s">
        <v>255</v>
      </c>
      <c r="R77" s="2"/>
    </row>
    <row r="78" spans="1:18">
      <c r="A78" s="2" t="s">
        <v>258</v>
      </c>
      <c r="B78" s="2" t="s">
        <v>259</v>
      </c>
      <c r="C78" s="2" t="s">
        <v>241</v>
      </c>
      <c r="D78" s="2">
        <v>992</v>
      </c>
      <c r="E78" s="2">
        <v>1000000</v>
      </c>
      <c r="F78" s="3">
        <f>IF(COUNT(D78,E78)=2,D78*E78,NA())</f>
        <v>992000000.0</v>
      </c>
      <c r="G78" s="2" t="s">
        <v>56</v>
      </c>
      <c r="H78" s="2" t="s">
        <v>57</v>
      </c>
      <c r="I78" s="2" t="s">
        <v>58</v>
      </c>
      <c r="J78" s="2" t="s">
        <v>59</v>
      </c>
      <c r="K78" s="2" t="s">
        <v>242</v>
      </c>
      <c r="L78" s="2" t="s">
        <v>60</v>
      </c>
      <c r="M78" s="2" t="s">
        <v>243</v>
      </c>
      <c r="N78" s="2" t="s">
        <v>62</v>
      </c>
      <c r="O78" s="2" t="s">
        <v>11</v>
      </c>
      <c r="P78" s="2"/>
      <c r="Q78" s="2" t="s">
        <v>260</v>
      </c>
      <c r="R78" s="2"/>
    </row>
    <row r="79" spans="1:18">
      <c r="A79" s="2" t="s">
        <v>261</v>
      </c>
      <c r="B79" s="2" t="s">
        <v>262</v>
      </c>
      <c r="C79" s="2" t="s">
        <v>241</v>
      </c>
      <c r="D79" s="2">
        <v>983</v>
      </c>
      <c r="E79" s="2">
        <v>1000000</v>
      </c>
      <c r="F79" s="3">
        <f>IF(COUNT(D79,E79)=2,D79*E79,NA())</f>
        <v>983000000.0</v>
      </c>
      <c r="G79" s="2" t="s">
        <v>56</v>
      </c>
      <c r="H79" s="2" t="s">
        <v>57</v>
      </c>
      <c r="I79" s="2" t="s">
        <v>58</v>
      </c>
      <c r="J79" s="2" t="s">
        <v>59</v>
      </c>
      <c r="K79" s="2" t="s">
        <v>247</v>
      </c>
      <c r="L79" s="2" t="s">
        <v>66</v>
      </c>
      <c r="M79" s="2" t="s">
        <v>243</v>
      </c>
      <c r="N79" s="2" t="s">
        <v>67</v>
      </c>
      <c r="O79" s="2" t="s">
        <v>11</v>
      </c>
      <c r="P79" s="2" t="s">
        <v>68</v>
      </c>
      <c r="Q79" s="2" t="s">
        <v>260</v>
      </c>
      <c r="R79" s="2"/>
    </row>
    <row r="80" spans="1:18">
      <c r="A80" s="2" t="s">
        <v>263</v>
      </c>
      <c r="B80" s="2" t="s">
        <v>264</v>
      </c>
      <c r="C80" s="2" t="s">
        <v>241</v>
      </c>
      <c r="D80" s="2">
        <v>113</v>
      </c>
      <c r="E80" s="2">
        <v>1000000</v>
      </c>
      <c r="F80" s="3">
        <f>IF(COUNT(D80,E80)=2,D80*E80,NA())</f>
        <v>113000000.0</v>
      </c>
      <c r="G80" s="2" t="s">
        <v>56</v>
      </c>
      <c r="H80" s="2" t="s">
        <v>57</v>
      </c>
      <c r="I80" s="2" t="s">
        <v>58</v>
      </c>
      <c r="J80" s="2" t="s">
        <v>59</v>
      </c>
      <c r="K80" s="2" t="s">
        <v>242</v>
      </c>
      <c r="L80" s="2" t="s">
        <v>60</v>
      </c>
      <c r="M80" s="2" t="s">
        <v>243</v>
      </c>
      <c r="N80" s="2" t="s">
        <v>62</v>
      </c>
      <c r="O80" s="2" t="s">
        <v>11</v>
      </c>
      <c r="P80" s="2"/>
      <c r="Q80" s="2" t="s">
        <v>265</v>
      </c>
      <c r="R80" s="2"/>
    </row>
    <row r="81" spans="1:18">
      <c r="A81" s="2" t="s">
        <v>266</v>
      </c>
      <c r="B81" s="2" t="s">
        <v>267</v>
      </c>
      <c r="C81" s="2" t="s">
        <v>241</v>
      </c>
      <c r="D81" s="2">
        <v>107</v>
      </c>
      <c r="E81" s="2">
        <v>1000000</v>
      </c>
      <c r="F81" s="3">
        <f>IF(COUNT(D81,E81)=2,D81*E81,NA())</f>
        <v>107000000.0</v>
      </c>
      <c r="G81" s="2" t="s">
        <v>56</v>
      </c>
      <c r="H81" s="2" t="s">
        <v>57</v>
      </c>
      <c r="I81" s="2" t="s">
        <v>58</v>
      </c>
      <c r="J81" s="2" t="s">
        <v>59</v>
      </c>
      <c r="K81" s="2" t="s">
        <v>247</v>
      </c>
      <c r="L81" s="2" t="s">
        <v>66</v>
      </c>
      <c r="M81" s="2" t="s">
        <v>243</v>
      </c>
      <c r="N81" s="2" t="s">
        <v>67</v>
      </c>
      <c r="O81" s="2" t="s">
        <v>11</v>
      </c>
      <c r="P81" s="2" t="s">
        <v>68</v>
      </c>
      <c r="Q81" s="2" t="s">
        <v>265</v>
      </c>
      <c r="R81" s="2"/>
    </row>
    <row r="82" spans="1:18">
      <c r="A82" s="2" t="s">
        <v>268</v>
      </c>
      <c r="B82" s="2" t="s">
        <v>269</v>
      </c>
      <c r="C82" s="2" t="s">
        <v>241</v>
      </c>
      <c r="D82" s="2">
        <v>383</v>
      </c>
      <c r="E82" s="2">
        <v>1000000</v>
      </c>
      <c r="F82" s="3">
        <f>IF(COUNT(D82,E82)=2,D82*E82,NA())</f>
        <v>383000000.0</v>
      </c>
      <c r="G82" s="2" t="s">
        <v>56</v>
      </c>
      <c r="H82" s="2" t="s">
        <v>57</v>
      </c>
      <c r="I82" s="2" t="s">
        <v>58</v>
      </c>
      <c r="J82" s="2" t="s">
        <v>59</v>
      </c>
      <c r="K82" s="2" t="s">
        <v>242</v>
      </c>
      <c r="L82" s="2" t="s">
        <v>60</v>
      </c>
      <c r="M82" s="2" t="s">
        <v>243</v>
      </c>
      <c r="N82" s="2" t="s">
        <v>62</v>
      </c>
      <c r="O82" s="2" t="s">
        <v>11</v>
      </c>
      <c r="P82" s="2"/>
      <c r="Q82" s="2" t="s">
        <v>270</v>
      </c>
      <c r="R82" s="2"/>
    </row>
    <row r="83" spans="1:18">
      <c r="A83" s="2" t="s">
        <v>271</v>
      </c>
      <c r="B83" s="2" t="s">
        <v>272</v>
      </c>
      <c r="C83" s="2" t="s">
        <v>241</v>
      </c>
      <c r="D83" s="2">
        <v>435</v>
      </c>
      <c r="E83" s="2">
        <v>1000000</v>
      </c>
      <c r="F83" s="3">
        <f>IF(COUNT(D83,E83)=2,D83*E83,NA())</f>
        <v>435000000.0</v>
      </c>
      <c r="G83" s="2" t="s">
        <v>56</v>
      </c>
      <c r="H83" s="2" t="s">
        <v>57</v>
      </c>
      <c r="I83" s="2" t="s">
        <v>58</v>
      </c>
      <c r="J83" s="2" t="s">
        <v>59</v>
      </c>
      <c r="K83" s="2" t="s">
        <v>247</v>
      </c>
      <c r="L83" s="2" t="s">
        <v>66</v>
      </c>
      <c r="M83" s="2" t="s">
        <v>243</v>
      </c>
      <c r="N83" s="2" t="s">
        <v>67</v>
      </c>
      <c r="O83" s="2" t="s">
        <v>11</v>
      </c>
      <c r="P83" s="2" t="s">
        <v>68</v>
      </c>
      <c r="Q83" s="2" t="s">
        <v>270</v>
      </c>
      <c r="R83" s="2"/>
    </row>
    <row r="84" spans="1:18">
      <c r="A84" s="2" t="s">
        <v>273</v>
      </c>
      <c r="B84" s="2" t="s">
        <v>274</v>
      </c>
      <c r="C84" s="2" t="s">
        <v>241</v>
      </c>
      <c r="D84" s="2">
        <v>11</v>
      </c>
      <c r="E84" s="2">
        <v>1000000</v>
      </c>
      <c r="F84" s="3">
        <f>IF(COUNT(D84,E84)=2,D84*E84,NA())</f>
        <v>11000000.0</v>
      </c>
      <c r="G84" s="2" t="s">
        <v>56</v>
      </c>
      <c r="H84" s="2" t="s">
        <v>57</v>
      </c>
      <c r="I84" s="2" t="s">
        <v>58</v>
      </c>
      <c r="J84" s="2" t="s">
        <v>59</v>
      </c>
      <c r="K84" s="2" t="s">
        <v>242</v>
      </c>
      <c r="L84" s="2" t="s">
        <v>60</v>
      </c>
      <c r="M84" s="2" t="s">
        <v>243</v>
      </c>
      <c r="N84" s="2" t="s">
        <v>62</v>
      </c>
      <c r="O84" s="2" t="s">
        <v>11</v>
      </c>
      <c r="P84" s="2"/>
      <c r="Q84" s="2" t="s">
        <v>275</v>
      </c>
      <c r="R84" s="2"/>
    </row>
    <row r="85" spans="1:18">
      <c r="A85" s="2" t="s">
        <v>276</v>
      </c>
      <c r="B85" s="2" t="s">
        <v>277</v>
      </c>
      <c r="C85" s="2" t="s">
        <v>241</v>
      </c>
      <c r="D85" s="2">
        <v>11</v>
      </c>
      <c r="E85" s="2">
        <v>1000000</v>
      </c>
      <c r="F85" s="3">
        <f>IF(COUNT(D85,E85)=2,D85*E85,NA())</f>
        <v>11000000.0</v>
      </c>
      <c r="G85" s="2" t="s">
        <v>56</v>
      </c>
      <c r="H85" s="2" t="s">
        <v>57</v>
      </c>
      <c r="I85" s="2" t="s">
        <v>58</v>
      </c>
      <c r="J85" s="2" t="s">
        <v>59</v>
      </c>
      <c r="K85" s="2" t="s">
        <v>247</v>
      </c>
      <c r="L85" s="2" t="s">
        <v>66</v>
      </c>
      <c r="M85" s="2" t="s">
        <v>243</v>
      </c>
      <c r="N85" s="2" t="s">
        <v>67</v>
      </c>
      <c r="O85" s="2" t="s">
        <v>11</v>
      </c>
      <c r="P85" s="2" t="s">
        <v>68</v>
      </c>
      <c r="Q85" s="2" t="s">
        <v>275</v>
      </c>
      <c r="R85" s="2"/>
    </row>
    <row r="86" spans="1:18">
      <c r="A86" s="2" t="s">
        <v>278</v>
      </c>
      <c r="B86" s="2" t="s">
        <v>279</v>
      </c>
      <c r="C86" s="2" t="s">
        <v>241</v>
      </c>
      <c r="D86" s="2">
        <v>0</v>
      </c>
      <c r="E86" s="2">
        <v>1000000</v>
      </c>
      <c r="F86" s="3">
        <f>IF(COUNT(D86,E86)=2,D86*E86,NA())</f>
        <v>0.0</v>
      </c>
      <c r="G86" s="2" t="s">
        <v>56</v>
      </c>
      <c r="H86" s="2" t="s">
        <v>57</v>
      </c>
      <c r="I86" s="2" t="s">
        <v>58</v>
      </c>
      <c r="J86" s="2" t="s">
        <v>59</v>
      </c>
      <c r="K86" s="2" t="s">
        <v>242</v>
      </c>
      <c r="L86" s="2" t="s">
        <v>60</v>
      </c>
      <c r="M86" s="2" t="s">
        <v>243</v>
      </c>
      <c r="N86" s="2" t="s">
        <v>62</v>
      </c>
      <c r="O86" s="2" t="s">
        <v>11</v>
      </c>
      <c r="P86" s="2"/>
      <c r="Q86" s="2" t="s">
        <v>280</v>
      </c>
      <c r="R86" s="2"/>
    </row>
    <row r="87" spans="1:18">
      <c r="A87" s="2" t="s">
        <v>281</v>
      </c>
      <c r="B87" s="2" t="s">
        <v>282</v>
      </c>
      <c r="C87" s="2" t="s">
        <v>241</v>
      </c>
      <c r="D87" s="2">
        <v>0</v>
      </c>
      <c r="E87" s="2">
        <v>1000000</v>
      </c>
      <c r="F87" s="3">
        <f>IF(COUNT(D87,E87)=2,D87*E87,NA())</f>
        <v>0.0</v>
      </c>
      <c r="G87" s="2" t="s">
        <v>56</v>
      </c>
      <c r="H87" s="2" t="s">
        <v>57</v>
      </c>
      <c r="I87" s="2" t="s">
        <v>58</v>
      </c>
      <c r="J87" s="2" t="s">
        <v>59</v>
      </c>
      <c r="K87" s="2" t="s">
        <v>247</v>
      </c>
      <c r="L87" s="2" t="s">
        <v>66</v>
      </c>
      <c r="M87" s="2" t="s">
        <v>243</v>
      </c>
      <c r="N87" s="2" t="s">
        <v>67</v>
      </c>
      <c r="O87" s="2" t="s">
        <v>11</v>
      </c>
      <c r="P87" s="2" t="s">
        <v>68</v>
      </c>
      <c r="Q87" s="2" t="s">
        <v>280</v>
      </c>
      <c r="R87" s="2"/>
    </row>
    <row r="88" spans="1:18">
      <c r="A88" s="2" t="s">
        <v>283</v>
      </c>
      <c r="B88" s="2" t="s">
        <v>284</v>
      </c>
      <c r="C88" s="2" t="s">
        <v>241</v>
      </c>
      <c r="D88" s="2">
        <v>690</v>
      </c>
      <c r="E88" s="2">
        <v>1000000</v>
      </c>
      <c r="F88" s="3">
        <f>IF(COUNT(D88,E88)=2,D88*E88,NA())</f>
        <v>690000000.0</v>
      </c>
      <c r="G88" s="2" t="s">
        <v>56</v>
      </c>
      <c r="H88" s="2" t="s">
        <v>57</v>
      </c>
      <c r="I88" s="2" t="s">
        <v>58</v>
      </c>
      <c r="J88" s="2" t="s">
        <v>59</v>
      </c>
      <c r="K88" s="2" t="s">
        <v>242</v>
      </c>
      <c r="L88" s="2" t="s">
        <v>60</v>
      </c>
      <c r="M88" s="2" t="s">
        <v>243</v>
      </c>
      <c r="N88" s="2" t="s">
        <v>62</v>
      </c>
      <c r="O88" s="2" t="s">
        <v>11</v>
      </c>
      <c r="P88" s="2"/>
      <c r="Q88" s="2" t="s">
        <v>285</v>
      </c>
      <c r="R88" s="2"/>
    </row>
    <row r="89" spans="1:18">
      <c r="A89" s="2" t="s">
        <v>286</v>
      </c>
      <c r="B89" s="2" t="s">
        <v>287</v>
      </c>
      <c r="C89" s="2" t="s">
        <v>241</v>
      </c>
      <c r="D89" s="2">
        <v>736</v>
      </c>
      <c r="E89" s="2">
        <v>1000000</v>
      </c>
      <c r="F89" s="3">
        <f>IF(COUNT(D89,E89)=2,D89*E89,NA())</f>
        <v>736000000.0</v>
      </c>
      <c r="G89" s="2" t="s">
        <v>56</v>
      </c>
      <c r="H89" s="2" t="s">
        <v>57</v>
      </c>
      <c r="I89" s="2" t="s">
        <v>58</v>
      </c>
      <c r="J89" s="2" t="s">
        <v>59</v>
      </c>
      <c r="K89" s="2" t="s">
        <v>247</v>
      </c>
      <c r="L89" s="2" t="s">
        <v>66</v>
      </c>
      <c r="M89" s="2" t="s">
        <v>243</v>
      </c>
      <c r="N89" s="2" t="s">
        <v>67</v>
      </c>
      <c r="O89" s="2" t="s">
        <v>11</v>
      </c>
      <c r="P89" s="2" t="s">
        <v>68</v>
      </c>
      <c r="Q89" s="2" t="s">
        <v>285</v>
      </c>
      <c r="R89" s="2"/>
    </row>
    <row r="90" spans="1:18">
      <c r="A90" s="2" t="s">
        <v>288</v>
      </c>
      <c r="B90" s="2" t="s">
        <v>289</v>
      </c>
      <c r="C90" s="2" t="s">
        <v>241</v>
      </c>
      <c r="D90" s="2">
        <v>0</v>
      </c>
      <c r="E90" s="2">
        <v>1000000</v>
      </c>
      <c r="F90" s="3">
        <f>IF(COUNT(D90,E90)=2,D90*E90,NA())</f>
        <v>0.0</v>
      </c>
      <c r="G90" s="2" t="s">
        <v>56</v>
      </c>
      <c r="H90" s="2" t="s">
        <v>57</v>
      </c>
      <c r="I90" s="2" t="s">
        <v>58</v>
      </c>
      <c r="J90" s="2" t="s">
        <v>59</v>
      </c>
      <c r="K90" s="2" t="s">
        <v>242</v>
      </c>
      <c r="L90" s="2" t="s">
        <v>60</v>
      </c>
      <c r="M90" s="2" t="s">
        <v>243</v>
      </c>
      <c r="N90" s="2" t="s">
        <v>62</v>
      </c>
      <c r="O90" s="2" t="s">
        <v>11</v>
      </c>
      <c r="P90" s="2"/>
      <c r="Q90" s="2" t="s">
        <v>290</v>
      </c>
      <c r="R90" s="2"/>
    </row>
    <row r="91" spans="1:18">
      <c r="A91" s="2" t="s">
        <v>291</v>
      </c>
      <c r="B91" s="2" t="s">
        <v>292</v>
      </c>
      <c r="C91" s="2" t="s">
        <v>241</v>
      </c>
      <c r="D91" s="2">
        <v>70</v>
      </c>
      <c r="E91" s="2">
        <v>1000000</v>
      </c>
      <c r="F91" s="3">
        <f>IF(COUNT(D91,E91)=2,D91*E91,NA())</f>
        <v>70000000.0</v>
      </c>
      <c r="G91" s="2" t="s">
        <v>56</v>
      </c>
      <c r="H91" s="2" t="s">
        <v>57</v>
      </c>
      <c r="I91" s="2" t="s">
        <v>58</v>
      </c>
      <c r="J91" s="2" t="s">
        <v>59</v>
      </c>
      <c r="K91" s="2" t="s">
        <v>247</v>
      </c>
      <c r="L91" s="2" t="s">
        <v>66</v>
      </c>
      <c r="M91" s="2" t="s">
        <v>243</v>
      </c>
      <c r="N91" s="2" t="s">
        <v>67</v>
      </c>
      <c r="O91" s="2" t="s">
        <v>11</v>
      </c>
      <c r="P91" s="2" t="s">
        <v>68</v>
      </c>
      <c r="Q91" s="2" t="s">
        <v>290</v>
      </c>
      <c r="R91" s="2"/>
    </row>
    <row r="92" spans="1:18">
      <c r="A92" s="2" t="s">
        <v>293</v>
      </c>
      <c r="B92" s="2" t="s">
        <v>294</v>
      </c>
      <c r="C92" s="2" t="s">
        <v>241</v>
      </c>
      <c r="D92" s="2">
        <v>2189</v>
      </c>
      <c r="E92" s="2">
        <v>1000000</v>
      </c>
      <c r="F92" s="3">
        <f>IF(COUNT(D92,E92)=2,D92*E92,NA())</f>
        <v>2189000000.0</v>
      </c>
      <c r="G92" s="2" t="s">
        <v>56</v>
      </c>
      <c r="H92" s="2" t="s">
        <v>57</v>
      </c>
      <c r="I92" s="2" t="s">
        <v>58</v>
      </c>
      <c r="J92" s="2" t="s">
        <v>59</v>
      </c>
      <c r="K92" s="2" t="s">
        <v>242</v>
      </c>
      <c r="L92" s="2" t="s">
        <v>60</v>
      </c>
      <c r="M92" s="2" t="s">
        <v>243</v>
      </c>
      <c r="N92" s="2" t="s">
        <v>62</v>
      </c>
      <c r="O92" s="2" t="s">
        <v>11</v>
      </c>
      <c r="P92" s="2"/>
      <c r="Q92" s="2" t="s">
        <v>295</v>
      </c>
      <c r="R92" s="2"/>
    </row>
    <row r="93" spans="1:18">
      <c r="A93" s="2" t="s">
        <v>296</v>
      </c>
      <c r="B93" s="2" t="s">
        <v>297</v>
      </c>
      <c r="C93" s="2" t="s">
        <v>241</v>
      </c>
      <c r="D93" s="2">
        <v>2342</v>
      </c>
      <c r="E93" s="2">
        <v>1000000</v>
      </c>
      <c r="F93" s="3">
        <f>IF(COUNT(D93,E93)=2,D93*E93,NA())</f>
        <v>2342000000.0</v>
      </c>
      <c r="G93" s="2" t="s">
        <v>56</v>
      </c>
      <c r="H93" s="2" t="s">
        <v>57</v>
      </c>
      <c r="I93" s="2" t="s">
        <v>58</v>
      </c>
      <c r="J93" s="2" t="s">
        <v>59</v>
      </c>
      <c r="K93" s="2" t="s">
        <v>247</v>
      </c>
      <c r="L93" s="2" t="s">
        <v>66</v>
      </c>
      <c r="M93" s="2" t="s">
        <v>243</v>
      </c>
      <c r="N93" s="2" t="s">
        <v>67</v>
      </c>
      <c r="O93" s="2" t="s">
        <v>11</v>
      </c>
      <c r="P93" s="2" t="s">
        <v>68</v>
      </c>
      <c r="Q93" s="2" t="s">
        <v>295</v>
      </c>
      <c r="R93" s="2"/>
    </row>
    <row r="94" spans="1:18">
      <c r="A94" s="2" t="s">
        <v>298</v>
      </c>
      <c r="B94" s="2" t="s">
        <v>299</v>
      </c>
      <c r="C94" s="2" t="s">
        <v>241</v>
      </c>
      <c r="D94" s="2">
        <v>2075</v>
      </c>
      <c r="E94" s="2">
        <v>1000000</v>
      </c>
      <c r="F94" s="3">
        <f>IF(COUNT(D94,E94)=2,D94*E94,NA())</f>
        <v>2075000000.0</v>
      </c>
      <c r="G94" s="2" t="s">
        <v>56</v>
      </c>
      <c r="H94" s="2" t="s">
        <v>57</v>
      </c>
      <c r="I94" s="2" t="s">
        <v>58</v>
      </c>
      <c r="J94" s="2" t="s">
        <v>59</v>
      </c>
      <c r="K94" s="2" t="s">
        <v>242</v>
      </c>
      <c r="L94" s="2" t="s">
        <v>60</v>
      </c>
      <c r="M94" s="2" t="s">
        <v>243</v>
      </c>
      <c r="N94" s="2" t="s">
        <v>62</v>
      </c>
      <c r="O94" s="2" t="s">
        <v>11</v>
      </c>
      <c r="P94" s="2"/>
      <c r="Q94" s="2" t="s">
        <v>300</v>
      </c>
      <c r="R94" s="2"/>
    </row>
    <row r="95" spans="1:18">
      <c r="A95" s="2" t="s">
        <v>301</v>
      </c>
      <c r="B95" s="2" t="s">
        <v>302</v>
      </c>
      <c r="C95" s="2" t="s">
        <v>241</v>
      </c>
      <c r="D95" s="2">
        <v>2118</v>
      </c>
      <c r="E95" s="2">
        <v>1000000</v>
      </c>
      <c r="F95" s="3">
        <f>IF(COUNT(D95,E95)=2,D95*E95,NA())</f>
        <v>2118000000.0</v>
      </c>
      <c r="G95" s="2" t="s">
        <v>56</v>
      </c>
      <c r="H95" s="2" t="s">
        <v>57</v>
      </c>
      <c r="I95" s="2" t="s">
        <v>58</v>
      </c>
      <c r="J95" s="2" t="s">
        <v>59</v>
      </c>
      <c r="K95" s="2" t="s">
        <v>247</v>
      </c>
      <c r="L95" s="2" t="s">
        <v>66</v>
      </c>
      <c r="M95" s="2" t="s">
        <v>243</v>
      </c>
      <c r="N95" s="2" t="s">
        <v>67</v>
      </c>
      <c r="O95" s="2" t="s">
        <v>11</v>
      </c>
      <c r="P95" s="2" t="s">
        <v>68</v>
      </c>
      <c r="Q95" s="2" t="s">
        <v>300</v>
      </c>
      <c r="R95" s="2"/>
    </row>
    <row r="96" spans="1:18">
      <c r="A96" s="2" t="s">
        <v>303</v>
      </c>
      <c r="B96" s="2" t="s">
        <v>304</v>
      </c>
      <c r="C96" s="2" t="s">
        <v>241</v>
      </c>
      <c r="D96" s="2">
        <v>-972</v>
      </c>
      <c r="E96" s="2">
        <v>1000000</v>
      </c>
      <c r="F96" s="3">
        <f>IF(COUNT(D96,E96)=2,D96*E96,NA())</f>
        <v>-972000000.0</v>
      </c>
      <c r="G96" s="2" t="s">
        <v>56</v>
      </c>
      <c r="H96" s="2" t="s">
        <v>57</v>
      </c>
      <c r="I96" s="2" t="s">
        <v>58</v>
      </c>
      <c r="J96" s="2" t="s">
        <v>59</v>
      </c>
      <c r="K96" s="2" t="s">
        <v>242</v>
      </c>
      <c r="L96" s="2" t="s">
        <v>60</v>
      </c>
      <c r="M96" s="2" t="s">
        <v>243</v>
      </c>
      <c r="N96" s="2" t="s">
        <v>62</v>
      </c>
      <c r="O96" s="2" t="s">
        <v>11</v>
      </c>
      <c r="P96" s="2"/>
      <c r="Q96" s="2" t="s">
        <v>305</v>
      </c>
      <c r="R96" s="2"/>
    </row>
    <row r="97" spans="1:18">
      <c r="A97" s="2" t="s">
        <v>306</v>
      </c>
      <c r="B97" s="2" t="s">
        <v>307</v>
      </c>
      <c r="C97" s="2" t="s">
        <v>241</v>
      </c>
      <c r="D97" s="2">
        <v>-932</v>
      </c>
      <c r="E97" s="2">
        <v>1000000</v>
      </c>
      <c r="F97" s="3">
        <f>IF(COUNT(D97,E97)=2,D97*E97,NA())</f>
        <v>-932000000.0</v>
      </c>
      <c r="G97" s="2" t="s">
        <v>56</v>
      </c>
      <c r="H97" s="2" t="s">
        <v>57</v>
      </c>
      <c r="I97" s="2" t="s">
        <v>58</v>
      </c>
      <c r="J97" s="2" t="s">
        <v>59</v>
      </c>
      <c r="K97" s="2" t="s">
        <v>247</v>
      </c>
      <c r="L97" s="2" t="s">
        <v>66</v>
      </c>
      <c r="M97" s="2" t="s">
        <v>243</v>
      </c>
      <c r="N97" s="2" t="s">
        <v>67</v>
      </c>
      <c r="O97" s="2" t="s">
        <v>11</v>
      </c>
      <c r="P97" s="2" t="s">
        <v>68</v>
      </c>
      <c r="Q97" s="2" t="s">
        <v>305</v>
      </c>
      <c r="R97" s="2"/>
    </row>
    <row r="98" spans="1:18">
      <c r="A98" s="2" t="s">
        <v>308</v>
      </c>
      <c r="B98" s="2" t="s">
        <v>309</v>
      </c>
      <c r="C98" s="2" t="s">
        <v>241</v>
      </c>
      <c r="D98" s="2">
        <v>13</v>
      </c>
      <c r="E98" s="2">
        <v>1000000</v>
      </c>
      <c r="F98" s="3">
        <f>IF(COUNT(D98,E98)=2,D98*E98,NA())</f>
        <v>13000000.0</v>
      </c>
      <c r="G98" s="2" t="s">
        <v>56</v>
      </c>
      <c r="H98" s="2" t="s">
        <v>57</v>
      </c>
      <c r="I98" s="2" t="s">
        <v>58</v>
      </c>
      <c r="J98" s="2" t="s">
        <v>59</v>
      </c>
      <c r="K98" s="2" t="s">
        <v>242</v>
      </c>
      <c r="L98" s="2" t="s">
        <v>60</v>
      </c>
      <c r="M98" s="2" t="s">
        <v>243</v>
      </c>
      <c r="N98" s="2" t="s">
        <v>62</v>
      </c>
      <c r="O98" s="2" t="s">
        <v>11</v>
      </c>
      <c r="P98" s="2"/>
      <c r="Q98" s="2" t="s">
        <v>310</v>
      </c>
      <c r="R98" s="2"/>
    </row>
    <row r="99" spans="1:18">
      <c r="A99" s="2" t="s">
        <v>311</v>
      </c>
      <c r="B99" s="2" t="s">
        <v>312</v>
      </c>
      <c r="C99" s="2" t="s">
        <v>241</v>
      </c>
      <c r="D99" s="2">
        <v>20</v>
      </c>
      <c r="E99" s="2">
        <v>1000000</v>
      </c>
      <c r="F99" s="3">
        <f>IF(COUNT(D99,E99)=2,D99*E99,NA())</f>
        <v>20000000.0</v>
      </c>
      <c r="G99" s="2" t="s">
        <v>56</v>
      </c>
      <c r="H99" s="2" t="s">
        <v>57</v>
      </c>
      <c r="I99" s="2" t="s">
        <v>58</v>
      </c>
      <c r="J99" s="2" t="s">
        <v>59</v>
      </c>
      <c r="K99" s="2" t="s">
        <v>247</v>
      </c>
      <c r="L99" s="2" t="s">
        <v>66</v>
      </c>
      <c r="M99" s="2" t="s">
        <v>243</v>
      </c>
      <c r="N99" s="2" t="s">
        <v>67</v>
      </c>
      <c r="O99" s="2" t="s">
        <v>11</v>
      </c>
      <c r="P99" s="2" t="s">
        <v>68</v>
      </c>
      <c r="Q99" s="2" t="s">
        <v>310</v>
      </c>
      <c r="R99" s="2"/>
    </row>
    <row r="100" spans="1:18">
      <c r="A100" s="2" t="s">
        <v>313</v>
      </c>
      <c r="B100" s="2" t="s">
        <v>314</v>
      </c>
      <c r="C100" s="2" t="s">
        <v>241</v>
      </c>
      <c r="D100" s="2">
        <v>3</v>
      </c>
      <c r="E100" s="2">
        <v>1000000</v>
      </c>
      <c r="F100" s="3">
        <f>IF(COUNT(D100,E100)=2,D100*E100,NA())</f>
        <v>3000000.0</v>
      </c>
      <c r="G100" s="2" t="s">
        <v>56</v>
      </c>
      <c r="H100" s="2" t="s">
        <v>57</v>
      </c>
      <c r="I100" s="2" t="s">
        <v>58</v>
      </c>
      <c r="J100" s="2" t="s">
        <v>59</v>
      </c>
      <c r="K100" s="2" t="s">
        <v>242</v>
      </c>
      <c r="L100" s="2" t="s">
        <v>60</v>
      </c>
      <c r="M100" s="2" t="s">
        <v>243</v>
      </c>
      <c r="N100" s="2" t="s">
        <v>62</v>
      </c>
      <c r="O100" s="2" t="s">
        <v>11</v>
      </c>
      <c r="P100" s="2"/>
      <c r="Q100" s="2" t="s">
        <v>315</v>
      </c>
      <c r="R100" s="2"/>
    </row>
    <row r="101" spans="1:18">
      <c r="A101" s="2" t="s">
        <v>316</v>
      </c>
      <c r="B101" s="2" t="s">
        <v>317</v>
      </c>
      <c r="C101" s="2" t="s">
        <v>241</v>
      </c>
      <c r="D101" s="2">
        <v>-26</v>
      </c>
      <c r="E101" s="2">
        <v>1000000</v>
      </c>
      <c r="F101" s="3">
        <f>IF(COUNT(D101,E101)=2,D101*E101,NA())</f>
        <v>-26000000.0</v>
      </c>
      <c r="G101" s="2" t="s">
        <v>56</v>
      </c>
      <c r="H101" s="2" t="s">
        <v>57</v>
      </c>
      <c r="I101" s="2" t="s">
        <v>58</v>
      </c>
      <c r="J101" s="2" t="s">
        <v>59</v>
      </c>
      <c r="K101" s="2" t="s">
        <v>247</v>
      </c>
      <c r="L101" s="2" t="s">
        <v>66</v>
      </c>
      <c r="M101" s="2" t="s">
        <v>243</v>
      </c>
      <c r="N101" s="2" t="s">
        <v>67</v>
      </c>
      <c r="O101" s="2" t="s">
        <v>11</v>
      </c>
      <c r="P101" s="2" t="s">
        <v>68</v>
      </c>
      <c r="Q101" s="2" t="s">
        <v>315</v>
      </c>
      <c r="R101" s="2"/>
    </row>
    <row r="102" spans="1:18">
      <c r="A102" s="2" t="s">
        <v>318</v>
      </c>
      <c r="B102" s="2" t="s">
        <v>319</v>
      </c>
      <c r="C102" s="2" t="s">
        <v>241</v>
      </c>
      <c r="D102" s="2">
        <v>1119</v>
      </c>
      <c r="E102" s="2">
        <v>1000000</v>
      </c>
      <c r="F102" s="3">
        <f>IF(COUNT(D102,E102)=2,D102*E102,NA())</f>
        <v>1119000000.0</v>
      </c>
      <c r="G102" s="2" t="s">
        <v>56</v>
      </c>
      <c r="H102" s="2" t="s">
        <v>57</v>
      </c>
      <c r="I102" s="2" t="s">
        <v>58</v>
      </c>
      <c r="J102" s="2" t="s">
        <v>59</v>
      </c>
      <c r="K102" s="2" t="s">
        <v>242</v>
      </c>
      <c r="L102" s="2" t="s">
        <v>60</v>
      </c>
      <c r="M102" s="2" t="s">
        <v>243</v>
      </c>
      <c r="N102" s="2" t="s">
        <v>62</v>
      </c>
      <c r="O102" s="2" t="s">
        <v>11</v>
      </c>
      <c r="P102" s="2"/>
      <c r="Q102" s="2" t="s">
        <v>320</v>
      </c>
      <c r="R102" s="2"/>
    </row>
    <row r="103" spans="1:18">
      <c r="A103" s="2" t="s">
        <v>321</v>
      </c>
      <c r="B103" s="2" t="s">
        <v>322</v>
      </c>
      <c r="C103" s="2" t="s">
        <v>241</v>
      </c>
      <c r="D103" s="2">
        <v>1180</v>
      </c>
      <c r="E103" s="2">
        <v>1000000</v>
      </c>
      <c r="F103" s="3">
        <f>IF(COUNT(D103,E103)=2,D103*E103,NA())</f>
        <v>1180000000.0</v>
      </c>
      <c r="G103" s="2" t="s">
        <v>56</v>
      </c>
      <c r="H103" s="2" t="s">
        <v>57</v>
      </c>
      <c r="I103" s="2" t="s">
        <v>58</v>
      </c>
      <c r="J103" s="2" t="s">
        <v>59</v>
      </c>
      <c r="K103" s="2" t="s">
        <v>247</v>
      </c>
      <c r="L103" s="2" t="s">
        <v>66</v>
      </c>
      <c r="M103" s="2" t="s">
        <v>243</v>
      </c>
      <c r="N103" s="2" t="s">
        <v>67</v>
      </c>
      <c r="O103" s="2" t="s">
        <v>11</v>
      </c>
      <c r="P103" s="2" t="s">
        <v>68</v>
      </c>
      <c r="Q103" s="2" t="s">
        <v>320</v>
      </c>
      <c r="R103" s="2"/>
    </row>
    <row r="104" spans="1:18">
      <c r="A104" s="2" t="s">
        <v>323</v>
      </c>
      <c r="B104" s="2" t="s">
        <v>324</v>
      </c>
      <c r="C104" s="2" t="s">
        <v>241</v>
      </c>
      <c r="D104" s="2">
        <v>-16</v>
      </c>
      <c r="E104" s="2">
        <v>1000000</v>
      </c>
      <c r="F104" s="3">
        <f>IF(COUNT(D104,E104)=2,D104*E104,NA())</f>
        <v>-16000000.0</v>
      </c>
      <c r="G104" s="2" t="s">
        <v>56</v>
      </c>
      <c r="H104" s="2" t="s">
        <v>57</v>
      </c>
      <c r="I104" s="2" t="s">
        <v>58</v>
      </c>
      <c r="J104" s="2" t="s">
        <v>59</v>
      </c>
      <c r="K104" s="2" t="s">
        <v>242</v>
      </c>
      <c r="L104" s="2" t="s">
        <v>60</v>
      </c>
      <c r="M104" s="2" t="s">
        <v>243</v>
      </c>
      <c r="N104" s="2" t="s">
        <v>62</v>
      </c>
      <c r="O104" s="2" t="s">
        <v>11</v>
      </c>
      <c r="P104" s="2"/>
      <c r="Q104" s="2" t="s">
        <v>325</v>
      </c>
      <c r="R104" s="2"/>
    </row>
    <row r="105" spans="1:18">
      <c r="A105" s="2" t="s">
        <v>326</v>
      </c>
      <c r="B105" s="2" t="s">
        <v>327</v>
      </c>
      <c r="C105" s="2" t="s">
        <v>241</v>
      </c>
      <c r="D105" s="2">
        <v>-18</v>
      </c>
      <c r="E105" s="2">
        <v>1000000</v>
      </c>
      <c r="F105" s="3">
        <f>IF(COUNT(D105,E105)=2,D105*E105,NA())</f>
        <v>-18000000.0</v>
      </c>
      <c r="G105" s="2" t="s">
        <v>56</v>
      </c>
      <c r="H105" s="2" t="s">
        <v>57</v>
      </c>
      <c r="I105" s="2" t="s">
        <v>58</v>
      </c>
      <c r="J105" s="2" t="s">
        <v>59</v>
      </c>
      <c r="K105" s="2" t="s">
        <v>247</v>
      </c>
      <c r="L105" s="2" t="s">
        <v>66</v>
      </c>
      <c r="M105" s="2" t="s">
        <v>243</v>
      </c>
      <c r="N105" s="2" t="s">
        <v>67</v>
      </c>
      <c r="O105" s="2" t="s">
        <v>11</v>
      </c>
      <c r="P105" s="2" t="s">
        <v>68</v>
      </c>
      <c r="Q105" s="2" t="s">
        <v>325</v>
      </c>
      <c r="R105" s="2"/>
    </row>
    <row r="106" spans="1:18">
      <c r="A106" s="2" t="s">
        <v>328</v>
      </c>
      <c r="B106" s="2" t="s">
        <v>329</v>
      </c>
      <c r="C106" s="2" t="s">
        <v>241</v>
      </c>
      <c r="D106" s="2">
        <v>1103</v>
      </c>
      <c r="E106" s="2">
        <v>1000000</v>
      </c>
      <c r="F106" s="3">
        <f>IF(COUNT(D106,E106)=2,D106*E106,NA())</f>
        <v>1103000000.0</v>
      </c>
      <c r="G106" s="2" t="s">
        <v>56</v>
      </c>
      <c r="H106" s="2" t="s">
        <v>57</v>
      </c>
      <c r="I106" s="2" t="s">
        <v>58</v>
      </c>
      <c r="J106" s="2" t="s">
        <v>59</v>
      </c>
      <c r="K106" s="2" t="s">
        <v>242</v>
      </c>
      <c r="L106" s="2" t="s">
        <v>60</v>
      </c>
      <c r="M106" s="2" t="s">
        <v>243</v>
      </c>
      <c r="N106" s="2" t="s">
        <v>62</v>
      </c>
      <c r="O106" s="2" t="s">
        <v>11</v>
      </c>
      <c r="P106" s="2"/>
      <c r="Q106" s="2" t="s">
        <v>330</v>
      </c>
      <c r="R106" s="2"/>
    </row>
    <row r="107" spans="1:18">
      <c r="A107" s="2" t="s">
        <v>331</v>
      </c>
      <c r="B107" s="2" t="s">
        <v>332</v>
      </c>
      <c r="C107" s="2" t="s">
        <v>241</v>
      </c>
      <c r="D107" s="2">
        <v>1162</v>
      </c>
      <c r="E107" s="2">
        <v>1000000</v>
      </c>
      <c r="F107" s="3">
        <f>IF(COUNT(D107,E107)=2,D107*E107,NA())</f>
        <v>1162000000.0</v>
      </c>
      <c r="G107" s="2" t="s">
        <v>56</v>
      </c>
      <c r="H107" s="2" t="s">
        <v>57</v>
      </c>
      <c r="I107" s="2" t="s">
        <v>58</v>
      </c>
      <c r="J107" s="2" t="s">
        <v>59</v>
      </c>
      <c r="K107" s="2" t="s">
        <v>247</v>
      </c>
      <c r="L107" s="2" t="s">
        <v>66</v>
      </c>
      <c r="M107" s="2" t="s">
        <v>243</v>
      </c>
      <c r="N107" s="2" t="s">
        <v>67</v>
      </c>
      <c r="O107" s="2" t="s">
        <v>11</v>
      </c>
      <c r="P107" s="2" t="s">
        <v>68</v>
      </c>
      <c r="Q107" s="2" t="s">
        <v>330</v>
      </c>
      <c r="R107" s="2"/>
    </row>
    <row r="108" spans="1:18">
      <c r="A108" s="2" t="s">
        <v>333</v>
      </c>
      <c r="B108" s="2" t="s">
        <v>334</v>
      </c>
      <c r="C108" s="2" t="s">
        <v>241</v>
      </c>
      <c r="D108" s="2">
        <v>916</v>
      </c>
      <c r="E108" s="2">
        <v>1000000</v>
      </c>
      <c r="F108" s="3">
        <f>IF(COUNT(D108,E108)=2,D108*E108,NA())</f>
        <v>916000000.0</v>
      </c>
      <c r="G108" s="2" t="s">
        <v>56</v>
      </c>
      <c r="H108" s="2" t="s">
        <v>57</v>
      </c>
      <c r="I108" s="2" t="s">
        <v>58</v>
      </c>
      <c r="J108" s="2" t="s">
        <v>59</v>
      </c>
      <c r="K108" s="2" t="s">
        <v>242</v>
      </c>
      <c r="L108" s="2" t="s">
        <v>60</v>
      </c>
      <c r="M108" s="2" t="s">
        <v>243</v>
      </c>
      <c r="N108" s="2" t="s">
        <v>62</v>
      </c>
      <c r="O108" s="2" t="s">
        <v>11</v>
      </c>
      <c r="P108" s="2"/>
      <c r="Q108" s="2" t="s">
        <v>335</v>
      </c>
      <c r="R108" s="2"/>
    </row>
    <row r="109" spans="1:18">
      <c r="A109" s="2" t="s">
        <v>336</v>
      </c>
      <c r="B109" s="2" t="s">
        <v>337</v>
      </c>
      <c r="C109" s="2" t="s">
        <v>241</v>
      </c>
      <c r="D109" s="2">
        <v>-5065</v>
      </c>
      <c r="E109" s="2">
        <v>1000000</v>
      </c>
      <c r="F109" s="3">
        <f>IF(COUNT(D109,E109)=2,D109*E109,NA())</f>
        <v>-5065000000.0</v>
      </c>
      <c r="G109" s="2" t="s">
        <v>56</v>
      </c>
      <c r="H109" s="2" t="s">
        <v>57</v>
      </c>
      <c r="I109" s="2" t="s">
        <v>58</v>
      </c>
      <c r="J109" s="2" t="s">
        <v>59</v>
      </c>
      <c r="K109" s="2" t="s">
        <v>247</v>
      </c>
      <c r="L109" s="2" t="s">
        <v>66</v>
      </c>
      <c r="M109" s="2" t="s">
        <v>243</v>
      </c>
      <c r="N109" s="2" t="s">
        <v>67</v>
      </c>
      <c r="O109" s="2" t="s">
        <v>11</v>
      </c>
      <c r="P109" s="2" t="s">
        <v>68</v>
      </c>
      <c r="Q109" s="2" t="s">
        <v>335</v>
      </c>
      <c r="R109" s="2"/>
    </row>
    <row r="110" spans="1:18">
      <c r="A110" s="2" t="s">
        <v>338</v>
      </c>
      <c r="B110" s="2" t="s">
        <v>339</v>
      </c>
      <c r="C110" s="2" t="s">
        <v>241</v>
      </c>
      <c r="D110" s="2">
        <v>1575</v>
      </c>
      <c r="E110" s="2">
        <v>1000000</v>
      </c>
      <c r="F110" s="3">
        <f>IF(COUNT(D110,E110)=2,D110*E110,NA())</f>
        <v>1575000000.0</v>
      </c>
      <c r="G110" s="2" t="s">
        <v>56</v>
      </c>
      <c r="H110" s="2" t="s">
        <v>57</v>
      </c>
      <c r="I110" s="2" t="s">
        <v>58</v>
      </c>
      <c r="J110" s="2" t="s">
        <v>59</v>
      </c>
      <c r="K110" s="2" t="s">
        <v>242</v>
      </c>
      <c r="L110" s="2" t="s">
        <v>60</v>
      </c>
      <c r="M110" s="2" t="s">
        <v>243</v>
      </c>
      <c r="N110" s="2" t="s">
        <v>62</v>
      </c>
      <c r="O110" s="2" t="s">
        <v>11</v>
      </c>
      <c r="P110" s="2"/>
      <c r="Q110" s="2" t="s">
        <v>340</v>
      </c>
      <c r="R110" s="2"/>
    </row>
    <row r="111" spans="1:18">
      <c r="A111" s="2" t="s">
        <v>341</v>
      </c>
      <c r="B111" s="2" t="s">
        <v>342</v>
      </c>
      <c r="C111" s="2" t="s">
        <v>241</v>
      </c>
      <c r="D111" s="2">
        <v>0</v>
      </c>
      <c r="E111" s="2">
        <v>1000000</v>
      </c>
      <c r="F111" s="3">
        <f>IF(COUNT(D111,E111)=2,D111*E111,NA())</f>
        <v>0.0</v>
      </c>
      <c r="G111" s="2" t="s">
        <v>56</v>
      </c>
      <c r="H111" s="2" t="s">
        <v>57</v>
      </c>
      <c r="I111" s="2" t="s">
        <v>58</v>
      </c>
      <c r="J111" s="2" t="s">
        <v>59</v>
      </c>
      <c r="K111" s="2" t="s">
        <v>247</v>
      </c>
      <c r="L111" s="2" t="s">
        <v>66</v>
      </c>
      <c r="M111" s="2" t="s">
        <v>243</v>
      </c>
      <c r="N111" s="2" t="s">
        <v>67</v>
      </c>
      <c r="O111" s="2" t="s">
        <v>11</v>
      </c>
      <c r="P111" s="2" t="s">
        <v>68</v>
      </c>
      <c r="Q111" s="2" t="s">
        <v>340</v>
      </c>
      <c r="R111" s="2"/>
    </row>
    <row r="112" spans="1:18">
      <c r="A112" s="2" t="s">
        <v>343</v>
      </c>
      <c r="B112" s="2" t="s">
        <v>344</v>
      </c>
      <c r="C112" s="2" t="s">
        <v>241</v>
      </c>
      <c r="D112" s="2">
        <v>-659</v>
      </c>
      <c r="E112" s="2">
        <v>1000000</v>
      </c>
      <c r="F112" s="3">
        <f>IF(COUNT(D112,E112)=2,D112*E112,NA())</f>
        <v>-659000000.0</v>
      </c>
      <c r="G112" s="2" t="s">
        <v>56</v>
      </c>
      <c r="H112" s="2" t="s">
        <v>57</v>
      </c>
      <c r="I112" s="2" t="s">
        <v>58</v>
      </c>
      <c r="J112" s="2" t="s">
        <v>59</v>
      </c>
      <c r="K112" s="2" t="s">
        <v>242</v>
      </c>
      <c r="L112" s="2" t="s">
        <v>60</v>
      </c>
      <c r="M112" s="2" t="s">
        <v>243</v>
      </c>
      <c r="N112" s="2" t="s">
        <v>62</v>
      </c>
      <c r="O112" s="2" t="s">
        <v>11</v>
      </c>
      <c r="P112" s="2"/>
      <c r="Q112" s="2" t="s">
        <v>345</v>
      </c>
      <c r="R112" s="2"/>
    </row>
    <row r="113" spans="1:18">
      <c r="A113" s="2" t="s">
        <v>346</v>
      </c>
      <c r="B113" s="2" t="s">
        <v>347</v>
      </c>
      <c r="C113" s="2" t="s">
        <v>241</v>
      </c>
      <c r="D113" s="2">
        <v>-5065</v>
      </c>
      <c r="E113" s="2">
        <v>1000000</v>
      </c>
      <c r="F113" s="3">
        <f>IF(COUNT(D113,E113)=2,D113*E113,NA())</f>
        <v>-5065000000.0</v>
      </c>
      <c r="G113" s="2" t="s">
        <v>56</v>
      </c>
      <c r="H113" s="2" t="s">
        <v>57</v>
      </c>
      <c r="I113" s="2" t="s">
        <v>58</v>
      </c>
      <c r="J113" s="2" t="s">
        <v>59</v>
      </c>
      <c r="K113" s="2" t="s">
        <v>247</v>
      </c>
      <c r="L113" s="2" t="s">
        <v>66</v>
      </c>
      <c r="M113" s="2" t="s">
        <v>243</v>
      </c>
      <c r="N113" s="2" t="s">
        <v>67</v>
      </c>
      <c r="O113" s="2" t="s">
        <v>11</v>
      </c>
      <c r="P113" s="2" t="s">
        <v>68</v>
      </c>
      <c r="Q113" s="2" t="s">
        <v>345</v>
      </c>
      <c r="R113" s="2"/>
    </row>
    <row r="114" spans="1:18">
      <c r="A114" s="2" t="s">
        <v>348</v>
      </c>
      <c r="B114" s="2" t="s">
        <v>349</v>
      </c>
      <c r="C114" s="2" t="s">
        <v>241</v>
      </c>
      <c r="D114" s="2">
        <v>444</v>
      </c>
      <c r="E114" s="2">
        <v>1000000</v>
      </c>
      <c r="F114" s="3">
        <f>IF(COUNT(D114,E114)=2,D114*E114,NA())</f>
        <v>444000000.0</v>
      </c>
      <c r="G114" s="2" t="s">
        <v>56</v>
      </c>
      <c r="H114" s="2" t="s">
        <v>57</v>
      </c>
      <c r="I114" s="2" t="s">
        <v>58</v>
      </c>
      <c r="J114" s="2" t="s">
        <v>59</v>
      </c>
      <c r="K114" s="2" t="s">
        <v>242</v>
      </c>
      <c r="L114" s="2" t="s">
        <v>60</v>
      </c>
      <c r="M114" s="2" t="s">
        <v>243</v>
      </c>
      <c r="N114" s="2" t="s">
        <v>62</v>
      </c>
      <c r="O114" s="2" t="s">
        <v>11</v>
      </c>
      <c r="P114" s="2"/>
      <c r="Q114" s="2" t="s">
        <v>350</v>
      </c>
      <c r="R114" s="2"/>
    </row>
    <row r="115" spans="1:18">
      <c r="A115" s="2" t="s">
        <v>351</v>
      </c>
      <c r="B115" s="2" t="s">
        <v>352</v>
      </c>
      <c r="C115" s="2" t="s">
        <v>241</v>
      </c>
      <c r="D115" s="2">
        <v>-3903</v>
      </c>
      <c r="E115" s="2">
        <v>1000000</v>
      </c>
      <c r="F115" s="3">
        <f>IF(COUNT(D115,E115)=2,D115*E115,NA())</f>
        <v>-3903000000.0</v>
      </c>
      <c r="G115" s="2" t="s">
        <v>56</v>
      </c>
      <c r="H115" s="2" t="s">
        <v>57</v>
      </c>
      <c r="I115" s="2" t="s">
        <v>58</v>
      </c>
      <c r="J115" s="2" t="s">
        <v>59</v>
      </c>
      <c r="K115" s="2" t="s">
        <v>247</v>
      </c>
      <c r="L115" s="2" t="s">
        <v>66</v>
      </c>
      <c r="M115" s="2" t="s">
        <v>243</v>
      </c>
      <c r="N115" s="2" t="s">
        <v>67</v>
      </c>
      <c r="O115" s="2" t="s">
        <v>11</v>
      </c>
      <c r="P115" s="2" t="s">
        <v>68</v>
      </c>
      <c r="Q115" s="2" t="s">
        <v>350</v>
      </c>
      <c r="R115" s="2"/>
    </row>
    <row r="116" spans="1:18">
      <c r="A116" s="2" t="s">
        <v>353</v>
      </c>
      <c r="B116" s="2" t="s">
        <v>354</v>
      </c>
      <c r="C116" s="2" t="s">
        <v>241</v>
      </c>
      <c r="D116" s="2">
        <v>0</v>
      </c>
      <c r="E116" s="2">
        <v>1000000</v>
      </c>
      <c r="F116" s="3">
        <f>IF(COUNT(D116,E116)=2,D116*E116,NA())</f>
        <v>0.0</v>
      </c>
      <c r="G116" s="2" t="s">
        <v>56</v>
      </c>
      <c r="H116" s="2" t="s">
        <v>57</v>
      </c>
      <c r="I116" s="2" t="s">
        <v>58</v>
      </c>
      <c r="J116" s="2" t="s">
        <v>59</v>
      </c>
      <c r="K116" s="2" t="s">
        <v>242</v>
      </c>
      <c r="L116" s="2" t="s">
        <v>60</v>
      </c>
      <c r="M116" s="2" t="s">
        <v>243</v>
      </c>
      <c r="N116" s="2" t="s">
        <v>62</v>
      </c>
      <c r="O116" s="2" t="s">
        <v>11</v>
      </c>
      <c r="P116" s="2"/>
      <c r="Q116" s="2" t="s">
        <v>355</v>
      </c>
      <c r="R116" s="2"/>
    </row>
    <row r="117" spans="1:18">
      <c r="A117" s="2" t="s">
        <v>356</v>
      </c>
      <c r="B117" s="2" t="s">
        <v>357</v>
      </c>
      <c r="C117" s="2" t="s">
        <v>241</v>
      </c>
      <c r="D117" s="2">
        <v>-1</v>
      </c>
      <c r="E117" s="2">
        <v>1000000</v>
      </c>
      <c r="F117" s="3">
        <f>IF(COUNT(D117,E117)=2,D117*E117,NA())</f>
        <v>-1000000.0</v>
      </c>
      <c r="G117" s="2" t="s">
        <v>56</v>
      </c>
      <c r="H117" s="2" t="s">
        <v>57</v>
      </c>
      <c r="I117" s="2" t="s">
        <v>58</v>
      </c>
      <c r="J117" s="2" t="s">
        <v>59</v>
      </c>
      <c r="K117" s="2" t="s">
        <v>247</v>
      </c>
      <c r="L117" s="2" t="s">
        <v>66</v>
      </c>
      <c r="M117" s="2" t="s">
        <v>243</v>
      </c>
      <c r="N117" s="2" t="s">
        <v>67</v>
      </c>
      <c r="O117" s="2" t="s">
        <v>11</v>
      </c>
      <c r="P117" s="2" t="s">
        <v>68</v>
      </c>
      <c r="Q117" s="2" t="s">
        <v>355</v>
      </c>
      <c r="R117" s="2"/>
    </row>
    <row r="118" spans="1:18">
      <c r="A118" s="2" t="s">
        <v>358</v>
      </c>
      <c r="B118" s="2" t="s">
        <v>359</v>
      </c>
      <c r="C118" s="2" t="s">
        <v>241</v>
      </c>
      <c r="D118" s="2">
        <v>444</v>
      </c>
      <c r="E118" s="2">
        <v>1000000</v>
      </c>
      <c r="F118" s="3">
        <f>IF(COUNT(D118,E118)=2,D118*E118,NA())</f>
        <v>444000000.0</v>
      </c>
      <c r="G118" s="2" t="s">
        <v>56</v>
      </c>
      <c r="H118" s="2" t="s">
        <v>57</v>
      </c>
      <c r="I118" s="2" t="s">
        <v>58</v>
      </c>
      <c r="J118" s="2" t="s">
        <v>59</v>
      </c>
      <c r="K118" s="2" t="s">
        <v>242</v>
      </c>
      <c r="L118" s="2" t="s">
        <v>60</v>
      </c>
      <c r="M118" s="2" t="s">
        <v>243</v>
      </c>
      <c r="N118" s="2" t="s">
        <v>62</v>
      </c>
      <c r="O118" s="2" t="s">
        <v>11</v>
      </c>
      <c r="P118" s="2"/>
      <c r="Q118" s="2" t="s">
        <v>360</v>
      </c>
      <c r="R118" s="2"/>
    </row>
    <row r="119" spans="1:18">
      <c r="A119" s="2" t="s">
        <v>361</v>
      </c>
      <c r="B119" s="2" t="s">
        <v>362</v>
      </c>
      <c r="C119" s="2" t="s">
        <v>241</v>
      </c>
      <c r="D119" s="2">
        <v>-3904</v>
      </c>
      <c r="E119" s="2">
        <v>1000000</v>
      </c>
      <c r="F119" s="3">
        <f>IF(COUNT(D119,E119)=2,D119*E119,NA())</f>
        <v>-3904000000.0</v>
      </c>
      <c r="G119" s="2" t="s">
        <v>56</v>
      </c>
      <c r="H119" s="2" t="s">
        <v>57</v>
      </c>
      <c r="I119" s="2" t="s">
        <v>58</v>
      </c>
      <c r="J119" s="2" t="s">
        <v>59</v>
      </c>
      <c r="K119" s="2" t="s">
        <v>247</v>
      </c>
      <c r="L119" s="2" t="s">
        <v>66</v>
      </c>
      <c r="M119" s="2" t="s">
        <v>243</v>
      </c>
      <c r="N119" s="2" t="s">
        <v>67</v>
      </c>
      <c r="O119" s="2" t="s">
        <v>11</v>
      </c>
      <c r="P119" s="2" t="s">
        <v>68</v>
      </c>
      <c r="Q119" s="2" t="s">
        <v>360</v>
      </c>
      <c r="R119" s="2"/>
    </row>
    <row r="120" spans="1:18">
      <c r="A120" s="2" t="s">
        <v>363</v>
      </c>
      <c r="B120" s="2" t="s">
        <v>364</v>
      </c>
      <c r="C120" s="2" t="s">
        <v>365</v>
      </c>
      <c r="D120" s="2">
        <v>32</v>
      </c>
      <c r="E120" s="2">
        <v>1000000</v>
      </c>
      <c r="F120" s="3">
        <f>IF(COUNT(D120,E120)=2,D120*E120,NA())</f>
        <v>32000000.0</v>
      </c>
      <c r="G120" s="2" t="s">
        <v>56</v>
      </c>
      <c r="H120" s="2" t="s">
        <v>57</v>
      </c>
      <c r="I120" s="2" t="s">
        <v>58</v>
      </c>
      <c r="J120" s="2" t="s">
        <v>59</v>
      </c>
      <c r="K120" s="2" t="s">
        <v>242</v>
      </c>
      <c r="L120" s="2" t="s">
        <v>60</v>
      </c>
      <c r="M120" s="2" t="s">
        <v>243</v>
      </c>
      <c r="N120" s="2" t="s">
        <v>62</v>
      </c>
      <c r="O120" s="2" t="s">
        <v>11</v>
      </c>
      <c r="P120" s="2"/>
      <c r="Q120" s="2" t="s">
        <v>366</v>
      </c>
      <c r="R120" s="2"/>
    </row>
    <row r="121" spans="1:18">
      <c r="A121" s="2" t="s">
        <v>367</v>
      </c>
      <c r="B121" s="2" t="s">
        <v>368</v>
      </c>
      <c r="C121" s="2" t="s">
        <v>365</v>
      </c>
      <c r="D121" s="2">
        <v>32</v>
      </c>
      <c r="E121" s="2">
        <v>1000000</v>
      </c>
      <c r="F121" s="3">
        <f>IF(COUNT(D121,E121)=2,D121*E121,NA())</f>
        <v>32000000.0</v>
      </c>
      <c r="G121" s="2" t="s">
        <v>56</v>
      </c>
      <c r="H121" s="2" t="s">
        <v>57</v>
      </c>
      <c r="I121" s="2" t="s">
        <v>58</v>
      </c>
      <c r="J121" s="2" t="s">
        <v>59</v>
      </c>
      <c r="K121" s="2" t="s">
        <v>247</v>
      </c>
      <c r="L121" s="2" t="s">
        <v>66</v>
      </c>
      <c r="M121" s="2" t="s">
        <v>243</v>
      </c>
      <c r="N121" s="2" t="s">
        <v>67</v>
      </c>
      <c r="O121" s="2" t="s">
        <v>11</v>
      </c>
      <c r="P121" s="2" t="s">
        <v>68</v>
      </c>
      <c r="Q121" s="2" t="s">
        <v>366</v>
      </c>
      <c r="R121" s="2"/>
    </row>
    <row r="122" spans="1:18">
      <c r="A122" s="2" t="s">
        <v>369</v>
      </c>
      <c r="B122" s="2" t="s">
        <v>370</v>
      </c>
      <c r="C122" s="2" t="s">
        <v>365</v>
      </c>
      <c r="D122" s="2">
        <v>73</v>
      </c>
      <c r="E122" s="2">
        <v>1000000</v>
      </c>
      <c r="F122" s="3">
        <f>IF(COUNT(D122,E122)=2,D122*E122,NA())</f>
        <v>73000000.0</v>
      </c>
      <c r="G122" s="2" t="s">
        <v>56</v>
      </c>
      <c r="H122" s="2" t="s">
        <v>57</v>
      </c>
      <c r="I122" s="2" t="s">
        <v>58</v>
      </c>
      <c r="J122" s="2" t="s">
        <v>59</v>
      </c>
      <c r="K122" s="2" t="s">
        <v>242</v>
      </c>
      <c r="L122" s="2" t="s">
        <v>60</v>
      </c>
      <c r="M122" s="2" t="s">
        <v>243</v>
      </c>
      <c r="N122" s="2" t="s">
        <v>62</v>
      </c>
      <c r="O122" s="2" t="s">
        <v>11</v>
      </c>
      <c r="P122" s="2"/>
      <c r="Q122" s="2" t="s">
        <v>371</v>
      </c>
      <c r="R122" s="2"/>
    </row>
    <row r="123" spans="1:18">
      <c r="A123" s="2" t="s">
        <v>372</v>
      </c>
      <c r="B123" s="2" t="s">
        <v>373</v>
      </c>
      <c r="C123" s="2" t="s">
        <v>365</v>
      </c>
      <c r="D123" s="2">
        <v>84</v>
      </c>
      <c r="E123" s="2">
        <v>1000000</v>
      </c>
      <c r="F123" s="3">
        <f>IF(COUNT(D123,E123)=2,D123*E123,NA())</f>
        <v>84000000.0</v>
      </c>
      <c r="G123" s="2" t="s">
        <v>56</v>
      </c>
      <c r="H123" s="2" t="s">
        <v>57</v>
      </c>
      <c r="I123" s="2" t="s">
        <v>58</v>
      </c>
      <c r="J123" s="2" t="s">
        <v>59</v>
      </c>
      <c r="K123" s="2" t="s">
        <v>247</v>
      </c>
      <c r="L123" s="2" t="s">
        <v>66</v>
      </c>
      <c r="M123" s="2" t="s">
        <v>243</v>
      </c>
      <c r="N123" s="2" t="s">
        <v>67</v>
      </c>
      <c r="O123" s="2" t="s">
        <v>11</v>
      </c>
      <c r="P123" s="2" t="s">
        <v>68</v>
      </c>
      <c r="Q123" s="2" t="s">
        <v>371</v>
      </c>
      <c r="R123" s="2"/>
    </row>
    <row r="124" spans="1:18">
      <c r="A124" s="2" t="s">
        <v>374</v>
      </c>
      <c r="B124" s="2" t="s">
        <v>375</v>
      </c>
      <c r="C124" s="2" t="s">
        <v>365</v>
      </c>
      <c r="D124" s="2">
        <v>0</v>
      </c>
      <c r="E124" s="2">
        <v>1000000</v>
      </c>
      <c r="F124" s="3">
        <f>IF(COUNT(D124,E124)=2,D124*E124,NA())</f>
        <v>0.0</v>
      </c>
      <c r="G124" s="2" t="s">
        <v>56</v>
      </c>
      <c r="H124" s="2" t="s">
        <v>57</v>
      </c>
      <c r="I124" s="2" t="s">
        <v>58</v>
      </c>
      <c r="J124" s="2" t="s">
        <v>59</v>
      </c>
      <c r="K124" s="2" t="s">
        <v>242</v>
      </c>
      <c r="L124" s="2" t="s">
        <v>60</v>
      </c>
      <c r="M124" s="2" t="s">
        <v>243</v>
      </c>
      <c r="N124" s="2" t="s">
        <v>62</v>
      </c>
      <c r="O124" s="2" t="s">
        <v>11</v>
      </c>
      <c r="P124" s="2"/>
      <c r="Q124" s="2" t="s">
        <v>376</v>
      </c>
      <c r="R124" s="2"/>
    </row>
    <row r="125" spans="1:18">
      <c r="A125" s="2" t="s">
        <v>377</v>
      </c>
      <c r="B125" s="2" t="s">
        <v>378</v>
      </c>
      <c r="C125" s="2" t="s">
        <v>365</v>
      </c>
      <c r="D125" s="2">
        <v>4</v>
      </c>
      <c r="E125" s="2">
        <v>1000000</v>
      </c>
      <c r="F125" s="3">
        <f>IF(COUNT(D125,E125)=2,D125*E125,NA())</f>
        <v>4000000.0</v>
      </c>
      <c r="G125" s="2" t="s">
        <v>56</v>
      </c>
      <c r="H125" s="2" t="s">
        <v>57</v>
      </c>
      <c r="I125" s="2" t="s">
        <v>58</v>
      </c>
      <c r="J125" s="2" t="s">
        <v>59</v>
      </c>
      <c r="K125" s="2" t="s">
        <v>247</v>
      </c>
      <c r="L125" s="2" t="s">
        <v>66</v>
      </c>
      <c r="M125" s="2" t="s">
        <v>243</v>
      </c>
      <c r="N125" s="2" t="s">
        <v>67</v>
      </c>
      <c r="O125" s="2" t="s">
        <v>11</v>
      </c>
      <c r="P125" s="2" t="s">
        <v>68</v>
      </c>
      <c r="Q125" s="2" t="s">
        <v>376</v>
      </c>
      <c r="R125" s="2"/>
    </row>
    <row r="126" spans="1:18">
      <c r="A126" s="2" t="s">
        <v>379</v>
      </c>
      <c r="B126" s="2" t="s">
        <v>380</v>
      </c>
      <c r="C126" s="2" t="s">
        <v>365</v>
      </c>
      <c r="D126" s="2">
        <v>0</v>
      </c>
      <c r="E126" s="2">
        <v>1000000</v>
      </c>
      <c r="F126" s="3">
        <f>IF(COUNT(D126,E126)=2,D126*E126,NA())</f>
        <v>0.0</v>
      </c>
      <c r="G126" s="2" t="s">
        <v>56</v>
      </c>
      <c r="H126" s="2" t="s">
        <v>57</v>
      </c>
      <c r="I126" s="2" t="s">
        <v>58</v>
      </c>
      <c r="J126" s="2" t="s">
        <v>59</v>
      </c>
      <c r="K126" s="2" t="s">
        <v>242</v>
      </c>
      <c r="L126" s="2" t="s">
        <v>60</v>
      </c>
      <c r="M126" s="2" t="s">
        <v>243</v>
      </c>
      <c r="N126" s="2" t="s">
        <v>62</v>
      </c>
      <c r="O126" s="2" t="s">
        <v>11</v>
      </c>
      <c r="P126" s="2"/>
      <c r="Q126" s="2" t="s">
        <v>381</v>
      </c>
      <c r="R126" s="2"/>
    </row>
    <row r="127" spans="1:18">
      <c r="A127" s="2" t="s">
        <v>382</v>
      </c>
      <c r="B127" s="2" t="s">
        <v>383</v>
      </c>
      <c r="C127" s="2" t="s">
        <v>365</v>
      </c>
      <c r="D127" s="2">
        <v>10</v>
      </c>
      <c r="E127" s="2">
        <v>1000000</v>
      </c>
      <c r="F127" s="3">
        <f>IF(COUNT(D127,E127)=2,D127*E127,NA())</f>
        <v>10000000.0</v>
      </c>
      <c r="G127" s="2" t="s">
        <v>56</v>
      </c>
      <c r="H127" s="2" t="s">
        <v>57</v>
      </c>
      <c r="I127" s="2" t="s">
        <v>58</v>
      </c>
      <c r="J127" s="2" t="s">
        <v>59</v>
      </c>
      <c r="K127" s="2" t="s">
        <v>247</v>
      </c>
      <c r="L127" s="2" t="s">
        <v>66</v>
      </c>
      <c r="M127" s="2" t="s">
        <v>243</v>
      </c>
      <c r="N127" s="2" t="s">
        <v>67</v>
      </c>
      <c r="O127" s="2" t="s">
        <v>11</v>
      </c>
      <c r="P127" s="2" t="s">
        <v>68</v>
      </c>
      <c r="Q127" s="2" t="s">
        <v>381</v>
      </c>
      <c r="R127" s="2"/>
    </row>
    <row r="128" spans="1:18">
      <c r="A128" s="2" t="s">
        <v>384</v>
      </c>
      <c r="B128" s="2" t="s">
        <v>385</v>
      </c>
      <c r="C128" s="2" t="s">
        <v>365</v>
      </c>
      <c r="D128" s="2">
        <v>-4</v>
      </c>
      <c r="E128" s="2">
        <v>1000000</v>
      </c>
      <c r="F128" s="3">
        <f>IF(COUNT(D128,E128)=2,D128*E128,NA())</f>
        <v>-4000000.0</v>
      </c>
      <c r="G128" s="2" t="s">
        <v>56</v>
      </c>
      <c r="H128" s="2" t="s">
        <v>57</v>
      </c>
      <c r="I128" s="2" t="s">
        <v>58</v>
      </c>
      <c r="J128" s="2" t="s">
        <v>59</v>
      </c>
      <c r="K128" s="2" t="s">
        <v>242</v>
      </c>
      <c r="L128" s="2" t="s">
        <v>60</v>
      </c>
      <c r="M128" s="2" t="s">
        <v>243</v>
      </c>
      <c r="N128" s="2" t="s">
        <v>62</v>
      </c>
      <c r="O128" s="2" t="s">
        <v>11</v>
      </c>
      <c r="P128" s="2"/>
      <c r="Q128" s="2" t="s">
        <v>386</v>
      </c>
      <c r="R128" s="2"/>
    </row>
    <row r="129" spans="1:18">
      <c r="A129" s="2" t="s">
        <v>387</v>
      </c>
      <c r="B129" s="2" t="s">
        <v>388</v>
      </c>
      <c r="C129" s="2" t="s">
        <v>365</v>
      </c>
      <c r="D129" s="2">
        <v>23</v>
      </c>
      <c r="E129" s="2">
        <v>1000000</v>
      </c>
      <c r="F129" s="3">
        <f>IF(COUNT(D129,E129)=2,D129*E129,NA())</f>
        <v>23000000.0</v>
      </c>
      <c r="G129" s="2" t="s">
        <v>56</v>
      </c>
      <c r="H129" s="2" t="s">
        <v>57</v>
      </c>
      <c r="I129" s="2" t="s">
        <v>58</v>
      </c>
      <c r="J129" s="2" t="s">
        <v>59</v>
      </c>
      <c r="K129" s="2" t="s">
        <v>247</v>
      </c>
      <c r="L129" s="2" t="s">
        <v>66</v>
      </c>
      <c r="M129" s="2" t="s">
        <v>243</v>
      </c>
      <c r="N129" s="2" t="s">
        <v>67</v>
      </c>
      <c r="O129" s="2" t="s">
        <v>11</v>
      </c>
      <c r="P129" s="2" t="s">
        <v>68</v>
      </c>
      <c r="Q129" s="2" t="s">
        <v>386</v>
      </c>
      <c r="R129" s="2"/>
    </row>
    <row r="130" spans="1:18">
      <c r="A130" s="2" t="s">
        <v>389</v>
      </c>
      <c r="B130" s="2" t="s">
        <v>390</v>
      </c>
      <c r="C130" s="2" t="s">
        <v>365</v>
      </c>
      <c r="D130" s="2">
        <v>1185</v>
      </c>
      <c r="E130" s="2">
        <v>1000000</v>
      </c>
      <c r="F130" s="3">
        <f>IF(COUNT(D130,E130)=2,D130*E130,NA())</f>
        <v>1185000000.0</v>
      </c>
      <c r="G130" s="2" t="s">
        <v>56</v>
      </c>
      <c r="H130" s="2" t="s">
        <v>57</v>
      </c>
      <c r="I130" s="2" t="s">
        <v>58</v>
      </c>
      <c r="J130" s="2" t="s">
        <v>59</v>
      </c>
      <c r="K130" s="2" t="s">
        <v>242</v>
      </c>
      <c r="L130" s="2" t="s">
        <v>60</v>
      </c>
      <c r="M130" s="2" t="s">
        <v>243</v>
      </c>
      <c r="N130" s="2" t="s">
        <v>62</v>
      </c>
      <c r="O130" s="2" t="s">
        <v>11</v>
      </c>
      <c r="P130" s="2"/>
      <c r="Q130" s="2" t="s">
        <v>391</v>
      </c>
      <c r="R130" s="2"/>
    </row>
    <row r="131" spans="1:18">
      <c r="A131" s="2" t="s">
        <v>392</v>
      </c>
      <c r="B131" s="2" t="s">
        <v>393</v>
      </c>
      <c r="C131" s="2" t="s">
        <v>365</v>
      </c>
      <c r="D131" s="2">
        <v>1123</v>
      </c>
      <c r="E131" s="2">
        <v>1000000</v>
      </c>
      <c r="F131" s="3">
        <f>IF(COUNT(D131,E131)=2,D131*E131,NA())</f>
        <v>1123000000.0</v>
      </c>
      <c r="G131" s="2" t="s">
        <v>56</v>
      </c>
      <c r="H131" s="2" t="s">
        <v>57</v>
      </c>
      <c r="I131" s="2" t="s">
        <v>58</v>
      </c>
      <c r="J131" s="2" t="s">
        <v>59</v>
      </c>
      <c r="K131" s="2" t="s">
        <v>247</v>
      </c>
      <c r="L131" s="2" t="s">
        <v>66</v>
      </c>
      <c r="M131" s="2" t="s">
        <v>243</v>
      </c>
      <c r="N131" s="2" t="s">
        <v>67</v>
      </c>
      <c r="O131" s="2" t="s">
        <v>11</v>
      </c>
      <c r="P131" s="2" t="s">
        <v>68</v>
      </c>
      <c r="Q131" s="2" t="s">
        <v>391</v>
      </c>
      <c r="R131" s="2"/>
    </row>
    <row r="132" spans="1:18">
      <c r="A132" s="2" t="s">
        <v>394</v>
      </c>
      <c r="B132" s="2" t="s">
        <v>395</v>
      </c>
      <c r="C132" s="2" t="s">
        <v>365</v>
      </c>
      <c r="D132" s="2">
        <v>-9</v>
      </c>
      <c r="E132" s="2">
        <v>1000000</v>
      </c>
      <c r="F132" s="3">
        <f>IF(COUNT(D132,E132)=2,D132*E132,NA())</f>
        <v>-9000000.0</v>
      </c>
      <c r="G132" s="2" t="s">
        <v>56</v>
      </c>
      <c r="H132" s="2" t="s">
        <v>57</v>
      </c>
      <c r="I132" s="2" t="s">
        <v>58</v>
      </c>
      <c r="J132" s="2" t="s">
        <v>59</v>
      </c>
      <c r="K132" s="2" t="s">
        <v>242</v>
      </c>
      <c r="L132" s="2" t="s">
        <v>60</v>
      </c>
      <c r="M132" s="2" t="s">
        <v>243</v>
      </c>
      <c r="N132" s="2" t="s">
        <v>62</v>
      </c>
      <c r="O132" s="2" t="s">
        <v>11</v>
      </c>
      <c r="P132" s="2"/>
      <c r="Q132" s="2" t="s">
        <v>396</v>
      </c>
      <c r="R132" s="2"/>
    </row>
    <row r="133" spans="1:18">
      <c r="A133" s="2" t="s">
        <v>397</v>
      </c>
      <c r="B133" s="2" t="s">
        <v>398</v>
      </c>
      <c r="C133" s="2" t="s">
        <v>365</v>
      </c>
      <c r="D133" s="2">
        <v>25</v>
      </c>
      <c r="E133" s="2">
        <v>1000000</v>
      </c>
      <c r="F133" s="3">
        <f>IF(COUNT(D133,E133)=2,D133*E133,NA())</f>
        <v>25000000.0</v>
      </c>
      <c r="G133" s="2" t="s">
        <v>56</v>
      </c>
      <c r="H133" s="2" t="s">
        <v>57</v>
      </c>
      <c r="I133" s="2" t="s">
        <v>58</v>
      </c>
      <c r="J133" s="2" t="s">
        <v>59</v>
      </c>
      <c r="K133" s="2" t="s">
        <v>247</v>
      </c>
      <c r="L133" s="2" t="s">
        <v>66</v>
      </c>
      <c r="M133" s="2" t="s">
        <v>243</v>
      </c>
      <c r="N133" s="2" t="s">
        <v>67</v>
      </c>
      <c r="O133" s="2" t="s">
        <v>11</v>
      </c>
      <c r="P133" s="2" t="s">
        <v>68</v>
      </c>
      <c r="Q133" s="2" t="s">
        <v>396</v>
      </c>
      <c r="R133" s="2"/>
    </row>
    <row r="134" spans="1:18">
      <c r="A134" s="2" t="s">
        <v>399</v>
      </c>
      <c r="B134" s="2" t="s">
        <v>400</v>
      </c>
      <c r="C134" s="2" t="s">
        <v>365</v>
      </c>
      <c r="D134" s="2">
        <v>17</v>
      </c>
      <c r="E134" s="2">
        <v>1000000</v>
      </c>
      <c r="F134" s="3">
        <f>IF(COUNT(D134,E134)=2,D134*E134,NA())</f>
        <v>17000000.0</v>
      </c>
      <c r="G134" s="2" t="s">
        <v>56</v>
      </c>
      <c r="H134" s="2" t="s">
        <v>57</v>
      </c>
      <c r="I134" s="2" t="s">
        <v>58</v>
      </c>
      <c r="J134" s="2" t="s">
        <v>59</v>
      </c>
      <c r="K134" s="2" t="s">
        <v>242</v>
      </c>
      <c r="L134" s="2" t="s">
        <v>60</v>
      </c>
      <c r="M134" s="2" t="s">
        <v>243</v>
      </c>
      <c r="N134" s="2" t="s">
        <v>62</v>
      </c>
      <c r="O134" s="2" t="s">
        <v>11</v>
      </c>
      <c r="P134" s="2"/>
      <c r="Q134" s="2" t="s">
        <v>401</v>
      </c>
      <c r="R134" s="2"/>
    </row>
    <row r="135" spans="1:18">
      <c r="A135" s="2" t="s">
        <v>402</v>
      </c>
      <c r="B135" s="2" t="s">
        <v>403</v>
      </c>
      <c r="C135" s="2" t="s">
        <v>365</v>
      </c>
      <c r="D135" s="2">
        <v>-19</v>
      </c>
      <c r="E135" s="2">
        <v>1000000</v>
      </c>
      <c r="F135" s="3">
        <f>IF(COUNT(D135,E135)=2,D135*E135,NA())</f>
        <v>-19000000.0</v>
      </c>
      <c r="G135" s="2" t="s">
        <v>56</v>
      </c>
      <c r="H135" s="2" t="s">
        <v>57</v>
      </c>
      <c r="I135" s="2" t="s">
        <v>58</v>
      </c>
      <c r="J135" s="2" t="s">
        <v>59</v>
      </c>
      <c r="K135" s="2" t="s">
        <v>247</v>
      </c>
      <c r="L135" s="2" t="s">
        <v>66</v>
      </c>
      <c r="M135" s="2" t="s">
        <v>243</v>
      </c>
      <c r="N135" s="2" t="s">
        <v>67</v>
      </c>
      <c r="O135" s="2" t="s">
        <v>11</v>
      </c>
      <c r="P135" s="2" t="s">
        <v>68</v>
      </c>
      <c r="Q135" s="2" t="s">
        <v>401</v>
      </c>
      <c r="R135" s="2"/>
    </row>
    <row r="136" spans="1:18">
      <c r="A136" s="2" t="s">
        <v>404</v>
      </c>
      <c r="B136" s="2" t="s">
        <v>405</v>
      </c>
      <c r="C136" s="2" t="s">
        <v>365</v>
      </c>
      <c r="D136" s="2">
        <v>-55</v>
      </c>
      <c r="E136" s="2">
        <v>1000000</v>
      </c>
      <c r="F136" s="3">
        <f>IF(COUNT(D136,E136)=2,D136*E136,NA())</f>
        <v>-55000000.0</v>
      </c>
      <c r="G136" s="2" t="s">
        <v>56</v>
      </c>
      <c r="H136" s="2" t="s">
        <v>57</v>
      </c>
      <c r="I136" s="2" t="s">
        <v>58</v>
      </c>
      <c r="J136" s="2" t="s">
        <v>59</v>
      </c>
      <c r="K136" s="2" t="s">
        <v>242</v>
      </c>
      <c r="L136" s="2" t="s">
        <v>60</v>
      </c>
      <c r="M136" s="2" t="s">
        <v>243</v>
      </c>
      <c r="N136" s="2" t="s">
        <v>62</v>
      </c>
      <c r="O136" s="2" t="s">
        <v>11</v>
      </c>
      <c r="P136" s="2"/>
      <c r="Q136" s="2" t="s">
        <v>406</v>
      </c>
      <c r="R136" s="2"/>
    </row>
    <row r="137" spans="1:18">
      <c r="A137" s="2" t="s">
        <v>407</v>
      </c>
      <c r="B137" s="2" t="s">
        <v>408</v>
      </c>
      <c r="C137" s="2" t="s">
        <v>365</v>
      </c>
      <c r="D137" s="2">
        <v>-170</v>
      </c>
      <c r="E137" s="2">
        <v>1000000</v>
      </c>
      <c r="F137" s="3">
        <f>IF(COUNT(D137,E137)=2,D137*E137,NA())</f>
        <v>-170000000.0</v>
      </c>
      <c r="G137" s="2" t="s">
        <v>56</v>
      </c>
      <c r="H137" s="2" t="s">
        <v>57</v>
      </c>
      <c r="I137" s="2" t="s">
        <v>58</v>
      </c>
      <c r="J137" s="2" t="s">
        <v>59</v>
      </c>
      <c r="K137" s="2" t="s">
        <v>247</v>
      </c>
      <c r="L137" s="2" t="s">
        <v>66</v>
      </c>
      <c r="M137" s="2" t="s">
        <v>243</v>
      </c>
      <c r="N137" s="2" t="s">
        <v>67</v>
      </c>
      <c r="O137" s="2" t="s">
        <v>11</v>
      </c>
      <c r="P137" s="2" t="s">
        <v>68</v>
      </c>
      <c r="Q137" s="2" t="s">
        <v>406</v>
      </c>
      <c r="R137" s="2"/>
    </row>
    <row r="138" spans="1:18">
      <c r="A138" s="2" t="s">
        <v>409</v>
      </c>
      <c r="B138" s="2" t="s">
        <v>410</v>
      </c>
      <c r="C138" s="2" t="s">
        <v>365</v>
      </c>
      <c r="D138" s="2">
        <v>3</v>
      </c>
      <c r="E138" s="2">
        <v>1000000</v>
      </c>
      <c r="F138" s="3">
        <f>IF(COUNT(D138,E138)=2,D138*E138,NA())</f>
        <v>3000000.0</v>
      </c>
      <c r="G138" s="2" t="s">
        <v>56</v>
      </c>
      <c r="H138" s="2" t="s">
        <v>57</v>
      </c>
      <c r="I138" s="2" t="s">
        <v>58</v>
      </c>
      <c r="J138" s="2" t="s">
        <v>59</v>
      </c>
      <c r="K138" s="2" t="s">
        <v>242</v>
      </c>
      <c r="L138" s="2" t="s">
        <v>60</v>
      </c>
      <c r="M138" s="2" t="s">
        <v>243</v>
      </c>
      <c r="N138" s="2" t="s">
        <v>62</v>
      </c>
      <c r="O138" s="2" t="s">
        <v>11</v>
      </c>
      <c r="P138" s="2"/>
      <c r="Q138" s="2" t="s">
        <v>411</v>
      </c>
      <c r="R138" s="2"/>
    </row>
    <row r="139" spans="1:18">
      <c r="A139" s="2" t="s">
        <v>412</v>
      </c>
      <c r="B139" s="2" t="s">
        <v>413</v>
      </c>
      <c r="C139" s="2" t="s">
        <v>365</v>
      </c>
      <c r="D139" s="2">
        <v>35</v>
      </c>
      <c r="E139" s="2">
        <v>1000000</v>
      </c>
      <c r="F139" s="3">
        <f>IF(COUNT(D139,E139)=2,D139*E139,NA())</f>
        <v>35000000.0</v>
      </c>
      <c r="G139" s="2" t="s">
        <v>56</v>
      </c>
      <c r="H139" s="2" t="s">
        <v>57</v>
      </c>
      <c r="I139" s="2" t="s">
        <v>58</v>
      </c>
      <c r="J139" s="2" t="s">
        <v>59</v>
      </c>
      <c r="K139" s="2" t="s">
        <v>247</v>
      </c>
      <c r="L139" s="2" t="s">
        <v>66</v>
      </c>
      <c r="M139" s="2" t="s">
        <v>243</v>
      </c>
      <c r="N139" s="2" t="s">
        <v>67</v>
      </c>
      <c r="O139" s="2" t="s">
        <v>11</v>
      </c>
      <c r="P139" s="2" t="s">
        <v>68</v>
      </c>
      <c r="Q139" s="2" t="s">
        <v>411</v>
      </c>
      <c r="R139" s="2"/>
    </row>
    <row r="140" spans="1:18">
      <c r="A140" s="2" t="s">
        <v>414</v>
      </c>
      <c r="B140" s="2" t="s">
        <v>415</v>
      </c>
      <c r="C140" s="2" t="s">
        <v>365</v>
      </c>
      <c r="D140" s="2">
        <v>11</v>
      </c>
      <c r="E140" s="2">
        <v>1000000</v>
      </c>
      <c r="F140" s="3">
        <f>IF(COUNT(D140,E140)=2,D140*E140,NA())</f>
        <v>11000000.0</v>
      </c>
      <c r="G140" s="2" t="s">
        <v>56</v>
      </c>
      <c r="H140" s="2" t="s">
        <v>57</v>
      </c>
      <c r="I140" s="2" t="s">
        <v>58</v>
      </c>
      <c r="J140" s="2" t="s">
        <v>59</v>
      </c>
      <c r="K140" s="2" t="s">
        <v>242</v>
      </c>
      <c r="L140" s="2" t="s">
        <v>60</v>
      </c>
      <c r="M140" s="2" t="s">
        <v>243</v>
      </c>
      <c r="N140" s="2" t="s">
        <v>62</v>
      </c>
      <c r="O140" s="2" t="s">
        <v>11</v>
      </c>
      <c r="P140" s="2"/>
      <c r="Q140" s="2" t="s">
        <v>416</v>
      </c>
      <c r="R140" s="2"/>
    </row>
    <row r="141" spans="1:18">
      <c r="A141" s="2" t="s">
        <v>417</v>
      </c>
      <c r="B141" s="2" t="s">
        <v>418</v>
      </c>
      <c r="C141" s="2" t="s">
        <v>365</v>
      </c>
      <c r="D141" s="2">
        <v>-113</v>
      </c>
      <c r="E141" s="2">
        <v>1000000</v>
      </c>
      <c r="F141" s="3">
        <f>IF(COUNT(D141,E141)=2,D141*E141,NA())</f>
        <v>-113000000.0</v>
      </c>
      <c r="G141" s="2" t="s">
        <v>56</v>
      </c>
      <c r="H141" s="2" t="s">
        <v>57</v>
      </c>
      <c r="I141" s="2" t="s">
        <v>58</v>
      </c>
      <c r="J141" s="2" t="s">
        <v>59</v>
      </c>
      <c r="K141" s="2" t="s">
        <v>247</v>
      </c>
      <c r="L141" s="2" t="s">
        <v>66</v>
      </c>
      <c r="M141" s="2" t="s">
        <v>243</v>
      </c>
      <c r="N141" s="2" t="s">
        <v>67</v>
      </c>
      <c r="O141" s="2" t="s">
        <v>11</v>
      </c>
      <c r="P141" s="2" t="s">
        <v>68</v>
      </c>
      <c r="Q141" s="2" t="s">
        <v>416</v>
      </c>
      <c r="R141" s="2"/>
    </row>
    <row r="142" spans="1:18">
      <c r="A142" s="2" t="s">
        <v>419</v>
      </c>
      <c r="B142" s="2" t="s">
        <v>420</v>
      </c>
      <c r="C142" s="2" t="s">
        <v>365</v>
      </c>
      <c r="D142" s="2">
        <v>3057</v>
      </c>
      <c r="E142" s="2">
        <v>1000000</v>
      </c>
      <c r="F142" s="3">
        <f>IF(COUNT(D142,E142)=2,D142*E142,NA())</f>
        <v>3057000000.0</v>
      </c>
      <c r="G142" s="2" t="s">
        <v>56</v>
      </c>
      <c r="H142" s="2" t="s">
        <v>57</v>
      </c>
      <c r="I142" s="2" t="s">
        <v>58</v>
      </c>
      <c r="J142" s="2" t="s">
        <v>59</v>
      </c>
      <c r="K142" s="2" t="s">
        <v>242</v>
      </c>
      <c r="L142" s="2" t="s">
        <v>60</v>
      </c>
      <c r="M142" s="2" t="s">
        <v>243</v>
      </c>
      <c r="N142" s="2" t="s">
        <v>62</v>
      </c>
      <c r="O142" s="2" t="s">
        <v>11</v>
      </c>
      <c r="P142" s="2"/>
      <c r="Q142" s="2" t="s">
        <v>421</v>
      </c>
      <c r="R142" s="2"/>
    </row>
    <row r="143" spans="1:18">
      <c r="A143" s="2" t="s">
        <v>422</v>
      </c>
      <c r="B143" s="2" t="s">
        <v>423</v>
      </c>
      <c r="C143" s="2" t="s">
        <v>365</v>
      </c>
      <c r="D143" s="2">
        <v>2943</v>
      </c>
      <c r="E143" s="2">
        <v>1000000</v>
      </c>
      <c r="F143" s="3">
        <f>IF(COUNT(D143,E143)=2,D143*E143,NA())</f>
        <v>2943000000.0</v>
      </c>
      <c r="G143" s="2" t="s">
        <v>56</v>
      </c>
      <c r="H143" s="2" t="s">
        <v>57</v>
      </c>
      <c r="I143" s="2" t="s">
        <v>58</v>
      </c>
      <c r="J143" s="2" t="s">
        <v>59</v>
      </c>
      <c r="K143" s="2" t="s">
        <v>247</v>
      </c>
      <c r="L143" s="2" t="s">
        <v>66</v>
      </c>
      <c r="M143" s="2" t="s">
        <v>243</v>
      </c>
      <c r="N143" s="2" t="s">
        <v>67</v>
      </c>
      <c r="O143" s="2" t="s">
        <v>11</v>
      </c>
      <c r="P143" s="2" t="s">
        <v>68</v>
      </c>
      <c r="Q143" s="2" t="s">
        <v>421</v>
      </c>
      <c r="R143" s="2"/>
    </row>
    <row r="144" spans="1:18">
      <c r="A144" s="2" t="s">
        <v>424</v>
      </c>
      <c r="B144" s="2" t="s">
        <v>425</v>
      </c>
      <c r="C144" s="2" t="s">
        <v>365</v>
      </c>
      <c r="D144" s="2">
        <v>-182</v>
      </c>
      <c r="E144" s="2">
        <v>1000000</v>
      </c>
      <c r="F144" s="3">
        <f>IF(COUNT(D144,E144)=2,D144*E144,NA())</f>
        <v>-182000000.0</v>
      </c>
      <c r="G144" s="2" t="s">
        <v>56</v>
      </c>
      <c r="H144" s="2" t="s">
        <v>57</v>
      </c>
      <c r="I144" s="2" t="s">
        <v>58</v>
      </c>
      <c r="J144" s="2" t="s">
        <v>59</v>
      </c>
      <c r="K144" s="2" t="s">
        <v>242</v>
      </c>
      <c r="L144" s="2" t="s">
        <v>60</v>
      </c>
      <c r="M144" s="2" t="s">
        <v>243</v>
      </c>
      <c r="N144" s="2" t="s">
        <v>62</v>
      </c>
      <c r="O144" s="2" t="s">
        <v>11</v>
      </c>
      <c r="P144" s="2"/>
      <c r="Q144" s="2" t="s">
        <v>426</v>
      </c>
      <c r="R144" s="2"/>
    </row>
    <row r="145" spans="1:18">
      <c r="A145" s="2" t="s">
        <v>427</v>
      </c>
      <c r="B145" s="2" t="s">
        <v>428</v>
      </c>
      <c r="C145" s="2" t="s">
        <v>365</v>
      </c>
      <c r="D145" s="2">
        <v>-176</v>
      </c>
      <c r="E145" s="2">
        <v>1000000</v>
      </c>
      <c r="F145" s="3">
        <f>IF(COUNT(D145,E145)=2,D145*E145,NA())</f>
        <v>-176000000.0</v>
      </c>
      <c r="G145" s="2" t="s">
        <v>56</v>
      </c>
      <c r="H145" s="2" t="s">
        <v>57</v>
      </c>
      <c r="I145" s="2" t="s">
        <v>58</v>
      </c>
      <c r="J145" s="2" t="s">
        <v>59</v>
      </c>
      <c r="K145" s="2" t="s">
        <v>247</v>
      </c>
      <c r="L145" s="2" t="s">
        <v>66</v>
      </c>
      <c r="M145" s="2" t="s">
        <v>243</v>
      </c>
      <c r="N145" s="2" t="s">
        <v>67</v>
      </c>
      <c r="O145" s="2" t="s">
        <v>11</v>
      </c>
      <c r="P145" s="2" t="s">
        <v>68</v>
      </c>
      <c r="Q145" s="2" t="s">
        <v>426</v>
      </c>
      <c r="R145" s="2"/>
    </row>
    <row r="146" spans="1:18">
      <c r="A146" s="2" t="s">
        <v>429</v>
      </c>
      <c r="B146" s="2" t="s">
        <v>430</v>
      </c>
      <c r="C146" s="2" t="s">
        <v>365</v>
      </c>
      <c r="D146" s="2">
        <v>0</v>
      </c>
      <c r="E146" s="2">
        <v>1000000</v>
      </c>
      <c r="F146" s="3">
        <f>IF(COUNT(D146,E146)=2,D146*E146,NA())</f>
        <v>0.0</v>
      </c>
      <c r="G146" s="2" t="s">
        <v>56</v>
      </c>
      <c r="H146" s="2" t="s">
        <v>57</v>
      </c>
      <c r="I146" s="2" t="s">
        <v>58</v>
      </c>
      <c r="J146" s="2" t="s">
        <v>59</v>
      </c>
      <c r="K146" s="2" t="s">
        <v>242</v>
      </c>
      <c r="L146" s="2" t="s">
        <v>60</v>
      </c>
      <c r="M146" s="2" t="s">
        <v>243</v>
      </c>
      <c r="N146" s="2" t="s">
        <v>62</v>
      </c>
      <c r="O146" s="2" t="s">
        <v>11</v>
      </c>
      <c r="P146" s="2"/>
      <c r="Q146" s="2" t="s">
        <v>431</v>
      </c>
      <c r="R146" s="2"/>
    </row>
    <row r="147" spans="1:18">
      <c r="A147" s="2" t="s">
        <v>432</v>
      </c>
      <c r="B147" s="2" t="s">
        <v>433</v>
      </c>
      <c r="C147" s="2" t="s">
        <v>365</v>
      </c>
      <c r="D147" s="2">
        <v>-8</v>
      </c>
      <c r="E147" s="2">
        <v>1000000</v>
      </c>
      <c r="F147" s="3">
        <f>IF(COUNT(D147,E147)=2,D147*E147,NA())</f>
        <v>-8000000.0</v>
      </c>
      <c r="G147" s="2" t="s">
        <v>56</v>
      </c>
      <c r="H147" s="2" t="s">
        <v>57</v>
      </c>
      <c r="I147" s="2" t="s">
        <v>58</v>
      </c>
      <c r="J147" s="2" t="s">
        <v>59</v>
      </c>
      <c r="K147" s="2" t="s">
        <v>247</v>
      </c>
      <c r="L147" s="2" t="s">
        <v>66</v>
      </c>
      <c r="M147" s="2" t="s">
        <v>243</v>
      </c>
      <c r="N147" s="2" t="s">
        <v>67</v>
      </c>
      <c r="O147" s="2" t="s">
        <v>11</v>
      </c>
      <c r="P147" s="2" t="s">
        <v>68</v>
      </c>
      <c r="Q147" s="2" t="s">
        <v>431</v>
      </c>
      <c r="R147" s="2"/>
    </row>
    <row r="148" spans="1:18">
      <c r="A148" s="2" t="s">
        <v>434</v>
      </c>
      <c r="B148" s="2" t="s">
        <v>435</v>
      </c>
      <c r="C148" s="2" t="s">
        <v>365</v>
      </c>
      <c r="D148" s="2">
        <v>4</v>
      </c>
      <c r="E148" s="2">
        <v>1000000</v>
      </c>
      <c r="F148" s="3">
        <f>IF(COUNT(D148,E148)=2,D148*E148,NA())</f>
        <v>4000000.0</v>
      </c>
      <c r="G148" s="2" t="s">
        <v>56</v>
      </c>
      <c r="H148" s="2" t="s">
        <v>57</v>
      </c>
      <c r="I148" s="2" t="s">
        <v>58</v>
      </c>
      <c r="J148" s="2" t="s">
        <v>59</v>
      </c>
      <c r="K148" s="2" t="s">
        <v>242</v>
      </c>
      <c r="L148" s="2" t="s">
        <v>60</v>
      </c>
      <c r="M148" s="2" t="s">
        <v>243</v>
      </c>
      <c r="N148" s="2" t="s">
        <v>62</v>
      </c>
      <c r="O148" s="2" t="s">
        <v>11</v>
      </c>
      <c r="P148" s="2"/>
      <c r="Q148" s="2" t="s">
        <v>436</v>
      </c>
      <c r="R148" s="2"/>
    </row>
    <row r="149" spans="1:18">
      <c r="A149" s="2" t="s">
        <v>437</v>
      </c>
      <c r="B149" s="2" t="s">
        <v>438</v>
      </c>
      <c r="C149" s="2" t="s">
        <v>365</v>
      </c>
      <c r="D149" s="2">
        <v>9</v>
      </c>
      <c r="E149" s="2">
        <v>1000000</v>
      </c>
      <c r="F149" s="3">
        <f>IF(COUNT(D149,E149)=2,D149*E149,NA())</f>
        <v>9000000.0</v>
      </c>
      <c r="G149" s="2" t="s">
        <v>56</v>
      </c>
      <c r="H149" s="2" t="s">
        <v>57</v>
      </c>
      <c r="I149" s="2" t="s">
        <v>58</v>
      </c>
      <c r="J149" s="2" t="s">
        <v>59</v>
      </c>
      <c r="K149" s="2" t="s">
        <v>247</v>
      </c>
      <c r="L149" s="2" t="s">
        <v>66</v>
      </c>
      <c r="M149" s="2" t="s">
        <v>243</v>
      </c>
      <c r="N149" s="2" t="s">
        <v>67</v>
      </c>
      <c r="O149" s="2" t="s">
        <v>11</v>
      </c>
      <c r="P149" s="2" t="s">
        <v>68</v>
      </c>
      <c r="Q149" s="2" t="s">
        <v>436</v>
      </c>
      <c r="R149" s="2"/>
    </row>
    <row r="150" spans="1:18">
      <c r="A150" s="2" t="s">
        <v>439</v>
      </c>
      <c r="B150" s="2" t="s">
        <v>440</v>
      </c>
      <c r="C150" s="2" t="s">
        <v>365</v>
      </c>
      <c r="D150" s="2">
        <v>-980</v>
      </c>
      <c r="E150" s="2">
        <v>1000000</v>
      </c>
      <c r="F150" s="3">
        <f>IF(COUNT(D150,E150)=2,D150*E150,NA())</f>
        <v>-980000000.0</v>
      </c>
      <c r="G150" s="2" t="s">
        <v>56</v>
      </c>
      <c r="H150" s="2" t="s">
        <v>57</v>
      </c>
      <c r="I150" s="2" t="s">
        <v>58</v>
      </c>
      <c r="J150" s="2" t="s">
        <v>59</v>
      </c>
      <c r="K150" s="2" t="s">
        <v>242</v>
      </c>
      <c r="L150" s="2" t="s">
        <v>60</v>
      </c>
      <c r="M150" s="2" t="s">
        <v>243</v>
      </c>
      <c r="N150" s="2" t="s">
        <v>62</v>
      </c>
      <c r="O150" s="2" t="s">
        <v>11</v>
      </c>
      <c r="P150" s="2"/>
      <c r="Q150" s="2" t="s">
        <v>441</v>
      </c>
      <c r="R150" s="2"/>
    </row>
    <row r="151" spans="1:18">
      <c r="A151" s="2" t="s">
        <v>442</v>
      </c>
      <c r="B151" s="2" t="s">
        <v>443</v>
      </c>
      <c r="C151" s="2" t="s">
        <v>365</v>
      </c>
      <c r="D151" s="2">
        <v>-1045</v>
      </c>
      <c r="E151" s="2">
        <v>1000000</v>
      </c>
      <c r="F151" s="3">
        <f>IF(COUNT(D151,E151)=2,D151*E151,NA())</f>
        <v>-1045000000.0</v>
      </c>
      <c r="G151" s="2" t="s">
        <v>56</v>
      </c>
      <c r="H151" s="2" t="s">
        <v>57</v>
      </c>
      <c r="I151" s="2" t="s">
        <v>58</v>
      </c>
      <c r="J151" s="2" t="s">
        <v>59</v>
      </c>
      <c r="K151" s="2" t="s">
        <v>247</v>
      </c>
      <c r="L151" s="2" t="s">
        <v>66</v>
      </c>
      <c r="M151" s="2" t="s">
        <v>243</v>
      </c>
      <c r="N151" s="2" t="s">
        <v>67</v>
      </c>
      <c r="O151" s="2" t="s">
        <v>11</v>
      </c>
      <c r="P151" s="2" t="s">
        <v>68</v>
      </c>
      <c r="Q151" s="2" t="s">
        <v>441</v>
      </c>
      <c r="R151" s="2"/>
    </row>
    <row r="152" spans="1:18">
      <c r="A152" s="2" t="s">
        <v>444</v>
      </c>
      <c r="B152" s="2" t="s">
        <v>445</v>
      </c>
      <c r="C152" s="2" t="s">
        <v>365</v>
      </c>
      <c r="D152" s="2">
        <v>-1158</v>
      </c>
      <c r="E152" s="2">
        <v>1000000</v>
      </c>
      <c r="F152" s="3">
        <f>IF(COUNT(D152,E152)=2,D152*E152,NA())</f>
        <v>-1158000000.0</v>
      </c>
      <c r="G152" s="2" t="s">
        <v>56</v>
      </c>
      <c r="H152" s="2" t="s">
        <v>57</v>
      </c>
      <c r="I152" s="2" t="s">
        <v>58</v>
      </c>
      <c r="J152" s="2" t="s">
        <v>59</v>
      </c>
      <c r="K152" s="2" t="s">
        <v>242</v>
      </c>
      <c r="L152" s="2" t="s">
        <v>60</v>
      </c>
      <c r="M152" s="2" t="s">
        <v>243</v>
      </c>
      <c r="N152" s="2" t="s">
        <v>62</v>
      </c>
      <c r="O152" s="2" t="s">
        <v>11</v>
      </c>
      <c r="P152" s="2"/>
      <c r="Q152" s="2" t="s">
        <v>446</v>
      </c>
      <c r="R152" s="2"/>
    </row>
    <row r="153" spans="1:18">
      <c r="A153" s="2" t="s">
        <v>447</v>
      </c>
      <c r="B153" s="2" t="s">
        <v>448</v>
      </c>
      <c r="C153" s="2" t="s">
        <v>365</v>
      </c>
      <c r="D153" s="2">
        <v>-1220</v>
      </c>
      <c r="E153" s="2">
        <v>1000000</v>
      </c>
      <c r="F153" s="3">
        <f>IF(COUNT(D153,E153)=2,D153*E153,NA())</f>
        <v>-1220000000.0</v>
      </c>
      <c r="G153" s="2" t="s">
        <v>56</v>
      </c>
      <c r="H153" s="2" t="s">
        <v>57</v>
      </c>
      <c r="I153" s="2" t="s">
        <v>58</v>
      </c>
      <c r="J153" s="2" t="s">
        <v>59</v>
      </c>
      <c r="K153" s="2" t="s">
        <v>247</v>
      </c>
      <c r="L153" s="2" t="s">
        <v>66</v>
      </c>
      <c r="M153" s="2" t="s">
        <v>243</v>
      </c>
      <c r="N153" s="2" t="s">
        <v>67</v>
      </c>
      <c r="O153" s="2" t="s">
        <v>11</v>
      </c>
      <c r="P153" s="2" t="s">
        <v>68</v>
      </c>
      <c r="Q153" s="2" t="s">
        <v>446</v>
      </c>
      <c r="R153" s="2"/>
    </row>
    <row r="154" spans="1:18">
      <c r="A154" s="2" t="s">
        <v>449</v>
      </c>
      <c r="B154" s="2" t="s">
        <v>450</v>
      </c>
      <c r="C154" s="2" t="s">
        <v>365</v>
      </c>
      <c r="D154" s="2">
        <v>0</v>
      </c>
      <c r="E154" s="2">
        <v>1000000</v>
      </c>
      <c r="F154" s="3">
        <f>IF(COUNT(D154,E154)=2,D154*E154,NA())</f>
        <v>0.0</v>
      </c>
      <c r="G154" s="2" t="s">
        <v>56</v>
      </c>
      <c r="H154" s="2" t="s">
        <v>57</v>
      </c>
      <c r="I154" s="2" t="s">
        <v>58</v>
      </c>
      <c r="J154" s="2" t="s">
        <v>59</v>
      </c>
      <c r="K154" s="2" t="s">
        <v>242</v>
      </c>
      <c r="L154" s="2" t="s">
        <v>60</v>
      </c>
      <c r="M154" s="2" t="s">
        <v>243</v>
      </c>
      <c r="N154" s="2" t="s">
        <v>62</v>
      </c>
      <c r="O154" s="2" t="s">
        <v>11</v>
      </c>
      <c r="P154" s="2"/>
      <c r="Q154" s="2" t="s">
        <v>451</v>
      </c>
      <c r="R154" s="2"/>
    </row>
    <row r="155" spans="1:18">
      <c r="A155" s="2" t="s">
        <v>452</v>
      </c>
      <c r="B155" s="2" t="s">
        <v>453</v>
      </c>
      <c r="C155" s="2" t="s">
        <v>365</v>
      </c>
      <c r="D155" s="2">
        <v>1244</v>
      </c>
      <c r="E155" s="2">
        <v>1000000</v>
      </c>
      <c r="F155" s="3">
        <f>IF(COUNT(D155,E155)=2,D155*E155,NA())</f>
        <v>1244000000.0</v>
      </c>
      <c r="G155" s="2" t="s">
        <v>56</v>
      </c>
      <c r="H155" s="2" t="s">
        <v>57</v>
      </c>
      <c r="I155" s="2" t="s">
        <v>58</v>
      </c>
      <c r="J155" s="2" t="s">
        <v>59</v>
      </c>
      <c r="K155" s="2" t="s">
        <v>247</v>
      </c>
      <c r="L155" s="2" t="s">
        <v>66</v>
      </c>
      <c r="M155" s="2" t="s">
        <v>243</v>
      </c>
      <c r="N155" s="2" t="s">
        <v>67</v>
      </c>
      <c r="O155" s="2" t="s">
        <v>11</v>
      </c>
      <c r="P155" s="2" t="s">
        <v>68</v>
      </c>
      <c r="Q155" s="2" t="s">
        <v>451</v>
      </c>
      <c r="R155" s="2"/>
    </row>
    <row r="156" spans="1:18">
      <c r="A156" s="2" t="s">
        <v>454</v>
      </c>
      <c r="B156" s="2" t="s">
        <v>455</v>
      </c>
      <c r="C156" s="2" t="s">
        <v>365</v>
      </c>
      <c r="D156" s="2">
        <v>-118</v>
      </c>
      <c r="E156" s="2">
        <v>1000000</v>
      </c>
      <c r="F156" s="3">
        <f>IF(COUNT(D156,E156)=2,D156*E156,NA())</f>
        <v>-118000000.0</v>
      </c>
      <c r="G156" s="2" t="s">
        <v>56</v>
      </c>
      <c r="H156" s="2" t="s">
        <v>57</v>
      </c>
      <c r="I156" s="2" t="s">
        <v>58</v>
      </c>
      <c r="J156" s="2" t="s">
        <v>59</v>
      </c>
      <c r="K156" s="2" t="s">
        <v>242</v>
      </c>
      <c r="L156" s="2" t="s">
        <v>60</v>
      </c>
      <c r="M156" s="2" t="s">
        <v>243</v>
      </c>
      <c r="N156" s="2" t="s">
        <v>62</v>
      </c>
      <c r="O156" s="2" t="s">
        <v>11</v>
      </c>
      <c r="P156" s="2"/>
      <c r="Q156" s="2" t="s">
        <v>456</v>
      </c>
      <c r="R156" s="2"/>
    </row>
    <row r="157" spans="1:18">
      <c r="A157" s="2" t="s">
        <v>457</v>
      </c>
      <c r="B157" s="2" t="s">
        <v>458</v>
      </c>
      <c r="C157" s="2" t="s">
        <v>365</v>
      </c>
      <c r="D157" s="2">
        <v>-99</v>
      </c>
      <c r="E157" s="2">
        <v>1000000</v>
      </c>
      <c r="F157" s="3">
        <f>IF(COUNT(D157,E157)=2,D157*E157,NA())</f>
        <v>-99000000.0</v>
      </c>
      <c r="G157" s="2" t="s">
        <v>56</v>
      </c>
      <c r="H157" s="2" t="s">
        <v>57</v>
      </c>
      <c r="I157" s="2" t="s">
        <v>58</v>
      </c>
      <c r="J157" s="2" t="s">
        <v>59</v>
      </c>
      <c r="K157" s="2" t="s">
        <v>247</v>
      </c>
      <c r="L157" s="2" t="s">
        <v>66</v>
      </c>
      <c r="M157" s="2" t="s">
        <v>243</v>
      </c>
      <c r="N157" s="2" t="s">
        <v>67</v>
      </c>
      <c r="O157" s="2" t="s">
        <v>11</v>
      </c>
      <c r="P157" s="2" t="s">
        <v>68</v>
      </c>
      <c r="Q157" s="2" t="s">
        <v>456</v>
      </c>
      <c r="R157" s="2"/>
    </row>
    <row r="158" spans="1:18">
      <c r="A158" s="2" t="s">
        <v>459</v>
      </c>
      <c r="B158" s="2" t="s">
        <v>460</v>
      </c>
      <c r="C158" s="2" t="s">
        <v>365</v>
      </c>
      <c r="D158" s="2">
        <v>-1200</v>
      </c>
      <c r="E158" s="2">
        <v>1000000</v>
      </c>
      <c r="F158" s="3">
        <f>IF(COUNT(D158,E158)=2,D158*E158,NA())</f>
        <v>-1200000000.0</v>
      </c>
      <c r="G158" s="2" t="s">
        <v>56</v>
      </c>
      <c r="H158" s="2" t="s">
        <v>57</v>
      </c>
      <c r="I158" s="2" t="s">
        <v>58</v>
      </c>
      <c r="J158" s="2" t="s">
        <v>59</v>
      </c>
      <c r="K158" s="2" t="s">
        <v>242</v>
      </c>
      <c r="L158" s="2" t="s">
        <v>60</v>
      </c>
      <c r="M158" s="2" t="s">
        <v>243</v>
      </c>
      <c r="N158" s="2" t="s">
        <v>62</v>
      </c>
      <c r="O158" s="2" t="s">
        <v>11</v>
      </c>
      <c r="P158" s="2"/>
      <c r="Q158" s="2" t="s">
        <v>461</v>
      </c>
      <c r="R158" s="2"/>
    </row>
    <row r="159" spans="1:18">
      <c r="A159" s="2" t="s">
        <v>462</v>
      </c>
      <c r="B159" s="2" t="s">
        <v>463</v>
      </c>
      <c r="C159" s="2" t="s">
        <v>365</v>
      </c>
      <c r="D159" s="2">
        <v>-750</v>
      </c>
      <c r="E159" s="2">
        <v>1000000</v>
      </c>
      <c r="F159" s="3">
        <f>IF(COUNT(D159,E159)=2,D159*E159,NA())</f>
        <v>-750000000.0</v>
      </c>
      <c r="G159" s="2" t="s">
        <v>56</v>
      </c>
      <c r="H159" s="2" t="s">
        <v>57</v>
      </c>
      <c r="I159" s="2" t="s">
        <v>58</v>
      </c>
      <c r="J159" s="2" t="s">
        <v>59</v>
      </c>
      <c r="K159" s="2" t="s">
        <v>247</v>
      </c>
      <c r="L159" s="2" t="s">
        <v>66</v>
      </c>
      <c r="M159" s="2" t="s">
        <v>243</v>
      </c>
      <c r="N159" s="2" t="s">
        <v>67</v>
      </c>
      <c r="O159" s="2" t="s">
        <v>11</v>
      </c>
      <c r="P159" s="2" t="s">
        <v>68</v>
      </c>
      <c r="Q159" s="2" t="s">
        <v>461</v>
      </c>
      <c r="R159" s="2"/>
    </row>
    <row r="160" spans="1:18">
      <c r="A160" s="2" t="s">
        <v>464</v>
      </c>
      <c r="B160" s="2" t="s">
        <v>465</v>
      </c>
      <c r="C160" s="2" t="s">
        <v>365</v>
      </c>
      <c r="D160" s="2">
        <v>1200</v>
      </c>
      <c r="E160" s="2">
        <v>1000000</v>
      </c>
      <c r="F160" s="3">
        <f>IF(COUNT(D160,E160)=2,D160*E160,NA())</f>
        <v>1200000000.0</v>
      </c>
      <c r="G160" s="2" t="s">
        <v>56</v>
      </c>
      <c r="H160" s="2" t="s">
        <v>57</v>
      </c>
      <c r="I160" s="2" t="s">
        <v>58</v>
      </c>
      <c r="J160" s="2" t="s">
        <v>59</v>
      </c>
      <c r="K160" s="2" t="s">
        <v>242</v>
      </c>
      <c r="L160" s="2" t="s">
        <v>60</v>
      </c>
      <c r="M160" s="2" t="s">
        <v>243</v>
      </c>
      <c r="N160" s="2" t="s">
        <v>62</v>
      </c>
      <c r="O160" s="2" t="s">
        <v>11</v>
      </c>
      <c r="P160" s="2"/>
      <c r="Q160" s="2" t="s">
        <v>466</v>
      </c>
      <c r="R160" s="2"/>
    </row>
    <row r="161" spans="1:18">
      <c r="A161" s="2" t="s">
        <v>467</v>
      </c>
      <c r="B161" s="2" t="s">
        <v>468</v>
      </c>
      <c r="C161" s="2" t="s">
        <v>365</v>
      </c>
      <c r="D161" s="2">
        <v>0</v>
      </c>
      <c r="E161" s="2">
        <v>1000000</v>
      </c>
      <c r="F161" s="3">
        <f>IF(COUNT(D161,E161)=2,D161*E161,NA())</f>
        <v>0.0</v>
      </c>
      <c r="G161" s="2" t="s">
        <v>56</v>
      </c>
      <c r="H161" s="2" t="s">
        <v>57</v>
      </c>
      <c r="I161" s="2" t="s">
        <v>58</v>
      </c>
      <c r="J161" s="2" t="s">
        <v>59</v>
      </c>
      <c r="K161" s="2" t="s">
        <v>247</v>
      </c>
      <c r="L161" s="2" t="s">
        <v>66</v>
      </c>
      <c r="M161" s="2" t="s">
        <v>243</v>
      </c>
      <c r="N161" s="2" t="s">
        <v>67</v>
      </c>
      <c r="O161" s="2" t="s">
        <v>11</v>
      </c>
      <c r="P161" s="2" t="s">
        <v>68</v>
      </c>
      <c r="Q161" s="2" t="s">
        <v>466</v>
      </c>
      <c r="R161" s="2"/>
    </row>
    <row r="162" spans="1:18">
      <c r="A162" s="2" t="s">
        <v>469</v>
      </c>
      <c r="B162" s="2" t="s">
        <v>470</v>
      </c>
      <c r="C162" s="2" t="s">
        <v>365</v>
      </c>
      <c r="D162" s="2">
        <v>-255</v>
      </c>
      <c r="E162" s="2">
        <v>1000000</v>
      </c>
      <c r="F162" s="3">
        <f>IF(COUNT(D162,E162)=2,D162*E162,NA())</f>
        <v>-255000000.0</v>
      </c>
      <c r="G162" s="2" t="s">
        <v>56</v>
      </c>
      <c r="H162" s="2" t="s">
        <v>57</v>
      </c>
      <c r="I162" s="2" t="s">
        <v>58</v>
      </c>
      <c r="J162" s="2" t="s">
        <v>59</v>
      </c>
      <c r="K162" s="2" t="s">
        <v>242</v>
      </c>
      <c r="L162" s="2" t="s">
        <v>60</v>
      </c>
      <c r="M162" s="2" t="s">
        <v>243</v>
      </c>
      <c r="N162" s="2" t="s">
        <v>62</v>
      </c>
      <c r="O162" s="2" t="s">
        <v>11</v>
      </c>
      <c r="P162" s="2"/>
      <c r="Q162" s="2" t="s">
        <v>471</v>
      </c>
      <c r="R162" s="2"/>
    </row>
    <row r="163" spans="1:18">
      <c r="A163" s="2" t="s">
        <v>472</v>
      </c>
      <c r="B163" s="2" t="s">
        <v>473</v>
      </c>
      <c r="C163" s="2" t="s">
        <v>365</v>
      </c>
      <c r="D163" s="2">
        <v>-670</v>
      </c>
      <c r="E163" s="2">
        <v>1000000</v>
      </c>
      <c r="F163" s="3">
        <f>IF(COUNT(D163,E163)=2,D163*E163,NA())</f>
        <v>-670000000.0</v>
      </c>
      <c r="G163" s="2" t="s">
        <v>56</v>
      </c>
      <c r="H163" s="2" t="s">
        <v>57</v>
      </c>
      <c r="I163" s="2" t="s">
        <v>58</v>
      </c>
      <c r="J163" s="2" t="s">
        <v>59</v>
      </c>
      <c r="K163" s="2" t="s">
        <v>247</v>
      </c>
      <c r="L163" s="2" t="s">
        <v>66</v>
      </c>
      <c r="M163" s="2" t="s">
        <v>243</v>
      </c>
      <c r="N163" s="2" t="s">
        <v>67</v>
      </c>
      <c r="O163" s="2" t="s">
        <v>11</v>
      </c>
      <c r="P163" s="2" t="s">
        <v>68</v>
      </c>
      <c r="Q163" s="2" t="s">
        <v>471</v>
      </c>
      <c r="R163" s="2"/>
    </row>
    <row r="164" spans="1:18">
      <c r="A164" s="2" t="s">
        <v>474</v>
      </c>
      <c r="B164" s="2" t="s">
        <v>475</v>
      </c>
      <c r="C164" s="2" t="s">
        <v>365</v>
      </c>
      <c r="D164" s="2">
        <v>590</v>
      </c>
      <c r="E164" s="2">
        <v>1000000</v>
      </c>
      <c r="F164" s="3">
        <f>IF(COUNT(D164,E164)=2,D164*E164,NA())</f>
        <v>590000000.0</v>
      </c>
      <c r="G164" s="2" t="s">
        <v>56</v>
      </c>
      <c r="H164" s="2" t="s">
        <v>57</v>
      </c>
      <c r="I164" s="2" t="s">
        <v>58</v>
      </c>
      <c r="J164" s="2" t="s">
        <v>59</v>
      </c>
      <c r="K164" s="2" t="s">
        <v>242</v>
      </c>
      <c r="L164" s="2" t="s">
        <v>60</v>
      </c>
      <c r="M164" s="2" t="s">
        <v>243</v>
      </c>
      <c r="N164" s="2" t="s">
        <v>62</v>
      </c>
      <c r="O164" s="2" t="s">
        <v>11</v>
      </c>
      <c r="P164" s="2"/>
      <c r="Q164" s="2" t="s">
        <v>476</v>
      </c>
      <c r="R164" s="2"/>
    </row>
    <row r="165" spans="1:18">
      <c r="A165" s="2" t="s">
        <v>477</v>
      </c>
      <c r="B165" s="2" t="s">
        <v>478</v>
      </c>
      <c r="C165" s="2" t="s">
        <v>365</v>
      </c>
      <c r="D165" s="2">
        <v>1341</v>
      </c>
      <c r="E165" s="2">
        <v>1000000</v>
      </c>
      <c r="F165" s="3">
        <f>IF(COUNT(D165,E165)=2,D165*E165,NA())</f>
        <v>1341000000.0</v>
      </c>
      <c r="G165" s="2" t="s">
        <v>56</v>
      </c>
      <c r="H165" s="2" t="s">
        <v>57</v>
      </c>
      <c r="I165" s="2" t="s">
        <v>58</v>
      </c>
      <c r="J165" s="2" t="s">
        <v>59</v>
      </c>
      <c r="K165" s="2" t="s">
        <v>247</v>
      </c>
      <c r="L165" s="2" t="s">
        <v>66</v>
      </c>
      <c r="M165" s="2" t="s">
        <v>243</v>
      </c>
      <c r="N165" s="2" t="s">
        <v>67</v>
      </c>
      <c r="O165" s="2" t="s">
        <v>11</v>
      </c>
      <c r="P165" s="2" t="s">
        <v>68</v>
      </c>
      <c r="Q165" s="2" t="s">
        <v>476</v>
      </c>
      <c r="R165" s="2"/>
    </row>
    <row r="166" spans="1:18">
      <c r="A166" s="2" t="s">
        <v>479</v>
      </c>
      <c r="B166" s="2" t="s">
        <v>480</v>
      </c>
      <c r="C166" s="2" t="s">
        <v>365</v>
      </c>
      <c r="D166" s="2">
        <v>0</v>
      </c>
      <c r="E166" s="2">
        <v>1000000</v>
      </c>
      <c r="F166" s="3">
        <f>IF(COUNT(D166,E166)=2,D166*E166,NA())</f>
        <v>0.0</v>
      </c>
      <c r="G166" s="2" t="s">
        <v>56</v>
      </c>
      <c r="H166" s="2" t="s">
        <v>57</v>
      </c>
      <c r="I166" s="2" t="s">
        <v>58</v>
      </c>
      <c r="J166" s="2" t="s">
        <v>59</v>
      </c>
      <c r="K166" s="2" t="s">
        <v>242</v>
      </c>
      <c r="L166" s="2" t="s">
        <v>60</v>
      </c>
      <c r="M166" s="2" t="s">
        <v>243</v>
      </c>
      <c r="N166" s="2" t="s">
        <v>62</v>
      </c>
      <c r="O166" s="2" t="s">
        <v>11</v>
      </c>
      <c r="P166" s="2"/>
      <c r="Q166" s="2" t="s">
        <v>481</v>
      </c>
      <c r="R166" s="2"/>
    </row>
    <row r="167" spans="1:18">
      <c r="A167" s="2" t="s">
        <v>482</v>
      </c>
      <c r="B167" s="2" t="s">
        <v>483</v>
      </c>
      <c r="C167" s="2" t="s">
        <v>365</v>
      </c>
      <c r="D167" s="2">
        <v>-12</v>
      </c>
      <c r="E167" s="2">
        <v>1000000</v>
      </c>
      <c r="F167" s="3">
        <f>IF(COUNT(D167,E167)=2,D167*E167,NA())</f>
        <v>-12000000.0</v>
      </c>
      <c r="G167" s="2" t="s">
        <v>56</v>
      </c>
      <c r="H167" s="2" t="s">
        <v>57</v>
      </c>
      <c r="I167" s="2" t="s">
        <v>58</v>
      </c>
      <c r="J167" s="2" t="s">
        <v>59</v>
      </c>
      <c r="K167" s="2" t="s">
        <v>247</v>
      </c>
      <c r="L167" s="2" t="s">
        <v>66</v>
      </c>
      <c r="M167" s="2" t="s">
        <v>243</v>
      </c>
      <c r="N167" s="2" t="s">
        <v>67</v>
      </c>
      <c r="O167" s="2" t="s">
        <v>11</v>
      </c>
      <c r="P167" s="2" t="s">
        <v>68</v>
      </c>
      <c r="Q167" s="2" t="s">
        <v>481</v>
      </c>
      <c r="R167" s="2"/>
    </row>
    <row r="168" spans="1:18">
      <c r="A168" s="2" t="s">
        <v>484</v>
      </c>
      <c r="B168" s="2" t="s">
        <v>485</v>
      </c>
      <c r="C168" s="2" t="s">
        <v>365</v>
      </c>
      <c r="D168" s="2">
        <v>-23</v>
      </c>
      <c r="E168" s="2">
        <v>1000000</v>
      </c>
      <c r="F168" s="3">
        <f>IF(COUNT(D168,E168)=2,D168*E168,NA())</f>
        <v>-23000000.0</v>
      </c>
      <c r="G168" s="2" t="s">
        <v>56</v>
      </c>
      <c r="H168" s="2" t="s">
        <v>57</v>
      </c>
      <c r="I168" s="2" t="s">
        <v>58</v>
      </c>
      <c r="J168" s="2" t="s">
        <v>59</v>
      </c>
      <c r="K168" s="2" t="s">
        <v>242</v>
      </c>
      <c r="L168" s="2" t="s">
        <v>60</v>
      </c>
      <c r="M168" s="2" t="s">
        <v>243</v>
      </c>
      <c r="N168" s="2" t="s">
        <v>62</v>
      </c>
      <c r="O168" s="2" t="s">
        <v>11</v>
      </c>
      <c r="P168" s="2"/>
      <c r="Q168" s="2" t="s">
        <v>486</v>
      </c>
      <c r="R168" s="2"/>
    </row>
    <row r="169" spans="1:18">
      <c r="A169" s="2" t="s">
        <v>487</v>
      </c>
      <c r="B169" s="2" t="s">
        <v>488</v>
      </c>
      <c r="C169" s="2" t="s">
        <v>365</v>
      </c>
      <c r="D169" s="2">
        <v>-33</v>
      </c>
      <c r="E169" s="2">
        <v>1000000</v>
      </c>
      <c r="F169" s="3">
        <f>IF(COUNT(D169,E169)=2,D169*E169,NA())</f>
        <v>-33000000.0</v>
      </c>
      <c r="G169" s="2" t="s">
        <v>56</v>
      </c>
      <c r="H169" s="2" t="s">
        <v>57</v>
      </c>
      <c r="I169" s="2" t="s">
        <v>58</v>
      </c>
      <c r="J169" s="2" t="s">
        <v>59</v>
      </c>
      <c r="K169" s="2" t="s">
        <v>247</v>
      </c>
      <c r="L169" s="2" t="s">
        <v>66</v>
      </c>
      <c r="M169" s="2" t="s">
        <v>243</v>
      </c>
      <c r="N169" s="2" t="s">
        <v>67</v>
      </c>
      <c r="O169" s="2" t="s">
        <v>11</v>
      </c>
      <c r="P169" s="2" t="s">
        <v>68</v>
      </c>
      <c r="Q169" s="2" t="s">
        <v>486</v>
      </c>
      <c r="R169" s="2"/>
    </row>
    <row r="170" spans="1:18">
      <c r="A170" s="2" t="s">
        <v>489</v>
      </c>
      <c r="B170" s="2" t="s">
        <v>490</v>
      </c>
      <c r="C170" s="2" t="s">
        <v>365</v>
      </c>
      <c r="D170" s="2">
        <v>-2080</v>
      </c>
      <c r="E170" s="2">
        <v>1000000</v>
      </c>
      <c r="F170" s="3">
        <f>IF(COUNT(D170,E170)=2,D170*E170,NA())</f>
        <v>-2080000000.0</v>
      </c>
      <c r="G170" s="2" t="s">
        <v>56</v>
      </c>
      <c r="H170" s="2" t="s">
        <v>57</v>
      </c>
      <c r="I170" s="2" t="s">
        <v>58</v>
      </c>
      <c r="J170" s="2" t="s">
        <v>59</v>
      </c>
      <c r="K170" s="2" t="s">
        <v>242</v>
      </c>
      <c r="L170" s="2" t="s">
        <v>60</v>
      </c>
      <c r="M170" s="2" t="s">
        <v>243</v>
      </c>
      <c r="N170" s="2" t="s">
        <v>62</v>
      </c>
      <c r="O170" s="2" t="s">
        <v>11</v>
      </c>
      <c r="P170" s="2"/>
      <c r="Q170" s="2" t="s">
        <v>491</v>
      </c>
      <c r="R170" s="2"/>
    </row>
    <row r="171" spans="1:18">
      <c r="A171" s="2" t="s">
        <v>492</v>
      </c>
      <c r="B171" s="2" t="s">
        <v>493</v>
      </c>
      <c r="C171" s="2" t="s">
        <v>365</v>
      </c>
      <c r="D171" s="2">
        <v>-2729</v>
      </c>
      <c r="E171" s="2">
        <v>1000000</v>
      </c>
      <c r="F171" s="3">
        <f>IF(COUNT(D171,E171)=2,D171*E171,NA())</f>
        <v>-2729000000.0</v>
      </c>
      <c r="G171" s="2" t="s">
        <v>56</v>
      </c>
      <c r="H171" s="2" t="s">
        <v>57</v>
      </c>
      <c r="I171" s="2" t="s">
        <v>58</v>
      </c>
      <c r="J171" s="2" t="s">
        <v>59</v>
      </c>
      <c r="K171" s="2" t="s">
        <v>247</v>
      </c>
      <c r="L171" s="2" t="s">
        <v>66</v>
      </c>
      <c r="M171" s="2" t="s">
        <v>243</v>
      </c>
      <c r="N171" s="2" t="s">
        <v>67</v>
      </c>
      <c r="O171" s="2" t="s">
        <v>11</v>
      </c>
      <c r="P171" s="2" t="s">
        <v>68</v>
      </c>
      <c r="Q171" s="2" t="s">
        <v>491</v>
      </c>
      <c r="R171" s="2"/>
    </row>
    <row r="172" spans="1:18">
      <c r="A172" s="2" t="s">
        <v>494</v>
      </c>
      <c r="B172" s="2" t="s">
        <v>495</v>
      </c>
      <c r="C172" s="2" t="s">
        <v>365</v>
      </c>
      <c r="D172" s="2">
        <v>-1886</v>
      </c>
      <c r="E172" s="2">
        <v>1000000</v>
      </c>
      <c r="F172" s="3">
        <f>IF(COUNT(D172,E172)=2,D172*E172,NA())</f>
        <v>-1886000000.0</v>
      </c>
      <c r="G172" s="2" t="s">
        <v>56</v>
      </c>
      <c r="H172" s="2" t="s">
        <v>57</v>
      </c>
      <c r="I172" s="2" t="s">
        <v>58</v>
      </c>
      <c r="J172" s="2" t="s">
        <v>59</v>
      </c>
      <c r="K172" s="2" t="s">
        <v>242</v>
      </c>
      <c r="L172" s="2" t="s">
        <v>60</v>
      </c>
      <c r="M172" s="2" t="s">
        <v>243</v>
      </c>
      <c r="N172" s="2" t="s">
        <v>62</v>
      </c>
      <c r="O172" s="2" t="s">
        <v>11</v>
      </c>
      <c r="P172" s="2"/>
      <c r="Q172" s="2" t="s">
        <v>496</v>
      </c>
      <c r="R172" s="2"/>
    </row>
    <row r="173" spans="1:18">
      <c r="A173" s="2" t="s">
        <v>497</v>
      </c>
      <c r="B173" s="2" t="s">
        <v>498</v>
      </c>
      <c r="C173" s="2" t="s">
        <v>365</v>
      </c>
      <c r="D173" s="2">
        <v>-1708</v>
      </c>
      <c r="E173" s="2">
        <v>1000000</v>
      </c>
      <c r="F173" s="3">
        <f>IF(COUNT(D173,E173)=2,D173*E173,NA())</f>
        <v>-1708000000.0</v>
      </c>
      <c r="G173" s="2" t="s">
        <v>56</v>
      </c>
      <c r="H173" s="2" t="s">
        <v>57</v>
      </c>
      <c r="I173" s="2" t="s">
        <v>58</v>
      </c>
      <c r="J173" s="2" t="s">
        <v>59</v>
      </c>
      <c r="K173" s="2" t="s">
        <v>247</v>
      </c>
      <c r="L173" s="2" t="s">
        <v>66</v>
      </c>
      <c r="M173" s="2" t="s">
        <v>243</v>
      </c>
      <c r="N173" s="2" t="s">
        <v>67</v>
      </c>
      <c r="O173" s="2" t="s">
        <v>11</v>
      </c>
      <c r="P173" s="2" t="s">
        <v>68</v>
      </c>
      <c r="Q173" s="2" t="s">
        <v>496</v>
      </c>
      <c r="R173" s="2"/>
    </row>
    <row r="174" spans="1:18">
      <c r="A174" s="2" t="s">
        <v>499</v>
      </c>
      <c r="B174" s="2" t="s">
        <v>500</v>
      </c>
      <c r="C174" s="2" t="s">
        <v>365</v>
      </c>
      <c r="D174" s="2">
        <v>13</v>
      </c>
      <c r="E174" s="2">
        <v>1000000</v>
      </c>
      <c r="F174" s="3">
        <f>IF(COUNT(D174,E174)=2,D174*E174,NA())</f>
        <v>13000000.0</v>
      </c>
      <c r="G174" s="2" t="s">
        <v>56</v>
      </c>
      <c r="H174" s="2" t="s">
        <v>57</v>
      </c>
      <c r="I174" s="2" t="s">
        <v>58</v>
      </c>
      <c r="J174" s="2" t="s">
        <v>59</v>
      </c>
      <c r="K174" s="2" t="s">
        <v>242</v>
      </c>
      <c r="L174" s="2" t="s">
        <v>60</v>
      </c>
      <c r="M174" s="2" t="s">
        <v>243</v>
      </c>
      <c r="N174" s="2" t="s">
        <v>62</v>
      </c>
      <c r="O174" s="2" t="s">
        <v>11</v>
      </c>
      <c r="P174" s="2"/>
      <c r="Q174" s="2" t="s">
        <v>501</v>
      </c>
      <c r="R174" s="2"/>
    </row>
    <row r="175" spans="1:18">
      <c r="A175" s="2" t="s">
        <v>502</v>
      </c>
      <c r="B175" s="2" t="s">
        <v>503</v>
      </c>
      <c r="C175" s="2" t="s">
        <v>365</v>
      </c>
      <c r="D175" s="2">
        <v>15</v>
      </c>
      <c r="E175" s="2">
        <v>1000000</v>
      </c>
      <c r="F175" s="3">
        <f>IF(COUNT(D175,E175)=2,D175*E175,NA())</f>
        <v>15000000.0</v>
      </c>
      <c r="G175" s="2" t="s">
        <v>56</v>
      </c>
      <c r="H175" s="2" t="s">
        <v>57</v>
      </c>
      <c r="I175" s="2" t="s">
        <v>58</v>
      </c>
      <c r="J175" s="2" t="s">
        <v>59</v>
      </c>
      <c r="K175" s="2" t="s">
        <v>247</v>
      </c>
      <c r="L175" s="2" t="s">
        <v>66</v>
      </c>
      <c r="M175" s="2" t="s">
        <v>243</v>
      </c>
      <c r="N175" s="2" t="s">
        <v>67</v>
      </c>
      <c r="O175" s="2" t="s">
        <v>11</v>
      </c>
      <c r="P175" s="2" t="s">
        <v>68</v>
      </c>
      <c r="Q175" s="2" t="s">
        <v>501</v>
      </c>
      <c r="R175" s="2"/>
    </row>
    <row r="176" spans="1:18">
      <c r="A176" s="2" t="s">
        <v>504</v>
      </c>
      <c r="B176" s="2" t="s">
        <v>505</v>
      </c>
      <c r="C176" s="2" t="s">
        <v>365</v>
      </c>
      <c r="D176" s="2">
        <v>0</v>
      </c>
      <c r="E176" s="2">
        <v>1000000</v>
      </c>
      <c r="F176" s="3">
        <f>IF(COUNT(D176,E176)=2,D176*E176,NA())</f>
        <v>0.0</v>
      </c>
      <c r="G176" s="2" t="s">
        <v>56</v>
      </c>
      <c r="H176" s="2" t="s">
        <v>57</v>
      </c>
      <c r="I176" s="2" t="s">
        <v>58</v>
      </c>
      <c r="J176" s="2" t="s">
        <v>59</v>
      </c>
      <c r="K176" s="2" t="s">
        <v>242</v>
      </c>
      <c r="L176" s="2" t="s">
        <v>60</v>
      </c>
      <c r="M176" s="2" t="s">
        <v>243</v>
      </c>
      <c r="N176" s="2" t="s">
        <v>62</v>
      </c>
      <c r="O176" s="2" t="s">
        <v>11</v>
      </c>
      <c r="P176" s="2"/>
      <c r="Q176" s="2" t="s">
        <v>506</v>
      </c>
      <c r="R176" s="2"/>
    </row>
    <row r="177" spans="1:18">
      <c r="A177" s="2" t="s">
        <v>507</v>
      </c>
      <c r="B177" s="2" t="s">
        <v>508</v>
      </c>
      <c r="C177" s="2" t="s">
        <v>365</v>
      </c>
      <c r="D177" s="2">
        <v>-1</v>
      </c>
      <c r="E177" s="2">
        <v>1000000</v>
      </c>
      <c r="F177" s="3">
        <f>IF(COUNT(D177,E177)=2,D177*E177,NA())</f>
        <v>-1000000.0</v>
      </c>
      <c r="G177" s="2" t="s">
        <v>56</v>
      </c>
      <c r="H177" s="2" t="s">
        <v>57</v>
      </c>
      <c r="I177" s="2" t="s">
        <v>58</v>
      </c>
      <c r="J177" s="2" t="s">
        <v>59</v>
      </c>
      <c r="K177" s="2" t="s">
        <v>247</v>
      </c>
      <c r="L177" s="2" t="s">
        <v>66</v>
      </c>
      <c r="M177" s="2" t="s">
        <v>243</v>
      </c>
      <c r="N177" s="2" t="s">
        <v>67</v>
      </c>
      <c r="O177" s="2" t="s">
        <v>11</v>
      </c>
      <c r="P177" s="2" t="s">
        <v>68</v>
      </c>
      <c r="Q177" s="2" t="s">
        <v>506</v>
      </c>
      <c r="R177" s="2"/>
    </row>
    <row r="178" spans="1:18">
      <c r="A178" s="2" t="s">
        <v>509</v>
      </c>
      <c r="B178" s="2" t="s">
        <v>510</v>
      </c>
      <c r="C178" s="2" t="s">
        <v>511</v>
      </c>
      <c r="D178" s="2">
        <v>308</v>
      </c>
      <c r="E178" s="2">
        <v>1000000</v>
      </c>
      <c r="F178" s="3">
        <f>IF(COUNT(D178,E178)=2,D178*E178,NA())</f>
        <v>308000000.0</v>
      </c>
      <c r="G178" s="2" t="s">
        <v>56</v>
      </c>
      <c r="H178" s="2" t="s">
        <v>57</v>
      </c>
      <c r="I178" s="2" t="s">
        <v>58</v>
      </c>
      <c r="J178" s="2" t="s">
        <v>59</v>
      </c>
      <c r="K178" s="2"/>
      <c r="L178" s="2" t="s">
        <v>60</v>
      </c>
      <c r="M178" s="2" t="s">
        <v>61</v>
      </c>
      <c r="N178" s="2" t="s">
        <v>62</v>
      </c>
      <c r="O178" s="2" t="s">
        <v>11</v>
      </c>
      <c r="P178" s="2"/>
      <c r="Q178" s="2" t="s">
        <v>512</v>
      </c>
      <c r="R178" s="2"/>
    </row>
    <row r="179" spans="1:18">
      <c r="A179" s="2" t="s">
        <v>513</v>
      </c>
      <c r="B179" s="2" t="s">
        <v>514</v>
      </c>
      <c r="C179" s="2" t="s">
        <v>511</v>
      </c>
      <c r="D179" s="2">
        <v>295</v>
      </c>
      <c r="E179" s="2">
        <v>1000000</v>
      </c>
      <c r="F179" s="3">
        <f>IF(COUNT(D179,E179)=2,D179*E179,NA())</f>
        <v>295000000.0</v>
      </c>
      <c r="G179" s="2" t="s">
        <v>56</v>
      </c>
      <c r="H179" s="2" t="s">
        <v>57</v>
      </c>
      <c r="I179" s="2" t="s">
        <v>58</v>
      </c>
      <c r="J179" s="2" t="s">
        <v>59</v>
      </c>
      <c r="K179" s="2"/>
      <c r="L179" s="2" t="s">
        <v>66</v>
      </c>
      <c r="M179" s="2" t="s">
        <v>61</v>
      </c>
      <c r="N179" s="2" t="s">
        <v>67</v>
      </c>
      <c r="O179" s="2" t="s">
        <v>11</v>
      </c>
      <c r="P179" s="2" t="s">
        <v>68</v>
      </c>
      <c r="Q179" s="2" t="s">
        <v>512</v>
      </c>
      <c r="R179" s="2"/>
    </row>
    <row r="180" spans="1:18">
      <c r="A180" s="2" t="s">
        <v>515</v>
      </c>
      <c r="B180" s="2" t="s">
        <v>516</v>
      </c>
      <c r="C180" s="2" t="s">
        <v>517</v>
      </c>
      <c r="D180" s="2">
        <v>-133</v>
      </c>
      <c r="E180" s="2">
        <v>1000000</v>
      </c>
      <c r="F180" s="3">
        <f>IF(COUNT(D180,E180)=2,D180*E180,NA())</f>
        <v>-133000000.0</v>
      </c>
      <c r="G180" s="2" t="s">
        <v>56</v>
      </c>
      <c r="H180" s="2" t="s">
        <v>57</v>
      </c>
      <c r="I180" s="2" t="s">
        <v>58</v>
      </c>
      <c r="J180" s="2" t="s">
        <v>59</v>
      </c>
      <c r="K180" s="2"/>
      <c r="L180" s="2" t="s">
        <v>66</v>
      </c>
      <c r="M180" s="2" t="s">
        <v>61</v>
      </c>
      <c r="N180" s="2" t="s">
        <v>62</v>
      </c>
      <c r="O180" s="2" t="s">
        <v>11</v>
      </c>
      <c r="P180" s="2"/>
      <c r="Q180" s="2" t="s">
        <v>518</v>
      </c>
      <c r="R180" s="2"/>
    </row>
    <row r="181" spans="1:18">
      <c r="A181" s="2" t="s">
        <v>519</v>
      </c>
      <c r="B181" s="2" t="s">
        <v>520</v>
      </c>
      <c r="C181" s="2" t="s">
        <v>517</v>
      </c>
      <c r="D181" s="2">
        <v>6381</v>
      </c>
      <c r="E181" s="2">
        <v>1000000</v>
      </c>
      <c r="F181" s="3">
        <f>IF(COUNT(D181,E181)=2,D181*E181,NA())</f>
        <v>6381000000.0</v>
      </c>
      <c r="G181" s="2" t="s">
        <v>56</v>
      </c>
      <c r="H181" s="2" t="s">
        <v>57</v>
      </c>
      <c r="I181" s="2" t="s">
        <v>58</v>
      </c>
      <c r="J181" s="2" t="s">
        <v>59</v>
      </c>
      <c r="K181" s="2"/>
      <c r="L181" s="2" t="s">
        <v>521</v>
      </c>
      <c r="M181" s="2" t="s">
        <v>61</v>
      </c>
      <c r="N181" s="2" t="s">
        <v>67</v>
      </c>
      <c r="O181" s="2" t="s">
        <v>11</v>
      </c>
      <c r="P181" s="2" t="s">
        <v>68</v>
      </c>
      <c r="Q181" s="2" t="s">
        <v>518</v>
      </c>
      <c r="R181" s="2"/>
    </row>
    <row r="182" spans="1:18">
      <c r="A182" s="2" t="s">
        <v>522</v>
      </c>
      <c r="B182" s="2" t="s">
        <v>523</v>
      </c>
      <c r="C182" s="2" t="s">
        <v>365</v>
      </c>
      <c r="D182" s="2">
        <v>295</v>
      </c>
      <c r="E182" s="2">
        <v>1000000</v>
      </c>
      <c r="F182" s="3">
        <f>IF(COUNT(D182,E182)=2,D182*E182,NA())</f>
        <v>295000000.0</v>
      </c>
      <c r="G182" s="2" t="s">
        <v>56</v>
      </c>
      <c r="H182" s="2" t="s">
        <v>57</v>
      </c>
      <c r="I182" s="2" t="s">
        <v>58</v>
      </c>
      <c r="J182" s="2" t="s">
        <v>59</v>
      </c>
      <c r="K182" s="2"/>
      <c r="L182" s="2" t="s">
        <v>66</v>
      </c>
      <c r="M182" s="2" t="s">
        <v>61</v>
      </c>
      <c r="N182" s="2" t="s">
        <v>62</v>
      </c>
      <c r="O182" s="2" t="s">
        <v>11</v>
      </c>
      <c r="P182" s="2"/>
      <c r="Q182" s="2" t="s">
        <v>524</v>
      </c>
      <c r="R182" s="2"/>
    </row>
    <row r="183" spans="1:18">
      <c r="A183" s="2" t="s">
        <v>525</v>
      </c>
      <c r="B183" s="2" t="s">
        <v>526</v>
      </c>
      <c r="C183" s="2" t="s">
        <v>365</v>
      </c>
      <c r="D183" s="2">
        <v>281</v>
      </c>
      <c r="E183" s="2">
        <v>1000000</v>
      </c>
      <c r="F183" s="3">
        <f>IF(COUNT(D183,E183)=2,D183*E183,NA())</f>
        <v>281000000.0</v>
      </c>
      <c r="G183" s="2" t="s">
        <v>56</v>
      </c>
      <c r="H183" s="2" t="s">
        <v>57</v>
      </c>
      <c r="I183" s="2" t="s">
        <v>58</v>
      </c>
      <c r="J183" s="2" t="s">
        <v>59</v>
      </c>
      <c r="K183" s="2"/>
      <c r="L183" s="2" t="s">
        <v>521</v>
      </c>
      <c r="M183" s="2" t="s">
        <v>61</v>
      </c>
      <c r="N183" s="2" t="s">
        <v>62</v>
      </c>
      <c r="O183" s="2" t="s">
        <v>11</v>
      </c>
      <c r="P183" s="2"/>
      <c r="Q183" s="2" t="s">
        <v>524</v>
      </c>
      <c r="R183" s="2"/>
    </row>
    <row r="184" spans="1:18">
      <c r="A184" s="2" t="s">
        <v>527</v>
      </c>
      <c r="B184" s="2" t="s">
        <v>528</v>
      </c>
      <c r="C184" s="2" t="s">
        <v>517</v>
      </c>
      <c r="D184" s="2">
        <v>157</v>
      </c>
      <c r="E184" s="2">
        <v>1000000</v>
      </c>
      <c r="F184" s="3">
        <f>IF(COUNT(D184,E184)=2,D184*E184,NA())</f>
        <v>157000000.0</v>
      </c>
      <c r="G184" s="2" t="s">
        <v>56</v>
      </c>
      <c r="H184" s="2" t="s">
        <v>57</v>
      </c>
      <c r="I184" s="2" t="s">
        <v>58</v>
      </c>
      <c r="J184" s="2" t="s">
        <v>59</v>
      </c>
      <c r="K184" s="2" t="s">
        <v>242</v>
      </c>
      <c r="L184" s="2" t="s">
        <v>60</v>
      </c>
      <c r="M184" s="2" t="s">
        <v>243</v>
      </c>
      <c r="N184" s="2" t="s">
        <v>62</v>
      </c>
      <c r="O184" s="2" t="s">
        <v>11</v>
      </c>
      <c r="P184" s="2" t="s">
        <v>529</v>
      </c>
      <c r="Q184" s="2" t="s">
        <v>530</v>
      </c>
      <c r="R184" s="2"/>
    </row>
    <row r="185" spans="1:18">
      <c r="A185" s="2" t="s">
        <v>531</v>
      </c>
      <c r="B185" s="2" t="s">
        <v>532</v>
      </c>
      <c r="C185" s="2" t="s">
        <v>517</v>
      </c>
      <c r="D185" s="2">
        <v>156</v>
      </c>
      <c r="E185" s="2">
        <v>1000000</v>
      </c>
      <c r="F185" s="3">
        <f>IF(COUNT(D185,E185)=2,D185*E185,NA())</f>
        <v>156000000.0</v>
      </c>
      <c r="G185" s="2" t="s">
        <v>56</v>
      </c>
      <c r="H185" s="2" t="s">
        <v>57</v>
      </c>
      <c r="I185" s="2" t="s">
        <v>58</v>
      </c>
      <c r="J185" s="2" t="s">
        <v>59</v>
      </c>
      <c r="K185" s="2" t="s">
        <v>247</v>
      </c>
      <c r="L185" s="2" t="s">
        <v>66</v>
      </c>
      <c r="M185" s="2" t="s">
        <v>243</v>
      </c>
      <c r="N185" s="2" t="s">
        <v>67</v>
      </c>
      <c r="O185" s="2" t="s">
        <v>11</v>
      </c>
      <c r="P185" s="2" t="s">
        <v>533</v>
      </c>
      <c r="Q185" s="2" t="s">
        <v>530</v>
      </c>
      <c r="R185" s="2"/>
    </row>
    <row r="186" spans="1:18">
      <c r="A186" s="2" t="s">
        <v>534</v>
      </c>
      <c r="B186" s="2" t="s">
        <v>535</v>
      </c>
      <c r="C186" s="2" t="s">
        <v>517</v>
      </c>
      <c r="D186" s="2">
        <v>-23</v>
      </c>
      <c r="E186" s="2">
        <v>1000000</v>
      </c>
      <c r="F186" s="3">
        <f>IF(COUNT(D186,E186)=2,D186*E186,NA())</f>
        <v>-23000000.0</v>
      </c>
      <c r="G186" s="2" t="s">
        <v>56</v>
      </c>
      <c r="H186" s="2" t="s">
        <v>57</v>
      </c>
      <c r="I186" s="2" t="s">
        <v>58</v>
      </c>
      <c r="J186" s="2" t="s">
        <v>59</v>
      </c>
      <c r="K186" s="2" t="s">
        <v>242</v>
      </c>
      <c r="L186" s="2" t="s">
        <v>60</v>
      </c>
      <c r="M186" s="2" t="s">
        <v>243</v>
      </c>
      <c r="N186" s="2" t="s">
        <v>62</v>
      </c>
      <c r="O186" s="2" t="s">
        <v>11</v>
      </c>
      <c r="P186" s="2" t="s">
        <v>529</v>
      </c>
      <c r="Q186" s="2" t="s">
        <v>536</v>
      </c>
      <c r="R186" s="2"/>
    </row>
    <row r="187" spans="1:18">
      <c r="A187" s="2" t="s">
        <v>537</v>
      </c>
      <c r="B187" s="2" t="s">
        <v>538</v>
      </c>
      <c r="C187" s="2" t="s">
        <v>517</v>
      </c>
      <c r="D187" s="2">
        <v>-33</v>
      </c>
      <c r="E187" s="2">
        <v>1000000</v>
      </c>
      <c r="F187" s="3">
        <f>IF(COUNT(D187,E187)=2,D187*E187,NA())</f>
        <v>-33000000.0</v>
      </c>
      <c r="G187" s="2" t="s">
        <v>56</v>
      </c>
      <c r="H187" s="2" t="s">
        <v>57</v>
      </c>
      <c r="I187" s="2" t="s">
        <v>58</v>
      </c>
      <c r="J187" s="2" t="s">
        <v>59</v>
      </c>
      <c r="K187" s="2" t="s">
        <v>247</v>
      </c>
      <c r="L187" s="2" t="s">
        <v>66</v>
      </c>
      <c r="M187" s="2" t="s">
        <v>243</v>
      </c>
      <c r="N187" s="2" t="s">
        <v>67</v>
      </c>
      <c r="O187" s="2" t="s">
        <v>11</v>
      </c>
      <c r="P187" s="2" t="s">
        <v>533</v>
      </c>
      <c r="Q187" s="2" t="s">
        <v>536</v>
      </c>
      <c r="R187" s="2"/>
    </row>
    <row r="188" spans="1:18">
      <c r="A188" s="2" t="s">
        <v>539</v>
      </c>
      <c r="B188" s="2" t="s">
        <v>540</v>
      </c>
      <c r="C188" s="2" t="s">
        <v>517</v>
      </c>
      <c r="D188" s="2">
        <v>-2080</v>
      </c>
      <c r="E188" s="2">
        <v>1000000</v>
      </c>
      <c r="F188" s="3">
        <f>IF(COUNT(D188,E188)=2,D188*E188,NA())</f>
        <v>-2080000000.0</v>
      </c>
      <c r="G188" s="2" t="s">
        <v>56</v>
      </c>
      <c r="H188" s="2" t="s">
        <v>57</v>
      </c>
      <c r="I188" s="2" t="s">
        <v>58</v>
      </c>
      <c r="J188" s="2" t="s">
        <v>59</v>
      </c>
      <c r="K188" s="2" t="s">
        <v>242</v>
      </c>
      <c r="L188" s="2" t="s">
        <v>60</v>
      </c>
      <c r="M188" s="2" t="s">
        <v>243</v>
      </c>
      <c r="N188" s="2" t="s">
        <v>62</v>
      </c>
      <c r="O188" s="2" t="s">
        <v>11</v>
      </c>
      <c r="P188" s="2" t="s">
        <v>529</v>
      </c>
      <c r="Q188" s="2" t="s">
        <v>541</v>
      </c>
      <c r="R188" s="2"/>
    </row>
    <row r="189" spans="1:18">
      <c r="A189" s="2" t="s">
        <v>542</v>
      </c>
      <c r="B189" s="2" t="s">
        <v>543</v>
      </c>
      <c r="C189" s="2" t="s">
        <v>517</v>
      </c>
      <c r="D189" s="2">
        <v>-2733</v>
      </c>
      <c r="E189" s="2">
        <v>1000000</v>
      </c>
      <c r="F189" s="3">
        <f>IF(COUNT(D189,E189)=2,D189*E189,NA())</f>
        <v>-2733000000.0</v>
      </c>
      <c r="G189" s="2" t="s">
        <v>56</v>
      </c>
      <c r="H189" s="2" t="s">
        <v>57</v>
      </c>
      <c r="I189" s="2" t="s">
        <v>58</v>
      </c>
      <c r="J189" s="2" t="s">
        <v>59</v>
      </c>
      <c r="K189" s="2" t="s">
        <v>247</v>
      </c>
      <c r="L189" s="2" t="s">
        <v>66</v>
      </c>
      <c r="M189" s="2" t="s">
        <v>243</v>
      </c>
      <c r="N189" s="2" t="s">
        <v>67</v>
      </c>
      <c r="O189" s="2" t="s">
        <v>11</v>
      </c>
      <c r="P189" s="2" t="s">
        <v>533</v>
      </c>
      <c r="Q189" s="2" t="s">
        <v>541</v>
      </c>
      <c r="R189" s="2"/>
    </row>
    <row r="190" spans="1:18">
      <c r="A190" s="2" t="s">
        <v>544</v>
      </c>
      <c r="B190" s="2" t="s">
        <v>545</v>
      </c>
      <c r="C190" s="2" t="s">
        <v>546</v>
      </c>
      <c r="D190" s="2">
        <v>2173</v>
      </c>
      <c r="E190" s="2">
        <v>1000000</v>
      </c>
      <c r="F190" s="3">
        <f>IF(COUNT(D190,E190)=2,D190*E190,NA())</f>
        <v>2173000000.0</v>
      </c>
      <c r="G190" s="2" t="s">
        <v>56</v>
      </c>
      <c r="H190" s="2" t="s">
        <v>57</v>
      </c>
      <c r="I190" s="2" t="s">
        <v>58</v>
      </c>
      <c r="J190" s="2" t="s">
        <v>59</v>
      </c>
      <c r="K190" s="2" t="s">
        <v>242</v>
      </c>
      <c r="L190" s="2" t="s">
        <v>60</v>
      </c>
      <c r="M190" s="2" t="s">
        <v>243</v>
      </c>
      <c r="N190" s="2" t="s">
        <v>62</v>
      </c>
      <c r="O190" s="2" t="s">
        <v>11</v>
      </c>
      <c r="P190" s="2"/>
      <c r="Q190" s="2" t="s">
        <v>547</v>
      </c>
      <c r="R190" s="2"/>
    </row>
    <row r="191" spans="1:18">
      <c r="A191" s="2" t="s">
        <v>548</v>
      </c>
      <c r="B191" s="2" t="s">
        <v>549</v>
      </c>
      <c r="C191" s="2" t="s">
        <v>546</v>
      </c>
      <c r="D191" s="2">
        <v>2110</v>
      </c>
      <c r="E191" s="2">
        <v>1000000</v>
      </c>
      <c r="F191" s="3">
        <f>IF(COUNT(D191,E191)=2,D191*E191,NA())</f>
        <v>2110000000.0</v>
      </c>
      <c r="G191" s="2" t="s">
        <v>56</v>
      </c>
      <c r="H191" s="2" t="s">
        <v>57</v>
      </c>
      <c r="I191" s="2" t="s">
        <v>58</v>
      </c>
      <c r="J191" s="2" t="s">
        <v>59</v>
      </c>
      <c r="K191" s="2" t="s">
        <v>247</v>
      </c>
      <c r="L191" s="2" t="s">
        <v>66</v>
      </c>
      <c r="M191" s="2" t="s">
        <v>243</v>
      </c>
      <c r="N191" s="2" t="s">
        <v>67</v>
      </c>
      <c r="O191" s="2" t="s">
        <v>11</v>
      </c>
      <c r="P191" s="2" t="s">
        <v>68</v>
      </c>
      <c r="Q191" s="2" t="s">
        <v>547</v>
      </c>
      <c r="R191" s="2"/>
    </row>
    <row r="192" spans="1:18">
      <c r="A192" s="2" t="s">
        <v>550</v>
      </c>
      <c r="B192" s="2" t="s">
        <v>551</v>
      </c>
      <c r="C192" s="2" t="s">
        <v>546</v>
      </c>
      <c r="D192" s="2">
        <v>1250</v>
      </c>
      <c r="E192" s="2">
        <v>1000000</v>
      </c>
      <c r="F192" s="3">
        <f>IF(COUNT(D192,E192)=2,D192*E192,NA())</f>
        <v>1250000000.0</v>
      </c>
      <c r="G192" s="2" t="s">
        <v>56</v>
      </c>
      <c r="H192" s="2" t="s">
        <v>57</v>
      </c>
      <c r="I192" s="2" t="s">
        <v>58</v>
      </c>
      <c r="J192" s="2" t="s">
        <v>59</v>
      </c>
      <c r="K192" s="2" t="s">
        <v>242</v>
      </c>
      <c r="L192" s="2" t="s">
        <v>60</v>
      </c>
      <c r="M192" s="2" t="s">
        <v>243</v>
      </c>
      <c r="N192" s="2" t="s">
        <v>62</v>
      </c>
      <c r="O192" s="2" t="s">
        <v>11</v>
      </c>
      <c r="P192" s="2"/>
      <c r="Q192" s="2" t="s">
        <v>552</v>
      </c>
      <c r="R192" s="2"/>
    </row>
    <row r="193" spans="1:18">
      <c r="A193" s="2" t="s">
        <v>553</v>
      </c>
      <c r="B193" s="2" t="s">
        <v>554</v>
      </c>
      <c r="C193" s="2" t="s">
        <v>546</v>
      </c>
      <c r="D193" s="2">
        <v>2211</v>
      </c>
      <c r="E193" s="2">
        <v>1000000</v>
      </c>
      <c r="F193" s="3">
        <f>IF(COUNT(D193,E193)=2,D193*E193,NA())</f>
        <v>2211000000.0</v>
      </c>
      <c r="G193" s="2" t="s">
        <v>56</v>
      </c>
      <c r="H193" s="2" t="s">
        <v>57</v>
      </c>
      <c r="I193" s="2" t="s">
        <v>58</v>
      </c>
      <c r="J193" s="2" t="s">
        <v>59</v>
      </c>
      <c r="K193" s="2" t="s">
        <v>247</v>
      </c>
      <c r="L193" s="2" t="s">
        <v>66</v>
      </c>
      <c r="M193" s="2" t="s">
        <v>243</v>
      </c>
      <c r="N193" s="2" t="s">
        <v>67</v>
      </c>
      <c r="O193" s="2" t="s">
        <v>11</v>
      </c>
      <c r="P193" s="2" t="s">
        <v>68</v>
      </c>
      <c r="Q193" s="2" t="s">
        <v>552</v>
      </c>
      <c r="R193" s="2"/>
    </row>
    <row r="194" spans="1:18">
      <c r="A194" s="2" t="s">
        <v>555</v>
      </c>
      <c r="B194" s="2" t="s">
        <v>556</v>
      </c>
      <c r="C194" s="2" t="s">
        <v>546</v>
      </c>
      <c r="D194" s="2">
        <v>0</v>
      </c>
      <c r="E194" s="2">
        <v>1000000</v>
      </c>
      <c r="F194" s="3">
        <f>IF(COUNT(D194,E194)=2,D194*E194,NA())</f>
        <v>0.0</v>
      </c>
      <c r="G194" s="2" t="s">
        <v>56</v>
      </c>
      <c r="H194" s="2" t="s">
        <v>57</v>
      </c>
      <c r="I194" s="2" t="s">
        <v>58</v>
      </c>
      <c r="J194" s="2" t="s">
        <v>59</v>
      </c>
      <c r="K194" s="2" t="s">
        <v>242</v>
      </c>
      <c r="L194" s="2" t="s">
        <v>60</v>
      </c>
      <c r="M194" s="2" t="s">
        <v>243</v>
      </c>
      <c r="N194" s="2" t="s">
        <v>62</v>
      </c>
      <c r="O194" s="2" t="s">
        <v>11</v>
      </c>
      <c r="P194" s="2"/>
      <c r="Q194" s="2" t="s">
        <v>557</v>
      </c>
      <c r="R194" s="2"/>
    </row>
    <row r="195" spans="1:18">
      <c r="A195" s="2" t="s">
        <v>558</v>
      </c>
      <c r="B195" s="2" t="s">
        <v>559</v>
      </c>
      <c r="C195" s="2" t="s">
        <v>546</v>
      </c>
      <c r="D195" s="2">
        <v>4958</v>
      </c>
      <c r="E195" s="2">
        <v>1000000</v>
      </c>
      <c r="F195" s="3">
        <f>IF(COUNT(D195,E195)=2,D195*E195,NA())</f>
        <v>4958000000.0</v>
      </c>
      <c r="G195" s="2" t="s">
        <v>56</v>
      </c>
      <c r="H195" s="2" t="s">
        <v>57</v>
      </c>
      <c r="I195" s="2" t="s">
        <v>58</v>
      </c>
      <c r="J195" s="2" t="s">
        <v>59</v>
      </c>
      <c r="K195" s="2" t="s">
        <v>247</v>
      </c>
      <c r="L195" s="2" t="s">
        <v>66</v>
      </c>
      <c r="M195" s="2" t="s">
        <v>243</v>
      </c>
      <c r="N195" s="2" t="s">
        <v>67</v>
      </c>
      <c r="O195" s="2" t="s">
        <v>11</v>
      </c>
      <c r="P195" s="2" t="s">
        <v>68</v>
      </c>
      <c r="Q195" s="2" t="s">
        <v>557</v>
      </c>
      <c r="R195" s="2"/>
    </row>
    <row r="196" spans="1:18">
      <c r="A196" s="2" t="s">
        <v>560</v>
      </c>
      <c r="B196" s="2" t="s">
        <v>561</v>
      </c>
      <c r="C196" s="2" t="s">
        <v>546</v>
      </c>
      <c r="D196" s="2">
        <v>923</v>
      </c>
      <c r="E196" s="2">
        <v>1000000</v>
      </c>
      <c r="F196" s="3">
        <f>IF(COUNT(D196,E196)=2,D196*E196,NA())</f>
        <v>923000000.0</v>
      </c>
      <c r="G196" s="2" t="s">
        <v>56</v>
      </c>
      <c r="H196" s="2" t="s">
        <v>57</v>
      </c>
      <c r="I196" s="2" t="s">
        <v>58</v>
      </c>
      <c r="J196" s="2" t="s">
        <v>59</v>
      </c>
      <c r="K196" s="2" t="s">
        <v>242</v>
      </c>
      <c r="L196" s="2" t="s">
        <v>60</v>
      </c>
      <c r="M196" s="2" t="s">
        <v>243</v>
      </c>
      <c r="N196" s="2" t="s">
        <v>62</v>
      </c>
      <c r="O196" s="2" t="s">
        <v>11</v>
      </c>
      <c r="P196" s="2"/>
      <c r="Q196" s="2" t="s">
        <v>562</v>
      </c>
      <c r="R196" s="2"/>
    </row>
    <row r="197" spans="1:18">
      <c r="A197" s="2" t="s">
        <v>563</v>
      </c>
      <c r="B197" s="2" t="s">
        <v>564</v>
      </c>
      <c r="C197" s="2" t="s">
        <v>546</v>
      </c>
      <c r="D197" s="2">
        <v>-5059</v>
      </c>
      <c r="E197" s="2">
        <v>1000000</v>
      </c>
      <c r="F197" s="3">
        <f>IF(COUNT(D197,E197)=2,D197*E197,NA())</f>
        <v>-5059000000.0</v>
      </c>
      <c r="G197" s="2" t="s">
        <v>56</v>
      </c>
      <c r="H197" s="2" t="s">
        <v>57</v>
      </c>
      <c r="I197" s="2" t="s">
        <v>58</v>
      </c>
      <c r="J197" s="2" t="s">
        <v>59</v>
      </c>
      <c r="K197" s="2" t="s">
        <v>247</v>
      </c>
      <c r="L197" s="2" t="s">
        <v>66</v>
      </c>
      <c r="M197" s="2" t="s">
        <v>243</v>
      </c>
      <c r="N197" s="2" t="s">
        <v>67</v>
      </c>
      <c r="O197" s="2" t="s">
        <v>11</v>
      </c>
      <c r="P197" s="2" t="s">
        <v>68</v>
      </c>
      <c r="Q197" s="2" t="s">
        <v>562</v>
      </c>
      <c r="R197" s="2"/>
    </row>
    <row r="198" spans="1:18">
      <c r="A198" s="2" t="s">
        <v>565</v>
      </c>
      <c r="B198" s="2" t="s">
        <v>566</v>
      </c>
      <c r="C198" s="2" t="s">
        <v>546</v>
      </c>
      <c r="D198" s="2">
        <v>-7</v>
      </c>
      <c r="E198" s="2">
        <v>1000000</v>
      </c>
      <c r="F198" s="3">
        <f>IF(COUNT(D198,E198)=2,D198*E198,NA())</f>
        <v>-7000000.0</v>
      </c>
      <c r="G198" s="2" t="s">
        <v>56</v>
      </c>
      <c r="H198" s="2" t="s">
        <v>57</v>
      </c>
      <c r="I198" s="2" t="s">
        <v>58</v>
      </c>
      <c r="J198" s="2" t="s">
        <v>59</v>
      </c>
      <c r="K198" s="2" t="s">
        <v>242</v>
      </c>
      <c r="L198" s="2" t="s">
        <v>60</v>
      </c>
      <c r="M198" s="2" t="s">
        <v>243</v>
      </c>
      <c r="N198" s="2" t="s">
        <v>62</v>
      </c>
      <c r="O198" s="2" t="s">
        <v>11</v>
      </c>
      <c r="P198" s="2"/>
      <c r="Q198" s="2" t="s">
        <v>567</v>
      </c>
      <c r="R198" s="2"/>
    </row>
    <row r="199" spans="1:18">
      <c r="A199" s="2" t="s">
        <v>568</v>
      </c>
      <c r="B199" s="2" t="s">
        <v>569</v>
      </c>
      <c r="C199" s="2" t="s">
        <v>546</v>
      </c>
      <c r="D199" s="2">
        <v>-6</v>
      </c>
      <c r="E199" s="2">
        <v>1000000</v>
      </c>
      <c r="F199" s="3">
        <f>IF(COUNT(D199,E199)=2,D199*E199,NA())</f>
        <v>-6000000.0</v>
      </c>
      <c r="G199" s="2" t="s">
        <v>56</v>
      </c>
      <c r="H199" s="2" t="s">
        <v>57</v>
      </c>
      <c r="I199" s="2" t="s">
        <v>58</v>
      </c>
      <c r="J199" s="2" t="s">
        <v>59</v>
      </c>
      <c r="K199" s="2" t="s">
        <v>247</v>
      </c>
      <c r="L199" s="2" t="s">
        <v>66</v>
      </c>
      <c r="M199" s="2" t="s">
        <v>243</v>
      </c>
      <c r="N199" s="2" t="s">
        <v>67</v>
      </c>
      <c r="O199" s="2" t="s">
        <v>11</v>
      </c>
      <c r="P199" s="2" t="s">
        <v>68</v>
      </c>
      <c r="Q199" s="2" t="s">
        <v>567</v>
      </c>
      <c r="R199" s="2"/>
    </row>
    <row r="200" spans="1:18">
      <c r="A200" s="2" t="s">
        <v>570</v>
      </c>
      <c r="B200" s="2" t="s">
        <v>571</v>
      </c>
      <c r="C200" s="2" t="s">
        <v>546</v>
      </c>
      <c r="D200" s="2">
        <v>324</v>
      </c>
      <c r="E200" s="2">
        <v>1000000</v>
      </c>
      <c r="F200" s="3">
        <f>IF(COUNT(D200,E200)=2,D200*E200,NA())</f>
        <v>324000000.0</v>
      </c>
      <c r="G200" s="2" t="s">
        <v>56</v>
      </c>
      <c r="H200" s="2" t="s">
        <v>57</v>
      </c>
      <c r="I200" s="2" t="s">
        <v>58</v>
      </c>
      <c r="J200" s="2" t="s">
        <v>59</v>
      </c>
      <c r="K200" s="2"/>
      <c r="L200" s="2" t="s">
        <v>60</v>
      </c>
      <c r="M200" s="2" t="s">
        <v>61</v>
      </c>
      <c r="N200" s="2" t="s">
        <v>62</v>
      </c>
      <c r="O200" s="2" t="s">
        <v>11</v>
      </c>
      <c r="P200" s="2"/>
      <c r="Q200" s="2" t="s">
        <v>572</v>
      </c>
      <c r="R200" s="2"/>
    </row>
    <row r="201" spans="1:18">
      <c r="A201" s="2" t="s">
        <v>573</v>
      </c>
      <c r="B201" s="2" t="s">
        <v>574</v>
      </c>
      <c r="C201" s="2" t="s">
        <v>546</v>
      </c>
      <c r="D201" s="2">
        <v>349</v>
      </c>
      <c r="E201" s="2">
        <v>1000000</v>
      </c>
      <c r="F201" s="3">
        <f>IF(COUNT(D201,E201)=2,D201*E201,NA())</f>
        <v>349000000.0</v>
      </c>
      <c r="G201" s="2" t="s">
        <v>56</v>
      </c>
      <c r="H201" s="2" t="s">
        <v>57</v>
      </c>
      <c r="I201" s="2" t="s">
        <v>58</v>
      </c>
      <c r="J201" s="2" t="s">
        <v>59</v>
      </c>
      <c r="K201" s="2"/>
      <c r="L201" s="2" t="s">
        <v>66</v>
      </c>
      <c r="M201" s="2" t="s">
        <v>61</v>
      </c>
      <c r="N201" s="2" t="s">
        <v>67</v>
      </c>
      <c r="O201" s="2" t="s">
        <v>11</v>
      </c>
      <c r="P201" s="2" t="s">
        <v>68</v>
      </c>
      <c r="Q201" s="2" t="s">
        <v>572</v>
      </c>
      <c r="R201" s="2"/>
    </row>
    <row r="202" spans="1:18">
      <c r="A202" s="2" t="s">
        <v>575</v>
      </c>
      <c r="B202" s="2" t="s">
        <v>576</v>
      </c>
      <c r="C202" s="2" t="s">
        <v>546</v>
      </c>
      <c r="D202" s="2">
        <v>110</v>
      </c>
      <c r="E202" s="2">
        <v>1000000</v>
      </c>
      <c r="F202" s="3">
        <f>IF(COUNT(D202,E202)=2,D202*E202,NA())</f>
        <v>110000000.0</v>
      </c>
      <c r="G202" s="2" t="s">
        <v>56</v>
      </c>
      <c r="H202" s="2" t="s">
        <v>57</v>
      </c>
      <c r="I202" s="2" t="s">
        <v>58</v>
      </c>
      <c r="J202" s="2" t="s">
        <v>59</v>
      </c>
      <c r="K202" s="2"/>
      <c r="L202" s="2" t="s">
        <v>60</v>
      </c>
      <c r="M202" s="2" t="s">
        <v>61</v>
      </c>
      <c r="N202" s="2" t="s">
        <v>62</v>
      </c>
      <c r="O202" s="2" t="s">
        <v>11</v>
      </c>
      <c r="P202" s="2"/>
      <c r="Q202" s="2" t="s">
        <v>577</v>
      </c>
      <c r="R202" s="2"/>
    </row>
    <row r="203" spans="1:18">
      <c r="A203" s="2" t="s">
        <v>578</v>
      </c>
      <c r="B203" s="2" t="s">
        <v>579</v>
      </c>
      <c r="C203" s="2" t="s">
        <v>546</v>
      </c>
      <c r="D203" s="2">
        <v>80</v>
      </c>
      <c r="E203" s="2">
        <v>1000000</v>
      </c>
      <c r="F203" s="3">
        <f>IF(COUNT(D203,E203)=2,D203*E203,NA())</f>
        <v>80000000.0</v>
      </c>
      <c r="G203" s="2" t="s">
        <v>56</v>
      </c>
      <c r="H203" s="2" t="s">
        <v>57</v>
      </c>
      <c r="I203" s="2" t="s">
        <v>58</v>
      </c>
      <c r="J203" s="2" t="s">
        <v>59</v>
      </c>
      <c r="K203" s="2"/>
      <c r="L203" s="2" t="s">
        <v>66</v>
      </c>
      <c r="M203" s="2" t="s">
        <v>61</v>
      </c>
      <c r="N203" s="2" t="s">
        <v>67</v>
      </c>
      <c r="O203" s="2" t="s">
        <v>11</v>
      </c>
      <c r="P203" s="2" t="s">
        <v>68</v>
      </c>
      <c r="Q203" s="2" t="s">
        <v>577</v>
      </c>
      <c r="R203" s="2"/>
    </row>
    <row r="204" spans="1:18">
      <c r="A204" s="2" t="s">
        <v>580</v>
      </c>
      <c r="B204" s="2" t="s">
        <v>581</v>
      </c>
      <c r="C204" s="2" t="s">
        <v>546</v>
      </c>
      <c r="D204" s="2">
        <v>9766</v>
      </c>
      <c r="E204" s="2">
        <v>1000000</v>
      </c>
      <c r="F204" s="3">
        <f>IF(COUNT(D204,E204)=2,D204*E204,NA())</f>
        <v>9766000000.0</v>
      </c>
      <c r="G204" s="2" t="s">
        <v>56</v>
      </c>
      <c r="H204" s="2" t="s">
        <v>57</v>
      </c>
      <c r="I204" s="2" t="s">
        <v>58</v>
      </c>
      <c r="J204" s="2" t="s">
        <v>59</v>
      </c>
      <c r="K204" s="2"/>
      <c r="L204" s="2" t="s">
        <v>60</v>
      </c>
      <c r="M204" s="2" t="s">
        <v>61</v>
      </c>
      <c r="N204" s="2" t="s">
        <v>62</v>
      </c>
      <c r="O204" s="2" t="s">
        <v>11</v>
      </c>
      <c r="P204" s="2"/>
      <c r="Q204" s="2" t="s">
        <v>582</v>
      </c>
      <c r="R204" s="2"/>
    </row>
    <row r="205" spans="1:18">
      <c r="A205" s="2" t="s">
        <v>583</v>
      </c>
      <c r="B205" s="2" t="s">
        <v>584</v>
      </c>
      <c r="C205" s="2" t="s">
        <v>546</v>
      </c>
      <c r="D205" s="2">
        <v>8918</v>
      </c>
      <c r="E205" s="2">
        <v>1000000</v>
      </c>
      <c r="F205" s="3">
        <f>IF(COUNT(D205,E205)=2,D205*E205,NA())</f>
        <v>8918000000.0</v>
      </c>
      <c r="G205" s="2" t="s">
        <v>56</v>
      </c>
      <c r="H205" s="2" t="s">
        <v>57</v>
      </c>
      <c r="I205" s="2" t="s">
        <v>58</v>
      </c>
      <c r="J205" s="2" t="s">
        <v>59</v>
      </c>
      <c r="K205" s="2"/>
      <c r="L205" s="2" t="s">
        <v>66</v>
      </c>
      <c r="M205" s="2" t="s">
        <v>61</v>
      </c>
      <c r="N205" s="2" t="s">
        <v>67</v>
      </c>
      <c r="O205" s="2" t="s">
        <v>11</v>
      </c>
      <c r="P205" s="2" t="s">
        <v>68</v>
      </c>
      <c r="Q205" s="2" t="s">
        <v>582</v>
      </c>
      <c r="R205" s="2"/>
    </row>
    <row r="206" spans="1:18">
      <c r="A206" s="2" t="s">
        <v>585</v>
      </c>
      <c r="B206" s="2" t="s">
        <v>586</v>
      </c>
      <c r="C206" s="2" t="s">
        <v>546</v>
      </c>
      <c r="D206" s="2">
        <v>1706</v>
      </c>
      <c r="E206" s="2">
        <v>1000000</v>
      </c>
      <c r="F206" s="3">
        <f>IF(COUNT(D206,E206)=2,D206*E206,NA())</f>
        <v>1706000000.0</v>
      </c>
      <c r="G206" s="2" t="s">
        <v>56</v>
      </c>
      <c r="H206" s="2" t="s">
        <v>57</v>
      </c>
      <c r="I206" s="2" t="s">
        <v>58</v>
      </c>
      <c r="J206" s="2" t="s">
        <v>59</v>
      </c>
      <c r="K206" s="2"/>
      <c r="L206" s="2" t="s">
        <v>60</v>
      </c>
      <c r="M206" s="2" t="s">
        <v>61</v>
      </c>
      <c r="N206" s="2" t="s">
        <v>62</v>
      </c>
      <c r="O206" s="2" t="s">
        <v>11</v>
      </c>
      <c r="P206" s="2"/>
      <c r="Q206" s="2" t="s">
        <v>587</v>
      </c>
      <c r="R206" s="2"/>
    </row>
    <row r="207" spans="1:18">
      <c r="A207" s="2" t="s">
        <v>588</v>
      </c>
      <c r="B207" s="2" t="s">
        <v>589</v>
      </c>
      <c r="C207" s="2" t="s">
        <v>546</v>
      </c>
      <c r="D207" s="2">
        <v>1744</v>
      </c>
      <c r="E207" s="2">
        <v>1000000</v>
      </c>
      <c r="F207" s="3">
        <f>IF(COUNT(D207,E207)=2,D207*E207,NA())</f>
        <v>1744000000.0</v>
      </c>
      <c r="G207" s="2" t="s">
        <v>56</v>
      </c>
      <c r="H207" s="2" t="s">
        <v>57</v>
      </c>
      <c r="I207" s="2" t="s">
        <v>58</v>
      </c>
      <c r="J207" s="2" t="s">
        <v>59</v>
      </c>
      <c r="K207" s="2"/>
      <c r="L207" s="2" t="s">
        <v>66</v>
      </c>
      <c r="M207" s="2" t="s">
        <v>61</v>
      </c>
      <c r="N207" s="2" t="s">
        <v>67</v>
      </c>
      <c r="O207" s="2" t="s">
        <v>11</v>
      </c>
      <c r="P207" s="2" t="s">
        <v>68</v>
      </c>
      <c r="Q207" s="2" t="s">
        <v>587</v>
      </c>
      <c r="R207" s="2"/>
    </row>
    <row r="208" spans="1:18">
      <c r="A208" s="2" t="s">
        <v>590</v>
      </c>
      <c r="B208" s="2" t="s">
        <v>591</v>
      </c>
      <c r="C208" s="2" t="s">
        <v>546</v>
      </c>
      <c r="D208" s="2">
        <v>326</v>
      </c>
      <c r="E208" s="2">
        <v>1000000</v>
      </c>
      <c r="F208" s="3">
        <f>IF(COUNT(D208,E208)=2,D208*E208,NA())</f>
        <v>326000000.0</v>
      </c>
      <c r="G208" s="2" t="s">
        <v>56</v>
      </c>
      <c r="H208" s="2" t="s">
        <v>57</v>
      </c>
      <c r="I208" s="2" t="s">
        <v>58</v>
      </c>
      <c r="J208" s="2" t="s">
        <v>59</v>
      </c>
      <c r="K208" s="2"/>
      <c r="L208" s="2" t="s">
        <v>60</v>
      </c>
      <c r="M208" s="2" t="s">
        <v>61</v>
      </c>
      <c r="N208" s="2" t="s">
        <v>62</v>
      </c>
      <c r="O208" s="2" t="s">
        <v>11</v>
      </c>
      <c r="P208" s="2"/>
      <c r="Q208" s="2" t="s">
        <v>592</v>
      </c>
      <c r="R208" s="2"/>
    </row>
    <row r="209" spans="1:18">
      <c r="A209" s="2" t="s">
        <v>593</v>
      </c>
      <c r="B209" s="2" t="s">
        <v>594</v>
      </c>
      <c r="C209" s="2" t="s">
        <v>546</v>
      </c>
      <c r="D209" s="2">
        <v>306</v>
      </c>
      <c r="E209" s="2">
        <v>1000000</v>
      </c>
      <c r="F209" s="3">
        <f>IF(COUNT(D209,E209)=2,D209*E209,NA())</f>
        <v>306000000.0</v>
      </c>
      <c r="G209" s="2" t="s">
        <v>56</v>
      </c>
      <c r="H209" s="2" t="s">
        <v>57</v>
      </c>
      <c r="I209" s="2" t="s">
        <v>58</v>
      </c>
      <c r="J209" s="2" t="s">
        <v>59</v>
      </c>
      <c r="K209" s="2"/>
      <c r="L209" s="2" t="s">
        <v>66</v>
      </c>
      <c r="M209" s="2" t="s">
        <v>61</v>
      </c>
      <c r="N209" s="2" t="s">
        <v>67</v>
      </c>
      <c r="O209" s="2" t="s">
        <v>11</v>
      </c>
      <c r="P209" s="2" t="s">
        <v>68</v>
      </c>
      <c r="Q209" s="2" t="s">
        <v>592</v>
      </c>
      <c r="R209" s="2"/>
    </row>
    <row r="210" spans="1:18">
      <c r="A210" s="2" t="s">
        <v>595</v>
      </c>
      <c r="B210" s="2" t="s">
        <v>596</v>
      </c>
      <c r="C210" s="2" t="s">
        <v>546</v>
      </c>
      <c r="D210" s="2">
        <v>1507</v>
      </c>
      <c r="E210" s="2">
        <v>1000000</v>
      </c>
      <c r="F210" s="3">
        <f>IF(COUNT(D210,E210)=2,D210*E210,NA())</f>
        <v>1507000000.0</v>
      </c>
      <c r="G210" s="2" t="s">
        <v>56</v>
      </c>
      <c r="H210" s="2" t="s">
        <v>57</v>
      </c>
      <c r="I210" s="2" t="s">
        <v>58</v>
      </c>
      <c r="J210" s="2" t="s">
        <v>59</v>
      </c>
      <c r="K210" s="2"/>
      <c r="L210" s="2" t="s">
        <v>60</v>
      </c>
      <c r="M210" s="2" t="s">
        <v>61</v>
      </c>
      <c r="N210" s="2" t="s">
        <v>62</v>
      </c>
      <c r="O210" s="2" t="s">
        <v>11</v>
      </c>
      <c r="P210" s="2"/>
      <c r="Q210" s="2" t="s">
        <v>597</v>
      </c>
      <c r="R210" s="2"/>
    </row>
    <row r="211" spans="1:18">
      <c r="A211" s="2" t="s">
        <v>598</v>
      </c>
      <c r="B211" s="2" t="s">
        <v>599</v>
      </c>
      <c r="C211" s="2" t="s">
        <v>546</v>
      </c>
      <c r="D211" s="2">
        <v>0</v>
      </c>
      <c r="E211" s="2">
        <v>1000000</v>
      </c>
      <c r="F211" s="3">
        <f>IF(COUNT(D211,E211)=2,D211*E211,NA())</f>
        <v>0.0</v>
      </c>
      <c r="G211" s="2" t="s">
        <v>56</v>
      </c>
      <c r="H211" s="2" t="s">
        <v>57</v>
      </c>
      <c r="I211" s="2" t="s">
        <v>58</v>
      </c>
      <c r="J211" s="2" t="s">
        <v>59</v>
      </c>
      <c r="K211" s="2"/>
      <c r="L211" s="2" t="s">
        <v>66</v>
      </c>
      <c r="M211" s="2" t="s">
        <v>61</v>
      </c>
      <c r="N211" s="2" t="s">
        <v>67</v>
      </c>
      <c r="O211" s="2" t="s">
        <v>11</v>
      </c>
      <c r="P211" s="2" t="s">
        <v>68</v>
      </c>
      <c r="Q211" s="2" t="s">
        <v>597</v>
      </c>
      <c r="R211" s="2"/>
    </row>
    <row r="212" spans="1:18">
      <c r="A212" s="2" t="s">
        <v>600</v>
      </c>
      <c r="B212" s="2" t="s">
        <v>601</v>
      </c>
      <c r="C212" s="2" t="s">
        <v>546</v>
      </c>
      <c r="D212" s="2">
        <v>10725</v>
      </c>
      <c r="E212" s="2">
        <v>1000000</v>
      </c>
      <c r="F212" s="3">
        <f>IF(COUNT(D212,E212)=2,D212*E212,NA())</f>
        <v>10725000000.0</v>
      </c>
      <c r="G212" s="2" t="s">
        <v>56</v>
      </c>
      <c r="H212" s="2" t="s">
        <v>57</v>
      </c>
      <c r="I212" s="2" t="s">
        <v>58</v>
      </c>
      <c r="J212" s="2" t="s">
        <v>59</v>
      </c>
      <c r="K212" s="2"/>
      <c r="L212" s="2" t="s">
        <v>60</v>
      </c>
      <c r="M212" s="2" t="s">
        <v>61</v>
      </c>
      <c r="N212" s="2" t="s">
        <v>62</v>
      </c>
      <c r="O212" s="2" t="s">
        <v>11</v>
      </c>
      <c r="P212" s="2"/>
      <c r="Q212" s="2" t="s">
        <v>602</v>
      </c>
      <c r="R212" s="2"/>
    </row>
    <row r="213" spans="1:18">
      <c r="A213" s="2" t="s">
        <v>603</v>
      </c>
      <c r="B213" s="2" t="s">
        <v>604</v>
      </c>
      <c r="C213" s="2" t="s">
        <v>546</v>
      </c>
      <c r="D213" s="2">
        <v>11397</v>
      </c>
      <c r="E213" s="2">
        <v>1000000</v>
      </c>
      <c r="F213" s="3">
        <f>IF(COUNT(D213,E213)=2,D213*E213,NA())</f>
        <v>11397000000.0</v>
      </c>
      <c r="G213" s="2" t="s">
        <v>56</v>
      </c>
      <c r="H213" s="2" t="s">
        <v>57</v>
      </c>
      <c r="I213" s="2" t="s">
        <v>58</v>
      </c>
      <c r="J213" s="2" t="s">
        <v>59</v>
      </c>
      <c r="K213" s="2"/>
      <c r="L213" s="2" t="s">
        <v>66</v>
      </c>
      <c r="M213" s="2" t="s">
        <v>61</v>
      </c>
      <c r="N213" s="2" t="s">
        <v>67</v>
      </c>
      <c r="O213" s="2" t="s">
        <v>11</v>
      </c>
      <c r="P213" s="2" t="s">
        <v>68</v>
      </c>
      <c r="Q213" s="2" t="s">
        <v>602</v>
      </c>
      <c r="R213" s="2"/>
    </row>
    <row r="214" spans="1:18">
      <c r="A214" s="2" t="s">
        <v>605</v>
      </c>
      <c r="B214" s="2" t="s">
        <v>606</v>
      </c>
      <c r="C214" s="2" t="s">
        <v>546</v>
      </c>
      <c r="D214" s="2">
        <v>156</v>
      </c>
      <c r="E214" s="2">
        <v>1000000</v>
      </c>
      <c r="F214" s="3">
        <f>IF(COUNT(D214,E214)=2,D214*E214,NA())</f>
        <v>156000000.0</v>
      </c>
      <c r="G214" s="2" t="s">
        <v>56</v>
      </c>
      <c r="H214" s="2" t="s">
        <v>57</v>
      </c>
      <c r="I214" s="2" t="s">
        <v>58</v>
      </c>
      <c r="J214" s="2" t="s">
        <v>59</v>
      </c>
      <c r="K214" s="2"/>
      <c r="L214" s="2" t="s">
        <v>60</v>
      </c>
      <c r="M214" s="2" t="s">
        <v>61</v>
      </c>
      <c r="N214" s="2" t="s">
        <v>62</v>
      </c>
      <c r="O214" s="2" t="s">
        <v>11</v>
      </c>
      <c r="P214" s="2"/>
      <c r="Q214" s="2" t="s">
        <v>607</v>
      </c>
      <c r="R214" s="2"/>
    </row>
    <row r="215" spans="1:18">
      <c r="A215" s="2" t="s">
        <v>608</v>
      </c>
      <c r="B215" s="2" t="s">
        <v>609</v>
      </c>
      <c r="C215" s="2" t="s">
        <v>546</v>
      </c>
      <c r="D215" s="2">
        <v>144</v>
      </c>
      <c r="E215" s="2">
        <v>1000000</v>
      </c>
      <c r="F215" s="3">
        <f>IF(COUNT(D215,E215)=2,D215*E215,NA())</f>
        <v>144000000.0</v>
      </c>
      <c r="G215" s="2" t="s">
        <v>56</v>
      </c>
      <c r="H215" s="2" t="s">
        <v>57</v>
      </c>
      <c r="I215" s="2" t="s">
        <v>58</v>
      </c>
      <c r="J215" s="2" t="s">
        <v>59</v>
      </c>
      <c r="K215" s="2"/>
      <c r="L215" s="2" t="s">
        <v>66</v>
      </c>
      <c r="M215" s="2" t="s">
        <v>61</v>
      </c>
      <c r="N215" s="2" t="s">
        <v>67</v>
      </c>
      <c r="O215" s="2" t="s">
        <v>11</v>
      </c>
      <c r="P215" s="2" t="s">
        <v>68</v>
      </c>
      <c r="Q215" s="2" t="s">
        <v>607</v>
      </c>
      <c r="R215" s="2"/>
    </row>
    <row r="216" spans="1:18">
      <c r="A216" s="2" t="s">
        <v>610</v>
      </c>
      <c r="B216" s="2" t="s">
        <v>611</v>
      </c>
      <c r="C216" s="2" t="s">
        <v>546</v>
      </c>
      <c r="D216" s="2">
        <v>355</v>
      </c>
      <c r="E216" s="2">
        <v>1000000</v>
      </c>
      <c r="F216" s="3">
        <f>IF(COUNT(D216,E216)=2,D216*E216,NA())</f>
        <v>355000000.0</v>
      </c>
      <c r="G216" s="2" t="s">
        <v>56</v>
      </c>
      <c r="H216" s="2" t="s">
        <v>57</v>
      </c>
      <c r="I216" s="2" t="s">
        <v>58</v>
      </c>
      <c r="J216" s="2" t="s">
        <v>59</v>
      </c>
      <c r="K216" s="2"/>
      <c r="L216" s="2" t="s">
        <v>60</v>
      </c>
      <c r="M216" s="2" t="s">
        <v>61</v>
      </c>
      <c r="N216" s="2" t="s">
        <v>62</v>
      </c>
      <c r="O216" s="2" t="s">
        <v>11</v>
      </c>
      <c r="P216" s="2"/>
      <c r="Q216" s="2" t="s">
        <v>612</v>
      </c>
      <c r="R216" s="2"/>
    </row>
    <row r="217" spans="1:18">
      <c r="A217" s="2" t="s">
        <v>613</v>
      </c>
      <c r="B217" s="2" t="s">
        <v>614</v>
      </c>
      <c r="C217" s="2" t="s">
        <v>546</v>
      </c>
      <c r="D217" s="2">
        <v>336</v>
      </c>
      <c r="E217" s="2">
        <v>1000000</v>
      </c>
      <c r="F217" s="3">
        <f>IF(COUNT(D217,E217)=2,D217*E217,NA())</f>
        <v>336000000.0</v>
      </c>
      <c r="G217" s="2" t="s">
        <v>56</v>
      </c>
      <c r="H217" s="2" t="s">
        <v>57</v>
      </c>
      <c r="I217" s="2" t="s">
        <v>58</v>
      </c>
      <c r="J217" s="2" t="s">
        <v>59</v>
      </c>
      <c r="K217" s="2"/>
      <c r="L217" s="2" t="s">
        <v>66</v>
      </c>
      <c r="M217" s="2" t="s">
        <v>61</v>
      </c>
      <c r="N217" s="2" t="s">
        <v>67</v>
      </c>
      <c r="O217" s="2" t="s">
        <v>11</v>
      </c>
      <c r="P217" s="2" t="s">
        <v>68</v>
      </c>
      <c r="Q217" s="2" t="s">
        <v>612</v>
      </c>
      <c r="R217" s="2"/>
    </row>
    <row r="218" spans="1:18">
      <c r="A218" s="2" t="s">
        <v>615</v>
      </c>
      <c r="B218" s="2" t="s">
        <v>616</v>
      </c>
      <c r="C218" s="2" t="s">
        <v>546</v>
      </c>
      <c r="D218" s="2">
        <v>242</v>
      </c>
      <c r="E218" s="2">
        <v>1000000</v>
      </c>
      <c r="F218" s="3">
        <f>IF(COUNT(D218,E218)=2,D218*E218,NA())</f>
        <v>242000000.0</v>
      </c>
      <c r="G218" s="2" t="s">
        <v>56</v>
      </c>
      <c r="H218" s="2" t="s">
        <v>57</v>
      </c>
      <c r="I218" s="2" t="s">
        <v>58</v>
      </c>
      <c r="J218" s="2" t="s">
        <v>59</v>
      </c>
      <c r="K218" s="2"/>
      <c r="L218" s="2" t="s">
        <v>60</v>
      </c>
      <c r="M218" s="2" t="s">
        <v>61</v>
      </c>
      <c r="N218" s="2" t="s">
        <v>62</v>
      </c>
      <c r="O218" s="2" t="s">
        <v>11</v>
      </c>
      <c r="P218" s="2"/>
      <c r="Q218" s="2" t="s">
        <v>617</v>
      </c>
      <c r="R218" s="2"/>
    </row>
    <row r="219" spans="1:18">
      <c r="A219" s="2" t="s">
        <v>618</v>
      </c>
      <c r="B219" s="2" t="s">
        <v>619</v>
      </c>
      <c r="C219" s="2" t="s">
        <v>546</v>
      </c>
      <c r="D219" s="2">
        <v>223</v>
      </c>
      <c r="E219" s="2">
        <v>1000000</v>
      </c>
      <c r="F219" s="3">
        <f>IF(COUNT(D219,E219)=2,D219*E219,NA())</f>
        <v>223000000.0</v>
      </c>
      <c r="G219" s="2" t="s">
        <v>56</v>
      </c>
      <c r="H219" s="2" t="s">
        <v>57</v>
      </c>
      <c r="I219" s="2" t="s">
        <v>58</v>
      </c>
      <c r="J219" s="2" t="s">
        <v>59</v>
      </c>
      <c r="K219" s="2"/>
      <c r="L219" s="2" t="s">
        <v>66</v>
      </c>
      <c r="M219" s="2" t="s">
        <v>61</v>
      </c>
      <c r="N219" s="2" t="s">
        <v>67</v>
      </c>
      <c r="O219" s="2" t="s">
        <v>11</v>
      </c>
      <c r="P219" s="2" t="s">
        <v>68</v>
      </c>
      <c r="Q219" s="2" t="s">
        <v>617</v>
      </c>
      <c r="R219" s="2"/>
    </row>
    <row r="220" spans="1:18">
      <c r="A220" s="2" t="s">
        <v>620</v>
      </c>
      <c r="B220" s="2" t="s">
        <v>621</v>
      </c>
      <c r="C220" s="2" t="s">
        <v>546</v>
      </c>
      <c r="D220" s="2">
        <v>9</v>
      </c>
      <c r="E220" s="2">
        <v>1000000</v>
      </c>
      <c r="F220" s="3">
        <f>IF(COUNT(D220,E220)=2,D220*E220,NA())</f>
        <v>9000000.0</v>
      </c>
      <c r="G220" s="2" t="s">
        <v>56</v>
      </c>
      <c r="H220" s="2" t="s">
        <v>57</v>
      </c>
      <c r="I220" s="2" t="s">
        <v>58</v>
      </c>
      <c r="J220" s="2" t="s">
        <v>59</v>
      </c>
      <c r="K220" s="2"/>
      <c r="L220" s="2" t="s">
        <v>60</v>
      </c>
      <c r="M220" s="2" t="s">
        <v>61</v>
      </c>
      <c r="N220" s="2" t="s">
        <v>62</v>
      </c>
      <c r="O220" s="2" t="s">
        <v>11</v>
      </c>
      <c r="P220" s="2"/>
      <c r="Q220" s="2" t="s">
        <v>622</v>
      </c>
      <c r="R220" s="2"/>
    </row>
    <row r="221" spans="1:18">
      <c r="A221" s="2" t="s">
        <v>623</v>
      </c>
      <c r="B221" s="2" t="s">
        <v>624</v>
      </c>
      <c r="C221" s="2" t="s">
        <v>546</v>
      </c>
      <c r="D221" s="2">
        <v>7</v>
      </c>
      <c r="E221" s="2">
        <v>1000000</v>
      </c>
      <c r="F221" s="3">
        <f>IF(COUNT(D221,E221)=2,D221*E221,NA())</f>
        <v>7000000.0</v>
      </c>
      <c r="G221" s="2" t="s">
        <v>56</v>
      </c>
      <c r="H221" s="2" t="s">
        <v>57</v>
      </c>
      <c r="I221" s="2" t="s">
        <v>58</v>
      </c>
      <c r="J221" s="2" t="s">
        <v>59</v>
      </c>
      <c r="K221" s="2"/>
      <c r="L221" s="2" t="s">
        <v>66</v>
      </c>
      <c r="M221" s="2" t="s">
        <v>61</v>
      </c>
      <c r="N221" s="2" t="s">
        <v>67</v>
      </c>
      <c r="O221" s="2" t="s">
        <v>11</v>
      </c>
      <c r="P221" s="2" t="s">
        <v>68</v>
      </c>
      <c r="Q221" s="2" t="s">
        <v>622</v>
      </c>
      <c r="R221" s="2"/>
    </row>
    <row r="222" spans="1:18">
      <c r="A222" s="2" t="s">
        <v>625</v>
      </c>
      <c r="B222" s="2" t="s">
        <v>626</v>
      </c>
      <c r="C222" s="2" t="s">
        <v>546</v>
      </c>
      <c r="D222" s="2">
        <v>20</v>
      </c>
      <c r="E222" s="2">
        <v>1000000</v>
      </c>
      <c r="F222" s="3">
        <f>IF(COUNT(D222,E222)=2,D222*E222,NA())</f>
        <v>20000000.0</v>
      </c>
      <c r="G222" s="2" t="s">
        <v>56</v>
      </c>
      <c r="H222" s="2" t="s">
        <v>57</v>
      </c>
      <c r="I222" s="2" t="s">
        <v>58</v>
      </c>
      <c r="J222" s="2" t="s">
        <v>59</v>
      </c>
      <c r="K222" s="2"/>
      <c r="L222" s="2" t="s">
        <v>60</v>
      </c>
      <c r="M222" s="2" t="s">
        <v>61</v>
      </c>
      <c r="N222" s="2" t="s">
        <v>62</v>
      </c>
      <c r="O222" s="2" t="s">
        <v>11</v>
      </c>
      <c r="P222" s="2"/>
      <c r="Q222" s="2" t="s">
        <v>627</v>
      </c>
      <c r="R222" s="2"/>
    </row>
    <row r="223" spans="1:18">
      <c r="A223" s="2" t="s">
        <v>628</v>
      </c>
      <c r="B223" s="2" t="s">
        <v>629</v>
      </c>
      <c r="C223" s="2" t="s">
        <v>546</v>
      </c>
      <c r="D223" s="2">
        <v>20</v>
      </c>
      <c r="E223" s="2">
        <v>1000000</v>
      </c>
      <c r="F223" s="3">
        <f>IF(COUNT(D223,E223)=2,D223*E223,NA())</f>
        <v>20000000.0</v>
      </c>
      <c r="G223" s="2" t="s">
        <v>56</v>
      </c>
      <c r="H223" s="2" t="s">
        <v>57</v>
      </c>
      <c r="I223" s="2" t="s">
        <v>58</v>
      </c>
      <c r="J223" s="2" t="s">
        <v>59</v>
      </c>
      <c r="K223" s="2"/>
      <c r="L223" s="2" t="s">
        <v>66</v>
      </c>
      <c r="M223" s="2" t="s">
        <v>61</v>
      </c>
      <c r="N223" s="2" t="s">
        <v>67</v>
      </c>
      <c r="O223" s="2" t="s">
        <v>11</v>
      </c>
      <c r="P223" s="2" t="s">
        <v>68</v>
      </c>
      <c r="Q223" s="2" t="s">
        <v>627</v>
      </c>
      <c r="R223" s="2"/>
    </row>
    <row r="224" spans="1:18">
      <c r="A224" s="2" t="s">
        <v>630</v>
      </c>
      <c r="B224" s="2" t="s">
        <v>631</v>
      </c>
      <c r="C224" s="2" t="s">
        <v>546</v>
      </c>
      <c r="D224" s="2">
        <v>168</v>
      </c>
      <c r="E224" s="2">
        <v>1000000</v>
      </c>
      <c r="F224" s="3">
        <f>IF(COUNT(D224,E224)=2,D224*E224,NA())</f>
        <v>168000000.0</v>
      </c>
      <c r="G224" s="2" t="s">
        <v>56</v>
      </c>
      <c r="H224" s="2" t="s">
        <v>57</v>
      </c>
      <c r="I224" s="2" t="s">
        <v>58</v>
      </c>
      <c r="J224" s="2" t="s">
        <v>59</v>
      </c>
      <c r="K224" s="2"/>
      <c r="L224" s="2" t="s">
        <v>60</v>
      </c>
      <c r="M224" s="2" t="s">
        <v>61</v>
      </c>
      <c r="N224" s="2" t="s">
        <v>62</v>
      </c>
      <c r="O224" s="2" t="s">
        <v>11</v>
      </c>
      <c r="P224" s="2"/>
      <c r="Q224" s="2" t="s">
        <v>632</v>
      </c>
      <c r="R224" s="2"/>
    </row>
    <row r="225" spans="1:18">
      <c r="A225" s="2" t="s">
        <v>633</v>
      </c>
      <c r="B225" s="2" t="s">
        <v>634</v>
      </c>
      <c r="C225" s="2" t="s">
        <v>546</v>
      </c>
      <c r="D225" s="2">
        <v>173</v>
      </c>
      <c r="E225" s="2">
        <v>1000000</v>
      </c>
      <c r="F225" s="3">
        <f>IF(COUNT(D225,E225)=2,D225*E225,NA())</f>
        <v>173000000.0</v>
      </c>
      <c r="G225" s="2" t="s">
        <v>56</v>
      </c>
      <c r="H225" s="2" t="s">
        <v>57</v>
      </c>
      <c r="I225" s="2" t="s">
        <v>58</v>
      </c>
      <c r="J225" s="2" t="s">
        <v>59</v>
      </c>
      <c r="K225" s="2"/>
      <c r="L225" s="2" t="s">
        <v>66</v>
      </c>
      <c r="M225" s="2" t="s">
        <v>61</v>
      </c>
      <c r="N225" s="2" t="s">
        <v>67</v>
      </c>
      <c r="O225" s="2" t="s">
        <v>11</v>
      </c>
      <c r="P225" s="2" t="s">
        <v>68</v>
      </c>
      <c r="Q225" s="2" t="s">
        <v>632</v>
      </c>
      <c r="R225" s="2"/>
    </row>
    <row r="226" spans="1:18">
      <c r="A226" s="2" t="s">
        <v>635</v>
      </c>
      <c r="B226" s="2" t="s">
        <v>636</v>
      </c>
      <c r="C226" s="2" t="s">
        <v>546</v>
      </c>
      <c r="D226" s="2">
        <v>1364</v>
      </c>
      <c r="E226" s="2">
        <v>1000000</v>
      </c>
      <c r="F226" s="3">
        <f>IF(COUNT(D226,E226)=2,D226*E226,NA())</f>
        <v>1364000000.0</v>
      </c>
      <c r="G226" s="2" t="s">
        <v>56</v>
      </c>
      <c r="H226" s="2" t="s">
        <v>57</v>
      </c>
      <c r="I226" s="2" t="s">
        <v>58</v>
      </c>
      <c r="J226" s="2" t="s">
        <v>59</v>
      </c>
      <c r="K226" s="2"/>
      <c r="L226" s="2" t="s">
        <v>60</v>
      </c>
      <c r="M226" s="2" t="s">
        <v>61</v>
      </c>
      <c r="N226" s="2" t="s">
        <v>62</v>
      </c>
      <c r="O226" s="2" t="s">
        <v>11</v>
      </c>
      <c r="P226" s="2"/>
      <c r="Q226" s="2" t="s">
        <v>637</v>
      </c>
      <c r="R226" s="2"/>
    </row>
    <row r="227" spans="1:18">
      <c r="A227" s="2" t="s">
        <v>638</v>
      </c>
      <c r="B227" s="2" t="s">
        <v>639</v>
      </c>
      <c r="C227" s="2" t="s">
        <v>546</v>
      </c>
      <c r="D227" s="2">
        <v>1341</v>
      </c>
      <c r="E227" s="2">
        <v>1000000</v>
      </c>
      <c r="F227" s="3">
        <f>IF(COUNT(D227,E227)=2,D227*E227,NA())</f>
        <v>1341000000.0</v>
      </c>
      <c r="G227" s="2" t="s">
        <v>56</v>
      </c>
      <c r="H227" s="2" t="s">
        <v>57</v>
      </c>
      <c r="I227" s="2" t="s">
        <v>58</v>
      </c>
      <c r="J227" s="2" t="s">
        <v>59</v>
      </c>
      <c r="K227" s="2"/>
      <c r="L227" s="2" t="s">
        <v>66</v>
      </c>
      <c r="M227" s="2" t="s">
        <v>61</v>
      </c>
      <c r="N227" s="2" t="s">
        <v>67</v>
      </c>
      <c r="O227" s="2" t="s">
        <v>11</v>
      </c>
      <c r="P227" s="2" t="s">
        <v>68</v>
      </c>
      <c r="Q227" s="2" t="s">
        <v>637</v>
      </c>
      <c r="R227" s="2"/>
    </row>
    <row r="228" spans="1:18">
      <c r="A228" s="2" t="s">
        <v>640</v>
      </c>
      <c r="B228" s="2" t="s">
        <v>641</v>
      </c>
      <c r="C228" s="2" t="s">
        <v>546</v>
      </c>
      <c r="D228" s="2">
        <v>2314</v>
      </c>
      <c r="E228" s="2">
        <v>1000000</v>
      </c>
      <c r="F228" s="3">
        <f>IF(COUNT(D228,E228)=2,D228*E228,NA())</f>
        <v>2314000000.0</v>
      </c>
      <c r="G228" s="2" t="s">
        <v>56</v>
      </c>
      <c r="H228" s="2" t="s">
        <v>57</v>
      </c>
      <c r="I228" s="2" t="s">
        <v>58</v>
      </c>
      <c r="J228" s="2" t="s">
        <v>59</v>
      </c>
      <c r="K228" s="2"/>
      <c r="L228" s="2" t="s">
        <v>60</v>
      </c>
      <c r="M228" s="2" t="s">
        <v>61</v>
      </c>
      <c r="N228" s="2" t="s">
        <v>62</v>
      </c>
      <c r="O228" s="2" t="s">
        <v>11</v>
      </c>
      <c r="P228" s="2"/>
      <c r="Q228" s="2" t="s">
        <v>642</v>
      </c>
      <c r="R228" s="2"/>
    </row>
    <row r="229" spans="1:18">
      <c r="A229" s="2" t="s">
        <v>643</v>
      </c>
      <c r="B229" s="2" t="s">
        <v>644</v>
      </c>
      <c r="C229" s="2" t="s">
        <v>546</v>
      </c>
      <c r="D229" s="2">
        <v>2244</v>
      </c>
      <c r="E229" s="2">
        <v>1000000</v>
      </c>
      <c r="F229" s="3">
        <f>IF(COUNT(D229,E229)=2,D229*E229,NA())</f>
        <v>2244000000.0</v>
      </c>
      <c r="G229" s="2" t="s">
        <v>56</v>
      </c>
      <c r="H229" s="2" t="s">
        <v>57</v>
      </c>
      <c r="I229" s="2" t="s">
        <v>58</v>
      </c>
      <c r="J229" s="2" t="s">
        <v>59</v>
      </c>
      <c r="K229" s="2"/>
      <c r="L229" s="2" t="s">
        <v>66</v>
      </c>
      <c r="M229" s="2" t="s">
        <v>61</v>
      </c>
      <c r="N229" s="2" t="s">
        <v>67</v>
      </c>
      <c r="O229" s="2" t="s">
        <v>11</v>
      </c>
      <c r="P229" s="2" t="s">
        <v>68</v>
      </c>
      <c r="Q229" s="2" t="s">
        <v>642</v>
      </c>
      <c r="R229" s="2"/>
    </row>
    <row r="230" spans="1:18">
      <c r="A230" s="2" t="s">
        <v>645</v>
      </c>
      <c r="B230" s="2" t="s">
        <v>646</v>
      </c>
      <c r="C230" s="2" t="s">
        <v>546</v>
      </c>
      <c r="D230" s="2">
        <v>68</v>
      </c>
      <c r="E230" s="2">
        <v>1000000</v>
      </c>
      <c r="F230" s="3">
        <f>IF(COUNT(D230,E230)=2,D230*E230,NA())</f>
        <v>68000000.0</v>
      </c>
      <c r="G230" s="2" t="s">
        <v>56</v>
      </c>
      <c r="H230" s="2" t="s">
        <v>57</v>
      </c>
      <c r="I230" s="2" t="s">
        <v>58</v>
      </c>
      <c r="J230" s="2" t="s">
        <v>59</v>
      </c>
      <c r="K230" s="2" t="s">
        <v>242</v>
      </c>
      <c r="L230" s="2" t="s">
        <v>60</v>
      </c>
      <c r="M230" s="2" t="s">
        <v>243</v>
      </c>
      <c r="N230" s="2" t="s">
        <v>62</v>
      </c>
      <c r="O230" s="2" t="s">
        <v>11</v>
      </c>
      <c r="P230" s="2" t="s">
        <v>647</v>
      </c>
      <c r="Q230" s="2" t="s">
        <v>648</v>
      </c>
      <c r="R230" s="2"/>
    </row>
    <row r="231" spans="1:18">
      <c r="A231" s="2" t="s">
        <v>649</v>
      </c>
      <c r="B231" s="2" t="s">
        <v>650</v>
      </c>
      <c r="C231" s="2" t="s">
        <v>546</v>
      </c>
      <c r="D231" s="2">
        <v>0</v>
      </c>
      <c r="E231" s="2">
        <v>1000000</v>
      </c>
      <c r="F231" s="3">
        <f>IF(COUNT(D231,E231)=2,D231*E231,NA())</f>
        <v>0.0</v>
      </c>
      <c r="G231" s="2" t="s">
        <v>56</v>
      </c>
      <c r="H231" s="2" t="s">
        <v>57</v>
      </c>
      <c r="I231" s="2" t="s">
        <v>58</v>
      </c>
      <c r="J231" s="2" t="s">
        <v>59</v>
      </c>
      <c r="K231" s="2" t="s">
        <v>242</v>
      </c>
      <c r="L231" s="2" t="s">
        <v>60</v>
      </c>
      <c r="M231" s="2" t="s">
        <v>243</v>
      </c>
      <c r="N231" s="2" t="s">
        <v>62</v>
      </c>
      <c r="O231" s="2" t="s">
        <v>11</v>
      </c>
      <c r="P231" s="2"/>
      <c r="Q231" s="2" t="s">
        <v>651</v>
      </c>
      <c r="R231" s="2"/>
    </row>
    <row r="232" spans="1:18">
      <c r="A232" s="2" t="s">
        <v>652</v>
      </c>
      <c r="B232" s="2" t="s">
        <v>653</v>
      </c>
      <c r="C232" s="2" t="s">
        <v>654</v>
      </c>
      <c r="D232" s="2">
        <v>10085</v>
      </c>
      <c r="E232" s="2">
        <v>1000000</v>
      </c>
      <c r="F232" s="3">
        <f>IF(COUNT(D232,E232)=2,D232*E232,NA())</f>
        <v>10085000000.0</v>
      </c>
      <c r="G232" s="2" t="s">
        <v>56</v>
      </c>
      <c r="H232" s="2" t="s">
        <v>57</v>
      </c>
      <c r="I232" s="2" t="s">
        <v>58</v>
      </c>
      <c r="J232" s="2" t="s">
        <v>59</v>
      </c>
      <c r="K232" s="2"/>
      <c r="L232" s="2" t="s">
        <v>521</v>
      </c>
      <c r="M232" s="2" t="s">
        <v>61</v>
      </c>
      <c r="N232" s="2" t="s">
        <v>62</v>
      </c>
      <c r="O232" s="2" t="s">
        <v>11</v>
      </c>
      <c r="P232" s="2"/>
      <c r="Q232" s="2" t="s">
        <v>655</v>
      </c>
      <c r="R232" s="2"/>
    </row>
    <row r="233" spans="1:18">
      <c r="A233" s="2" t="s">
        <v>656</v>
      </c>
      <c r="B233" s="2" t="s">
        <v>657</v>
      </c>
      <c r="C233" s="2" t="s">
        <v>654</v>
      </c>
      <c r="D233" s="2">
        <v>5127</v>
      </c>
      <c r="E233" s="2">
        <v>1000000</v>
      </c>
      <c r="F233" s="3">
        <f>IF(COUNT(D233,E233)=2,D233*E233,NA())</f>
        <v>5127000000.0</v>
      </c>
      <c r="G233" s="2" t="s">
        <v>56</v>
      </c>
      <c r="H233" s="2" t="s">
        <v>57</v>
      </c>
      <c r="I233" s="2" t="s">
        <v>58</v>
      </c>
      <c r="J233" s="2" t="s">
        <v>59</v>
      </c>
      <c r="K233" s="2"/>
      <c r="L233" s="2" t="s">
        <v>66</v>
      </c>
      <c r="M233" s="2" t="s">
        <v>61</v>
      </c>
      <c r="N233" s="2" t="s">
        <v>62</v>
      </c>
      <c r="O233" s="2" t="s">
        <v>11</v>
      </c>
      <c r="P233" s="2"/>
      <c r="Q233" s="2" t="s">
        <v>656</v>
      </c>
      <c r="R233" s="2"/>
    </row>
    <row r="234" spans="1:18">
      <c r="A234" s="2" t="s">
        <v>658</v>
      </c>
      <c r="B234" s="2" t="s">
        <v>659</v>
      </c>
      <c r="C234" s="2" t="s">
        <v>660</v>
      </c>
      <c r="D234" s="2">
        <v>6568</v>
      </c>
      <c r="E234" s="2">
        <v>1000000</v>
      </c>
      <c r="F234" s="3">
        <f>IF(COUNT(D234,E234)=2,D234*E234,NA())</f>
        <v>6568000000.0</v>
      </c>
      <c r="G234" s="2" t="s">
        <v>56</v>
      </c>
      <c r="H234" s="2" t="s">
        <v>57</v>
      </c>
      <c r="I234" s="2" t="s">
        <v>58</v>
      </c>
      <c r="J234" s="2" t="s">
        <v>59</v>
      </c>
      <c r="K234" s="2" t="s">
        <v>247</v>
      </c>
      <c r="L234" s="2" t="s">
        <v>66</v>
      </c>
      <c r="M234" s="2" t="s">
        <v>243</v>
      </c>
      <c r="N234" s="2" t="s">
        <v>62</v>
      </c>
      <c r="O234" s="2" t="s">
        <v>11</v>
      </c>
      <c r="P234" s="2"/>
      <c r="Q234" s="2" t="s">
        <v>661</v>
      </c>
      <c r="R234" s="2"/>
    </row>
    <row r="235" spans="1:18">
      <c r="A235" s="2" t="s">
        <v>662</v>
      </c>
      <c r="B235" s="2" t="s">
        <v>663</v>
      </c>
      <c r="C235" s="2" t="s">
        <v>660</v>
      </c>
      <c r="D235" s="2">
        <v>-3879</v>
      </c>
      <c r="E235" s="2">
        <v>1000000</v>
      </c>
      <c r="F235" s="3">
        <f>IF(COUNT(D235,E235)=2,D235*E235,NA())</f>
        <v>-3879000000.0</v>
      </c>
      <c r="G235" s="2" t="s">
        <v>56</v>
      </c>
      <c r="H235" s="2" t="s">
        <v>57</v>
      </c>
      <c r="I235" s="2" t="s">
        <v>58</v>
      </c>
      <c r="J235" s="2" t="s">
        <v>59</v>
      </c>
      <c r="K235" s="2" t="s">
        <v>247</v>
      </c>
      <c r="L235" s="2" t="s">
        <v>66</v>
      </c>
      <c r="M235" s="2" t="s">
        <v>243</v>
      </c>
      <c r="N235" s="2" t="s">
        <v>62</v>
      </c>
      <c r="O235" s="2" t="s">
        <v>11</v>
      </c>
      <c r="P235" s="2"/>
      <c r="Q235" s="2" t="s">
        <v>664</v>
      </c>
      <c r="R235" s="2"/>
    </row>
    <row r="236" spans="1:18">
      <c r="A236" s="2" t="s">
        <v>665</v>
      </c>
      <c r="B236" s="2" t="s">
        <v>666</v>
      </c>
      <c r="C236" s="2" t="s">
        <v>660</v>
      </c>
      <c r="D236" s="2">
        <v>-24</v>
      </c>
      <c r="E236" s="2">
        <v>1000000</v>
      </c>
      <c r="F236" s="3">
        <f>IF(COUNT(D236,E236)=2,D236*E236,NA())</f>
        <v>-24000000.0</v>
      </c>
      <c r="G236" s="2" t="s">
        <v>56</v>
      </c>
      <c r="H236" s="2" t="s">
        <v>57</v>
      </c>
      <c r="I236" s="2" t="s">
        <v>58</v>
      </c>
      <c r="J236" s="2" t="s">
        <v>59</v>
      </c>
      <c r="K236" s="2" t="s">
        <v>247</v>
      </c>
      <c r="L236" s="2" t="s">
        <v>66</v>
      </c>
      <c r="M236" s="2" t="s">
        <v>243</v>
      </c>
      <c r="N236" s="2" t="s">
        <v>62</v>
      </c>
      <c r="O236" s="2" t="s">
        <v>11</v>
      </c>
      <c r="P236" s="2"/>
      <c r="Q236" s="2" t="s">
        <v>667</v>
      </c>
      <c r="R236" s="2"/>
    </row>
    <row r="237" spans="1:18">
      <c r="A237" s="2" t="s">
        <v>668</v>
      </c>
      <c r="B237" s="2" t="s">
        <v>669</v>
      </c>
      <c r="C237" s="2" t="s">
        <v>660</v>
      </c>
      <c r="D237" s="2">
        <v>-3903</v>
      </c>
      <c r="E237" s="2">
        <v>1000000</v>
      </c>
      <c r="F237" s="3">
        <f>IF(COUNT(D237,E237)=2,D237*E237,NA())</f>
        <v>-3903000000.0</v>
      </c>
      <c r="G237" s="2" t="s">
        <v>56</v>
      </c>
      <c r="H237" s="2" t="s">
        <v>57</v>
      </c>
      <c r="I237" s="2" t="s">
        <v>58</v>
      </c>
      <c r="J237" s="2" t="s">
        <v>59</v>
      </c>
      <c r="K237" s="2" t="s">
        <v>247</v>
      </c>
      <c r="L237" s="2" t="s">
        <v>66</v>
      </c>
      <c r="M237" s="2" t="s">
        <v>243</v>
      </c>
      <c r="N237" s="2" t="s">
        <v>62</v>
      </c>
      <c r="O237" s="2" t="s">
        <v>11</v>
      </c>
      <c r="P237" s="2"/>
      <c r="Q237" s="2" t="s">
        <v>670</v>
      </c>
      <c r="R237" s="2"/>
    </row>
    <row r="238" spans="1:18">
      <c r="A238" s="2" t="s">
        <v>671</v>
      </c>
      <c r="B238" s="2" t="s">
        <v>672</v>
      </c>
      <c r="C238" s="2" t="s">
        <v>673</v>
      </c>
      <c r="D238" s="2">
        <v>148</v>
      </c>
      <c r="E238" s="2">
        <v>1000000</v>
      </c>
      <c r="F238" s="3">
        <f>IF(COUNT(D238,E238)=2,D238*E238,NA())</f>
        <v>148000000.0</v>
      </c>
      <c r="G238" s="2" t="s">
        <v>56</v>
      </c>
      <c r="H238" s="2" t="s">
        <v>57</v>
      </c>
      <c r="I238" s="2" t="s">
        <v>58</v>
      </c>
      <c r="J238" s="2" t="s">
        <v>59</v>
      </c>
      <c r="K238" s="2" t="s">
        <v>247</v>
      </c>
      <c r="L238" s="2" t="s">
        <v>66</v>
      </c>
      <c r="M238" s="2" t="s">
        <v>243</v>
      </c>
      <c r="N238" s="2" t="s">
        <v>62</v>
      </c>
      <c r="O238" s="2" t="s">
        <v>11</v>
      </c>
      <c r="P238" s="2"/>
      <c r="Q238" s="2" t="s">
        <v>674</v>
      </c>
      <c r="R238" s="2"/>
    </row>
    <row r="239" spans="1:18">
      <c r="A239" s="2" t="s">
        <v>675</v>
      </c>
      <c r="B239" s="2" t="s">
        <v>676</v>
      </c>
      <c r="C239" s="2" t="s">
        <v>673</v>
      </c>
      <c r="D239" s="2">
        <v>106</v>
      </c>
      <c r="E239" s="2">
        <v>1000000</v>
      </c>
      <c r="F239" s="3">
        <f>IF(COUNT(D239,E239)=2,D239*E239,NA())</f>
        <v>106000000.0</v>
      </c>
      <c r="G239" s="2" t="s">
        <v>56</v>
      </c>
      <c r="H239" s="2" t="s">
        <v>57</v>
      </c>
      <c r="I239" s="2" t="s">
        <v>58</v>
      </c>
      <c r="J239" s="2" t="s">
        <v>59</v>
      </c>
      <c r="K239" s="2" t="s">
        <v>247</v>
      </c>
      <c r="L239" s="2" t="s">
        <v>66</v>
      </c>
      <c r="M239" s="2" t="s">
        <v>243</v>
      </c>
      <c r="N239" s="2" t="s">
        <v>62</v>
      </c>
      <c r="O239" s="2" t="s">
        <v>11</v>
      </c>
      <c r="P239" s="2"/>
      <c r="Q239" s="2" t="s">
        <v>677</v>
      </c>
      <c r="R239" s="2"/>
    </row>
    <row r="240" spans="1:18">
      <c r="A240" s="2" t="s">
        <v>678</v>
      </c>
      <c r="B240" s="2" t="s">
        <v>679</v>
      </c>
      <c r="C240" s="2" t="s">
        <v>680</v>
      </c>
      <c r="D240" s="2">
        <v>-235</v>
      </c>
      <c r="E240" s="2">
        <v>1000000</v>
      </c>
      <c r="F240" s="3">
        <f>IF(COUNT(D240,E240)=2,D240*E240,NA())</f>
        <v>-235000000.0</v>
      </c>
      <c r="G240" s="2" t="s">
        <v>56</v>
      </c>
      <c r="H240" s="2" t="s">
        <v>57</v>
      </c>
      <c r="I240" s="2" t="s">
        <v>58</v>
      </c>
      <c r="J240" s="2" t="s">
        <v>59</v>
      </c>
      <c r="K240" s="2" t="s">
        <v>242</v>
      </c>
      <c r="L240" s="2" t="s">
        <v>60</v>
      </c>
      <c r="M240" s="2" t="s">
        <v>243</v>
      </c>
      <c r="N240" s="2" t="s">
        <v>62</v>
      </c>
      <c r="O240" s="2" t="s">
        <v>11</v>
      </c>
      <c r="P240" s="2"/>
      <c r="Q240" s="2" t="s">
        <v>681</v>
      </c>
      <c r="R240" s="2"/>
    </row>
    <row r="241" spans="1:18">
      <c r="A241" s="2" t="s">
        <v>682</v>
      </c>
      <c r="B241" s="2" t="s">
        <v>683</v>
      </c>
      <c r="C241" s="2" t="s">
        <v>680</v>
      </c>
      <c r="D241" s="2">
        <v>-248</v>
      </c>
      <c r="E241" s="2">
        <v>1000000</v>
      </c>
      <c r="F241" s="3">
        <f>IF(COUNT(D241,E241)=2,D241*E241,NA())</f>
        <v>-248000000.0</v>
      </c>
      <c r="G241" s="2" t="s">
        <v>56</v>
      </c>
      <c r="H241" s="2" t="s">
        <v>57</v>
      </c>
      <c r="I241" s="2" t="s">
        <v>58</v>
      </c>
      <c r="J241" s="2" t="s">
        <v>59</v>
      </c>
      <c r="K241" s="2" t="s">
        <v>247</v>
      </c>
      <c r="L241" s="2" t="s">
        <v>66</v>
      </c>
      <c r="M241" s="2" t="s">
        <v>243</v>
      </c>
      <c r="N241" s="2" t="s">
        <v>67</v>
      </c>
      <c r="O241" s="2" t="s">
        <v>11</v>
      </c>
      <c r="P241" s="2" t="s">
        <v>68</v>
      </c>
      <c r="Q241" s="2" t="s">
        <v>681</v>
      </c>
      <c r="R241" s="2"/>
    </row>
    <row r="242" spans="1:18">
      <c r="A242" s="2" t="s">
        <v>684</v>
      </c>
      <c r="B242" s="2" t="s">
        <v>685</v>
      </c>
      <c r="C242" s="2" t="s">
        <v>680</v>
      </c>
      <c r="D242" s="2">
        <v>232</v>
      </c>
      <c r="E242" s="2">
        <v>1000000</v>
      </c>
      <c r="F242" s="3">
        <f>IF(COUNT(D242,E242)=2,D242*E242,NA())</f>
        <v>232000000.0</v>
      </c>
      <c r="G242" s="2" t="s">
        <v>56</v>
      </c>
      <c r="H242" s="2" t="s">
        <v>57</v>
      </c>
      <c r="I242" s="2" t="s">
        <v>58</v>
      </c>
      <c r="J242" s="2" t="s">
        <v>59</v>
      </c>
      <c r="K242" s="2" t="s">
        <v>242</v>
      </c>
      <c r="L242" s="2" t="s">
        <v>60</v>
      </c>
      <c r="M242" s="2" t="s">
        <v>243</v>
      </c>
      <c r="N242" s="2" t="s">
        <v>62</v>
      </c>
      <c r="O242" s="2" t="s">
        <v>11</v>
      </c>
      <c r="P242" s="2"/>
      <c r="Q242" s="2" t="s">
        <v>686</v>
      </c>
      <c r="R242" s="2"/>
    </row>
    <row r="243" spans="1:18">
      <c r="A243" s="2" t="s">
        <v>687</v>
      </c>
      <c r="B243" s="2" t="s">
        <v>688</v>
      </c>
      <c r="C243" s="2" t="s">
        <v>680</v>
      </c>
      <c r="D243" s="2">
        <v>246</v>
      </c>
      <c r="E243" s="2">
        <v>1000000</v>
      </c>
      <c r="F243" s="3">
        <f>IF(COUNT(D243,E243)=2,D243*E243,NA())</f>
        <v>246000000.0</v>
      </c>
      <c r="G243" s="2" t="s">
        <v>56</v>
      </c>
      <c r="H243" s="2" t="s">
        <v>57</v>
      </c>
      <c r="I243" s="2" t="s">
        <v>58</v>
      </c>
      <c r="J243" s="2" t="s">
        <v>59</v>
      </c>
      <c r="K243" s="2" t="s">
        <v>247</v>
      </c>
      <c r="L243" s="2" t="s">
        <v>66</v>
      </c>
      <c r="M243" s="2" t="s">
        <v>243</v>
      </c>
      <c r="N243" s="2" t="s">
        <v>67</v>
      </c>
      <c r="O243" s="2" t="s">
        <v>11</v>
      </c>
      <c r="P243" s="2" t="s">
        <v>68</v>
      </c>
      <c r="Q243" s="2" t="s">
        <v>686</v>
      </c>
      <c r="R243" s="2"/>
    </row>
    <row r="244" spans="1:18">
      <c r="A244" s="2" t="s">
        <v>689</v>
      </c>
      <c r="B244" s="2" t="s">
        <v>690</v>
      </c>
      <c r="C244" s="2" t="s">
        <v>680</v>
      </c>
      <c r="D244" s="2">
        <v>0</v>
      </c>
      <c r="E244" s="2">
        <v>1000000</v>
      </c>
      <c r="F244" s="3">
        <f>IF(COUNT(D244,E244)=2,D244*E244,NA())</f>
        <v>0.0</v>
      </c>
      <c r="G244" s="2" t="s">
        <v>56</v>
      </c>
      <c r="H244" s="2" t="s">
        <v>57</v>
      </c>
      <c r="I244" s="2" t="s">
        <v>58</v>
      </c>
      <c r="J244" s="2" t="s">
        <v>59</v>
      </c>
      <c r="K244" s="2" t="s">
        <v>242</v>
      </c>
      <c r="L244" s="2" t="s">
        <v>60</v>
      </c>
      <c r="M244" s="2" t="s">
        <v>243</v>
      </c>
      <c r="N244" s="2" t="s">
        <v>62</v>
      </c>
      <c r="O244" s="2" t="s">
        <v>11</v>
      </c>
      <c r="P244" s="2"/>
      <c r="Q244" s="2" t="s">
        <v>691</v>
      </c>
      <c r="R244" s="2"/>
    </row>
    <row r="245" spans="1:18">
      <c r="A245" s="2" t="s">
        <v>692</v>
      </c>
      <c r="B245" s="2" t="s">
        <v>693</v>
      </c>
      <c r="C245" s="2" t="s">
        <v>680</v>
      </c>
      <c r="D245" s="2">
        <v>-1</v>
      </c>
      <c r="E245" s="2">
        <v>1000000</v>
      </c>
      <c r="F245" s="3">
        <f>IF(COUNT(D245,E245)=2,D245*E245,NA())</f>
        <v>-1000000.0</v>
      </c>
      <c r="G245" s="2" t="s">
        <v>56</v>
      </c>
      <c r="H245" s="2" t="s">
        <v>57</v>
      </c>
      <c r="I245" s="2" t="s">
        <v>58</v>
      </c>
      <c r="J245" s="2" t="s">
        <v>59</v>
      </c>
      <c r="K245" s="2" t="s">
        <v>247</v>
      </c>
      <c r="L245" s="2" t="s">
        <v>66</v>
      </c>
      <c r="M245" s="2" t="s">
        <v>243</v>
      </c>
      <c r="N245" s="2" t="s">
        <v>67</v>
      </c>
      <c r="O245" s="2" t="s">
        <v>11</v>
      </c>
      <c r="P245" s="2" t="s">
        <v>68</v>
      </c>
      <c r="Q245" s="2" t="s">
        <v>691</v>
      </c>
      <c r="R245" s="2"/>
    </row>
    <row r="246" spans="1:18">
      <c r="A246" s="2" t="s">
        <v>694</v>
      </c>
      <c r="B246" s="2" t="s">
        <v>695</v>
      </c>
      <c r="C246" s="2" t="s">
        <v>680</v>
      </c>
      <c r="D246" s="2">
        <v>-3</v>
      </c>
      <c r="E246" s="2">
        <v>1000000</v>
      </c>
      <c r="F246" s="3">
        <f>IF(COUNT(D246,E246)=2,D246*E246,NA())</f>
        <v>-3000000.0</v>
      </c>
      <c r="G246" s="2" t="s">
        <v>56</v>
      </c>
      <c r="H246" s="2" t="s">
        <v>57</v>
      </c>
      <c r="I246" s="2" t="s">
        <v>58</v>
      </c>
      <c r="J246" s="2" t="s">
        <v>59</v>
      </c>
      <c r="K246" s="2" t="s">
        <v>242</v>
      </c>
      <c r="L246" s="2" t="s">
        <v>60</v>
      </c>
      <c r="M246" s="2" t="s">
        <v>243</v>
      </c>
      <c r="N246" s="2" t="s">
        <v>62</v>
      </c>
      <c r="O246" s="2" t="s">
        <v>11</v>
      </c>
      <c r="P246" s="2"/>
      <c r="Q246" s="2" t="s">
        <v>696</v>
      </c>
      <c r="R246" s="2"/>
    </row>
    <row r="247" spans="1:18">
      <c r="A247" s="2" t="s">
        <v>697</v>
      </c>
      <c r="B247" s="2" t="s">
        <v>698</v>
      </c>
      <c r="C247" s="2" t="s">
        <v>680</v>
      </c>
      <c r="D247" s="2">
        <v>-4</v>
      </c>
      <c r="E247" s="2">
        <v>1000000</v>
      </c>
      <c r="F247" s="3">
        <f>IF(COUNT(D247,E247)=2,D247*E247,NA())</f>
        <v>-4000000.0</v>
      </c>
      <c r="G247" s="2" t="s">
        <v>56</v>
      </c>
      <c r="H247" s="2" t="s">
        <v>57</v>
      </c>
      <c r="I247" s="2" t="s">
        <v>58</v>
      </c>
      <c r="J247" s="2" t="s">
        <v>59</v>
      </c>
      <c r="K247" s="2" t="s">
        <v>247</v>
      </c>
      <c r="L247" s="2" t="s">
        <v>66</v>
      </c>
      <c r="M247" s="2" t="s">
        <v>243</v>
      </c>
      <c r="N247" s="2" t="s">
        <v>67</v>
      </c>
      <c r="O247" s="2" t="s">
        <v>11</v>
      </c>
      <c r="P247" s="2" t="s">
        <v>68</v>
      </c>
      <c r="Q247" s="2" t="s">
        <v>696</v>
      </c>
      <c r="R247" s="2"/>
    </row>
    <row r="248" spans="1:18">
      <c r="A248" s="2" t="s">
        <v>699</v>
      </c>
      <c r="B248" s="2" t="s">
        <v>700</v>
      </c>
      <c r="C248" s="2" t="s">
        <v>680</v>
      </c>
      <c r="D248" s="2">
        <v>-10</v>
      </c>
      <c r="E248" s="2">
        <v>1000000</v>
      </c>
      <c r="F248" s="3">
        <f>IF(COUNT(D248,E248)=2,D248*E248,NA())</f>
        <v>-10000000.0</v>
      </c>
      <c r="G248" s="2" t="s">
        <v>56</v>
      </c>
      <c r="H248" s="2" t="s">
        <v>57</v>
      </c>
      <c r="I248" s="2" t="s">
        <v>58</v>
      </c>
      <c r="J248" s="2" t="s">
        <v>59</v>
      </c>
      <c r="K248" s="2" t="s">
        <v>242</v>
      </c>
      <c r="L248" s="2" t="s">
        <v>60</v>
      </c>
      <c r="M248" s="2" t="s">
        <v>243</v>
      </c>
      <c r="N248" s="2" t="s">
        <v>62</v>
      </c>
      <c r="O248" s="2" t="s">
        <v>11</v>
      </c>
      <c r="P248" s="2"/>
      <c r="Q248" s="2" t="s">
        <v>701</v>
      </c>
      <c r="R248" s="2"/>
    </row>
    <row r="249" spans="1:18">
      <c r="A249" s="2" t="s">
        <v>702</v>
      </c>
      <c r="B249" s="2" t="s">
        <v>703</v>
      </c>
      <c r="C249" s="2" t="s">
        <v>680</v>
      </c>
      <c r="D249" s="2">
        <v>-11</v>
      </c>
      <c r="E249" s="2">
        <v>1000000</v>
      </c>
      <c r="F249" s="3">
        <f>IF(COUNT(D249,E249)=2,D249*E249,NA())</f>
        <v>-11000000.0</v>
      </c>
      <c r="G249" s="2" t="s">
        <v>56</v>
      </c>
      <c r="H249" s="2" t="s">
        <v>57</v>
      </c>
      <c r="I249" s="2" t="s">
        <v>58</v>
      </c>
      <c r="J249" s="2" t="s">
        <v>59</v>
      </c>
      <c r="K249" s="2" t="s">
        <v>247</v>
      </c>
      <c r="L249" s="2" t="s">
        <v>66</v>
      </c>
      <c r="M249" s="2" t="s">
        <v>243</v>
      </c>
      <c r="N249" s="2" t="s">
        <v>67</v>
      </c>
      <c r="O249" s="2" t="s">
        <v>11</v>
      </c>
      <c r="P249" s="2" t="s">
        <v>68</v>
      </c>
      <c r="Q249" s="2" t="s">
        <v>701</v>
      </c>
      <c r="R249" s="2"/>
    </row>
    <row r="250" spans="1:18">
      <c r="A250" s="2" t="s">
        <v>704</v>
      </c>
      <c r="B250" s="2" t="s">
        <v>705</v>
      </c>
      <c r="C250" s="2" t="s">
        <v>706</v>
      </c>
      <c r="D250" s="2">
        <v>5</v>
      </c>
      <c r="E250" s="2">
        <v>1000000</v>
      </c>
      <c r="F250" s="3">
        <f>IF(COUNT(D250,E250)=2,D250*E250,NA())</f>
        <v>5000000.0</v>
      </c>
      <c r="G250" s="2" t="s">
        <v>56</v>
      </c>
      <c r="H250" s="2" t="s">
        <v>57</v>
      </c>
      <c r="I250" s="2" t="s">
        <v>58</v>
      </c>
      <c r="J250" s="2" t="s">
        <v>59</v>
      </c>
      <c r="K250" s="2"/>
      <c r="L250" s="2" t="s">
        <v>60</v>
      </c>
      <c r="M250" s="2" t="s">
        <v>61</v>
      </c>
      <c r="N250" s="2" t="s">
        <v>62</v>
      </c>
      <c r="O250" s="2" t="s">
        <v>11</v>
      </c>
      <c r="P250" s="2"/>
      <c r="Q250" s="2" t="s">
        <v>707</v>
      </c>
      <c r="R250" s="2"/>
    </row>
    <row r="251" spans="1:18">
      <c r="A251" s="2" t="s">
        <v>708</v>
      </c>
      <c r="B251" s="2" t="s">
        <v>709</v>
      </c>
      <c r="C251" s="2" t="s">
        <v>706</v>
      </c>
      <c r="D251" s="2">
        <v>5</v>
      </c>
      <c r="E251" s="2">
        <v>1000000</v>
      </c>
      <c r="F251" s="3">
        <f>IF(COUNT(D251,E251)=2,D251*E251,NA())</f>
        <v>5000000.0</v>
      </c>
      <c r="G251" s="2" t="s">
        <v>56</v>
      </c>
      <c r="H251" s="2" t="s">
        <v>57</v>
      </c>
      <c r="I251" s="2" t="s">
        <v>58</v>
      </c>
      <c r="J251" s="2" t="s">
        <v>59</v>
      </c>
      <c r="K251" s="2"/>
      <c r="L251" s="2" t="s">
        <v>66</v>
      </c>
      <c r="M251" s="2" t="s">
        <v>61</v>
      </c>
      <c r="N251" s="2" t="s">
        <v>67</v>
      </c>
      <c r="O251" s="2" t="s">
        <v>11</v>
      </c>
      <c r="P251" s="2" t="s">
        <v>68</v>
      </c>
      <c r="Q251" s="2" t="s">
        <v>707</v>
      </c>
      <c r="R251" s="2"/>
    </row>
    <row r="252" spans="1:18">
      <c r="A252" s="2" t="s">
        <v>710</v>
      </c>
      <c r="B252" s="2" t="s">
        <v>711</v>
      </c>
      <c r="C252" s="2" t="s">
        <v>706</v>
      </c>
      <c r="D252" s="2">
        <v>33</v>
      </c>
      <c r="E252" s="2">
        <v>1000000</v>
      </c>
      <c r="F252" s="3">
        <f>IF(COUNT(D252,E252)=2,D252*E252,NA())</f>
        <v>33000000.0</v>
      </c>
      <c r="G252" s="2" t="s">
        <v>56</v>
      </c>
      <c r="H252" s="2" t="s">
        <v>57</v>
      </c>
      <c r="I252" s="2" t="s">
        <v>58</v>
      </c>
      <c r="J252" s="2" t="s">
        <v>59</v>
      </c>
      <c r="K252" s="2"/>
      <c r="L252" s="2" t="s">
        <v>60</v>
      </c>
      <c r="M252" s="2" t="s">
        <v>61</v>
      </c>
      <c r="N252" s="2" t="s">
        <v>62</v>
      </c>
      <c r="O252" s="2" t="s">
        <v>11</v>
      </c>
      <c r="P252" s="2"/>
      <c r="Q252" s="2" t="s">
        <v>712</v>
      </c>
      <c r="R252" s="2"/>
    </row>
    <row r="253" spans="1:18">
      <c r="A253" s="2" t="s">
        <v>713</v>
      </c>
      <c r="B253" s="2" t="s">
        <v>714</v>
      </c>
      <c r="C253" s="2" t="s">
        <v>706</v>
      </c>
      <c r="D253" s="2">
        <v>19</v>
      </c>
      <c r="E253" s="2">
        <v>1000000</v>
      </c>
      <c r="F253" s="3">
        <f>IF(COUNT(D253,E253)=2,D253*E253,NA())</f>
        <v>19000000.0</v>
      </c>
      <c r="G253" s="2" t="s">
        <v>56</v>
      </c>
      <c r="H253" s="2" t="s">
        <v>57</v>
      </c>
      <c r="I253" s="2" t="s">
        <v>58</v>
      </c>
      <c r="J253" s="2" t="s">
        <v>59</v>
      </c>
      <c r="K253" s="2"/>
      <c r="L253" s="2" t="s">
        <v>66</v>
      </c>
      <c r="M253" s="2" t="s">
        <v>61</v>
      </c>
      <c r="N253" s="2" t="s">
        <v>67</v>
      </c>
      <c r="O253" s="2" t="s">
        <v>11</v>
      </c>
      <c r="P253" s="2" t="s">
        <v>68</v>
      </c>
      <c r="Q253" s="2" t="s">
        <v>712</v>
      </c>
      <c r="R253" s="2"/>
    </row>
    <row r="254" spans="1:18">
      <c r="A254" s="2" t="s">
        <v>715</v>
      </c>
      <c r="B254" s="2" t="s">
        <v>716</v>
      </c>
      <c r="C254" s="2" t="s">
        <v>706</v>
      </c>
      <c r="D254" s="2">
        <v>1</v>
      </c>
      <c r="E254" s="2">
        <v>1000000</v>
      </c>
      <c r="F254" s="3">
        <f>IF(COUNT(D254,E254)=2,D254*E254,NA())</f>
        <v>1000000.0</v>
      </c>
      <c r="G254" s="2" t="s">
        <v>56</v>
      </c>
      <c r="H254" s="2" t="s">
        <v>57</v>
      </c>
      <c r="I254" s="2" t="s">
        <v>58</v>
      </c>
      <c r="J254" s="2" t="s">
        <v>59</v>
      </c>
      <c r="K254" s="2"/>
      <c r="L254" s="2" t="s">
        <v>60</v>
      </c>
      <c r="M254" s="2" t="s">
        <v>61</v>
      </c>
      <c r="N254" s="2" t="s">
        <v>62</v>
      </c>
      <c r="O254" s="2" t="s">
        <v>11</v>
      </c>
      <c r="P254" s="2"/>
      <c r="Q254" s="2" t="s">
        <v>717</v>
      </c>
      <c r="R254" s="2"/>
    </row>
    <row r="255" spans="1:18">
      <c r="A255" s="2" t="s">
        <v>718</v>
      </c>
      <c r="B255" s="2" t="s">
        <v>719</v>
      </c>
      <c r="C255" s="2" t="s">
        <v>706</v>
      </c>
      <c r="D255" s="2">
        <v>1</v>
      </c>
      <c r="E255" s="2">
        <v>1000000</v>
      </c>
      <c r="F255" s="3">
        <f>IF(COUNT(D255,E255)=2,D255*E255,NA())</f>
        <v>1000000.0</v>
      </c>
      <c r="G255" s="2" t="s">
        <v>56</v>
      </c>
      <c r="H255" s="2" t="s">
        <v>57</v>
      </c>
      <c r="I255" s="2" t="s">
        <v>58</v>
      </c>
      <c r="J255" s="2" t="s">
        <v>59</v>
      </c>
      <c r="K255" s="2"/>
      <c r="L255" s="2" t="s">
        <v>66</v>
      </c>
      <c r="M255" s="2" t="s">
        <v>61</v>
      </c>
      <c r="N255" s="2" t="s">
        <v>67</v>
      </c>
      <c r="O255" s="2" t="s">
        <v>11</v>
      </c>
      <c r="P255" s="2" t="s">
        <v>68</v>
      </c>
      <c r="Q255" s="2" t="s">
        <v>717</v>
      </c>
      <c r="R255" s="2"/>
    </row>
    <row r="256" spans="1:18">
      <c r="A256" s="2" t="s">
        <v>720</v>
      </c>
      <c r="B256" s="2" t="s">
        <v>721</v>
      </c>
      <c r="C256" s="2" t="s">
        <v>706</v>
      </c>
      <c r="D256" s="2">
        <v>274</v>
      </c>
      <c r="E256" s="2">
        <v>1000000</v>
      </c>
      <c r="F256" s="3">
        <f>IF(COUNT(D256,E256)=2,D256*E256,NA())</f>
        <v>274000000.0</v>
      </c>
      <c r="G256" s="2" t="s">
        <v>56</v>
      </c>
      <c r="H256" s="2" t="s">
        <v>57</v>
      </c>
      <c r="I256" s="2" t="s">
        <v>58</v>
      </c>
      <c r="J256" s="2" t="s">
        <v>59</v>
      </c>
      <c r="K256" s="2"/>
      <c r="L256" s="2" t="s">
        <v>60</v>
      </c>
      <c r="M256" s="2" t="s">
        <v>61</v>
      </c>
      <c r="N256" s="2" t="s">
        <v>62</v>
      </c>
      <c r="O256" s="2" t="s">
        <v>11</v>
      </c>
      <c r="P256" s="2"/>
      <c r="Q256" s="2" t="s">
        <v>722</v>
      </c>
      <c r="R256" s="2"/>
    </row>
    <row r="257" spans="1:18">
      <c r="A257" s="2" t="s">
        <v>723</v>
      </c>
      <c r="B257" s="2" t="s">
        <v>724</v>
      </c>
      <c r="C257" s="2" t="s">
        <v>706</v>
      </c>
      <c r="D257" s="2">
        <v>275</v>
      </c>
      <c r="E257" s="2">
        <v>1000000</v>
      </c>
      <c r="F257" s="3">
        <f>IF(COUNT(D257,E257)=2,D257*E257,NA())</f>
        <v>275000000.0</v>
      </c>
      <c r="G257" s="2" t="s">
        <v>56</v>
      </c>
      <c r="H257" s="2" t="s">
        <v>57</v>
      </c>
      <c r="I257" s="2" t="s">
        <v>58</v>
      </c>
      <c r="J257" s="2" t="s">
        <v>59</v>
      </c>
      <c r="K257" s="2"/>
      <c r="L257" s="2" t="s">
        <v>66</v>
      </c>
      <c r="M257" s="2" t="s">
        <v>61</v>
      </c>
      <c r="N257" s="2" t="s">
        <v>67</v>
      </c>
      <c r="O257" s="2" t="s">
        <v>11</v>
      </c>
      <c r="P257" s="2" t="s">
        <v>68</v>
      </c>
      <c r="Q257" s="2" t="s">
        <v>722</v>
      </c>
      <c r="R257" s="2"/>
    </row>
    <row r="258" spans="1:18">
      <c r="A258" s="2" t="s">
        <v>725</v>
      </c>
      <c r="B258" s="2" t="s">
        <v>726</v>
      </c>
      <c r="C258" s="2" t="s">
        <v>706</v>
      </c>
      <c r="D258" s="2">
        <v>34</v>
      </c>
      <c r="E258" s="2">
        <v>1000000</v>
      </c>
      <c r="F258" s="3">
        <f>IF(COUNT(D258,E258)=2,D258*E258,NA())</f>
        <v>34000000.0</v>
      </c>
      <c r="G258" s="2" t="s">
        <v>56</v>
      </c>
      <c r="H258" s="2" t="s">
        <v>57</v>
      </c>
      <c r="I258" s="2" t="s">
        <v>58</v>
      </c>
      <c r="J258" s="2" t="s">
        <v>59</v>
      </c>
      <c r="K258" s="2"/>
      <c r="L258" s="2" t="s">
        <v>60</v>
      </c>
      <c r="M258" s="2" t="s">
        <v>61</v>
      </c>
      <c r="N258" s="2" t="s">
        <v>62</v>
      </c>
      <c r="O258" s="2" t="s">
        <v>11</v>
      </c>
      <c r="P258" s="2"/>
      <c r="Q258" s="2" t="s">
        <v>727</v>
      </c>
      <c r="R258" s="2"/>
    </row>
    <row r="259" spans="1:18">
      <c r="A259" s="2" t="s">
        <v>728</v>
      </c>
      <c r="B259" s="2" t="s">
        <v>729</v>
      </c>
      <c r="C259" s="2" t="s">
        <v>706</v>
      </c>
      <c r="D259" s="2">
        <v>20</v>
      </c>
      <c r="E259" s="2">
        <v>1000000</v>
      </c>
      <c r="F259" s="3">
        <f>IF(COUNT(D259,E259)=2,D259*E259,NA())</f>
        <v>20000000.0</v>
      </c>
      <c r="G259" s="2" t="s">
        <v>56</v>
      </c>
      <c r="H259" s="2" t="s">
        <v>57</v>
      </c>
      <c r="I259" s="2" t="s">
        <v>58</v>
      </c>
      <c r="J259" s="2" t="s">
        <v>59</v>
      </c>
      <c r="K259" s="2"/>
      <c r="L259" s="2" t="s">
        <v>66</v>
      </c>
      <c r="M259" s="2" t="s">
        <v>61</v>
      </c>
      <c r="N259" s="2" t="s">
        <v>67</v>
      </c>
      <c r="O259" s="2" t="s">
        <v>11</v>
      </c>
      <c r="P259" s="2" t="s">
        <v>68</v>
      </c>
      <c r="Q259" s="2" t="s">
        <v>727</v>
      </c>
      <c r="R259" s="2"/>
    </row>
    <row r="260" spans="1:18">
      <c r="A260" s="2" t="s">
        <v>730</v>
      </c>
      <c r="B260" s="2" t="s">
        <v>731</v>
      </c>
      <c r="C260" s="2" t="s">
        <v>732</v>
      </c>
      <c r="D260" s="2">
        <v>24337</v>
      </c>
      <c r="E260" s="2">
        <v>1000000</v>
      </c>
      <c r="F260" s="3">
        <f>IF(COUNT(D260,E260)=2,D260*E260,NA())</f>
        <v>24337000000.0</v>
      </c>
      <c r="G260" s="2" t="s">
        <v>56</v>
      </c>
      <c r="H260" s="2" t="s">
        <v>57</v>
      </c>
      <c r="I260" s="2" t="s">
        <v>58</v>
      </c>
      <c r="J260" s="2" t="s">
        <v>59</v>
      </c>
      <c r="K260" s="2"/>
      <c r="L260" s="2" t="s">
        <v>60</v>
      </c>
      <c r="M260" s="2" t="s">
        <v>61</v>
      </c>
      <c r="N260" s="2" t="s">
        <v>62</v>
      </c>
      <c r="O260" s="2" t="s">
        <v>11</v>
      </c>
      <c r="P260" s="2"/>
      <c r="Q260" s="2" t="s">
        <v>733</v>
      </c>
      <c r="R260" s="2"/>
    </row>
    <row r="261" spans="1:18">
      <c r="A261" s="2" t="s">
        <v>734</v>
      </c>
      <c r="B261" s="2" t="s">
        <v>735</v>
      </c>
      <c r="C261" s="2" t="s">
        <v>732</v>
      </c>
      <c r="D261" s="2">
        <v>1032</v>
      </c>
      <c r="E261" s="2">
        <v>1000000</v>
      </c>
      <c r="F261" s="3">
        <f>IF(COUNT(D261,E261)=2,D261*E261,NA())</f>
        <v>1032000000.0</v>
      </c>
      <c r="G261" s="2" t="s">
        <v>56</v>
      </c>
      <c r="H261" s="2" t="s">
        <v>57</v>
      </c>
      <c r="I261" s="2" t="s">
        <v>58</v>
      </c>
      <c r="J261" s="2" t="s">
        <v>59</v>
      </c>
      <c r="K261" s="2"/>
      <c r="L261" s="2" t="s">
        <v>60</v>
      </c>
      <c r="M261" s="2" t="s">
        <v>61</v>
      </c>
      <c r="N261" s="2" t="s">
        <v>62</v>
      </c>
      <c r="O261" s="2" t="s">
        <v>11</v>
      </c>
      <c r="P261" s="2"/>
      <c r="Q261" s="2" t="s">
        <v>736</v>
      </c>
      <c r="R261" s="2"/>
    </row>
    <row r="262" spans="1:18">
      <c r="A262" s="2" t="s">
        <v>737</v>
      </c>
      <c r="B262" s="2" t="s">
        <v>738</v>
      </c>
      <c r="C262" s="2" t="s">
        <v>732</v>
      </c>
      <c r="D262" s="2">
        <v>23305</v>
      </c>
      <c r="E262" s="2">
        <v>1000000</v>
      </c>
      <c r="F262" s="3">
        <f>IF(COUNT(D262,E262)=2,D262*E262,NA())</f>
        <v>23305000000.0</v>
      </c>
      <c r="G262" s="2" t="s">
        <v>56</v>
      </c>
      <c r="H262" s="2" t="s">
        <v>57</v>
      </c>
      <c r="I262" s="2" t="s">
        <v>58</v>
      </c>
      <c r="J262" s="2" t="s">
        <v>59</v>
      </c>
      <c r="K262" s="2"/>
      <c r="L262" s="2" t="s">
        <v>60</v>
      </c>
      <c r="M262" s="2" t="s">
        <v>61</v>
      </c>
      <c r="N262" s="2" t="s">
        <v>62</v>
      </c>
      <c r="O262" s="2" t="s">
        <v>11</v>
      </c>
      <c r="P262" s="2"/>
      <c r="Q262" s="2" t="s">
        <v>739</v>
      </c>
      <c r="R262" s="2"/>
    </row>
    <row r="263" spans="1:18">
      <c r="A263" s="2" t="s">
        <v>740</v>
      </c>
      <c r="B263" s="2" t="s">
        <v>741</v>
      </c>
      <c r="C263" s="2" t="s">
        <v>732</v>
      </c>
      <c r="D263" s="2">
        <v>1931</v>
      </c>
      <c r="E263" s="2">
        <v>1000000</v>
      </c>
      <c r="F263" s="3">
        <f>IF(COUNT(D263,E263)=2,D263*E263,NA())</f>
        <v>1931000000.0</v>
      </c>
      <c r="G263" s="2" t="s">
        <v>56</v>
      </c>
      <c r="H263" s="2" t="s">
        <v>57</v>
      </c>
      <c r="I263" s="2" t="s">
        <v>58</v>
      </c>
      <c r="J263" s="2" t="s">
        <v>59</v>
      </c>
      <c r="K263" s="2"/>
      <c r="L263" s="2" t="s">
        <v>60</v>
      </c>
      <c r="M263" s="2" t="s">
        <v>61</v>
      </c>
      <c r="N263" s="2" t="s">
        <v>62</v>
      </c>
      <c r="O263" s="2" t="s">
        <v>11</v>
      </c>
      <c r="P263" s="2"/>
      <c r="Q263" s="2" t="s">
        <v>742</v>
      </c>
      <c r="R263" s="2"/>
    </row>
    <row r="264" spans="1:18">
      <c r="A264" s="2" t="s">
        <v>743</v>
      </c>
      <c r="B264" s="2" t="s">
        <v>744</v>
      </c>
      <c r="C264" s="2" t="s">
        <v>732</v>
      </c>
      <c r="D264" s="2">
        <v>945</v>
      </c>
      <c r="E264" s="2">
        <v>1000000</v>
      </c>
      <c r="F264" s="3">
        <f>IF(COUNT(D264,E264)=2,D264*E264,NA())</f>
        <v>945000000.0</v>
      </c>
      <c r="G264" s="2" t="s">
        <v>56</v>
      </c>
      <c r="H264" s="2" t="s">
        <v>57</v>
      </c>
      <c r="I264" s="2" t="s">
        <v>58</v>
      </c>
      <c r="J264" s="2" t="s">
        <v>59</v>
      </c>
      <c r="K264" s="2"/>
      <c r="L264" s="2" t="s">
        <v>60</v>
      </c>
      <c r="M264" s="2" t="s">
        <v>61</v>
      </c>
      <c r="N264" s="2" t="s">
        <v>62</v>
      </c>
      <c r="O264" s="2" t="s">
        <v>11</v>
      </c>
      <c r="P264" s="2"/>
      <c r="Q264" s="2" t="s">
        <v>745</v>
      </c>
      <c r="R264" s="2"/>
    </row>
    <row r="265" spans="1:18">
      <c r="A265" s="2" t="s">
        <v>746</v>
      </c>
      <c r="B265" s="2" t="s">
        <v>747</v>
      </c>
      <c r="C265" s="2" t="s">
        <v>732</v>
      </c>
      <c r="D265" s="2">
        <v>1056</v>
      </c>
      <c r="E265" s="2">
        <v>1000000</v>
      </c>
      <c r="F265" s="3">
        <f>IF(COUNT(D265,E265)=2,D265*E265,NA())</f>
        <v>1056000000.0</v>
      </c>
      <c r="G265" s="2" t="s">
        <v>56</v>
      </c>
      <c r="H265" s="2" t="s">
        <v>57</v>
      </c>
      <c r="I265" s="2" t="s">
        <v>58</v>
      </c>
      <c r="J265" s="2" t="s">
        <v>59</v>
      </c>
      <c r="K265" s="2"/>
      <c r="L265" s="2" t="s">
        <v>60</v>
      </c>
      <c r="M265" s="2" t="s">
        <v>61</v>
      </c>
      <c r="N265" s="2" t="s">
        <v>62</v>
      </c>
      <c r="O265" s="2" t="s">
        <v>11</v>
      </c>
      <c r="P265" s="2"/>
      <c r="Q265" s="2" t="s">
        <v>748</v>
      </c>
      <c r="R265" s="2"/>
    </row>
    <row r="266" spans="1:18">
      <c r="A266" s="2" t="s">
        <v>749</v>
      </c>
      <c r="B266" s="2" t="s">
        <v>750</v>
      </c>
      <c r="C266" s="2" t="s">
        <v>732</v>
      </c>
      <c r="D266" s="2">
        <v>6015</v>
      </c>
      <c r="E266" s="2">
        <v>1000000</v>
      </c>
      <c r="F266" s="3">
        <f>IF(COUNT(D266,E266)=2,D266*E266,NA())</f>
        <v>6015000000.0</v>
      </c>
      <c r="G266" s="2" t="s">
        <v>56</v>
      </c>
      <c r="H266" s="2" t="s">
        <v>57</v>
      </c>
      <c r="I266" s="2" t="s">
        <v>58</v>
      </c>
      <c r="J266" s="2" t="s">
        <v>59</v>
      </c>
      <c r="K266" s="2"/>
      <c r="L266" s="2" t="s">
        <v>60</v>
      </c>
      <c r="M266" s="2" t="s">
        <v>61</v>
      </c>
      <c r="N266" s="2" t="s">
        <v>62</v>
      </c>
      <c r="O266" s="2" t="s">
        <v>11</v>
      </c>
      <c r="P266" s="2" t="s">
        <v>751</v>
      </c>
      <c r="Q266" s="2" t="s">
        <v>752</v>
      </c>
      <c r="R266" s="2"/>
    </row>
    <row r="267" spans="1:18">
      <c r="A267" s="2" t="s">
        <v>753</v>
      </c>
      <c r="B267" s="2" t="s">
        <v>754</v>
      </c>
      <c r="C267" s="2" t="s">
        <v>732</v>
      </c>
      <c r="D267" s="2">
        <v>748</v>
      </c>
      <c r="E267" s="2">
        <v>1000000</v>
      </c>
      <c r="F267" s="3">
        <f>IF(COUNT(D267,E267)=2,D267*E267,NA())</f>
        <v>748000000.0</v>
      </c>
      <c r="G267" s="2" t="s">
        <v>56</v>
      </c>
      <c r="H267" s="2" t="s">
        <v>57</v>
      </c>
      <c r="I267" s="2" t="s">
        <v>58</v>
      </c>
      <c r="J267" s="2" t="s">
        <v>59</v>
      </c>
      <c r="K267" s="2"/>
      <c r="L267" s="2" t="s">
        <v>60</v>
      </c>
      <c r="M267" s="2" t="s">
        <v>61</v>
      </c>
      <c r="N267" s="2" t="s">
        <v>62</v>
      </c>
      <c r="O267" s="2" t="s">
        <v>11</v>
      </c>
      <c r="P267" s="2"/>
      <c r="Q267" s="2" t="s">
        <v>755</v>
      </c>
      <c r="R267" s="2"/>
    </row>
    <row r="268" spans="1:18">
      <c r="A268" s="2" t="s">
        <v>756</v>
      </c>
      <c r="B268" s="2" t="s">
        <v>757</v>
      </c>
      <c r="C268" s="2" t="s">
        <v>732</v>
      </c>
      <c r="D268" s="2">
        <v>750</v>
      </c>
      <c r="E268" s="2">
        <v>1000000</v>
      </c>
      <c r="F268" s="3">
        <f>IF(COUNT(D268,E268)=2,D268*E268,NA())</f>
        <v>750000000.0</v>
      </c>
      <c r="G268" s="2" t="s">
        <v>56</v>
      </c>
      <c r="H268" s="2" t="s">
        <v>57</v>
      </c>
      <c r="I268" s="2" t="s">
        <v>58</v>
      </c>
      <c r="J268" s="2" t="s">
        <v>59</v>
      </c>
      <c r="K268" s="2"/>
      <c r="L268" s="2" t="s">
        <v>60</v>
      </c>
      <c r="M268" s="2" t="s">
        <v>61</v>
      </c>
      <c r="N268" s="2" t="s">
        <v>62</v>
      </c>
      <c r="O268" s="2" t="s">
        <v>11</v>
      </c>
      <c r="P268" s="2"/>
      <c r="Q268" s="2" t="s">
        <v>758</v>
      </c>
      <c r="R268" s="2"/>
    </row>
    <row r="269" spans="1:18">
      <c r="A269" s="2" t="s">
        <v>759</v>
      </c>
      <c r="B269" s="2" t="s">
        <v>760</v>
      </c>
      <c r="C269" s="2" t="s">
        <v>732</v>
      </c>
      <c r="D269" s="2">
        <v>610</v>
      </c>
      <c r="E269" s="2">
        <v>1000000</v>
      </c>
      <c r="F269" s="3">
        <f>IF(COUNT(D269,E269)=2,D269*E269,NA())</f>
        <v>610000000.0</v>
      </c>
      <c r="G269" s="2" t="s">
        <v>56</v>
      </c>
      <c r="H269" s="2" t="s">
        <v>57</v>
      </c>
      <c r="I269" s="2" t="s">
        <v>58</v>
      </c>
      <c r="J269" s="2" t="s">
        <v>59</v>
      </c>
      <c r="K269" s="2"/>
      <c r="L269" s="2" t="s">
        <v>60</v>
      </c>
      <c r="M269" s="2" t="s">
        <v>61</v>
      </c>
      <c r="N269" s="2" t="s">
        <v>62</v>
      </c>
      <c r="O269" s="2" t="s">
        <v>11</v>
      </c>
      <c r="P269" s="2"/>
      <c r="Q269" s="2" t="s">
        <v>761</v>
      </c>
      <c r="R269" s="2"/>
    </row>
    <row r="270" spans="1:18">
      <c r="A270" s="2" t="s">
        <v>762</v>
      </c>
      <c r="B270" s="2" t="s">
        <v>763</v>
      </c>
      <c r="C270" s="2" t="s">
        <v>764</v>
      </c>
      <c r="D270" s="2">
        <v>5.9</v>
      </c>
      <c r="E270" s="2">
        <v>1</v>
      </c>
      <c r="F270" s="3">
        <f>IF(COUNT(D270,E270)=2,D270*E270,NA())</f>
        <v>5.9</v>
      </c>
      <c r="G270" s="2" t="s">
        <v>765</v>
      </c>
      <c r="H270" s="2"/>
      <c r="I270" s="2" t="s">
        <v>58</v>
      </c>
      <c r="J270" s="2" t="s">
        <v>766</v>
      </c>
      <c r="K270" s="2"/>
      <c r="L270" s="2" t="s">
        <v>60</v>
      </c>
      <c r="M270" s="2" t="s">
        <v>61</v>
      </c>
      <c r="N270" s="2" t="s">
        <v>62</v>
      </c>
      <c r="O270" s="2" t="s">
        <v>767</v>
      </c>
      <c r="P270" s="2"/>
      <c r="Q270" s="2" t="s">
        <v>768</v>
      </c>
      <c r="R270" s="2" t="s">
        <v>769</v>
      </c>
    </row>
    <row r="271" spans="1:18">
      <c r="A271" s="2" t="s">
        <v>770</v>
      </c>
      <c r="B271" s="2" t="s">
        <v>771</v>
      </c>
      <c r="C271" s="2" t="s">
        <v>772</v>
      </c>
      <c r="D271" s="2">
        <v>6.5</v>
      </c>
      <c r="E271" s="2">
        <v>1</v>
      </c>
      <c r="F271" s="3">
        <f>IF(COUNT(D271,E271)=2,D271*E271,NA())</f>
        <v>6.5</v>
      </c>
      <c r="G271" s="2" t="s">
        <v>765</v>
      </c>
      <c r="H271" s="2"/>
      <c r="I271" s="2" t="s">
        <v>58</v>
      </c>
      <c r="J271" s="2" t="s">
        <v>766</v>
      </c>
      <c r="K271" s="2"/>
      <c r="L271" s="2" t="s">
        <v>60</v>
      </c>
      <c r="M271" s="2" t="s">
        <v>61</v>
      </c>
      <c r="N271" s="2" t="s">
        <v>62</v>
      </c>
      <c r="O271" s="2" t="s">
        <v>767</v>
      </c>
      <c r="P271" s="2"/>
      <c r="Q271" s="2" t="s">
        <v>773</v>
      </c>
      <c r="R271" s="2" t="s">
        <v>769</v>
      </c>
    </row>
    <row r="272" spans="1:18">
      <c r="A272" s="2" t="s">
        <v>774</v>
      </c>
      <c r="B272" s="2" t="s">
        <v>775</v>
      </c>
      <c r="C272" s="2" t="s">
        <v>764</v>
      </c>
      <c r="D272" s="2">
        <v>0.2</v>
      </c>
      <c r="E272" s="2">
        <v>1</v>
      </c>
      <c r="F272" s="3">
        <f>IF(COUNT(D272,E272)=2,D272*E272,NA())</f>
        <v>0.2</v>
      </c>
      <c r="G272" s="2" t="s">
        <v>765</v>
      </c>
      <c r="H272" s="2"/>
      <c r="I272" s="2" t="s">
        <v>58</v>
      </c>
      <c r="J272" s="2" t="s">
        <v>766</v>
      </c>
      <c r="K272" s="2"/>
      <c r="L272" s="2" t="s">
        <v>60</v>
      </c>
      <c r="M272" s="2" t="s">
        <v>61</v>
      </c>
      <c r="N272" s="2" t="s">
        <v>62</v>
      </c>
      <c r="O272" s="2" t="s">
        <v>767</v>
      </c>
      <c r="P272" s="2"/>
      <c r="Q272" s="2" t="s">
        <v>776</v>
      </c>
      <c r="R272" s="2" t="s">
        <v>769</v>
      </c>
    </row>
    <row r="273" spans="1:18">
      <c r="A273" s="2" t="s">
        <v>777</v>
      </c>
      <c r="B273" s="2" t="s">
        <v>778</v>
      </c>
      <c r="C273" s="2" t="s">
        <v>772</v>
      </c>
      <c r="D273" s="2">
        <v>3.5</v>
      </c>
      <c r="E273" s="2">
        <v>1</v>
      </c>
      <c r="F273" s="3">
        <f>IF(COUNT(D273,E273)=2,D273*E273,NA())</f>
        <v>3.5</v>
      </c>
      <c r="G273" s="2" t="s">
        <v>765</v>
      </c>
      <c r="H273" s="2"/>
      <c r="I273" s="2" t="s">
        <v>58</v>
      </c>
      <c r="J273" s="2" t="s">
        <v>766</v>
      </c>
      <c r="K273" s="2"/>
      <c r="L273" s="2" t="s">
        <v>60</v>
      </c>
      <c r="M273" s="2" t="s">
        <v>61</v>
      </c>
      <c r="N273" s="2" t="s">
        <v>62</v>
      </c>
      <c r="O273" s="2" t="s">
        <v>767</v>
      </c>
      <c r="P273" s="2"/>
      <c r="Q273" s="2" t="s">
        <v>779</v>
      </c>
      <c r="R273" s="2" t="s">
        <v>769</v>
      </c>
    </row>
    <row r="274" spans="1:18">
      <c r="A274" s="2" t="s">
        <v>780</v>
      </c>
      <c r="B274" s="2" t="s">
        <v>781</v>
      </c>
      <c r="C274" s="2" t="s">
        <v>782</v>
      </c>
      <c r="D274" s="2">
        <v>1836</v>
      </c>
      <c r="E274" s="2">
        <v>1000000</v>
      </c>
      <c r="F274" s="3">
        <f>IF(COUNT(D274,E274)=2,D274*E274,NA())</f>
        <v>1836000000.0</v>
      </c>
      <c r="G274" s="2" t="s">
        <v>56</v>
      </c>
      <c r="H274" s="2" t="s">
        <v>57</v>
      </c>
      <c r="I274" s="2" t="s">
        <v>58</v>
      </c>
      <c r="J274" s="2" t="s">
        <v>59</v>
      </c>
      <c r="K274" s="2"/>
      <c r="L274" s="2" t="s">
        <v>783</v>
      </c>
      <c r="M274" s="2" t="s">
        <v>61</v>
      </c>
      <c r="N274" s="2" t="s">
        <v>62</v>
      </c>
      <c r="O274" s="2" t="s">
        <v>11</v>
      </c>
      <c r="P274" s="2"/>
      <c r="Q274" s="2" t="s">
        <v>780</v>
      </c>
      <c r="R274" s="2"/>
    </row>
    <row r="275" spans="1:18">
      <c r="A275" s="2" t="s">
        <v>784</v>
      </c>
      <c r="B275" s="2" t="s">
        <v>785</v>
      </c>
      <c r="C275" s="2" t="s">
        <v>782</v>
      </c>
      <c r="D275" s="2">
        <v>10770</v>
      </c>
      <c r="E275" s="2">
        <v>1000000</v>
      </c>
      <c r="F275" s="3">
        <f>IF(COUNT(D275,E275)=2,D275*E275,NA())</f>
        <v>10770000000.0</v>
      </c>
      <c r="G275" s="2" t="s">
        <v>56</v>
      </c>
      <c r="H275" s="2" t="s">
        <v>57</v>
      </c>
      <c r="I275" s="2" t="s">
        <v>58</v>
      </c>
      <c r="J275" s="2" t="s">
        <v>59</v>
      </c>
      <c r="K275" s="2"/>
      <c r="L275" s="2" t="s">
        <v>783</v>
      </c>
      <c r="M275" s="2" t="s">
        <v>61</v>
      </c>
      <c r="N275" s="2" t="s">
        <v>62</v>
      </c>
      <c r="O275" s="2" t="s">
        <v>11</v>
      </c>
      <c r="P275" s="2"/>
      <c r="Q275" s="2" t="s">
        <v>784</v>
      </c>
      <c r="R275" s="2"/>
    </row>
    <row r="276" spans="1:18">
      <c r="A276" s="2" t="s">
        <v>786</v>
      </c>
      <c r="B276" s="2" t="s">
        <v>787</v>
      </c>
      <c r="C276" s="2" t="s">
        <v>782</v>
      </c>
      <c r="D276" s="2">
        <v>2278</v>
      </c>
      <c r="E276" s="2">
        <v>1000000</v>
      </c>
      <c r="F276" s="3">
        <f>IF(COUNT(D276,E276)=2,D276*E276,NA())</f>
        <v>2278000000.0</v>
      </c>
      <c r="G276" s="2" t="s">
        <v>56</v>
      </c>
      <c r="H276" s="2" t="s">
        <v>57</v>
      </c>
      <c r="I276" s="2" t="s">
        <v>58</v>
      </c>
      <c r="J276" s="2" t="s">
        <v>59</v>
      </c>
      <c r="K276" s="2"/>
      <c r="L276" s="2" t="s">
        <v>783</v>
      </c>
      <c r="M276" s="2" t="s">
        <v>61</v>
      </c>
      <c r="N276" s="2" t="s">
        <v>62</v>
      </c>
      <c r="O276" s="2" t="s">
        <v>11</v>
      </c>
      <c r="P276" s="2"/>
      <c r="Q276" s="2" t="s">
        <v>786</v>
      </c>
      <c r="R276" s="2"/>
    </row>
    <row r="277" spans="1:18">
      <c r="A277" s="2" t="s">
        <v>788</v>
      </c>
      <c r="B277" s="2" t="s">
        <v>789</v>
      </c>
      <c r="C277" s="2" t="s">
        <v>790</v>
      </c>
      <c r="D277" s="2">
        <v>55</v>
      </c>
      <c r="E277" s="2">
        <v>1000000</v>
      </c>
      <c r="F277" s="3">
        <f>IF(COUNT(D277,E277)=2,D277*E277,NA())</f>
        <v>55000000.0</v>
      </c>
      <c r="G277" s="2" t="s">
        <v>56</v>
      </c>
      <c r="H277" s="2" t="s">
        <v>57</v>
      </c>
      <c r="I277" s="2" t="s">
        <v>58</v>
      </c>
      <c r="J277" s="2" t="s">
        <v>59</v>
      </c>
      <c r="K277" s="2"/>
      <c r="L277" s="2" t="s">
        <v>783</v>
      </c>
      <c r="M277" s="2" t="s">
        <v>61</v>
      </c>
      <c r="N277" s="2" t="s">
        <v>62</v>
      </c>
      <c r="O277" s="2" t="s">
        <v>11</v>
      </c>
      <c r="P277" s="2"/>
      <c r="Q277" s="2" t="s">
        <v>788</v>
      </c>
      <c r="R277" s="2"/>
    </row>
    <row r="278" spans="1:18">
      <c r="A278" s="2" t="s">
        <v>791</v>
      </c>
      <c r="B278" s="2" t="s">
        <v>792</v>
      </c>
      <c r="C278" s="2" t="s">
        <v>790</v>
      </c>
      <c r="D278" s="2">
        <v>167</v>
      </c>
      <c r="E278" s="2">
        <v>1000000</v>
      </c>
      <c r="F278" s="3">
        <f>IF(COUNT(D278,E278)=2,D278*E278,NA())</f>
        <v>167000000.0</v>
      </c>
      <c r="G278" s="2" t="s">
        <v>56</v>
      </c>
      <c r="H278" s="2" t="s">
        <v>57</v>
      </c>
      <c r="I278" s="2" t="s">
        <v>58</v>
      </c>
      <c r="J278" s="2" t="s">
        <v>59</v>
      </c>
      <c r="K278" s="2"/>
      <c r="L278" s="2" t="s">
        <v>783</v>
      </c>
      <c r="M278" s="2" t="s">
        <v>61</v>
      </c>
      <c r="N278" s="2" t="s">
        <v>62</v>
      </c>
      <c r="O278" s="2" t="s">
        <v>11</v>
      </c>
      <c r="P278" s="2"/>
      <c r="Q278" s="2" t="s">
        <v>791</v>
      </c>
      <c r="R278" s="2"/>
    </row>
    <row r="279" spans="1:18">
      <c r="A279" s="2" t="s">
        <v>793</v>
      </c>
      <c r="B279" s="2" t="s">
        <v>794</v>
      </c>
      <c r="C279" s="2" t="s">
        <v>790</v>
      </c>
      <c r="D279" s="2">
        <v>5</v>
      </c>
      <c r="E279" s="2">
        <v>1000000</v>
      </c>
      <c r="F279" s="3">
        <f>IF(COUNT(D279,E279)=2,D279*E279,NA())</f>
        <v>5000000.0</v>
      </c>
      <c r="G279" s="2" t="s">
        <v>56</v>
      </c>
      <c r="H279" s="2" t="s">
        <v>57</v>
      </c>
      <c r="I279" s="2" t="s">
        <v>58</v>
      </c>
      <c r="J279" s="2" t="s">
        <v>59</v>
      </c>
      <c r="K279" s="2"/>
      <c r="L279" s="2" t="s">
        <v>783</v>
      </c>
      <c r="M279" s="2" t="s">
        <v>61</v>
      </c>
      <c r="N279" s="2" t="s">
        <v>62</v>
      </c>
      <c r="O279" s="2" t="s">
        <v>11</v>
      </c>
      <c r="P279" s="2"/>
      <c r="Q279" s="2" t="s">
        <v>793</v>
      </c>
      <c r="R279" s="2"/>
    </row>
    <row r="280" spans="1:18">
      <c r="A280" s="2" t="s">
        <v>795</v>
      </c>
      <c r="B280" s="2" t="s">
        <v>796</v>
      </c>
      <c r="C280" s="2" t="s">
        <v>790</v>
      </c>
      <c r="D280" s="2">
        <v>97</v>
      </c>
      <c r="E280" s="2">
        <v>1000000</v>
      </c>
      <c r="F280" s="3">
        <f>IF(COUNT(D280,E280)=2,D280*E280,NA())</f>
        <v>97000000.0</v>
      </c>
      <c r="G280" s="2" t="s">
        <v>56</v>
      </c>
      <c r="H280" s="2" t="s">
        <v>57</v>
      </c>
      <c r="I280" s="2" t="s">
        <v>58</v>
      </c>
      <c r="J280" s="2" t="s">
        <v>59</v>
      </c>
      <c r="K280" s="2"/>
      <c r="L280" s="2" t="s">
        <v>783</v>
      </c>
      <c r="M280" s="2" t="s">
        <v>61</v>
      </c>
      <c r="N280" s="2" t="s">
        <v>62</v>
      </c>
      <c r="O280" s="2" t="s">
        <v>11</v>
      </c>
      <c r="P280" s="2"/>
      <c r="Q280" s="2" t="s">
        <v>795</v>
      </c>
      <c r="R280" s="2"/>
    </row>
    <row r="281" spans="1:18">
      <c r="A281" s="2" t="s">
        <v>797</v>
      </c>
      <c r="B281" s="2" t="s">
        <v>798</v>
      </c>
      <c r="C281" s="2" t="s">
        <v>790</v>
      </c>
      <c r="D281" s="2">
        <v>1</v>
      </c>
      <c r="E281" s="2">
        <v>1000000</v>
      </c>
      <c r="F281" s="3">
        <f>IF(COUNT(D281,E281)=2,D281*E281,NA())</f>
        <v>1000000.0</v>
      </c>
      <c r="G281" s="2" t="s">
        <v>56</v>
      </c>
      <c r="H281" s="2" t="s">
        <v>57</v>
      </c>
      <c r="I281" s="2" t="s">
        <v>58</v>
      </c>
      <c r="J281" s="2" t="s">
        <v>59</v>
      </c>
      <c r="K281" s="2"/>
      <c r="L281" s="2" t="s">
        <v>783</v>
      </c>
      <c r="M281" s="2" t="s">
        <v>61</v>
      </c>
      <c r="N281" s="2" t="s">
        <v>62</v>
      </c>
      <c r="O281" s="2" t="s">
        <v>11</v>
      </c>
      <c r="P281" s="2"/>
      <c r="Q281" s="2" t="s">
        <v>797</v>
      </c>
      <c r="R281" s="2"/>
    </row>
    <row r="282" spans="1:18">
      <c r="A282" s="2" t="s">
        <v>799</v>
      </c>
      <c r="B282" s="2" t="s">
        <v>800</v>
      </c>
      <c r="C282" s="2" t="s">
        <v>790</v>
      </c>
      <c r="D282" s="2">
        <v>325</v>
      </c>
      <c r="E282" s="2">
        <v>1000000</v>
      </c>
      <c r="F282" s="3">
        <f>IF(COUNT(D282,E282)=2,D282*E282,NA())</f>
        <v>325000000.0</v>
      </c>
      <c r="G282" s="2" t="s">
        <v>56</v>
      </c>
      <c r="H282" s="2" t="s">
        <v>57</v>
      </c>
      <c r="I282" s="2" t="s">
        <v>58</v>
      </c>
      <c r="J282" s="2" t="s">
        <v>59</v>
      </c>
      <c r="K282" s="2"/>
      <c r="L282" s="2" t="s">
        <v>783</v>
      </c>
      <c r="M282" s="2" t="s">
        <v>61</v>
      </c>
      <c r="N282" s="2" t="s">
        <v>62</v>
      </c>
      <c r="O282" s="2" t="s">
        <v>11</v>
      </c>
      <c r="P282" s="2"/>
      <c r="Q282" s="2" t="s">
        <v>799</v>
      </c>
      <c r="R282" s="2"/>
    </row>
    <row r="283" spans="1:18">
      <c r="A283" s="2" t="s">
        <v>801</v>
      </c>
      <c r="B283" s="2" t="s">
        <v>802</v>
      </c>
      <c r="C283" s="2" t="s">
        <v>790</v>
      </c>
      <c r="D283" s="2">
        <v>24682</v>
      </c>
      <c r="E283" s="2">
        <v>1000000</v>
      </c>
      <c r="F283" s="3">
        <f>IF(COUNT(D283,E283)=2,D283*E283,NA())</f>
        <v>24682000000.0</v>
      </c>
      <c r="G283" s="2" t="s">
        <v>56</v>
      </c>
      <c r="H283" s="2" t="s">
        <v>57</v>
      </c>
      <c r="I283" s="2" t="s">
        <v>58</v>
      </c>
      <c r="J283" s="2" t="s">
        <v>59</v>
      </c>
      <c r="K283" s="2"/>
      <c r="L283" s="2" t="s">
        <v>783</v>
      </c>
      <c r="M283" s="2" t="s">
        <v>61</v>
      </c>
      <c r="N283" s="2" t="s">
        <v>62</v>
      </c>
      <c r="O283" s="2" t="s">
        <v>11</v>
      </c>
      <c r="P283" s="2"/>
      <c r="Q283" s="2" t="s">
        <v>801</v>
      </c>
      <c r="R283" s="2"/>
    </row>
    <row r="284" spans="1:18">
      <c r="A284" s="2" t="s">
        <v>803</v>
      </c>
      <c r="B284" s="2" t="s">
        <v>804</v>
      </c>
      <c r="C284" s="2" t="s">
        <v>790</v>
      </c>
      <c r="D284" s="2">
        <v>3148</v>
      </c>
      <c r="E284" s="2">
        <v>1000000</v>
      </c>
      <c r="F284" s="3">
        <f>IF(COUNT(D284,E284)=2,D284*E284,NA())</f>
        <v>3148000000.0</v>
      </c>
      <c r="G284" s="2" t="s">
        <v>56</v>
      </c>
      <c r="H284" s="2" t="s">
        <v>57</v>
      </c>
      <c r="I284" s="2" t="s">
        <v>58</v>
      </c>
      <c r="J284" s="2" t="s">
        <v>59</v>
      </c>
      <c r="K284" s="2"/>
      <c r="L284" s="2" t="s">
        <v>783</v>
      </c>
      <c r="M284" s="2" t="s">
        <v>61</v>
      </c>
      <c r="N284" s="2" t="s">
        <v>62</v>
      </c>
      <c r="O284" s="2" t="s">
        <v>11</v>
      </c>
      <c r="P284" s="2"/>
      <c r="Q284" s="2" t="s">
        <v>803</v>
      </c>
      <c r="R284" s="2"/>
    </row>
    <row r="285" spans="1:18">
      <c r="A285" s="2" t="s">
        <v>805</v>
      </c>
      <c r="B285" s="2" t="s">
        <v>806</v>
      </c>
      <c r="C285" s="2" t="s">
        <v>790</v>
      </c>
      <c r="D285" s="2">
        <v>21534</v>
      </c>
      <c r="E285" s="2">
        <v>1000000</v>
      </c>
      <c r="F285" s="3">
        <f>IF(COUNT(D285,E285)=2,D285*E285,NA())</f>
        <v>21534000000.0</v>
      </c>
      <c r="G285" s="2" t="s">
        <v>56</v>
      </c>
      <c r="H285" s="2" t="s">
        <v>57</v>
      </c>
      <c r="I285" s="2" t="s">
        <v>58</v>
      </c>
      <c r="J285" s="2" t="s">
        <v>59</v>
      </c>
      <c r="K285" s="2"/>
      <c r="L285" s="2" t="s">
        <v>783</v>
      </c>
      <c r="M285" s="2" t="s">
        <v>61</v>
      </c>
      <c r="N285" s="2" t="s">
        <v>62</v>
      </c>
      <c r="O285" s="2" t="s">
        <v>11</v>
      </c>
      <c r="P285" s="2"/>
      <c r="Q285" s="2" t="s">
        <v>805</v>
      </c>
      <c r="R285" s="2"/>
    </row>
    <row r="286" spans="1:18">
      <c r="A286" s="2" t="s">
        <v>807</v>
      </c>
      <c r="B286" s="2" t="s">
        <v>808</v>
      </c>
      <c r="C286" s="2" t="s">
        <v>790</v>
      </c>
      <c r="D286" s="2">
        <v>1892</v>
      </c>
      <c r="E286" s="2">
        <v>1000000</v>
      </c>
      <c r="F286" s="3">
        <f>IF(COUNT(D286,E286)=2,D286*E286,NA())</f>
        <v>1892000000.0</v>
      </c>
      <c r="G286" s="2" t="s">
        <v>56</v>
      </c>
      <c r="H286" s="2" t="s">
        <v>57</v>
      </c>
      <c r="I286" s="2" t="s">
        <v>58</v>
      </c>
      <c r="J286" s="2" t="s">
        <v>59</v>
      </c>
      <c r="K286" s="2"/>
      <c r="L286" s="2" t="s">
        <v>783</v>
      </c>
      <c r="M286" s="2" t="s">
        <v>61</v>
      </c>
      <c r="N286" s="2" t="s">
        <v>62</v>
      </c>
      <c r="O286" s="2" t="s">
        <v>11</v>
      </c>
      <c r="P286" s="2"/>
      <c r="Q286" s="2" t="s">
        <v>807</v>
      </c>
      <c r="R286" s="2"/>
    </row>
    <row r="287" spans="1:18">
      <c r="A287" s="2" t="s">
        <v>809</v>
      </c>
      <c r="B287" s="2" t="s">
        <v>810</v>
      </c>
      <c r="C287" s="2" t="s">
        <v>790</v>
      </c>
      <c r="D287" s="2">
        <v>4726</v>
      </c>
      <c r="E287" s="2">
        <v>1000000</v>
      </c>
      <c r="F287" s="3">
        <f>IF(COUNT(D287,E287)=2,D287*E287,NA())</f>
        <v>4726000000.0</v>
      </c>
      <c r="G287" s="2" t="s">
        <v>56</v>
      </c>
      <c r="H287" s="2" t="s">
        <v>57</v>
      </c>
      <c r="I287" s="2" t="s">
        <v>58</v>
      </c>
      <c r="J287" s="2" t="s">
        <v>59</v>
      </c>
      <c r="K287" s="2"/>
      <c r="L287" s="2" t="s">
        <v>783</v>
      </c>
      <c r="M287" s="2" t="s">
        <v>61</v>
      </c>
      <c r="N287" s="2" t="s">
        <v>62</v>
      </c>
      <c r="O287" s="2" t="s">
        <v>11</v>
      </c>
      <c r="P287" s="2"/>
      <c r="Q287" s="2" t="s">
        <v>809</v>
      </c>
      <c r="R287" s="2"/>
    </row>
    <row r="288" spans="1:18">
      <c r="A288" s="2" t="s">
        <v>811</v>
      </c>
      <c r="B288" s="2" t="s">
        <v>812</v>
      </c>
      <c r="C288" s="2" t="s">
        <v>782</v>
      </c>
      <c r="D288" s="2">
        <v>345</v>
      </c>
      <c r="E288" s="2">
        <v>1000000</v>
      </c>
      <c r="F288" s="3">
        <f>IF(COUNT(D288,E288)=2,D288*E288,NA())</f>
        <v>345000000.0</v>
      </c>
      <c r="G288" s="2" t="s">
        <v>56</v>
      </c>
      <c r="H288" s="2" t="s">
        <v>57</v>
      </c>
      <c r="I288" s="2" t="s">
        <v>58</v>
      </c>
      <c r="J288" s="2" t="s">
        <v>59</v>
      </c>
      <c r="K288" s="2" t="s">
        <v>813</v>
      </c>
      <c r="L288" s="2" t="s">
        <v>783</v>
      </c>
      <c r="M288" s="2" t="s">
        <v>243</v>
      </c>
      <c r="N288" s="2" t="s">
        <v>62</v>
      </c>
      <c r="O288" s="2" t="s">
        <v>11</v>
      </c>
      <c r="P288" s="2"/>
      <c r="Q288" s="2" t="s">
        <v>811</v>
      </c>
      <c r="R288" s="2"/>
    </row>
    <row r="289" spans="1:18">
      <c r="A289" s="2" t="s">
        <v>814</v>
      </c>
      <c r="B289" s="2" t="s">
        <v>815</v>
      </c>
      <c r="C289" s="2" t="s">
        <v>782</v>
      </c>
      <c r="D289" s="2">
        <v>16</v>
      </c>
      <c r="E289" s="2">
        <v>1000000</v>
      </c>
      <c r="F289" s="3">
        <f>IF(COUNT(D289,E289)=2,D289*E289,NA())</f>
        <v>16000000.0</v>
      </c>
      <c r="G289" s="2" t="s">
        <v>56</v>
      </c>
      <c r="H289" s="2" t="s">
        <v>57</v>
      </c>
      <c r="I289" s="2" t="s">
        <v>58</v>
      </c>
      <c r="J289" s="2" t="s">
        <v>59</v>
      </c>
      <c r="K289" s="2" t="s">
        <v>813</v>
      </c>
      <c r="L289" s="2" t="s">
        <v>783</v>
      </c>
      <c r="M289" s="2" t="s">
        <v>243</v>
      </c>
      <c r="N289" s="2" t="s">
        <v>62</v>
      </c>
      <c r="O289" s="2" t="s">
        <v>11</v>
      </c>
      <c r="P289" s="2"/>
      <c r="Q289" s="2" t="s">
        <v>814</v>
      </c>
      <c r="R289" s="2"/>
    </row>
    <row r="290" spans="1:18">
      <c r="A290" s="2" t="s">
        <v>816</v>
      </c>
      <c r="B290" s="2" t="s">
        <v>817</v>
      </c>
      <c r="C290" s="2" t="s">
        <v>782</v>
      </c>
      <c r="D290" s="2">
        <v>565</v>
      </c>
      <c r="E290" s="2">
        <v>1000000</v>
      </c>
      <c r="F290" s="3">
        <f>IF(COUNT(D290,E290)=2,D290*E290,NA())</f>
        <v>565000000.0</v>
      </c>
      <c r="G290" s="2" t="s">
        <v>56</v>
      </c>
      <c r="H290" s="2" t="s">
        <v>57</v>
      </c>
      <c r="I290" s="2" t="s">
        <v>58</v>
      </c>
      <c r="J290" s="2" t="s">
        <v>59</v>
      </c>
      <c r="K290" s="2" t="s">
        <v>813</v>
      </c>
      <c r="L290" s="2" t="s">
        <v>783</v>
      </c>
      <c r="M290" s="2" t="s">
        <v>243</v>
      </c>
      <c r="N290" s="2" t="s">
        <v>62</v>
      </c>
      <c r="O290" s="2" t="s">
        <v>11</v>
      </c>
      <c r="P290" s="2"/>
      <c r="Q290" s="2" t="s">
        <v>816</v>
      </c>
      <c r="R290" s="2"/>
    </row>
    <row r="291" spans="1:18">
      <c r="A291" s="2" t="s">
        <v>818</v>
      </c>
      <c r="B291" s="2" t="s">
        <v>819</v>
      </c>
      <c r="C291" s="2" t="s">
        <v>782</v>
      </c>
      <c r="D291" s="2">
        <v>287</v>
      </c>
      <c r="E291" s="2">
        <v>1000000</v>
      </c>
      <c r="F291" s="3">
        <f>IF(COUNT(D291,E291)=2,D291*E291,NA())</f>
        <v>287000000.0</v>
      </c>
      <c r="G291" s="2" t="s">
        <v>56</v>
      </c>
      <c r="H291" s="2" t="s">
        <v>57</v>
      </c>
      <c r="I291" s="2" t="s">
        <v>58</v>
      </c>
      <c r="J291" s="2" t="s">
        <v>59</v>
      </c>
      <c r="K291" s="2" t="s">
        <v>813</v>
      </c>
      <c r="L291" s="2" t="s">
        <v>783</v>
      </c>
      <c r="M291" s="2" t="s">
        <v>243</v>
      </c>
      <c r="N291" s="2" t="s">
        <v>62</v>
      </c>
      <c r="O291" s="2" t="s">
        <v>11</v>
      </c>
      <c r="P291" s="2"/>
      <c r="Q291" s="2" t="s">
        <v>818</v>
      </c>
      <c r="R291" s="2"/>
    </row>
    <row r="292" spans="1:18">
      <c r="A292" s="2" t="s">
        <v>820</v>
      </c>
      <c r="B292" s="2" t="s">
        <v>821</v>
      </c>
      <c r="C292" s="2" t="s">
        <v>782</v>
      </c>
      <c r="D292" s="2">
        <v>278</v>
      </c>
      <c r="E292" s="2">
        <v>1000000</v>
      </c>
      <c r="F292" s="3">
        <f>IF(COUNT(D292,E292)=2,D292*E292,NA())</f>
        <v>278000000.0</v>
      </c>
      <c r="G292" s="2" t="s">
        <v>56</v>
      </c>
      <c r="H292" s="2" t="s">
        <v>57</v>
      </c>
      <c r="I292" s="2" t="s">
        <v>58</v>
      </c>
      <c r="J292" s="2" t="s">
        <v>59</v>
      </c>
      <c r="K292" s="2" t="s">
        <v>813</v>
      </c>
      <c r="L292" s="2" t="s">
        <v>783</v>
      </c>
      <c r="M292" s="2" t="s">
        <v>243</v>
      </c>
      <c r="N292" s="2" t="s">
        <v>62</v>
      </c>
      <c r="O292" s="2" t="s">
        <v>11</v>
      </c>
      <c r="P292" s="2"/>
      <c r="Q292" s="2" t="s">
        <v>820</v>
      </c>
      <c r="R292" s="2"/>
    </row>
    <row r="293" spans="1:18">
      <c r="A293" s="2" t="s">
        <v>822</v>
      </c>
      <c r="B293" s="2" t="s">
        <v>823</v>
      </c>
      <c r="C293" s="2" t="s">
        <v>782</v>
      </c>
      <c r="D293" s="2">
        <v>-2</v>
      </c>
      <c r="E293" s="2">
        <v>1000000</v>
      </c>
      <c r="F293" s="3">
        <f>IF(COUNT(D293,E293)=2,D293*E293,NA())</f>
        <v>-2000000.0</v>
      </c>
      <c r="G293" s="2" t="s">
        <v>56</v>
      </c>
      <c r="H293" s="2" t="s">
        <v>57</v>
      </c>
      <c r="I293" s="2" t="s">
        <v>58</v>
      </c>
      <c r="J293" s="2" t="s">
        <v>59</v>
      </c>
      <c r="K293" s="2" t="s">
        <v>813</v>
      </c>
      <c r="L293" s="2" t="s">
        <v>783</v>
      </c>
      <c r="M293" s="2" t="s">
        <v>243</v>
      </c>
      <c r="N293" s="2" t="s">
        <v>62</v>
      </c>
      <c r="O293" s="2" t="s">
        <v>11</v>
      </c>
      <c r="P293" s="2"/>
      <c r="Q293" s="2" t="s">
        <v>822</v>
      </c>
      <c r="R293" s="2"/>
    </row>
    <row r="294" spans="1:18">
      <c r="A294" s="2" t="s">
        <v>824</v>
      </c>
      <c r="B294" s="2" t="s">
        <v>825</v>
      </c>
      <c r="C294" s="2" t="s">
        <v>782</v>
      </c>
      <c r="D294" s="2">
        <v>276</v>
      </c>
      <c r="E294" s="2">
        <v>1000000</v>
      </c>
      <c r="F294" s="3">
        <f>IF(COUNT(D294,E294)=2,D294*E294,NA())</f>
        <v>276000000.0</v>
      </c>
      <c r="G294" s="2" t="s">
        <v>56</v>
      </c>
      <c r="H294" s="2" t="s">
        <v>57</v>
      </c>
      <c r="I294" s="2" t="s">
        <v>58</v>
      </c>
      <c r="J294" s="2" t="s">
        <v>59</v>
      </c>
      <c r="K294" s="2" t="s">
        <v>813</v>
      </c>
      <c r="L294" s="2" t="s">
        <v>783</v>
      </c>
      <c r="M294" s="2" t="s">
        <v>243</v>
      </c>
      <c r="N294" s="2" t="s">
        <v>62</v>
      </c>
      <c r="O294" s="2" t="s">
        <v>11</v>
      </c>
      <c r="P294" s="2"/>
      <c r="Q294" s="2" t="s">
        <v>824</v>
      </c>
      <c r="R294" s="2"/>
    </row>
    <row r="295" spans="1:18">
      <c r="A295" s="2" t="s">
        <v>826</v>
      </c>
      <c r="B295" s="2" t="s">
        <v>827</v>
      </c>
      <c r="C295" s="2" t="s">
        <v>828</v>
      </c>
      <c r="D295" s="2">
        <v>819</v>
      </c>
      <c r="E295" s="2">
        <v>1000000</v>
      </c>
      <c r="F295" s="3">
        <f>IF(COUNT(D295,E295)=2,D295*E295,NA())</f>
        <v>819000000.0</v>
      </c>
      <c r="G295" s="2" t="s">
        <v>56</v>
      </c>
      <c r="H295" s="2" t="s">
        <v>57</v>
      </c>
      <c r="I295" s="2" t="s">
        <v>58</v>
      </c>
      <c r="J295" s="2" t="s">
        <v>59</v>
      </c>
      <c r="K295" s="2"/>
      <c r="L295" s="2" t="s">
        <v>829</v>
      </c>
      <c r="M295" s="2" t="s">
        <v>61</v>
      </c>
      <c r="N295" s="2" t="s">
        <v>62</v>
      </c>
      <c r="O295" s="2" t="s">
        <v>11</v>
      </c>
      <c r="P295" s="2"/>
      <c r="Q295" s="2" t="s">
        <v>826</v>
      </c>
      <c r="R295" s="2"/>
    </row>
    <row r="296" spans="1:18">
      <c r="A296" s="2" t="s">
        <v>830</v>
      </c>
      <c r="B296" s="2" t="s">
        <v>831</v>
      </c>
      <c r="C296" s="2" t="s">
        <v>782</v>
      </c>
      <c r="D296" s="2">
        <v>830</v>
      </c>
      <c r="E296" s="2">
        <v>1000000</v>
      </c>
      <c r="F296" s="3">
        <f>IF(COUNT(D296,E296)=2,D296*E296,NA())</f>
        <v>830000000.0</v>
      </c>
      <c r="G296" s="2" t="s">
        <v>56</v>
      </c>
      <c r="H296" s="2" t="s">
        <v>57</v>
      </c>
      <c r="I296" s="2" t="s">
        <v>58</v>
      </c>
      <c r="J296" s="2" t="s">
        <v>59</v>
      </c>
      <c r="K296" s="2"/>
      <c r="L296" s="2" t="s">
        <v>829</v>
      </c>
      <c r="M296" s="2" t="s">
        <v>61</v>
      </c>
      <c r="N296" s="2" t="s">
        <v>62</v>
      </c>
      <c r="O296" s="2" t="s">
        <v>11</v>
      </c>
      <c r="P296" s="2" t="s">
        <v>832</v>
      </c>
      <c r="Q296" s="2" t="s">
        <v>830</v>
      </c>
      <c r="R296" s="2"/>
    </row>
    <row r="297" spans="1:18">
      <c r="A297" s="2" t="s">
        <v>833</v>
      </c>
      <c r="B297" s="2" t="s">
        <v>834</v>
      </c>
      <c r="C297" s="2" t="s">
        <v>835</v>
      </c>
      <c r="D297" s="2">
        <v>830</v>
      </c>
      <c r="E297" s="2">
        <v>1000000</v>
      </c>
      <c r="F297" s="3">
        <f>IF(COUNT(D297,E297)=2,D297*E297,NA())</f>
        <v>830000000.0</v>
      </c>
      <c r="G297" s="2" t="s">
        <v>56</v>
      </c>
      <c r="H297" s="2" t="s">
        <v>57</v>
      </c>
      <c r="I297" s="2" t="s">
        <v>58</v>
      </c>
      <c r="J297" s="2" t="s">
        <v>59</v>
      </c>
      <c r="K297" s="2" t="s">
        <v>242</v>
      </c>
      <c r="L297" s="2" t="s">
        <v>829</v>
      </c>
      <c r="M297" s="2" t="s">
        <v>243</v>
      </c>
      <c r="N297" s="2" t="s">
        <v>62</v>
      </c>
      <c r="O297" s="2" t="s">
        <v>11</v>
      </c>
      <c r="P297" s="2"/>
      <c r="Q297" s="2" t="s">
        <v>833</v>
      </c>
      <c r="R297" s="2"/>
    </row>
    <row r="298" spans="1:18">
      <c r="A298" s="2" t="s">
        <v>836</v>
      </c>
      <c r="B298" s="2" t="s">
        <v>837</v>
      </c>
      <c r="C298" s="2" t="s">
        <v>835</v>
      </c>
      <c r="D298" s="2">
        <v>11</v>
      </c>
      <c r="E298" s="2">
        <v>1000000</v>
      </c>
      <c r="F298" s="3">
        <f>IF(COUNT(D298,E298)=2,D298*E298,NA())</f>
        <v>11000000.0</v>
      </c>
      <c r="G298" s="2" t="s">
        <v>56</v>
      </c>
      <c r="H298" s="2" t="s">
        <v>57</v>
      </c>
      <c r="I298" s="2" t="s">
        <v>58</v>
      </c>
      <c r="J298" s="2" t="s">
        <v>59</v>
      </c>
      <c r="K298" s="2" t="s">
        <v>242</v>
      </c>
      <c r="L298" s="2" t="s">
        <v>829</v>
      </c>
      <c r="M298" s="2" t="s">
        <v>243</v>
      </c>
      <c r="N298" s="2" t="s">
        <v>62</v>
      </c>
      <c r="O298" s="2" t="s">
        <v>11</v>
      </c>
      <c r="P298" s="2"/>
      <c r="Q298" s="2" t="s">
        <v>836</v>
      </c>
      <c r="R298" s="2"/>
    </row>
    <row r="299" spans="1:18">
      <c r="A299" s="2" t="s">
        <v>838</v>
      </c>
      <c r="B299" s="2" t="s">
        <v>839</v>
      </c>
      <c r="C299" s="2" t="s">
        <v>840</v>
      </c>
      <c r="D299" s="2">
        <v>8500</v>
      </c>
      <c r="E299" s="2">
        <v>1000000</v>
      </c>
      <c r="F299" s="3">
        <f>IF(COUNT(D299,E299)=2,D299*E299,NA())</f>
        <v>8500000000.0</v>
      </c>
      <c r="G299" s="2" t="s">
        <v>56</v>
      </c>
      <c r="H299" s="2" t="s">
        <v>57</v>
      </c>
      <c r="I299" s="2" t="s">
        <v>58</v>
      </c>
      <c r="J299" s="2" t="s">
        <v>59</v>
      </c>
      <c r="K299" s="2"/>
      <c r="L299" s="2" t="s">
        <v>841</v>
      </c>
      <c r="M299" s="2" t="s">
        <v>61</v>
      </c>
      <c r="N299" s="2" t="s">
        <v>62</v>
      </c>
      <c r="O299" s="2" t="s">
        <v>842</v>
      </c>
      <c r="P299" s="2" t="s">
        <v>843</v>
      </c>
      <c r="Q299" s="2" t="s">
        <v>838</v>
      </c>
      <c r="R299" s="2"/>
    </row>
    <row r="300" spans="1:18">
      <c r="A300" s="2" t="s">
        <v>844</v>
      </c>
      <c r="B300" s="2" t="s">
        <v>845</v>
      </c>
      <c r="C300" s="2" t="s">
        <v>840</v>
      </c>
      <c r="D300" s="2">
        <v>124</v>
      </c>
      <c r="E300" s="2">
        <v>1000000</v>
      </c>
      <c r="F300" s="3">
        <f>IF(COUNT(D300,E300)=2,D300*E300,NA())</f>
        <v>124000000.0</v>
      </c>
      <c r="G300" s="2" t="s">
        <v>56</v>
      </c>
      <c r="H300" s="2" t="s">
        <v>57</v>
      </c>
      <c r="I300" s="2" t="s">
        <v>58</v>
      </c>
      <c r="J300" s="2" t="s">
        <v>59</v>
      </c>
      <c r="K300" s="2"/>
      <c r="L300" s="2" t="s">
        <v>841</v>
      </c>
      <c r="M300" s="2" t="s">
        <v>61</v>
      </c>
      <c r="N300" s="2" t="s">
        <v>62</v>
      </c>
      <c r="O300" s="2" t="s">
        <v>842</v>
      </c>
      <c r="P300" s="2" t="s">
        <v>843</v>
      </c>
      <c r="Q300" s="2" t="s">
        <v>844</v>
      </c>
      <c r="R300" s="2"/>
    </row>
    <row r="301" spans="1:18">
      <c r="A301" s="2" t="s">
        <v>846</v>
      </c>
      <c r="B301" s="2" t="s">
        <v>847</v>
      </c>
      <c r="C301" s="2" t="s">
        <v>840</v>
      </c>
      <c r="D301" s="2">
        <v>74</v>
      </c>
      <c r="E301" s="2">
        <v>1000000</v>
      </c>
      <c r="F301" s="3">
        <f>IF(COUNT(D301,E301)=2,D301*E301,NA())</f>
        <v>74000000.0</v>
      </c>
      <c r="G301" s="2" t="s">
        <v>56</v>
      </c>
      <c r="H301" s="2" t="s">
        <v>57</v>
      </c>
      <c r="I301" s="2" t="s">
        <v>58</v>
      </c>
      <c r="J301" s="2" t="s">
        <v>59</v>
      </c>
      <c r="K301" s="2"/>
      <c r="L301" s="2" t="s">
        <v>841</v>
      </c>
      <c r="M301" s="2" t="s">
        <v>61</v>
      </c>
      <c r="N301" s="2" t="s">
        <v>62</v>
      </c>
      <c r="O301" s="2" t="s">
        <v>842</v>
      </c>
      <c r="P301" s="2" t="s">
        <v>843</v>
      </c>
      <c r="Q301" s="2" t="s">
        <v>846</v>
      </c>
      <c r="R301" s="2"/>
    </row>
    <row r="302" spans="1:18">
      <c r="A302" s="2" t="s">
        <v>848</v>
      </c>
      <c r="B302" s="2" t="s">
        <v>849</v>
      </c>
      <c r="C302" s="2" t="s">
        <v>840</v>
      </c>
      <c r="D302" s="2">
        <v>3300</v>
      </c>
      <c r="E302" s="2">
        <v>1000000</v>
      </c>
      <c r="F302" s="3">
        <f>IF(COUNT(D302,E302)=2,D302*E302,NA())</f>
        <v>3300000000.0</v>
      </c>
      <c r="G302" s="2" t="s">
        <v>56</v>
      </c>
      <c r="H302" s="2" t="s">
        <v>57</v>
      </c>
      <c r="I302" s="2" t="s">
        <v>58</v>
      </c>
      <c r="J302" s="2" t="s">
        <v>59</v>
      </c>
      <c r="K302" s="2"/>
      <c r="L302" s="2" t="s">
        <v>841</v>
      </c>
      <c r="M302" s="2" t="s">
        <v>61</v>
      </c>
      <c r="N302" s="2" t="s">
        <v>62</v>
      </c>
      <c r="O302" s="2" t="s">
        <v>842</v>
      </c>
      <c r="P302" s="2" t="s">
        <v>843</v>
      </c>
      <c r="Q302" s="2" t="s">
        <v>848</v>
      </c>
      <c r="R302" s="2"/>
    </row>
    <row r="303" spans="1:18">
      <c r="A303" s="2" t="s">
        <v>850</v>
      </c>
      <c r="B303" s="2" t="s">
        <v>851</v>
      </c>
      <c r="C303" s="2" t="s">
        <v>840</v>
      </c>
      <c r="D303" s="2">
        <v>1800</v>
      </c>
      <c r="E303" s="2">
        <v>1000000</v>
      </c>
      <c r="F303" s="3">
        <f>IF(COUNT(D303,E303)=2,D303*E303,NA())</f>
        <v>1800000000.0</v>
      </c>
      <c r="G303" s="2" t="s">
        <v>56</v>
      </c>
      <c r="H303" s="2" t="s">
        <v>57</v>
      </c>
      <c r="I303" s="2" t="s">
        <v>58</v>
      </c>
      <c r="J303" s="2" t="s">
        <v>59</v>
      </c>
      <c r="K303" s="2"/>
      <c r="L303" s="2" t="s">
        <v>841</v>
      </c>
      <c r="M303" s="2" t="s">
        <v>61</v>
      </c>
      <c r="N303" s="2" t="s">
        <v>62</v>
      </c>
      <c r="O303" s="2" t="s">
        <v>842</v>
      </c>
      <c r="P303" s="2" t="s">
        <v>852</v>
      </c>
      <c r="Q303" s="2" t="s">
        <v>850</v>
      </c>
      <c r="R303" s="2"/>
    </row>
    <row r="304" spans="1:18">
      <c r="A304" s="2" t="s">
        <v>853</v>
      </c>
      <c r="B304" s="2" t="s">
        <v>854</v>
      </c>
      <c r="C304" s="2" t="s">
        <v>840</v>
      </c>
      <c r="D304" s="2">
        <v>2100</v>
      </c>
      <c r="E304" s="2">
        <v>1000000</v>
      </c>
      <c r="F304" s="3">
        <f>IF(COUNT(D304,E304)=2,D304*E304,NA())</f>
        <v>2100000000.0</v>
      </c>
      <c r="G304" s="2" t="s">
        <v>56</v>
      </c>
      <c r="H304" s="2" t="s">
        <v>57</v>
      </c>
      <c r="I304" s="2" t="s">
        <v>58</v>
      </c>
      <c r="J304" s="2" t="s">
        <v>59</v>
      </c>
      <c r="K304" s="2"/>
      <c r="L304" s="2" t="s">
        <v>841</v>
      </c>
      <c r="M304" s="2" t="s">
        <v>61</v>
      </c>
      <c r="N304" s="2" t="s">
        <v>62</v>
      </c>
      <c r="O304" s="2" t="s">
        <v>842</v>
      </c>
      <c r="P304" s="2" t="s">
        <v>852</v>
      </c>
      <c r="Q304" s="2" t="s">
        <v>853</v>
      </c>
      <c r="R304" s="2"/>
    </row>
    <row r="305" spans="1:18">
      <c r="A305" s="2" t="s">
        <v>855</v>
      </c>
      <c r="B305" s="2" t="s">
        <v>856</v>
      </c>
      <c r="C305" s="2" t="s">
        <v>840</v>
      </c>
      <c r="D305" s="2">
        <v>1000</v>
      </c>
      <c r="E305" s="2">
        <v>1000000</v>
      </c>
      <c r="F305" s="3">
        <f>IF(COUNT(D305,E305)=2,D305*E305,NA())</f>
        <v>1000000000.0</v>
      </c>
      <c r="G305" s="2" t="s">
        <v>56</v>
      </c>
      <c r="H305" s="2" t="s">
        <v>57</v>
      </c>
      <c r="I305" s="2" t="s">
        <v>58</v>
      </c>
      <c r="J305" s="2" t="s">
        <v>59</v>
      </c>
      <c r="K305" s="2"/>
      <c r="L305" s="2" t="s">
        <v>841</v>
      </c>
      <c r="M305" s="2" t="s">
        <v>61</v>
      </c>
      <c r="N305" s="2" t="s">
        <v>62</v>
      </c>
      <c r="O305" s="2" t="s">
        <v>842</v>
      </c>
      <c r="P305" s="2" t="s">
        <v>852</v>
      </c>
      <c r="Q305" s="2" t="s">
        <v>855</v>
      </c>
      <c r="R305" s="2"/>
    </row>
    <row r="306" spans="1:18">
      <c r="A306" s="2" t="s">
        <v>857</v>
      </c>
      <c r="B306" s="2" t="s">
        <v>858</v>
      </c>
      <c r="C306" s="2" t="s">
        <v>859</v>
      </c>
      <c r="D306" s="2">
        <v>4500</v>
      </c>
      <c r="E306" s="2">
        <v>1000000</v>
      </c>
      <c r="F306" s="3">
        <f>IF(COUNT(D306,E306)=2,D306*E306,NA())</f>
        <v>4500000000.0</v>
      </c>
      <c r="G306" s="2" t="s">
        <v>56</v>
      </c>
      <c r="H306" s="2" t="s">
        <v>57</v>
      </c>
      <c r="I306" s="2" t="s">
        <v>58</v>
      </c>
      <c r="J306" s="2" t="s">
        <v>860</v>
      </c>
      <c r="K306" s="2"/>
      <c r="L306" s="2" t="s">
        <v>841</v>
      </c>
      <c r="M306" s="2" t="s">
        <v>61</v>
      </c>
      <c r="N306" s="2" t="s">
        <v>62</v>
      </c>
      <c r="O306" s="2" t="s">
        <v>861</v>
      </c>
      <c r="P306" s="2"/>
      <c r="Q306" s="2" t="s">
        <v>857</v>
      </c>
      <c r="R306" s="2"/>
    </row>
    <row r="307" spans="1:18">
      <c r="A307" s="2" t="s">
        <v>862</v>
      </c>
      <c r="B307" s="2" t="s">
        <v>863</v>
      </c>
      <c r="C307" s="2" t="s">
        <v>859</v>
      </c>
      <c r="D307" s="2">
        <v>39.4</v>
      </c>
      <c r="E307" s="2">
        <v>1000000</v>
      </c>
      <c r="F307" s="3">
        <f>IF(COUNT(D307,E307)=2,D307*E307,NA())</f>
        <v>39400000.0</v>
      </c>
      <c r="G307" s="2" t="s">
        <v>56</v>
      </c>
      <c r="H307" s="2" t="s">
        <v>57</v>
      </c>
      <c r="I307" s="2" t="s">
        <v>58</v>
      </c>
      <c r="J307" s="2" t="s">
        <v>860</v>
      </c>
      <c r="K307" s="2"/>
      <c r="L307" s="2" t="s">
        <v>841</v>
      </c>
      <c r="M307" s="2" t="s">
        <v>61</v>
      </c>
      <c r="N307" s="2" t="s">
        <v>62</v>
      </c>
      <c r="O307" s="2" t="s">
        <v>861</v>
      </c>
      <c r="P307" s="2"/>
      <c r="Q307" s="2" t="s">
        <v>862</v>
      </c>
      <c r="R307" s="2"/>
    </row>
    <row r="308" spans="1:18">
      <c r="A308" s="2" t="s">
        <v>864</v>
      </c>
      <c r="B308" s="2" t="s">
        <v>865</v>
      </c>
      <c r="C308" s="2" t="s">
        <v>859</v>
      </c>
      <c r="D308" s="2">
        <v>7</v>
      </c>
      <c r="E308" s="2">
        <v>1</v>
      </c>
      <c r="F308" s="3">
        <f>IF(COUNT(D308,E308)=2,D308*E308,NA())</f>
        <v>7.0</v>
      </c>
      <c r="G308" s="2" t="s">
        <v>765</v>
      </c>
      <c r="H308" s="2"/>
      <c r="I308" s="2" t="s">
        <v>58</v>
      </c>
      <c r="J308" s="2" t="s">
        <v>766</v>
      </c>
      <c r="K308" s="2"/>
      <c r="L308" s="2" t="s">
        <v>841</v>
      </c>
      <c r="M308" s="2" t="s">
        <v>61</v>
      </c>
      <c r="N308" s="2" t="s">
        <v>62</v>
      </c>
      <c r="O308" s="2" t="s">
        <v>767</v>
      </c>
      <c r="P308" s="2"/>
      <c r="Q308" s="2" t="s">
        <v>864</v>
      </c>
      <c r="R308" s="2" t="s">
        <v>769</v>
      </c>
    </row>
    <row r="309" spans="1:18">
      <c r="A309" s="2" t="s">
        <v>866</v>
      </c>
      <c r="B309" s="2" t="s">
        <v>867</v>
      </c>
      <c r="C309" s="2" t="s">
        <v>868</v>
      </c>
      <c r="D309" s="2">
        <v>1500</v>
      </c>
      <c r="E309" s="2">
        <v>1000000</v>
      </c>
      <c r="F309" s="3">
        <f>IF(COUNT(D309,E309)=2,D309*E309,NA())</f>
        <v>1500000000.0</v>
      </c>
      <c r="G309" s="2" t="s">
        <v>56</v>
      </c>
      <c r="H309" s="2" t="s">
        <v>57</v>
      </c>
      <c r="I309" s="2" t="s">
        <v>58</v>
      </c>
      <c r="J309" s="2" t="s">
        <v>59</v>
      </c>
      <c r="K309" s="2"/>
      <c r="L309" s="2" t="s">
        <v>869</v>
      </c>
      <c r="M309" s="2" t="s">
        <v>61</v>
      </c>
      <c r="N309" s="2" t="s">
        <v>62</v>
      </c>
      <c r="O309" s="2" t="s">
        <v>11</v>
      </c>
      <c r="P309" s="2"/>
      <c r="Q309" s="2" t="s">
        <v>866</v>
      </c>
      <c r="R309" s="2"/>
    </row>
    <row r="310" spans="1:18">
      <c r="A310" s="2" t="s">
        <v>870</v>
      </c>
      <c r="B310" s="2" t="s">
        <v>871</v>
      </c>
      <c r="C310" s="2" t="s">
        <v>872</v>
      </c>
      <c r="D310" s="2">
        <v>165</v>
      </c>
      <c r="E310" s="2">
        <v>1000000</v>
      </c>
      <c r="F310" s="3">
        <f>IF(COUNT(D310,E310)=2,D310*E310,NA())</f>
        <v>165000000.0</v>
      </c>
      <c r="G310" s="2" t="s">
        <v>56</v>
      </c>
      <c r="H310" s="2" t="s">
        <v>57</v>
      </c>
      <c r="I310" s="2" t="s">
        <v>58</v>
      </c>
      <c r="J310" s="2" t="s">
        <v>59</v>
      </c>
      <c r="K310" s="2"/>
      <c r="L310" s="2" t="s">
        <v>60</v>
      </c>
      <c r="M310" s="2" t="s">
        <v>61</v>
      </c>
      <c r="N310" s="2" t="s">
        <v>62</v>
      </c>
      <c r="O310" s="2" t="s">
        <v>11</v>
      </c>
      <c r="P310" s="2" t="s">
        <v>873</v>
      </c>
      <c r="Q310" s="2" t="s">
        <v>870</v>
      </c>
      <c r="R310" s="2"/>
    </row>
    <row r="311" spans="1:18">
      <c r="A311" s="2" t="s">
        <v>874</v>
      </c>
      <c r="B311" s="2" t="s">
        <v>875</v>
      </c>
      <c r="C311" s="2"/>
      <c r="D311" s="2"/>
      <c r="E311" s="2">
        <v>1</v>
      </c>
      <c r="F311" s="3" t="e">
        <f>IF(COUNT(D311,E311)=2,D311*E311,NA())</f>
        <v>#N/A</v>
      </c>
      <c r="G311" s="2" t="s">
        <v>765</v>
      </c>
      <c r="H311" s="2"/>
      <c r="I311" s="2" t="s">
        <v>58</v>
      </c>
      <c r="J311" s="2" t="s">
        <v>59</v>
      </c>
      <c r="K311" s="2"/>
      <c r="L311" s="2" t="s">
        <v>66</v>
      </c>
      <c r="M311" s="2" t="s">
        <v>61</v>
      </c>
      <c r="N311" s="2" t="s">
        <v>876</v>
      </c>
      <c r="O311" s="2" t="s">
        <v>11</v>
      </c>
      <c r="P311" s="2" t="s">
        <v>877</v>
      </c>
      <c r="Q311" s="2" t="s">
        <v>874</v>
      </c>
      <c r="R311" s="2"/>
    </row>
    <row r="312" spans="1:18">
      <c r="A312" s="2" t="s">
        <v>878</v>
      </c>
      <c r="B312" s="2" t="s">
        <v>879</v>
      </c>
      <c r="C312" s="2"/>
      <c r="D312" s="2"/>
      <c r="E312" s="2">
        <v>1000000</v>
      </c>
      <c r="F312" s="3" t="e">
        <f>IF(COUNT(D312,E312)=2,D312*E312,NA())</f>
        <v>#N/A</v>
      </c>
      <c r="G312" s="2" t="s">
        <v>56</v>
      </c>
      <c r="H312" s="2" t="s">
        <v>57</v>
      </c>
      <c r="I312" s="2" t="s">
        <v>58</v>
      </c>
      <c r="J312" s="2" t="s">
        <v>59</v>
      </c>
      <c r="K312" s="2"/>
      <c r="L312" s="2" t="s">
        <v>66</v>
      </c>
      <c r="M312" s="2" t="s">
        <v>61</v>
      </c>
      <c r="N312" s="2" t="s">
        <v>876</v>
      </c>
      <c r="O312" s="2" t="s">
        <v>11</v>
      </c>
      <c r="P312" s="2" t="s">
        <v>880</v>
      </c>
      <c r="Q312" s="2" t="s">
        <v>878</v>
      </c>
      <c r="R312" s="2"/>
    </row>
    <row r="313" spans="1:18">
      <c r="A313" s="2" t="s">
        <v>881</v>
      </c>
      <c r="B313" s="2" t="s">
        <v>882</v>
      </c>
      <c r="C313" s="2"/>
      <c r="D313" s="2"/>
      <c r="E313" s="2">
        <v>1000000</v>
      </c>
      <c r="F313" s="3" t="e">
        <f>IF(COUNT(D313,E313)=2,D313*E313,NA())</f>
        <v>#N/A</v>
      </c>
      <c r="G313" s="2" t="s">
        <v>56</v>
      </c>
      <c r="H313" s="2" t="s">
        <v>57</v>
      </c>
      <c r="I313" s="2" t="s">
        <v>58</v>
      </c>
      <c r="J313" s="2" t="s">
        <v>59</v>
      </c>
      <c r="K313" s="2"/>
      <c r="L313" s="2" t="s">
        <v>60</v>
      </c>
      <c r="M313" s="2" t="s">
        <v>61</v>
      </c>
      <c r="N313" s="2" t="s">
        <v>876</v>
      </c>
      <c r="O313" s="2" t="s">
        <v>11</v>
      </c>
      <c r="P313" s="2" t="s">
        <v>883</v>
      </c>
      <c r="Q313" s="2" t="s">
        <v>881</v>
      </c>
      <c r="R313" s="2"/>
    </row>
    <row r="314" spans="1:18">
      <c r="A314" s="2" t="s">
        <v>884</v>
      </c>
      <c r="B314" s="2" t="s">
        <v>885</v>
      </c>
      <c r="C314" s="2"/>
      <c r="D314" s="2"/>
      <c r="E314" s="2">
        <v>1000000</v>
      </c>
      <c r="F314" s="3" t="e">
        <f>IF(COUNT(D314,E314)=2,D314*E314,NA())</f>
        <v>#N/A</v>
      </c>
      <c r="G314" s="2" t="s">
        <v>56</v>
      </c>
      <c r="H314" s="2" t="s">
        <v>57</v>
      </c>
      <c r="I314" s="2" t="s">
        <v>58</v>
      </c>
      <c r="J314" s="2" t="s">
        <v>59</v>
      </c>
      <c r="K314" s="2" t="s">
        <v>886</v>
      </c>
      <c r="L314" s="2" t="s">
        <v>7</v>
      </c>
      <c r="M314" s="2" t="s">
        <v>243</v>
      </c>
      <c r="N314" s="2" t="s">
        <v>876</v>
      </c>
      <c r="O314" s="2" t="s">
        <v>11</v>
      </c>
      <c r="P314" s="2" t="s">
        <v>887</v>
      </c>
      <c r="Q314" s="2" t="s">
        <v>884</v>
      </c>
      <c r="R314" s="2"/>
    </row>
    <row r="315" spans="1:18">
      <c r="A315" s="2" t="s">
        <v>888</v>
      </c>
      <c r="B315" s="2" t="s">
        <v>889</v>
      </c>
      <c r="C315" s="2"/>
      <c r="D315" s="2"/>
      <c r="E315" s="2">
        <v>1000000</v>
      </c>
      <c r="F315" s="3" t="e">
        <f>IF(COUNT(D315,E315)=2,D315*E315,NA())</f>
        <v>#N/A</v>
      </c>
      <c r="G315" s="2" t="s">
        <v>56</v>
      </c>
      <c r="H315" s="2" t="s">
        <v>57</v>
      </c>
      <c r="I315" s="2" t="s">
        <v>58</v>
      </c>
      <c r="J315" s="2" t="s">
        <v>766</v>
      </c>
      <c r="K315" s="2"/>
      <c r="L315" s="2" t="s">
        <v>841</v>
      </c>
      <c r="M315" s="2" t="s">
        <v>61</v>
      </c>
      <c r="N315" s="2" t="s">
        <v>876</v>
      </c>
      <c r="O315" s="2" t="s">
        <v>767</v>
      </c>
      <c r="P315" s="2" t="s">
        <v>890</v>
      </c>
      <c r="Q315" s="2" t="s">
        <v>888</v>
      </c>
      <c r="R315" s="2"/>
    </row>
    <row r="316" spans="1:18">
      <c r="A316" s="2" t="s">
        <v>891</v>
      </c>
      <c r="B316" s="2" t="s">
        <v>892</v>
      </c>
      <c r="C316" s="2" t="s">
        <v>893</v>
      </c>
      <c r="D316" s="2">
        <v>8500</v>
      </c>
      <c r="E316" s="2">
        <v>1000000</v>
      </c>
      <c r="F316" s="3">
        <f>IF(COUNT(D316,E316)=2,D316*E316,NA())</f>
        <v>8500000000.0</v>
      </c>
      <c r="G316" s="2" t="s">
        <v>56</v>
      </c>
      <c r="H316" s="2" t="s">
        <v>57</v>
      </c>
      <c r="I316" s="2" t="s">
        <v>58</v>
      </c>
      <c r="J316" s="2" t="s">
        <v>59</v>
      </c>
      <c r="K316" s="2"/>
      <c r="L316" s="2" t="s">
        <v>60</v>
      </c>
      <c r="M316" s="2" t="s">
        <v>61</v>
      </c>
      <c r="N316" s="2" t="s">
        <v>894</v>
      </c>
      <c r="O316" s="2" t="s">
        <v>895</v>
      </c>
      <c r="P316" s="2" t="s">
        <v>896</v>
      </c>
      <c r="Q316" s="2" t="s">
        <v>891</v>
      </c>
      <c r="R316" s="2"/>
    </row>
    <row r="317" spans="1:18">
      <c r="A317" s="2" t="s">
        <v>897</v>
      </c>
      <c r="B317" s="2" t="s">
        <v>898</v>
      </c>
      <c r="C317" s="2" t="s">
        <v>893</v>
      </c>
      <c r="D317" s="2">
        <v>124</v>
      </c>
      <c r="E317" s="2">
        <v>1000000</v>
      </c>
      <c r="F317" s="3">
        <f>IF(COUNT(D317,E317)=2,D317*E317,NA())</f>
        <v>124000000.0</v>
      </c>
      <c r="G317" s="2" t="s">
        <v>56</v>
      </c>
      <c r="H317" s="2" t="s">
        <v>57</v>
      </c>
      <c r="I317" s="2" t="s">
        <v>58</v>
      </c>
      <c r="J317" s="2" t="s">
        <v>59</v>
      </c>
      <c r="K317" s="2"/>
      <c r="L317" s="2" t="s">
        <v>60</v>
      </c>
      <c r="M317" s="2" t="s">
        <v>61</v>
      </c>
      <c r="N317" s="2" t="s">
        <v>894</v>
      </c>
      <c r="O317" s="2" t="s">
        <v>895</v>
      </c>
      <c r="P317" s="2" t="s">
        <v>896</v>
      </c>
      <c r="Q317" s="2" t="s">
        <v>897</v>
      </c>
      <c r="R317" s="2"/>
    </row>
    <row r="318" spans="1:18">
      <c r="A318" s="2" t="s">
        <v>899</v>
      </c>
      <c r="B318" s="2" t="s">
        <v>900</v>
      </c>
      <c r="C318" s="2" t="s">
        <v>893</v>
      </c>
      <c r="D318" s="2">
        <v>127</v>
      </c>
      <c r="E318" s="2">
        <v>1000000</v>
      </c>
      <c r="F318" s="3">
        <f>IF(COUNT(D318,E318)=2,D318*E318,NA())</f>
        <v>127000000.0</v>
      </c>
      <c r="G318" s="2" t="s">
        <v>56</v>
      </c>
      <c r="H318" s="2" t="s">
        <v>57</v>
      </c>
      <c r="I318" s="2" t="s">
        <v>58</v>
      </c>
      <c r="J318" s="2" t="s">
        <v>59</v>
      </c>
      <c r="K318" s="2"/>
      <c r="L318" s="2" t="s">
        <v>60</v>
      </c>
      <c r="M318" s="2" t="s">
        <v>61</v>
      </c>
      <c r="N318" s="2" t="s">
        <v>894</v>
      </c>
      <c r="O318" s="2" t="s">
        <v>895</v>
      </c>
      <c r="P318" s="2" t="s">
        <v>896</v>
      </c>
      <c r="Q318" s="2" t="s">
        <v>899</v>
      </c>
      <c r="R318" s="2"/>
    </row>
    <row r="319" spans="1:18">
      <c r="A319" s="2" t="s">
        <v>901</v>
      </c>
      <c r="B319" s="2" t="s">
        <v>902</v>
      </c>
      <c r="C319" s="2" t="s">
        <v>893</v>
      </c>
      <c r="D319" s="2">
        <v>2002</v>
      </c>
      <c r="E319" s="2">
        <v>1000000</v>
      </c>
      <c r="F319" s="3">
        <f>IF(COUNT(D319,E319)=2,D319*E319,NA())</f>
        <v>2002000000.0</v>
      </c>
      <c r="G319" s="2" t="s">
        <v>56</v>
      </c>
      <c r="H319" s="2" t="s">
        <v>57</v>
      </c>
      <c r="I319" s="2" t="s">
        <v>58</v>
      </c>
      <c r="J319" s="2" t="s">
        <v>59</v>
      </c>
      <c r="K319" s="2"/>
      <c r="L319" s="2" t="s">
        <v>60</v>
      </c>
      <c r="M319" s="2" t="s">
        <v>61</v>
      </c>
      <c r="N319" s="2" t="s">
        <v>894</v>
      </c>
      <c r="O319" s="2" t="s">
        <v>895</v>
      </c>
      <c r="P319" s="2" t="s">
        <v>896</v>
      </c>
      <c r="Q319" s="2" t="s">
        <v>901</v>
      </c>
      <c r="R319" s="2"/>
    </row>
    <row r="320" spans="1:18">
      <c r="A320" s="2" t="s">
        <v>903</v>
      </c>
      <c r="B320" s="2" t="s">
        <v>904</v>
      </c>
      <c r="C320" s="2" t="s">
        <v>893</v>
      </c>
      <c r="D320" s="2">
        <v>6247</v>
      </c>
      <c r="E320" s="2">
        <v>1000000</v>
      </c>
      <c r="F320" s="3">
        <f>IF(COUNT(D320,E320)=2,D320*E320,NA())</f>
        <v>6247000000.0</v>
      </c>
      <c r="G320" s="2" t="s">
        <v>56</v>
      </c>
      <c r="H320" s="2" t="s">
        <v>57</v>
      </c>
      <c r="I320" s="2" t="s">
        <v>58</v>
      </c>
      <c r="J320" s="2" t="s">
        <v>59</v>
      </c>
      <c r="K320" s="2"/>
      <c r="L320" s="2" t="s">
        <v>60</v>
      </c>
      <c r="M320" s="2" t="s">
        <v>61</v>
      </c>
      <c r="N320" s="2" t="s">
        <v>894</v>
      </c>
      <c r="O320" s="2" t="s">
        <v>895</v>
      </c>
      <c r="P320" s="2" t="s">
        <v>896</v>
      </c>
      <c r="Q320" s="2" t="s">
        <v>903</v>
      </c>
      <c r="R320" s="2"/>
    </row>
    <row r="321" spans="1:18">
      <c r="A321" s="2" t="s">
        <v>905</v>
      </c>
      <c r="B321" s="2" t="s">
        <v>906</v>
      </c>
      <c r="C321" s="2" t="s">
        <v>893</v>
      </c>
      <c r="D321" s="2">
        <v>99</v>
      </c>
      <c r="E321" s="2">
        <v>1000000</v>
      </c>
      <c r="F321" s="3">
        <f>IF(COUNT(D321,E321)=2,D321*E321,NA())</f>
        <v>99000000.0</v>
      </c>
      <c r="G321" s="2" t="s">
        <v>56</v>
      </c>
      <c r="H321" s="2" t="s">
        <v>57</v>
      </c>
      <c r="I321" s="2" t="s">
        <v>58</v>
      </c>
      <c r="J321" s="2" t="s">
        <v>59</v>
      </c>
      <c r="K321" s="2"/>
      <c r="L321" s="2" t="s">
        <v>60</v>
      </c>
      <c r="M321" s="2" t="s">
        <v>61</v>
      </c>
      <c r="N321" s="2" t="s">
        <v>62</v>
      </c>
      <c r="O321" s="2" t="s">
        <v>895</v>
      </c>
      <c r="P321" s="2" t="s">
        <v>907</v>
      </c>
      <c r="Q321" s="2" t="s">
        <v>905</v>
      </c>
      <c r="R321" s="2"/>
    </row>
    <row r="322" spans="1:18">
      <c r="A322" s="2" t="s">
        <v>908</v>
      </c>
      <c r="B322" s="2" t="s">
        <v>909</v>
      </c>
      <c r="C322" s="2" t="s">
        <v>893</v>
      </c>
      <c r="D322" s="2">
        <v>6346</v>
      </c>
      <c r="E322" s="2">
        <v>1000000</v>
      </c>
      <c r="F322" s="3">
        <f>IF(COUNT(D322,E322)=2,D322*E322,NA())</f>
        <v>6346000000.0</v>
      </c>
      <c r="G322" s="2" t="s">
        <v>56</v>
      </c>
      <c r="H322" s="2" t="s">
        <v>57</v>
      </c>
      <c r="I322" s="2" t="s">
        <v>58</v>
      </c>
      <c r="J322" s="2" t="s">
        <v>59</v>
      </c>
      <c r="K322" s="2"/>
      <c r="L322" s="2" t="s">
        <v>60</v>
      </c>
      <c r="M322" s="2" t="s">
        <v>61</v>
      </c>
      <c r="N322" s="2" t="s">
        <v>894</v>
      </c>
      <c r="O322" s="2" t="s">
        <v>895</v>
      </c>
      <c r="P322" s="2" t="s">
        <v>896</v>
      </c>
      <c r="Q322" s="2" t="s">
        <v>908</v>
      </c>
      <c r="R322" s="2"/>
    </row>
    <row r="323" spans="1:18">
      <c r="A323" s="2" t="s">
        <v>910</v>
      </c>
      <c r="B323" s="2" t="s">
        <v>911</v>
      </c>
      <c r="C323" s="2" t="s">
        <v>893</v>
      </c>
      <c r="D323" s="2">
        <v>434</v>
      </c>
      <c r="E323" s="2">
        <v>1000000</v>
      </c>
      <c r="F323" s="3">
        <f>IF(COUNT(D323,E323)=2,D323*E323,NA())</f>
        <v>434000000.0</v>
      </c>
      <c r="G323" s="2" t="s">
        <v>56</v>
      </c>
      <c r="H323" s="2" t="s">
        <v>57</v>
      </c>
      <c r="I323" s="2" t="s">
        <v>58</v>
      </c>
      <c r="J323" s="2" t="s">
        <v>59</v>
      </c>
      <c r="K323" s="2"/>
      <c r="L323" s="2" t="s">
        <v>60</v>
      </c>
      <c r="M323" s="2" t="s">
        <v>61</v>
      </c>
      <c r="N323" s="2" t="s">
        <v>894</v>
      </c>
      <c r="O323" s="2" t="s">
        <v>895</v>
      </c>
      <c r="P323" s="2" t="s">
        <v>896</v>
      </c>
      <c r="Q323" s="2" t="s">
        <v>910</v>
      </c>
      <c r="R323" s="2"/>
    </row>
    <row r="324" spans="1:18">
      <c r="A324" s="2" t="s">
        <v>912</v>
      </c>
      <c r="B324" s="2" t="s">
        <v>913</v>
      </c>
      <c r="C324" s="2" t="s">
        <v>893</v>
      </c>
      <c r="D324" s="2">
        <v>10291</v>
      </c>
      <c r="E324" s="2">
        <v>1000000</v>
      </c>
      <c r="F324" s="3">
        <f>IF(COUNT(D324,E324)=2,D324*E324,NA())</f>
        <v>10291000000.0</v>
      </c>
      <c r="G324" s="2" t="s">
        <v>56</v>
      </c>
      <c r="H324" s="2" t="s">
        <v>57</v>
      </c>
      <c r="I324" s="2" t="s">
        <v>58</v>
      </c>
      <c r="J324" s="2" t="s">
        <v>59</v>
      </c>
      <c r="K324" s="2"/>
      <c r="L324" s="2" t="s">
        <v>60</v>
      </c>
      <c r="M324" s="2" t="s">
        <v>61</v>
      </c>
      <c r="N324" s="2" t="s">
        <v>894</v>
      </c>
      <c r="O324" s="2" t="s">
        <v>895</v>
      </c>
      <c r="P324" s="2" t="s">
        <v>896</v>
      </c>
      <c r="Q324" s="2" t="s">
        <v>912</v>
      </c>
      <c r="R324" s="2"/>
    </row>
    <row r="325" spans="1:18">
      <c r="A325" s="2" t="s">
        <v>914</v>
      </c>
      <c r="B325" s="2" t="s">
        <v>915</v>
      </c>
      <c r="C325" s="2" t="s">
        <v>893</v>
      </c>
      <c r="D325" s="2">
        <v>-4478</v>
      </c>
      <c r="E325" s="2">
        <v>1000000</v>
      </c>
      <c r="F325" s="3">
        <f>IF(COUNT(D325,E325)=2,D325*E325,NA())</f>
        <v>-4478000000.0</v>
      </c>
      <c r="G325" s="2" t="s">
        <v>56</v>
      </c>
      <c r="H325" s="2" t="s">
        <v>57</v>
      </c>
      <c r="I325" s="2" t="s">
        <v>58</v>
      </c>
      <c r="J325" s="2" t="s">
        <v>59</v>
      </c>
      <c r="K325" s="2"/>
      <c r="L325" s="2" t="s">
        <v>60</v>
      </c>
      <c r="M325" s="2" t="s">
        <v>61</v>
      </c>
      <c r="N325" s="2" t="s">
        <v>894</v>
      </c>
      <c r="O325" s="2" t="s">
        <v>895</v>
      </c>
      <c r="P325" s="2" t="s">
        <v>896</v>
      </c>
      <c r="Q325" s="2" t="s">
        <v>914</v>
      </c>
      <c r="R325" s="2"/>
    </row>
    <row r="326" spans="1:18">
      <c r="A326" s="2" t="s">
        <v>916</v>
      </c>
      <c r="B326" s="2" t="s">
        <v>917</v>
      </c>
      <c r="C326" s="2" t="s">
        <v>893</v>
      </c>
      <c r="D326" s="2">
        <v>-91</v>
      </c>
      <c r="E326" s="2">
        <v>1000000</v>
      </c>
      <c r="F326" s="3">
        <f>IF(COUNT(D326,E326)=2,D326*E326,NA())</f>
        <v>-91000000.0</v>
      </c>
      <c r="G326" s="2" t="s">
        <v>56</v>
      </c>
      <c r="H326" s="2" t="s">
        <v>57</v>
      </c>
      <c r="I326" s="2" t="s">
        <v>58</v>
      </c>
      <c r="J326" s="2" t="s">
        <v>59</v>
      </c>
      <c r="K326" s="2"/>
      <c r="L326" s="2" t="s">
        <v>60</v>
      </c>
      <c r="M326" s="2" t="s">
        <v>61</v>
      </c>
      <c r="N326" s="2" t="s">
        <v>894</v>
      </c>
      <c r="O326" s="2" t="s">
        <v>895</v>
      </c>
      <c r="P326" s="2" t="s">
        <v>896</v>
      </c>
      <c r="Q326" s="2" t="s">
        <v>916</v>
      </c>
      <c r="R326" s="2"/>
    </row>
    <row r="327" spans="1:18">
      <c r="A327" s="2" t="s">
        <v>918</v>
      </c>
      <c r="B327" s="2" t="s">
        <v>919</v>
      </c>
      <c r="C327" s="2" t="s">
        <v>893</v>
      </c>
      <c r="D327" s="2">
        <v>-1911</v>
      </c>
      <c r="E327" s="2">
        <v>1000000</v>
      </c>
      <c r="F327" s="3">
        <f>IF(COUNT(D327,E327)=2,D327*E327,NA())</f>
        <v>-1911000000.0</v>
      </c>
      <c r="G327" s="2" t="s">
        <v>56</v>
      </c>
      <c r="H327" s="2" t="s">
        <v>57</v>
      </c>
      <c r="I327" s="2" t="s">
        <v>58</v>
      </c>
      <c r="J327" s="2" t="s">
        <v>59</v>
      </c>
      <c r="K327" s="2"/>
      <c r="L327" s="2" t="s">
        <v>60</v>
      </c>
      <c r="M327" s="2" t="s">
        <v>61</v>
      </c>
      <c r="N327" s="2" t="s">
        <v>894</v>
      </c>
      <c r="O327" s="2" t="s">
        <v>895</v>
      </c>
      <c r="P327" s="2" t="s">
        <v>896</v>
      </c>
      <c r="Q327" s="2" t="s">
        <v>918</v>
      </c>
      <c r="R327" s="2"/>
    </row>
    <row r="328" spans="1:18">
      <c r="A328" s="2" t="s">
        <v>920</v>
      </c>
      <c r="B328" s="2" t="s">
        <v>921</v>
      </c>
      <c r="C328" s="2" t="s">
        <v>893</v>
      </c>
      <c r="D328" s="2">
        <v>-1</v>
      </c>
      <c r="E328" s="2">
        <v>1000000</v>
      </c>
      <c r="F328" s="3">
        <f>IF(COUNT(D328,E328)=2,D328*E328,NA())</f>
        <v>-1000000.0</v>
      </c>
      <c r="G328" s="2" t="s">
        <v>56</v>
      </c>
      <c r="H328" s="2" t="s">
        <v>57</v>
      </c>
      <c r="I328" s="2" t="s">
        <v>58</v>
      </c>
      <c r="J328" s="2" t="s">
        <v>59</v>
      </c>
      <c r="K328" s="2"/>
      <c r="L328" s="2" t="s">
        <v>60</v>
      </c>
      <c r="M328" s="2" t="s">
        <v>61</v>
      </c>
      <c r="N328" s="2" t="s">
        <v>894</v>
      </c>
      <c r="O328" s="2" t="s">
        <v>895</v>
      </c>
      <c r="P328" s="2" t="s">
        <v>896</v>
      </c>
      <c r="Q328" s="2" t="s">
        <v>920</v>
      </c>
      <c r="R328" s="2"/>
    </row>
    <row r="329" spans="1:18">
      <c r="A329" s="2" t="s">
        <v>922</v>
      </c>
      <c r="B329" s="2" t="s">
        <v>923</v>
      </c>
      <c r="C329" s="2" t="s">
        <v>893</v>
      </c>
      <c r="D329" s="2">
        <v>762</v>
      </c>
      <c r="E329" s="2">
        <v>1000000</v>
      </c>
      <c r="F329" s="3">
        <f>IF(COUNT(D329,E329)=2,D329*E329,NA())</f>
        <v>762000000.0</v>
      </c>
      <c r="G329" s="2" t="s">
        <v>56</v>
      </c>
      <c r="H329" s="2" t="s">
        <v>57</v>
      </c>
      <c r="I329" s="2" t="s">
        <v>58</v>
      </c>
      <c r="J329" s="2" t="s">
        <v>59</v>
      </c>
      <c r="K329" s="2"/>
      <c r="L329" s="2" t="s">
        <v>60</v>
      </c>
      <c r="M329" s="2" t="s">
        <v>61</v>
      </c>
      <c r="N329" s="2" t="s">
        <v>894</v>
      </c>
      <c r="O329" s="2" t="s">
        <v>895</v>
      </c>
      <c r="P329" s="2" t="s">
        <v>896</v>
      </c>
      <c r="Q329" s="2" t="s">
        <v>922</v>
      </c>
      <c r="R329" s="2"/>
    </row>
    <row r="330" spans="1:18">
      <c r="A330" s="2" t="s">
        <v>924</v>
      </c>
      <c r="B330" s="2" t="s">
        <v>925</v>
      </c>
      <c r="C330" s="2" t="s">
        <v>893</v>
      </c>
      <c r="D330" s="2">
        <v>1552</v>
      </c>
      <c r="E330" s="2">
        <v>1000000</v>
      </c>
      <c r="F330" s="3">
        <f>IF(COUNT(D330,E330)=2,D330*E330,NA())</f>
        <v>1552000000.0</v>
      </c>
      <c r="G330" s="2" t="s">
        <v>56</v>
      </c>
      <c r="H330" s="2" t="s">
        <v>57</v>
      </c>
      <c r="I330" s="2" t="s">
        <v>58</v>
      </c>
      <c r="J330" s="2" t="s">
        <v>59</v>
      </c>
      <c r="K330" s="2"/>
      <c r="L330" s="2" t="s">
        <v>60</v>
      </c>
      <c r="M330" s="2" t="s">
        <v>61</v>
      </c>
      <c r="N330" s="2" t="s">
        <v>894</v>
      </c>
      <c r="O330" s="2" t="s">
        <v>895</v>
      </c>
      <c r="P330" s="2" t="s">
        <v>896</v>
      </c>
      <c r="Q330" s="2" t="s">
        <v>924</v>
      </c>
      <c r="R330" s="2"/>
    </row>
    <row r="331" spans="1:18">
      <c r="A331" s="2" t="s">
        <v>926</v>
      </c>
      <c r="B331" s="2" t="s">
        <v>927</v>
      </c>
      <c r="C331" s="2" t="s">
        <v>893</v>
      </c>
      <c r="D331" s="2">
        <v>-4317</v>
      </c>
      <c r="E331" s="2">
        <v>1000000</v>
      </c>
      <c r="F331" s="3">
        <f>IF(COUNT(D331,E331)=2,D331*E331,NA())</f>
        <v>-4317000000.0</v>
      </c>
      <c r="G331" s="2" t="s">
        <v>56</v>
      </c>
      <c r="H331" s="2" t="s">
        <v>57</v>
      </c>
      <c r="I331" s="2" t="s">
        <v>58</v>
      </c>
      <c r="J331" s="2" t="s">
        <v>59</v>
      </c>
      <c r="K331" s="2"/>
      <c r="L331" s="2" t="s">
        <v>60</v>
      </c>
      <c r="M331" s="2" t="s">
        <v>61</v>
      </c>
      <c r="N331" s="2" t="s">
        <v>894</v>
      </c>
      <c r="O331" s="2" t="s">
        <v>895</v>
      </c>
      <c r="P331" s="2" t="s">
        <v>896</v>
      </c>
      <c r="Q331" s="2" t="s">
        <v>926</v>
      </c>
      <c r="R331" s="2"/>
    </row>
    <row r="332" spans="1:18">
      <c r="A332" s="2" t="s">
        <v>928</v>
      </c>
      <c r="B332" s="2" t="s">
        <v>929</v>
      </c>
      <c r="C332" s="2" t="s">
        <v>893</v>
      </c>
      <c r="D332" s="2">
        <v>-161</v>
      </c>
      <c r="E332" s="2">
        <v>1000000</v>
      </c>
      <c r="F332" s="3">
        <f>IF(COUNT(D332,E332)=2,D332*E332,NA())</f>
        <v>-161000000.0</v>
      </c>
      <c r="G332" s="2" t="s">
        <v>56</v>
      </c>
      <c r="H332" s="2" t="s">
        <v>57</v>
      </c>
      <c r="I332" s="2" t="s">
        <v>58</v>
      </c>
      <c r="J332" s="2" t="s">
        <v>59</v>
      </c>
      <c r="K332" s="2"/>
      <c r="L332" s="2" t="s">
        <v>60</v>
      </c>
      <c r="M332" s="2" t="s">
        <v>61</v>
      </c>
      <c r="N332" s="2" t="s">
        <v>894</v>
      </c>
      <c r="O332" s="2" t="s">
        <v>895</v>
      </c>
      <c r="P332" s="2" t="s">
        <v>896</v>
      </c>
      <c r="Q332" s="2" t="s">
        <v>928</v>
      </c>
      <c r="R332" s="2"/>
    </row>
    <row r="333" spans="1:18">
      <c r="A333" s="2" t="s">
        <v>930</v>
      </c>
      <c r="B333" s="2" t="s">
        <v>931</v>
      </c>
      <c r="C333" s="2" t="s">
        <v>893</v>
      </c>
      <c r="D333" s="2">
        <v>-1635</v>
      </c>
      <c r="E333" s="2">
        <v>1000000</v>
      </c>
      <c r="F333" s="3">
        <f>IF(COUNT(D333,E333)=2,D333*E333,NA())</f>
        <v>-1635000000.0</v>
      </c>
      <c r="G333" s="2" t="s">
        <v>56</v>
      </c>
      <c r="H333" s="2" t="s">
        <v>57</v>
      </c>
      <c r="I333" s="2" t="s">
        <v>58</v>
      </c>
      <c r="J333" s="2" t="s">
        <v>59</v>
      </c>
      <c r="K333" s="2"/>
      <c r="L333" s="2" t="s">
        <v>60</v>
      </c>
      <c r="M333" s="2" t="s">
        <v>61</v>
      </c>
      <c r="N333" s="2" t="s">
        <v>62</v>
      </c>
      <c r="O333" s="2" t="s">
        <v>895</v>
      </c>
      <c r="P333" s="2" t="s">
        <v>907</v>
      </c>
      <c r="Q333" s="2" t="s">
        <v>930</v>
      </c>
      <c r="R333" s="2"/>
    </row>
    <row r="334" spans="1:18">
      <c r="A334" s="2" t="s">
        <v>932</v>
      </c>
      <c r="B334" s="2" t="s">
        <v>933</v>
      </c>
      <c r="C334" s="2" t="s">
        <v>893</v>
      </c>
      <c r="D334" s="2">
        <v>-1796</v>
      </c>
      <c r="E334" s="2">
        <v>1000000</v>
      </c>
      <c r="F334" s="3">
        <f>IF(COUNT(D334,E334)=2,D334*E334,NA())</f>
        <v>-1796000000.0</v>
      </c>
      <c r="G334" s="2" t="s">
        <v>56</v>
      </c>
      <c r="H334" s="2" t="s">
        <v>57</v>
      </c>
      <c r="I334" s="2" t="s">
        <v>58</v>
      </c>
      <c r="J334" s="2" t="s">
        <v>59</v>
      </c>
      <c r="K334" s="2"/>
      <c r="L334" s="2" t="s">
        <v>60</v>
      </c>
      <c r="M334" s="2" t="s">
        <v>61</v>
      </c>
      <c r="N334" s="2" t="s">
        <v>894</v>
      </c>
      <c r="O334" s="2" t="s">
        <v>895</v>
      </c>
      <c r="P334" s="2" t="s">
        <v>896</v>
      </c>
      <c r="Q334" s="2" t="s">
        <v>932</v>
      </c>
      <c r="R334" s="2"/>
    </row>
    <row r="335" spans="1:18">
      <c r="A335" s="2" t="s">
        <v>934</v>
      </c>
      <c r="B335" s="2" t="s">
        <v>935</v>
      </c>
      <c r="C335" s="2" t="s">
        <v>936</v>
      </c>
      <c r="D335" s="2">
        <v>1103</v>
      </c>
      <c r="E335" s="2">
        <v>1000000</v>
      </c>
      <c r="F335" s="3">
        <f>IF(COUNT(D335,E335)=2,D335*E335,NA())</f>
        <v>1103000000.0</v>
      </c>
      <c r="G335" s="2" t="s">
        <v>56</v>
      </c>
      <c r="H335" s="2" t="s">
        <v>57</v>
      </c>
      <c r="I335" s="2" t="s">
        <v>58</v>
      </c>
      <c r="J335" s="2" t="s">
        <v>59</v>
      </c>
      <c r="K335" s="2" t="s">
        <v>242</v>
      </c>
      <c r="L335" s="2" t="s">
        <v>60</v>
      </c>
      <c r="M335" s="2" t="s">
        <v>243</v>
      </c>
      <c r="N335" s="2" t="s">
        <v>62</v>
      </c>
      <c r="O335" s="2" t="s">
        <v>895</v>
      </c>
      <c r="P335" s="2" t="s">
        <v>907</v>
      </c>
      <c r="Q335" s="2" t="s">
        <v>934</v>
      </c>
      <c r="R335" s="2"/>
    </row>
    <row r="336" spans="1:18">
      <c r="A336" s="2" t="s">
        <v>937</v>
      </c>
      <c r="B336" s="2" t="s">
        <v>938</v>
      </c>
      <c r="C336" s="2" t="s">
        <v>936</v>
      </c>
      <c r="D336" s="2">
        <v>-972</v>
      </c>
      <c r="E336" s="2">
        <v>1000000</v>
      </c>
      <c r="F336" s="3">
        <f>IF(COUNT(D336,E336)=2,D336*E336,NA())</f>
        <v>-972000000.0</v>
      </c>
      <c r="G336" s="2" t="s">
        <v>56</v>
      </c>
      <c r="H336" s="2" t="s">
        <v>57</v>
      </c>
      <c r="I336" s="2" t="s">
        <v>58</v>
      </c>
      <c r="J336" s="2" t="s">
        <v>59</v>
      </c>
      <c r="K336" s="2" t="s">
        <v>242</v>
      </c>
      <c r="L336" s="2" t="s">
        <v>60</v>
      </c>
      <c r="M336" s="2" t="s">
        <v>243</v>
      </c>
      <c r="N336" s="2" t="s">
        <v>62</v>
      </c>
      <c r="O336" s="2" t="s">
        <v>895</v>
      </c>
      <c r="P336" s="2" t="s">
        <v>907</v>
      </c>
      <c r="Q336" s="2" t="s">
        <v>937</v>
      </c>
      <c r="R336" s="2"/>
    </row>
    <row r="337" spans="1:18">
      <c r="A337" s="2" t="s">
        <v>939</v>
      </c>
      <c r="B337" s="2" t="s">
        <v>940</v>
      </c>
      <c r="C337" s="2" t="s">
        <v>936</v>
      </c>
      <c r="D337" s="2">
        <v>85</v>
      </c>
      <c r="E337" s="2">
        <v>1000000</v>
      </c>
      <c r="F337" s="3">
        <f>IF(COUNT(D337,E337)=2,D337*E337,NA())</f>
        <v>85000000.0</v>
      </c>
      <c r="G337" s="2" t="s">
        <v>56</v>
      </c>
      <c r="H337" s="2" t="s">
        <v>57</v>
      </c>
      <c r="I337" s="2" t="s">
        <v>58</v>
      </c>
      <c r="J337" s="2" t="s">
        <v>59</v>
      </c>
      <c r="K337" s="2" t="s">
        <v>242</v>
      </c>
      <c r="L337" s="2" t="s">
        <v>60</v>
      </c>
      <c r="M337" s="2" t="s">
        <v>243</v>
      </c>
      <c r="N337" s="2" t="s">
        <v>894</v>
      </c>
      <c r="O337" s="2" t="s">
        <v>895</v>
      </c>
      <c r="P337" s="2" t="s">
        <v>896</v>
      </c>
      <c r="Q337" s="2" t="s">
        <v>939</v>
      </c>
      <c r="R337" s="2"/>
    </row>
    <row r="338" spans="1:18">
      <c r="A338" s="2" t="s">
        <v>941</v>
      </c>
      <c r="B338" s="2" t="s">
        <v>942</v>
      </c>
      <c r="C338" s="2" t="s">
        <v>936</v>
      </c>
      <c r="D338" s="2">
        <v>-887</v>
      </c>
      <c r="E338" s="2">
        <v>1000000</v>
      </c>
      <c r="F338" s="3">
        <f>IF(COUNT(D338,E338)=2,D338*E338,NA())</f>
        <v>-887000000.0</v>
      </c>
      <c r="G338" s="2" t="s">
        <v>56</v>
      </c>
      <c r="H338" s="2" t="s">
        <v>57</v>
      </c>
      <c r="I338" s="2" t="s">
        <v>58</v>
      </c>
      <c r="J338" s="2" t="s">
        <v>59</v>
      </c>
      <c r="K338" s="2" t="s">
        <v>242</v>
      </c>
      <c r="L338" s="2" t="s">
        <v>60</v>
      </c>
      <c r="M338" s="2" t="s">
        <v>243</v>
      </c>
      <c r="N338" s="2" t="s">
        <v>894</v>
      </c>
      <c r="O338" s="2" t="s">
        <v>895</v>
      </c>
      <c r="P338" s="2" t="s">
        <v>896</v>
      </c>
      <c r="Q338" s="2" t="s">
        <v>941</v>
      </c>
      <c r="R338" s="2"/>
    </row>
    <row r="339" spans="1:18">
      <c r="A339" s="2" t="s">
        <v>943</v>
      </c>
      <c r="B339" s="2" t="s">
        <v>944</v>
      </c>
      <c r="C339" s="2" t="s">
        <v>936</v>
      </c>
      <c r="D339" s="2">
        <v>1188</v>
      </c>
      <c r="E339" s="2">
        <v>1000000</v>
      </c>
      <c r="F339" s="3">
        <f>IF(COUNT(D339,E339)=2,D339*E339,NA())</f>
        <v>1188000000.0</v>
      </c>
      <c r="G339" s="2" t="s">
        <v>56</v>
      </c>
      <c r="H339" s="2" t="s">
        <v>57</v>
      </c>
      <c r="I339" s="2" t="s">
        <v>58</v>
      </c>
      <c r="J339" s="2" t="s">
        <v>59</v>
      </c>
      <c r="K339" s="2" t="s">
        <v>242</v>
      </c>
      <c r="L339" s="2" t="s">
        <v>60</v>
      </c>
      <c r="M339" s="2" t="s">
        <v>243</v>
      </c>
      <c r="N339" s="2" t="s">
        <v>894</v>
      </c>
      <c r="O339" s="2" t="s">
        <v>895</v>
      </c>
      <c r="P339" s="2" t="s">
        <v>896</v>
      </c>
      <c r="Q339" s="2" t="s">
        <v>943</v>
      </c>
      <c r="R339" s="2"/>
    </row>
    <row r="340" spans="1:18">
      <c r="A340" s="2" t="s">
        <v>945</v>
      </c>
      <c r="B340" s="2" t="s">
        <v>946</v>
      </c>
      <c r="C340" s="2" t="s">
        <v>654</v>
      </c>
      <c r="D340" s="2">
        <v>4958</v>
      </c>
      <c r="E340" s="2">
        <v>1000000</v>
      </c>
      <c r="F340" s="3">
        <f>IF(COUNT(D340,E340)=2,D340*E340,NA())</f>
        <v>4958000000.0</v>
      </c>
      <c r="G340" s="2" t="s">
        <v>56</v>
      </c>
      <c r="H340" s="2" t="s">
        <v>57</v>
      </c>
      <c r="I340" s="2" t="s">
        <v>58</v>
      </c>
      <c r="J340" s="2" t="s">
        <v>947</v>
      </c>
      <c r="K340" s="2"/>
      <c r="L340" s="2" t="s">
        <v>521</v>
      </c>
      <c r="M340" s="2" t="s">
        <v>61</v>
      </c>
      <c r="N340" s="2" t="s">
        <v>62</v>
      </c>
      <c r="O340" s="2" t="s">
        <v>11</v>
      </c>
      <c r="P340" s="2" t="s">
        <v>948</v>
      </c>
      <c r="Q340" s="2" t="s">
        <v>945</v>
      </c>
      <c r="R340" s="2"/>
    </row>
    <row r="341" spans="1:18">
      <c r="A341" s="2" t="s">
        <v>949</v>
      </c>
      <c r="B341" s="2" t="s">
        <v>950</v>
      </c>
      <c r="C341" s="2" t="s">
        <v>654</v>
      </c>
      <c r="D341" s="2">
        <v>4958</v>
      </c>
      <c r="E341" s="2">
        <v>1000000</v>
      </c>
      <c r="F341" s="3">
        <f>IF(COUNT(D341,E341)=2,D341*E341,NA())</f>
        <v>4958000000.0</v>
      </c>
      <c r="G341" s="2" t="s">
        <v>56</v>
      </c>
      <c r="H341" s="2" t="s">
        <v>57</v>
      </c>
      <c r="I341" s="2" t="s">
        <v>58</v>
      </c>
      <c r="J341" s="2" t="s">
        <v>947</v>
      </c>
      <c r="K341" s="2" t="s">
        <v>247</v>
      </c>
      <c r="L341" s="2" t="s">
        <v>66</v>
      </c>
      <c r="M341" s="2" t="s">
        <v>243</v>
      </c>
      <c r="N341" s="2" t="s">
        <v>62</v>
      </c>
      <c r="O341" s="2" t="s">
        <v>11</v>
      </c>
      <c r="P341" s="2" t="s">
        <v>948</v>
      </c>
      <c r="Q341" s="2" t="s">
        <v>949</v>
      </c>
      <c r="R341" s="2"/>
    </row>
    <row r="342" spans="1:18">
      <c r="A342" s="2" t="s">
        <v>951</v>
      </c>
      <c r="B342" s="2" t="s">
        <v>952</v>
      </c>
      <c r="C342" s="2" t="s">
        <v>654</v>
      </c>
      <c r="D342" s="2">
        <v>0</v>
      </c>
      <c r="E342" s="2">
        <v>1000000</v>
      </c>
      <c r="F342" s="3">
        <f>IF(COUNT(D342,E342)=2,D342*E342,NA())</f>
        <v>0.0</v>
      </c>
      <c r="G342" s="2" t="s">
        <v>56</v>
      </c>
      <c r="H342" s="2" t="s">
        <v>57</v>
      </c>
      <c r="I342" s="2" t="s">
        <v>58</v>
      </c>
      <c r="J342" s="2" t="s">
        <v>947</v>
      </c>
      <c r="K342" s="2"/>
      <c r="L342" s="2" t="s">
        <v>66</v>
      </c>
      <c r="M342" s="2" t="s">
        <v>61</v>
      </c>
      <c r="N342" s="2" t="s">
        <v>62</v>
      </c>
      <c r="O342" s="2" t="s">
        <v>11</v>
      </c>
      <c r="P342" s="2" t="s">
        <v>948</v>
      </c>
      <c r="Q342" s="2" t="s">
        <v>951</v>
      </c>
      <c r="R342" s="2"/>
    </row>
    <row r="343" spans="1:18">
      <c r="A343" s="2" t="s">
        <v>953</v>
      </c>
      <c r="B343" s="2" t="s">
        <v>954</v>
      </c>
      <c r="C343" s="2" t="s">
        <v>654</v>
      </c>
      <c r="D343" s="2">
        <v>5127</v>
      </c>
      <c r="E343" s="2">
        <v>1000000</v>
      </c>
      <c r="F343" s="3">
        <f>IF(COUNT(D343,E343)=2,D343*E343,NA())</f>
        <v>5127000000.0</v>
      </c>
      <c r="G343" s="2" t="s">
        <v>56</v>
      </c>
      <c r="H343" s="2" t="s">
        <v>57</v>
      </c>
      <c r="I343" s="2" t="s">
        <v>58</v>
      </c>
      <c r="J343" s="2" t="s">
        <v>955</v>
      </c>
      <c r="K343" s="2"/>
      <c r="L343" s="2" t="s">
        <v>66</v>
      </c>
      <c r="M343" s="2" t="s">
        <v>61</v>
      </c>
      <c r="N343" s="2" t="s">
        <v>62</v>
      </c>
      <c r="O343" s="2" t="s">
        <v>11</v>
      </c>
      <c r="P343" s="2" t="s">
        <v>956</v>
      </c>
      <c r="Q343" s="2" t="s">
        <v>953</v>
      </c>
      <c r="R343" s="2"/>
    </row>
    <row r="344" spans="1:18">
      <c r="A344" s="2" t="s">
        <v>957</v>
      </c>
      <c r="B344" s="2" t="s">
        <v>958</v>
      </c>
      <c r="C344" s="2" t="s">
        <v>959</v>
      </c>
      <c r="D344" s="2">
        <v>4250</v>
      </c>
      <c r="E344" s="2">
        <v>1000000</v>
      </c>
      <c r="F344" s="3">
        <f>IF(COUNT(D344,E344)=2,D344*E344,NA())</f>
        <v>4250000000.0</v>
      </c>
      <c r="G344" s="2" t="s">
        <v>56</v>
      </c>
      <c r="H344" s="2" t="s">
        <v>57</v>
      </c>
      <c r="I344" s="2" t="s">
        <v>58</v>
      </c>
      <c r="J344" s="2" t="s">
        <v>59</v>
      </c>
      <c r="K344" s="2"/>
      <c r="L344" s="2" t="s">
        <v>960</v>
      </c>
      <c r="M344" s="2" t="s">
        <v>61</v>
      </c>
      <c r="N344" s="2" t="s">
        <v>62</v>
      </c>
      <c r="O344" s="2" t="s">
        <v>961</v>
      </c>
      <c r="P344" s="2" t="s">
        <v>962</v>
      </c>
      <c r="Q344" s="2" t="s">
        <v>957</v>
      </c>
      <c r="R344" s="2"/>
    </row>
    <row r="345" spans="1:18">
      <c r="A345" s="2" t="s">
        <v>963</v>
      </c>
      <c r="B345" s="2" t="s">
        <v>964</v>
      </c>
      <c r="C345" s="2" t="s">
        <v>959</v>
      </c>
      <c r="D345" s="2">
        <v>4250</v>
      </c>
      <c r="E345" s="2">
        <v>1000000</v>
      </c>
      <c r="F345" s="3">
        <f>IF(COUNT(D345,E345)=2,D345*E345,NA())</f>
        <v>4250000000.0</v>
      </c>
      <c r="G345" s="2" t="s">
        <v>56</v>
      </c>
      <c r="H345" s="2" t="s">
        <v>57</v>
      </c>
      <c r="I345" s="2" t="s">
        <v>58</v>
      </c>
      <c r="J345" s="2" t="s">
        <v>59</v>
      </c>
      <c r="K345" s="2"/>
      <c r="L345" s="2" t="s">
        <v>960</v>
      </c>
      <c r="M345" s="2" t="s">
        <v>61</v>
      </c>
      <c r="N345" s="2" t="s">
        <v>62</v>
      </c>
      <c r="O345" s="2" t="s">
        <v>961</v>
      </c>
      <c r="P345" s="2" t="s">
        <v>962</v>
      </c>
      <c r="Q345" s="2" t="s">
        <v>963</v>
      </c>
      <c r="R345" s="2"/>
    </row>
    <row r="346" spans="1:18">
      <c r="A346" s="2" t="s">
        <v>965</v>
      </c>
      <c r="B346" s="2" t="s">
        <v>966</v>
      </c>
      <c r="C346" s="2" t="s">
        <v>967</v>
      </c>
      <c r="D346" s="2">
        <v>599</v>
      </c>
      <c r="E346" s="2">
        <v>1000000</v>
      </c>
      <c r="F346" s="3">
        <f>IF(COUNT(D346,E346)=2,D346*E346,NA())</f>
        <v>599000000.0</v>
      </c>
      <c r="G346" s="2" t="s">
        <v>56</v>
      </c>
      <c r="H346" s="2" t="s">
        <v>57</v>
      </c>
      <c r="I346" s="2" t="s">
        <v>58</v>
      </c>
      <c r="J346" s="2" t="s">
        <v>59</v>
      </c>
      <c r="K346" s="2" t="s">
        <v>242</v>
      </c>
      <c r="L346" s="2" t="s">
        <v>60</v>
      </c>
      <c r="M346" s="2" t="s">
        <v>243</v>
      </c>
      <c r="N346" s="2" t="s">
        <v>62</v>
      </c>
      <c r="O346" s="2" t="s">
        <v>11</v>
      </c>
      <c r="P346" s="2"/>
      <c r="Q346" s="2" t="s">
        <v>965</v>
      </c>
      <c r="R346" s="2"/>
    </row>
    <row r="347" spans="1:18">
      <c r="A347" s="2" t="s">
        <v>968</v>
      </c>
      <c r="B347" s="2" t="s">
        <v>969</v>
      </c>
      <c r="C347" s="2" t="s">
        <v>967</v>
      </c>
      <c r="D347" s="2">
        <v>147</v>
      </c>
      <c r="E347" s="2">
        <v>1000000</v>
      </c>
      <c r="F347" s="3">
        <f>IF(COUNT(D347,E347)=2,D347*E347,NA())</f>
        <v>147000000.0</v>
      </c>
      <c r="G347" s="2" t="s">
        <v>56</v>
      </c>
      <c r="H347" s="2" t="s">
        <v>57</v>
      </c>
      <c r="I347" s="2" t="s">
        <v>58</v>
      </c>
      <c r="J347" s="2" t="s">
        <v>59</v>
      </c>
      <c r="K347" s="2" t="s">
        <v>242</v>
      </c>
      <c r="L347" s="2" t="s">
        <v>60</v>
      </c>
      <c r="M347" s="2" t="s">
        <v>243</v>
      </c>
      <c r="N347" s="2" t="s">
        <v>62</v>
      </c>
      <c r="O347" s="2" t="s">
        <v>11</v>
      </c>
      <c r="P347" s="2"/>
      <c r="Q347" s="2" t="s">
        <v>968</v>
      </c>
      <c r="R347" s="2"/>
    </row>
    <row r="348" spans="1:18">
      <c r="A348" s="2" t="s">
        <v>970</v>
      </c>
      <c r="B348" s="2" t="s">
        <v>971</v>
      </c>
      <c r="C348" s="2" t="s">
        <v>972</v>
      </c>
      <c r="D348" s="2">
        <v>519</v>
      </c>
      <c r="E348" s="2">
        <v>1000000</v>
      </c>
      <c r="F348" s="3">
        <f>IF(COUNT(D348,E348)=2,D348*E348,NA())</f>
        <v>519000000.0</v>
      </c>
      <c r="G348" s="2" t="s">
        <v>56</v>
      </c>
      <c r="H348" s="2" t="s">
        <v>57</v>
      </c>
      <c r="I348" s="2" t="s">
        <v>58</v>
      </c>
      <c r="J348" s="2" t="s">
        <v>59</v>
      </c>
      <c r="K348" s="2" t="s">
        <v>242</v>
      </c>
      <c r="L348" s="2" t="s">
        <v>60</v>
      </c>
      <c r="M348" s="2" t="s">
        <v>243</v>
      </c>
      <c r="N348" s="2" t="s">
        <v>62</v>
      </c>
      <c r="O348" s="2" t="s">
        <v>11</v>
      </c>
      <c r="P348" s="2"/>
      <c r="Q348" s="2" t="s">
        <v>970</v>
      </c>
      <c r="R348" s="2"/>
    </row>
    <row r="349" spans="1:18">
      <c r="A349" s="2" t="s">
        <v>973</v>
      </c>
      <c r="B349" s="2" t="s">
        <v>974</v>
      </c>
      <c r="C349" s="2" t="s">
        <v>975</v>
      </c>
      <c r="D349" s="2">
        <v>956</v>
      </c>
      <c r="E349" s="2">
        <v>1000000</v>
      </c>
      <c r="F349" s="3">
        <f>IF(COUNT(D349,E349)=2,D349*E349,NA())</f>
        <v>956000000.0</v>
      </c>
      <c r="G349" s="2" t="s">
        <v>56</v>
      </c>
      <c r="H349" s="2" t="s">
        <v>57</v>
      </c>
      <c r="I349" s="2" t="s">
        <v>58</v>
      </c>
      <c r="J349" s="2" t="s">
        <v>59</v>
      </c>
      <c r="K349" s="2" t="s">
        <v>242</v>
      </c>
      <c r="L349" s="2" t="s">
        <v>60</v>
      </c>
      <c r="M349" s="2" t="s">
        <v>243</v>
      </c>
      <c r="N349" s="2" t="s">
        <v>62</v>
      </c>
      <c r="O349" s="2" t="s">
        <v>11</v>
      </c>
      <c r="P349" s="2"/>
      <c r="Q349" s="2" t="s">
        <v>973</v>
      </c>
      <c r="R349" s="2"/>
    </row>
    <row r="350" spans="1:18">
      <c r="A350" s="2" t="s">
        <v>976</v>
      </c>
      <c r="B350" s="2" t="s">
        <v>977</v>
      </c>
      <c r="C350" s="2" t="s">
        <v>975</v>
      </c>
      <c r="D350" s="2">
        <v>31</v>
      </c>
      <c r="E350" s="2">
        <v>1000000</v>
      </c>
      <c r="F350" s="3">
        <f>IF(COUNT(D350,E350)=2,D350*E350,NA())</f>
        <v>31000000.0</v>
      </c>
      <c r="G350" s="2" t="s">
        <v>56</v>
      </c>
      <c r="H350" s="2" t="s">
        <v>57</v>
      </c>
      <c r="I350" s="2" t="s">
        <v>58</v>
      </c>
      <c r="J350" s="2" t="s">
        <v>59</v>
      </c>
      <c r="K350" s="2" t="s">
        <v>242</v>
      </c>
      <c r="L350" s="2" t="s">
        <v>60</v>
      </c>
      <c r="M350" s="2" t="s">
        <v>243</v>
      </c>
      <c r="N350" s="2" t="s">
        <v>62</v>
      </c>
      <c r="O350" s="2" t="s">
        <v>11</v>
      </c>
      <c r="P350" s="2"/>
      <c r="Q350" s="2" t="s">
        <v>976</v>
      </c>
      <c r="R350" s="2"/>
    </row>
    <row r="351" spans="1:18">
      <c r="A351" s="2" t="s">
        <v>978</v>
      </c>
      <c r="B351" s="2" t="s">
        <v>979</v>
      </c>
      <c r="C351" s="2" t="s">
        <v>975</v>
      </c>
      <c r="D351" s="2">
        <v>15</v>
      </c>
      <c r="E351" s="2">
        <v>1000000</v>
      </c>
      <c r="F351" s="3">
        <f>IF(COUNT(D351,E351)=2,D351*E351,NA())</f>
        <v>15000000.0</v>
      </c>
      <c r="G351" s="2" t="s">
        <v>56</v>
      </c>
      <c r="H351" s="2" t="s">
        <v>57</v>
      </c>
      <c r="I351" s="2" t="s">
        <v>58</v>
      </c>
      <c r="J351" s="2" t="s">
        <v>59</v>
      </c>
      <c r="K351" s="2" t="s">
        <v>242</v>
      </c>
      <c r="L351" s="2" t="s">
        <v>60</v>
      </c>
      <c r="M351" s="2" t="s">
        <v>243</v>
      </c>
      <c r="N351" s="2" t="s">
        <v>62</v>
      </c>
      <c r="O351" s="2" t="s">
        <v>11</v>
      </c>
      <c r="P351" s="2"/>
      <c r="Q351" s="2" t="s">
        <v>978</v>
      </c>
      <c r="R351" s="2"/>
    </row>
    <row r="352" spans="1:18">
      <c r="A352" s="2" t="s">
        <v>980</v>
      </c>
      <c r="B352" s="2" t="s">
        <v>981</v>
      </c>
      <c r="C352" s="2" t="s">
        <v>982</v>
      </c>
      <c r="D352" s="2">
        <v>965</v>
      </c>
      <c r="E352" s="2">
        <v>1000000</v>
      </c>
      <c r="F352" s="3">
        <f>IF(COUNT(D352,E352)=2,D352*E352,NA())</f>
        <v>965000000.0</v>
      </c>
      <c r="G352" s="2" t="s">
        <v>56</v>
      </c>
      <c r="H352" s="2" t="s">
        <v>57</v>
      </c>
      <c r="I352" s="2" t="s">
        <v>58</v>
      </c>
      <c r="J352" s="2" t="s">
        <v>59</v>
      </c>
      <c r="K352" s="2" t="s">
        <v>242</v>
      </c>
      <c r="L352" s="2" t="s">
        <v>60</v>
      </c>
      <c r="M352" s="2" t="s">
        <v>243</v>
      </c>
      <c r="N352" s="2" t="s">
        <v>62</v>
      </c>
      <c r="O352" s="2" t="s">
        <v>11</v>
      </c>
      <c r="P352" s="2"/>
      <c r="Q352" s="2" t="s">
        <v>980</v>
      </c>
      <c r="R352" s="2"/>
    </row>
    <row r="353" spans="1:18">
      <c r="A353" s="2" t="s">
        <v>983</v>
      </c>
      <c r="B353" s="2" t="s">
        <v>984</v>
      </c>
      <c r="C353" s="2" t="s">
        <v>975</v>
      </c>
      <c r="D353" s="2">
        <v>15</v>
      </c>
      <c r="E353" s="2">
        <v>1000000</v>
      </c>
      <c r="F353" s="3">
        <f>IF(COUNT(D353,E353)=2,D353*E353,NA())</f>
        <v>15000000.0</v>
      </c>
      <c r="G353" s="2" t="s">
        <v>56</v>
      </c>
      <c r="H353" s="2" t="s">
        <v>57</v>
      </c>
      <c r="I353" s="2" t="s">
        <v>58</v>
      </c>
      <c r="J353" s="2" t="s">
        <v>59</v>
      </c>
      <c r="K353" s="2" t="s">
        <v>242</v>
      </c>
      <c r="L353" s="2" t="s">
        <v>60</v>
      </c>
      <c r="M353" s="2" t="s">
        <v>243</v>
      </c>
      <c r="N353" s="2" t="s">
        <v>62</v>
      </c>
      <c r="O353" s="2" t="s">
        <v>11</v>
      </c>
      <c r="P353" s="2"/>
      <c r="Q353" s="2" t="s">
        <v>983</v>
      </c>
      <c r="R353" s="2"/>
    </row>
    <row r="354" spans="1:18">
      <c r="A354" s="2" t="s">
        <v>985</v>
      </c>
      <c r="B354" s="2" t="s">
        <v>986</v>
      </c>
      <c r="C354" s="2" t="s">
        <v>987</v>
      </c>
      <c r="D354" s="2">
        <v>61</v>
      </c>
      <c r="E354" s="2">
        <v>1000000</v>
      </c>
      <c r="F354" s="3">
        <f>IF(COUNT(D354,E354)=2,D354*E354,NA())</f>
        <v>61000000.0</v>
      </c>
      <c r="G354" s="2" t="s">
        <v>56</v>
      </c>
      <c r="H354" s="2" t="s">
        <v>57</v>
      </c>
      <c r="I354" s="2" t="s">
        <v>58</v>
      </c>
      <c r="J354" s="2" t="s">
        <v>59</v>
      </c>
      <c r="K354" s="2" t="s">
        <v>242</v>
      </c>
      <c r="L354" s="2" t="s">
        <v>60</v>
      </c>
      <c r="M354" s="2" t="s">
        <v>243</v>
      </c>
      <c r="N354" s="2" t="s">
        <v>62</v>
      </c>
      <c r="O354" s="2" t="s">
        <v>11</v>
      </c>
      <c r="P354" s="2"/>
      <c r="Q354" s="2" t="s">
        <v>985</v>
      </c>
      <c r="R354" s="2"/>
    </row>
    <row r="355" spans="1:18">
      <c r="A355" s="2" t="s">
        <v>988</v>
      </c>
      <c r="B355" s="2" t="s">
        <v>989</v>
      </c>
      <c r="C355" s="2" t="s">
        <v>987</v>
      </c>
      <c r="D355" s="2">
        <v>12</v>
      </c>
      <c r="E355" s="2">
        <v>1000000</v>
      </c>
      <c r="F355" s="3">
        <f>IF(COUNT(D355,E355)=2,D355*E355,NA())</f>
        <v>12000000.0</v>
      </c>
      <c r="G355" s="2" t="s">
        <v>56</v>
      </c>
      <c r="H355" s="2" t="s">
        <v>57</v>
      </c>
      <c r="I355" s="2" t="s">
        <v>58</v>
      </c>
      <c r="J355" s="2" t="s">
        <v>59</v>
      </c>
      <c r="K355" s="2" t="s">
        <v>242</v>
      </c>
      <c r="L355" s="2" t="s">
        <v>60</v>
      </c>
      <c r="M355" s="2" t="s">
        <v>243</v>
      </c>
      <c r="N355" s="2" t="s">
        <v>62</v>
      </c>
      <c r="O355" s="2" t="s">
        <v>11</v>
      </c>
      <c r="P355" s="2"/>
      <c r="Q355" s="2" t="s">
        <v>988</v>
      </c>
      <c r="R355" s="2"/>
    </row>
    <row r="356" spans="1:18">
      <c r="A356" s="2" t="s">
        <v>990</v>
      </c>
      <c r="B356" s="2" t="s">
        <v>991</v>
      </c>
      <c r="C356" s="2" t="s">
        <v>992</v>
      </c>
      <c r="D356" s="2">
        <v>25</v>
      </c>
      <c r="E356" s="2">
        <v>1000000</v>
      </c>
      <c r="F356" s="3">
        <f>IF(COUNT(D356,E356)=2,D356*E356,NA())</f>
        <v>25000000.0</v>
      </c>
      <c r="G356" s="2" t="s">
        <v>56</v>
      </c>
      <c r="H356" s="2" t="s">
        <v>57</v>
      </c>
      <c r="I356" s="2" t="s">
        <v>58</v>
      </c>
      <c r="J356" s="2" t="s">
        <v>59</v>
      </c>
      <c r="K356" s="2" t="s">
        <v>242</v>
      </c>
      <c r="L356" s="2" t="s">
        <v>60</v>
      </c>
      <c r="M356" s="2" t="s">
        <v>243</v>
      </c>
      <c r="N356" s="2" t="s">
        <v>62</v>
      </c>
      <c r="O356" s="2" t="s">
        <v>11</v>
      </c>
      <c r="P356" s="2"/>
      <c r="Q356" s="2" t="s">
        <v>990</v>
      </c>
      <c r="R356" s="2"/>
    </row>
    <row r="357" spans="1:18">
      <c r="A357" s="2" t="s">
        <v>993</v>
      </c>
      <c r="B357" s="2" t="s">
        <v>994</v>
      </c>
      <c r="C357" s="2" t="s">
        <v>992</v>
      </c>
      <c r="D357" s="2">
        <v>4</v>
      </c>
      <c r="E357" s="2">
        <v>1000000</v>
      </c>
      <c r="F357" s="3">
        <f>IF(COUNT(D357,E357)=2,D357*E357,NA())</f>
        <v>4000000.0</v>
      </c>
      <c r="G357" s="2" t="s">
        <v>56</v>
      </c>
      <c r="H357" s="2" t="s">
        <v>57</v>
      </c>
      <c r="I357" s="2" t="s">
        <v>58</v>
      </c>
      <c r="J357" s="2" t="s">
        <v>59</v>
      </c>
      <c r="K357" s="2" t="s">
        <v>242</v>
      </c>
      <c r="L357" s="2" t="s">
        <v>60</v>
      </c>
      <c r="M357" s="2" t="s">
        <v>243</v>
      </c>
      <c r="N357" s="2" t="s">
        <v>62</v>
      </c>
      <c r="O357" s="2" t="s">
        <v>11</v>
      </c>
      <c r="P357" s="2" t="s">
        <v>995</v>
      </c>
      <c r="Q357" s="2" t="s">
        <v>993</v>
      </c>
      <c r="R357" s="2"/>
    </row>
    <row r="358" spans="1:18">
      <c r="A358" s="2" t="s">
        <v>996</v>
      </c>
      <c r="B358" s="2" t="s">
        <v>997</v>
      </c>
      <c r="C358" s="2" t="s">
        <v>992</v>
      </c>
      <c r="D358" s="2">
        <v>488</v>
      </c>
      <c r="E358" s="2">
        <v>1000000</v>
      </c>
      <c r="F358" s="3">
        <f>IF(COUNT(D358,E358)=2,D358*E358,NA())</f>
        <v>488000000.0</v>
      </c>
      <c r="G358" s="2" t="s">
        <v>56</v>
      </c>
      <c r="H358" s="2" t="s">
        <v>57</v>
      </c>
      <c r="I358" s="2" t="s">
        <v>58</v>
      </c>
      <c r="J358" s="2" t="s">
        <v>59</v>
      </c>
      <c r="K358" s="2" t="s">
        <v>242</v>
      </c>
      <c r="L358" s="2" t="s">
        <v>60</v>
      </c>
      <c r="M358" s="2" t="s">
        <v>243</v>
      </c>
      <c r="N358" s="2" t="s">
        <v>62</v>
      </c>
      <c r="O358" s="2" t="s">
        <v>11</v>
      </c>
      <c r="P358" s="2"/>
      <c r="Q358" s="2" t="s">
        <v>996</v>
      </c>
      <c r="R358" s="2"/>
    </row>
    <row r="359" spans="1:18">
      <c r="A359" s="2" t="s">
        <v>998</v>
      </c>
      <c r="B359" s="2" t="s">
        <v>999</v>
      </c>
      <c r="C359" s="2" t="s">
        <v>992</v>
      </c>
      <c r="D359" s="2">
        <v>177</v>
      </c>
      <c r="E359" s="2">
        <v>1000000</v>
      </c>
      <c r="F359" s="3">
        <f>IF(COUNT(D359,E359)=2,D359*E359,NA())</f>
        <v>177000000.0</v>
      </c>
      <c r="G359" s="2" t="s">
        <v>56</v>
      </c>
      <c r="H359" s="2" t="s">
        <v>57</v>
      </c>
      <c r="I359" s="2" t="s">
        <v>58</v>
      </c>
      <c r="J359" s="2" t="s">
        <v>59</v>
      </c>
      <c r="K359" s="2" t="s">
        <v>242</v>
      </c>
      <c r="L359" s="2" t="s">
        <v>60</v>
      </c>
      <c r="M359" s="2" t="s">
        <v>243</v>
      </c>
      <c r="N359" s="2" t="s">
        <v>62</v>
      </c>
      <c r="O359" s="2" t="s">
        <v>11</v>
      </c>
      <c r="P359" s="2"/>
      <c r="Q359" s="2" t="s">
        <v>998</v>
      </c>
      <c r="R359" s="2"/>
    </row>
    <row r="360" spans="1:18">
      <c r="A360" s="2" t="s">
        <v>1000</v>
      </c>
      <c r="B360" s="2" t="s">
        <v>1001</v>
      </c>
      <c r="C360" s="2" t="s">
        <v>967</v>
      </c>
      <c r="D360" s="2">
        <v>5.2</v>
      </c>
      <c r="E360" s="2">
        <v>0.01</v>
      </c>
      <c r="F360" s="3">
        <f>IF(COUNT(D360,E360)=2,D360*E360,NA())</f>
        <v>0.052</v>
      </c>
      <c r="G360" s="2" t="s">
        <v>765</v>
      </c>
      <c r="H360" s="2"/>
      <c r="I360" s="2" t="s">
        <v>58</v>
      </c>
      <c r="J360" s="2" t="s">
        <v>59</v>
      </c>
      <c r="K360" s="2"/>
      <c r="L360" s="2" t="s">
        <v>60</v>
      </c>
      <c r="M360" s="2" t="s">
        <v>61</v>
      </c>
      <c r="N360" s="2" t="s">
        <v>62</v>
      </c>
      <c r="O360" s="2" t="s">
        <v>11</v>
      </c>
      <c r="P360" s="2"/>
      <c r="Q360" s="2" t="s">
        <v>1000</v>
      </c>
      <c r="R360" s="2"/>
    </row>
    <row r="361" spans="1:18">
      <c r="A361" s="2" t="s">
        <v>1002</v>
      </c>
      <c r="B361" s="2" t="s">
        <v>1003</v>
      </c>
      <c r="C361" s="2" t="s">
        <v>992</v>
      </c>
      <c r="D361" s="2">
        <v>301</v>
      </c>
      <c r="E361" s="2">
        <v>1000000</v>
      </c>
      <c r="F361" s="3">
        <f>IF(COUNT(D361,E361)=2,D361*E361,NA())</f>
        <v>301000000.0</v>
      </c>
      <c r="G361" s="2" t="s">
        <v>56</v>
      </c>
      <c r="H361" s="2" t="s">
        <v>57</v>
      </c>
      <c r="I361" s="2" t="s">
        <v>58</v>
      </c>
      <c r="J361" s="2" t="s">
        <v>59</v>
      </c>
      <c r="K361" s="2"/>
      <c r="L361" s="2" t="s">
        <v>66</v>
      </c>
      <c r="M361" s="2" t="s">
        <v>61</v>
      </c>
      <c r="N361" s="2" t="s">
        <v>62</v>
      </c>
      <c r="O361" s="2" t="s">
        <v>11</v>
      </c>
      <c r="P361" s="2"/>
      <c r="Q361" s="2" t="s">
        <v>1002</v>
      </c>
      <c r="R361" s="2"/>
    </row>
    <row r="362" spans="1:18">
      <c r="A362" s="2" t="s">
        <v>1004</v>
      </c>
      <c r="B362" s="2" t="s">
        <v>1005</v>
      </c>
      <c r="C362" s="2" t="s">
        <v>992</v>
      </c>
      <c r="D362" s="2">
        <v>322</v>
      </c>
      <c r="E362" s="2">
        <v>1000000</v>
      </c>
      <c r="F362" s="3">
        <f>IF(COUNT(D362,E362)=2,D362*E362,NA())</f>
        <v>322000000.0</v>
      </c>
      <c r="G362" s="2" t="s">
        <v>56</v>
      </c>
      <c r="H362" s="2" t="s">
        <v>57</v>
      </c>
      <c r="I362" s="2" t="s">
        <v>58</v>
      </c>
      <c r="J362" s="2" t="s">
        <v>59</v>
      </c>
      <c r="K362" s="2"/>
      <c r="L362" s="2" t="s">
        <v>60</v>
      </c>
      <c r="M362" s="2" t="s">
        <v>61</v>
      </c>
      <c r="N362" s="2" t="s">
        <v>62</v>
      </c>
      <c r="O362" s="2" t="s">
        <v>11</v>
      </c>
      <c r="P362" s="2"/>
      <c r="Q362" s="2" t="s">
        <v>1004</v>
      </c>
      <c r="R362" s="2"/>
    </row>
    <row r="363" spans="1:18">
      <c r="A363" s="2" t="s">
        <v>1006</v>
      </c>
      <c r="B363" s="2" t="s">
        <v>1007</v>
      </c>
      <c r="C363" s="2" t="s">
        <v>975</v>
      </c>
      <c r="D363" s="2">
        <v>15</v>
      </c>
      <c r="E363" s="2">
        <v>1000000</v>
      </c>
      <c r="F363" s="3">
        <f>IF(COUNT(D363,E363)=2,D363*E363,NA())</f>
        <v>15000000.0</v>
      </c>
      <c r="G363" s="2" t="s">
        <v>56</v>
      </c>
      <c r="H363" s="2" t="s">
        <v>57</v>
      </c>
      <c r="I363" s="2" t="s">
        <v>58</v>
      </c>
      <c r="J363" s="2" t="s">
        <v>59</v>
      </c>
      <c r="K363" s="2" t="s">
        <v>242</v>
      </c>
      <c r="L363" s="2" t="s">
        <v>60</v>
      </c>
      <c r="M363" s="2" t="s">
        <v>894</v>
      </c>
      <c r="N363" s="2" t="s">
        <v>894</v>
      </c>
      <c r="O363" s="2" t="s">
        <v>11</v>
      </c>
      <c r="P363" s="2" t="s">
        <v>1008</v>
      </c>
      <c r="Q363" s="2" t="s">
        <v>1006</v>
      </c>
      <c r="R363" s="2"/>
    </row>
    <row r="364" spans="1:18">
      <c r="A364" s="2" t="s">
        <v>1009</v>
      </c>
      <c r="B364" s="2" t="s">
        <v>1010</v>
      </c>
      <c r="C364" s="2" t="s">
        <v>1011</v>
      </c>
      <c r="D364" s="2">
        <v>509</v>
      </c>
      <c r="E364" s="2">
        <v>1000000</v>
      </c>
      <c r="F364" s="3">
        <f>IF(COUNT(D364,E364)=2,D364*E364,NA())</f>
        <v>509000000.0</v>
      </c>
      <c r="G364" s="2" t="s">
        <v>56</v>
      </c>
      <c r="H364" s="2" t="s">
        <v>57</v>
      </c>
      <c r="I364" s="2" t="s">
        <v>58</v>
      </c>
      <c r="J364" s="2" t="s">
        <v>59</v>
      </c>
      <c r="K364" s="2" t="s">
        <v>813</v>
      </c>
      <c r="L364" s="2" t="s">
        <v>783</v>
      </c>
      <c r="M364" s="2" t="s">
        <v>243</v>
      </c>
      <c r="N364" s="2" t="s">
        <v>62</v>
      </c>
      <c r="O364" s="2" t="s">
        <v>11</v>
      </c>
      <c r="P364" s="2"/>
      <c r="Q364" s="2" t="s">
        <v>1009</v>
      </c>
      <c r="R364" s="2"/>
    </row>
    <row r="365" spans="1:18">
      <c r="A365" s="2" t="s">
        <v>1012</v>
      </c>
      <c r="B365" s="2" t="s">
        <v>1013</v>
      </c>
      <c r="C365" s="2" t="s">
        <v>1011</v>
      </c>
      <c r="D365" s="2">
        <v>213</v>
      </c>
      <c r="E365" s="2">
        <v>1000000</v>
      </c>
      <c r="F365" s="3">
        <f>IF(COUNT(D365,E365)=2,D365*E365,NA())</f>
        <v>213000000.0</v>
      </c>
      <c r="G365" s="2" t="s">
        <v>56</v>
      </c>
      <c r="H365" s="2" t="s">
        <v>57</v>
      </c>
      <c r="I365" s="2" t="s">
        <v>58</v>
      </c>
      <c r="J365" s="2" t="s">
        <v>59</v>
      </c>
      <c r="K365" s="2" t="s">
        <v>813</v>
      </c>
      <c r="L365" s="2" t="s">
        <v>783</v>
      </c>
      <c r="M365" s="2" t="s">
        <v>243</v>
      </c>
      <c r="N365" s="2" t="s">
        <v>62</v>
      </c>
      <c r="O365" s="2" t="s">
        <v>11</v>
      </c>
      <c r="P365" s="2"/>
      <c r="Q365" s="2" t="s">
        <v>1012</v>
      </c>
      <c r="R365" s="2"/>
    </row>
    <row r="366" spans="1:18">
      <c r="A366" s="2" t="s">
        <v>1014</v>
      </c>
      <c r="B366" s="2" t="s">
        <v>1015</v>
      </c>
      <c r="C366" s="2" t="s">
        <v>1011</v>
      </c>
      <c r="D366" s="2">
        <v>641</v>
      </c>
      <c r="E366" s="2">
        <v>1000000</v>
      </c>
      <c r="F366" s="3">
        <f>IF(COUNT(D366,E366)=2,D366*E366,NA())</f>
        <v>641000000.0</v>
      </c>
      <c r="G366" s="2" t="s">
        <v>56</v>
      </c>
      <c r="H366" s="2" t="s">
        <v>57</v>
      </c>
      <c r="I366" s="2" t="s">
        <v>58</v>
      </c>
      <c r="J366" s="2" t="s">
        <v>59</v>
      </c>
      <c r="K366" s="2" t="s">
        <v>242</v>
      </c>
      <c r="L366" s="2" t="s">
        <v>829</v>
      </c>
      <c r="M366" s="2" t="s">
        <v>243</v>
      </c>
      <c r="N366" s="2" t="s">
        <v>62</v>
      </c>
      <c r="O366" s="2" t="s">
        <v>11</v>
      </c>
      <c r="P366" s="2"/>
      <c r="Q366" s="2" t="s">
        <v>1014</v>
      </c>
      <c r="R366" s="2"/>
    </row>
    <row r="367" spans="1:18">
      <c r="A367" s="2" t="s">
        <v>1016</v>
      </c>
      <c r="B367" s="2" t="s">
        <v>1017</v>
      </c>
      <c r="C367" s="2" t="s">
        <v>1011</v>
      </c>
      <c r="D367" s="2">
        <v>270</v>
      </c>
      <c r="E367" s="2">
        <v>1000000</v>
      </c>
      <c r="F367" s="3">
        <f>IF(COUNT(D367,E367)=2,D367*E367,NA())</f>
        <v>270000000.0</v>
      </c>
      <c r="G367" s="2" t="s">
        <v>56</v>
      </c>
      <c r="H367" s="2" t="s">
        <v>57</v>
      </c>
      <c r="I367" s="2" t="s">
        <v>58</v>
      </c>
      <c r="J367" s="2" t="s">
        <v>59</v>
      </c>
      <c r="K367" s="2" t="s">
        <v>242</v>
      </c>
      <c r="L367" s="2" t="s">
        <v>829</v>
      </c>
      <c r="M367" s="2" t="s">
        <v>243</v>
      </c>
      <c r="N367" s="2" t="s">
        <v>62</v>
      </c>
      <c r="O367" s="2" t="s">
        <v>11</v>
      </c>
      <c r="P367" s="2"/>
      <c r="Q367" s="2" t="s">
        <v>1016</v>
      </c>
      <c r="R367" s="2"/>
    </row>
    <row r="368" spans="1:18">
      <c r="A368" s="2" t="s">
        <v>1018</v>
      </c>
      <c r="B368" s="2" t="s">
        <v>1019</v>
      </c>
      <c r="C368" s="2" t="s">
        <v>1020</v>
      </c>
      <c r="D368" s="2">
        <v>964</v>
      </c>
      <c r="E368" s="2">
        <v>1000000</v>
      </c>
      <c r="F368" s="3">
        <f>IF(COUNT(D368,E368)=2,D368*E368,NA())</f>
        <v>964000000.0</v>
      </c>
      <c r="G368" s="2" t="s">
        <v>56</v>
      </c>
      <c r="H368" s="2" t="s">
        <v>57</v>
      </c>
      <c r="I368" s="2" t="s">
        <v>58</v>
      </c>
      <c r="J368" s="2" t="s">
        <v>59</v>
      </c>
      <c r="K368" s="2" t="s">
        <v>242</v>
      </c>
      <c r="L368" s="2" t="s">
        <v>829</v>
      </c>
      <c r="M368" s="2" t="s">
        <v>243</v>
      </c>
      <c r="N368" s="2" t="s">
        <v>62</v>
      </c>
      <c r="O368" s="2" t="s">
        <v>1021</v>
      </c>
      <c r="P368" s="2"/>
      <c r="Q368" s="2" t="s">
        <v>1018</v>
      </c>
      <c r="R368" s="2"/>
    </row>
    <row r="369" spans="1:18">
      <c r="A369" s="2" t="s">
        <v>1022</v>
      </c>
      <c r="B369" s="2" t="s">
        <v>1023</v>
      </c>
      <c r="C369" s="2" t="s">
        <v>1020</v>
      </c>
      <c r="D369" s="2">
        <v>30</v>
      </c>
      <c r="E369" s="2">
        <v>1000000</v>
      </c>
      <c r="F369" s="3">
        <f>IF(COUNT(D369,E369)=2,D369*E369,NA())</f>
        <v>30000000.0</v>
      </c>
      <c r="G369" s="2" t="s">
        <v>56</v>
      </c>
      <c r="H369" s="2" t="s">
        <v>57</v>
      </c>
      <c r="I369" s="2" t="s">
        <v>58</v>
      </c>
      <c r="J369" s="2" t="s">
        <v>59</v>
      </c>
      <c r="K369" s="2" t="s">
        <v>813</v>
      </c>
      <c r="L369" s="2" t="s">
        <v>783</v>
      </c>
      <c r="M369" s="2" t="s">
        <v>243</v>
      </c>
      <c r="N369" s="2" t="s">
        <v>62</v>
      </c>
      <c r="O369" s="2" t="s">
        <v>1021</v>
      </c>
      <c r="P369" s="2"/>
      <c r="Q369" s="2" t="s">
        <v>1022</v>
      </c>
      <c r="R369" s="2"/>
    </row>
    <row r="370" spans="1:18">
      <c r="A370" s="2" t="s">
        <v>1024</v>
      </c>
      <c r="B370" s="2" t="s">
        <v>1025</v>
      </c>
      <c r="C370" s="2" t="s">
        <v>1020</v>
      </c>
      <c r="D370" s="2">
        <v>-49</v>
      </c>
      <c r="E370" s="2">
        <v>1000000</v>
      </c>
      <c r="F370" s="3">
        <f>IF(COUNT(D370,E370)=2,D370*E370,NA())</f>
        <v>-49000000.0</v>
      </c>
      <c r="G370" s="2" t="s">
        <v>56</v>
      </c>
      <c r="H370" s="2" t="s">
        <v>57</v>
      </c>
      <c r="I370" s="2" t="s">
        <v>58</v>
      </c>
      <c r="J370" s="2" t="s">
        <v>59</v>
      </c>
      <c r="K370" s="2" t="s">
        <v>813</v>
      </c>
      <c r="L370" s="2" t="s">
        <v>783</v>
      </c>
      <c r="M370" s="2" t="s">
        <v>243</v>
      </c>
      <c r="N370" s="2" t="s">
        <v>62</v>
      </c>
      <c r="O370" s="2" t="s">
        <v>1021</v>
      </c>
      <c r="P370" s="2"/>
      <c r="Q370" s="2" t="s">
        <v>1024</v>
      </c>
      <c r="R370" s="2"/>
    </row>
    <row r="371" spans="1:18">
      <c r="A371" s="2" t="s">
        <v>1026</v>
      </c>
      <c r="B371" s="2" t="s">
        <v>1027</v>
      </c>
      <c r="C371" s="2" t="s">
        <v>1020</v>
      </c>
      <c r="D371" s="2">
        <v>-5</v>
      </c>
      <c r="E371" s="2">
        <v>1000000</v>
      </c>
      <c r="F371" s="3">
        <f>IF(COUNT(D371,E371)=2,D371*E371,NA())</f>
        <v>-5000000.0</v>
      </c>
      <c r="G371" s="2" t="s">
        <v>56</v>
      </c>
      <c r="H371" s="2" t="s">
        <v>57</v>
      </c>
      <c r="I371" s="2" t="s">
        <v>58</v>
      </c>
      <c r="J371" s="2" t="s">
        <v>59</v>
      </c>
      <c r="K371" s="2" t="s">
        <v>813</v>
      </c>
      <c r="L371" s="2" t="s">
        <v>783</v>
      </c>
      <c r="M371" s="2" t="s">
        <v>243</v>
      </c>
      <c r="N371" s="2" t="s">
        <v>62</v>
      </c>
      <c r="O371" s="2" t="s">
        <v>1021</v>
      </c>
      <c r="P371" s="2"/>
      <c r="Q371" s="2" t="s">
        <v>1026</v>
      </c>
      <c r="R371" s="2"/>
    </row>
    <row r="372" spans="1:18">
      <c r="A372" s="2" t="s">
        <v>1028</v>
      </c>
      <c r="B372" s="2" t="s">
        <v>1029</v>
      </c>
      <c r="C372" s="2" t="s">
        <v>1030</v>
      </c>
      <c r="D372" s="2">
        <v>775</v>
      </c>
      <c r="E372" s="2">
        <v>1000000</v>
      </c>
      <c r="F372" s="3">
        <f>IF(COUNT(D372,E372)=2,D372*E372,NA())</f>
        <v>775000000.0</v>
      </c>
      <c r="G372" s="2" t="s">
        <v>56</v>
      </c>
      <c r="H372" s="2" t="s">
        <v>57</v>
      </c>
      <c r="I372" s="2" t="s">
        <v>58</v>
      </c>
      <c r="J372" s="2" t="s">
        <v>59</v>
      </c>
      <c r="K372" s="2"/>
      <c r="L372" s="2" t="s">
        <v>60</v>
      </c>
      <c r="M372" s="2" t="s">
        <v>61</v>
      </c>
      <c r="N372" s="2" t="s">
        <v>62</v>
      </c>
      <c r="O372" s="2" t="s">
        <v>1031</v>
      </c>
      <c r="P372" s="2" t="s">
        <v>1032</v>
      </c>
      <c r="Q372" s="2" t="s">
        <v>1028</v>
      </c>
      <c r="R372" s="2"/>
    </row>
    <row r="373" spans="1:18">
      <c r="A373" s="2" t="s">
        <v>1033</v>
      </c>
      <c r="B373" s="2" t="s">
        <v>1034</v>
      </c>
      <c r="C373" s="2" t="s">
        <v>1030</v>
      </c>
      <c r="D373" s="2">
        <v>861</v>
      </c>
      <c r="E373" s="2">
        <v>1000000</v>
      </c>
      <c r="F373" s="3">
        <f>IF(COUNT(D373,E373)=2,D373*E373,NA())</f>
        <v>861000000.0</v>
      </c>
      <c r="G373" s="2" t="s">
        <v>56</v>
      </c>
      <c r="H373" s="2" t="s">
        <v>57</v>
      </c>
      <c r="I373" s="2" t="s">
        <v>58</v>
      </c>
      <c r="J373" s="2" t="s">
        <v>59</v>
      </c>
      <c r="K373" s="2"/>
      <c r="L373" s="2" t="s">
        <v>60</v>
      </c>
      <c r="M373" s="2" t="s">
        <v>61</v>
      </c>
      <c r="N373" s="2" t="s">
        <v>62</v>
      </c>
      <c r="O373" s="2" t="s">
        <v>1031</v>
      </c>
      <c r="P373" s="2" t="s">
        <v>1032</v>
      </c>
      <c r="Q373" s="2" t="s">
        <v>1033</v>
      </c>
      <c r="R373" s="2"/>
    </row>
    <row r="374" spans="1:18">
      <c r="A374" s="2" t="s">
        <v>1035</v>
      </c>
      <c r="B374" s="2" t="s">
        <v>1036</v>
      </c>
      <c r="C374" s="2" t="s">
        <v>1037</v>
      </c>
      <c r="D374" s="2">
        <v>12045</v>
      </c>
      <c r="E374" s="2">
        <v>1</v>
      </c>
      <c r="F374" s="3">
        <f>IF(COUNT(D374,E374)=2,D374*E374,NA())</f>
        <v>12045.0</v>
      </c>
      <c r="G374" s="2" t="s">
        <v>1038</v>
      </c>
      <c r="H374" s="2"/>
      <c r="I374" s="2" t="s">
        <v>58</v>
      </c>
      <c r="J374" s="2" t="s">
        <v>59</v>
      </c>
      <c r="K374" s="2"/>
      <c r="L374" s="2" t="s">
        <v>60</v>
      </c>
      <c r="M374" s="2" t="s">
        <v>61</v>
      </c>
      <c r="N374" s="2" t="s">
        <v>62</v>
      </c>
      <c r="O374" s="2" t="s">
        <v>1039</v>
      </c>
      <c r="P374" s="2"/>
      <c r="Q374" s="2" t="s">
        <v>1035</v>
      </c>
      <c r="R374" s="2" t="s">
        <v>1040</v>
      </c>
    </row>
    <row r="375" spans="1:18">
      <c r="A375" s="2" t="s">
        <v>1041</v>
      </c>
      <c r="B375" s="2" t="s">
        <v>1042</v>
      </c>
      <c r="C375" s="2" t="s">
        <v>1037</v>
      </c>
      <c r="D375" s="2">
        <v>39804</v>
      </c>
      <c r="E375" s="2">
        <v>1</v>
      </c>
      <c r="F375" s="3">
        <f>IF(COUNT(D375,E375)=2,D375*E375,NA())</f>
        <v>39804.0</v>
      </c>
      <c r="G375" s="2" t="s">
        <v>1038</v>
      </c>
      <c r="H375" s="2"/>
      <c r="I375" s="2" t="s">
        <v>58</v>
      </c>
      <c r="J375" s="2" t="s">
        <v>59</v>
      </c>
      <c r="K375" s="2"/>
      <c r="L375" s="2" t="s">
        <v>60</v>
      </c>
      <c r="M375" s="2" t="s">
        <v>61</v>
      </c>
      <c r="N375" s="2" t="s">
        <v>62</v>
      </c>
      <c r="O375" s="2" t="s">
        <v>1039</v>
      </c>
      <c r="P375" s="2"/>
      <c r="Q375" s="2" t="s">
        <v>1041</v>
      </c>
      <c r="R375" s="2" t="s">
        <v>1040</v>
      </c>
    </row>
    <row r="376" spans="1:18">
      <c r="A376" s="2" t="s">
        <v>1043</v>
      </c>
      <c r="B376" s="2" t="s">
        <v>1044</v>
      </c>
      <c r="C376" s="2" t="s">
        <v>1037</v>
      </c>
      <c r="D376" s="2">
        <v>1280</v>
      </c>
      <c r="E376" s="2">
        <v>1000000</v>
      </c>
      <c r="F376" s="3">
        <f>IF(COUNT(D376,E376)=2,D376*E376,NA())</f>
        <v>1280000000.0</v>
      </c>
      <c r="G376" s="2" t="s">
        <v>56</v>
      </c>
      <c r="H376" s="2" t="s">
        <v>57</v>
      </c>
      <c r="I376" s="2" t="s">
        <v>58</v>
      </c>
      <c r="J376" s="2" t="s">
        <v>59</v>
      </c>
      <c r="K376" s="2" t="s">
        <v>1045</v>
      </c>
      <c r="L376" s="2" t="s">
        <v>60</v>
      </c>
      <c r="M376" s="2" t="s">
        <v>243</v>
      </c>
      <c r="N376" s="2" t="s">
        <v>62</v>
      </c>
      <c r="O376" s="2" t="s">
        <v>1046</v>
      </c>
      <c r="P376" s="2" t="s">
        <v>1047</v>
      </c>
      <c r="Q376" s="2" t="s">
        <v>1043</v>
      </c>
      <c r="R376" s="2"/>
    </row>
    <row r="377" spans="1:18">
      <c r="A377" s="2" t="s">
        <v>1048</v>
      </c>
      <c r="B377" s="2" t="s">
        <v>1049</v>
      </c>
      <c r="C377" s="2" t="s">
        <v>1037</v>
      </c>
      <c r="D377" s="2">
        <v>2999</v>
      </c>
      <c r="E377" s="2">
        <v>1000000</v>
      </c>
      <c r="F377" s="3">
        <f>IF(COUNT(D377,E377)=2,D377*E377,NA())</f>
        <v>2999000000.0</v>
      </c>
      <c r="G377" s="2" t="s">
        <v>56</v>
      </c>
      <c r="H377" s="2" t="s">
        <v>57</v>
      </c>
      <c r="I377" s="2" t="s">
        <v>58</v>
      </c>
      <c r="J377" s="2" t="s">
        <v>59</v>
      </c>
      <c r="K377" s="2" t="s">
        <v>1045</v>
      </c>
      <c r="L377" s="2" t="s">
        <v>60</v>
      </c>
      <c r="M377" s="2" t="s">
        <v>243</v>
      </c>
      <c r="N377" s="2" t="s">
        <v>62</v>
      </c>
      <c r="O377" s="2" t="s">
        <v>1046</v>
      </c>
      <c r="P377" s="2" t="s">
        <v>1047</v>
      </c>
      <c r="Q377" s="2" t="s">
        <v>1048</v>
      </c>
      <c r="R377" s="2"/>
    </row>
    <row r="378" spans="1:18">
      <c r="A378" s="2" t="s">
        <v>1050</v>
      </c>
      <c r="B378" s="2" t="s">
        <v>1051</v>
      </c>
      <c r="C378" s="2" t="s">
        <v>1011</v>
      </c>
      <c r="D378" s="2">
        <v>14</v>
      </c>
      <c r="E378" s="2">
        <v>1000000</v>
      </c>
      <c r="F378" s="3">
        <f>IF(COUNT(D378,E378)=2,D378*E378,NA())</f>
        <v>14000000.0</v>
      </c>
      <c r="G378" s="2" t="s">
        <v>56</v>
      </c>
      <c r="H378" s="2" t="s">
        <v>57</v>
      </c>
      <c r="I378" s="2" t="s">
        <v>58</v>
      </c>
      <c r="J378" s="2" t="s">
        <v>59</v>
      </c>
      <c r="K378" s="2" t="s">
        <v>813</v>
      </c>
      <c r="L378" s="2" t="s">
        <v>783</v>
      </c>
      <c r="M378" s="2" t="s">
        <v>243</v>
      </c>
      <c r="N378" s="2" t="s">
        <v>62</v>
      </c>
      <c r="O378" s="2" t="s">
        <v>11</v>
      </c>
      <c r="P378" s="2" t="s">
        <v>1052</v>
      </c>
      <c r="Q378" s="2" t="s">
        <v>1050</v>
      </c>
      <c r="R378" s="2"/>
    </row>
    <row r="379" spans="1:18">
      <c r="A379" s="2" t="s">
        <v>1053</v>
      </c>
      <c r="B379" s="2" t="s">
        <v>1054</v>
      </c>
      <c r="C379" s="2" t="s">
        <v>1011</v>
      </c>
      <c r="D379" s="2">
        <v>12</v>
      </c>
      <c r="E379" s="2">
        <v>1000000</v>
      </c>
      <c r="F379" s="3">
        <f>IF(COUNT(D379,E379)=2,D379*E379,NA())</f>
        <v>12000000.0</v>
      </c>
      <c r="G379" s="2" t="s">
        <v>56</v>
      </c>
      <c r="H379" s="2" t="s">
        <v>57</v>
      </c>
      <c r="I379" s="2" t="s">
        <v>58</v>
      </c>
      <c r="J379" s="2" t="s">
        <v>59</v>
      </c>
      <c r="K379" s="2" t="s">
        <v>813</v>
      </c>
      <c r="L379" s="2" t="s">
        <v>783</v>
      </c>
      <c r="M379" s="2" t="s">
        <v>243</v>
      </c>
      <c r="N379" s="2" t="s">
        <v>62</v>
      </c>
      <c r="O379" s="2" t="s">
        <v>11</v>
      </c>
      <c r="P379" s="2" t="s">
        <v>1052</v>
      </c>
      <c r="Q379" s="2" t="s">
        <v>1053</v>
      </c>
      <c r="R379" s="2"/>
    </row>
    <row r="380" spans="1:18">
      <c r="A380" s="2" t="s">
        <v>1055</v>
      </c>
      <c r="B380" s="2" t="s">
        <v>1056</v>
      </c>
      <c r="C380" s="2" t="s">
        <v>1011</v>
      </c>
      <c r="D380" s="2">
        <v>2</v>
      </c>
      <c r="E380" s="2">
        <v>1000000</v>
      </c>
      <c r="F380" s="3">
        <f>IF(COUNT(D380,E380)=2,D380*E380,NA())</f>
        <v>2000000.0</v>
      </c>
      <c r="G380" s="2" t="s">
        <v>56</v>
      </c>
      <c r="H380" s="2" t="s">
        <v>57</v>
      </c>
      <c r="I380" s="2" t="s">
        <v>58</v>
      </c>
      <c r="J380" s="2" t="s">
        <v>59</v>
      </c>
      <c r="K380" s="2"/>
      <c r="L380" s="2" t="s">
        <v>783</v>
      </c>
      <c r="M380" s="2" t="s">
        <v>61</v>
      </c>
      <c r="N380" s="2" t="s">
        <v>62</v>
      </c>
      <c r="O380" s="2" t="s">
        <v>11</v>
      </c>
      <c r="P380" s="2" t="s">
        <v>1052</v>
      </c>
      <c r="Q380" s="2" t="s">
        <v>1055</v>
      </c>
      <c r="R380" s="2"/>
    </row>
    <row r="381" spans="1:18">
      <c r="A381" s="2" t="s">
        <v>1057</v>
      </c>
      <c r="B381" s="2" t="s">
        <v>1058</v>
      </c>
      <c r="C381" s="2" t="s">
        <v>1011</v>
      </c>
      <c r="D381" s="2">
        <v>4</v>
      </c>
      <c r="E381" s="2">
        <v>1000000</v>
      </c>
      <c r="F381" s="3">
        <f>IF(COUNT(D381,E381)=2,D381*E381,NA())</f>
        <v>4000000.0</v>
      </c>
      <c r="G381" s="2" t="s">
        <v>56</v>
      </c>
      <c r="H381" s="2" t="s">
        <v>57</v>
      </c>
      <c r="I381" s="2" t="s">
        <v>58</v>
      </c>
      <c r="J381" s="2" t="s">
        <v>59</v>
      </c>
      <c r="K381" s="2" t="s">
        <v>813</v>
      </c>
      <c r="L381" s="2" t="s">
        <v>783</v>
      </c>
      <c r="M381" s="2" t="s">
        <v>243</v>
      </c>
      <c r="N381" s="2" t="s">
        <v>62</v>
      </c>
      <c r="O381" s="2" t="s">
        <v>11</v>
      </c>
      <c r="P381" s="2" t="s">
        <v>1052</v>
      </c>
      <c r="Q381" s="2" t="s">
        <v>1057</v>
      </c>
      <c r="R381" s="2"/>
    </row>
    <row r="382" spans="1:18">
      <c r="A382" s="2" t="s">
        <v>1059</v>
      </c>
      <c r="B382" s="2" t="s">
        <v>1060</v>
      </c>
      <c r="C382" s="2" t="s">
        <v>1011</v>
      </c>
      <c r="D382" s="2">
        <v>12</v>
      </c>
      <c r="E382" s="2">
        <v>1000000</v>
      </c>
      <c r="F382" s="3">
        <f>IF(COUNT(D382,E382)=2,D382*E382,NA())</f>
        <v>12000000.0</v>
      </c>
      <c r="G382" s="2" t="s">
        <v>56</v>
      </c>
      <c r="H382" s="2" t="s">
        <v>57</v>
      </c>
      <c r="I382" s="2" t="s">
        <v>58</v>
      </c>
      <c r="J382" s="2" t="s">
        <v>59</v>
      </c>
      <c r="K382" s="2"/>
      <c r="L382" s="2" t="s">
        <v>783</v>
      </c>
      <c r="M382" s="2" t="s">
        <v>61</v>
      </c>
      <c r="N382" s="2" t="s">
        <v>62</v>
      </c>
      <c r="O382" s="2" t="s">
        <v>11</v>
      </c>
      <c r="P382" s="2" t="s">
        <v>1052</v>
      </c>
      <c r="Q382" s="2" t="s">
        <v>1059</v>
      </c>
      <c r="R382" s="2"/>
    </row>
  </sheetData>
  <autoFilter ref="A1:R382"/>
  <pageMargins left="0.7" right="0.7" top="0.75" bottom="0.75" header="0.3" footer="0.3"/>
</worksheet>
</file>

<file path=xl/worksheets/sheet3.xml><?xml version="1.0" encoding="utf-8"?>
<worksheet xmlns="http://schemas.openxmlformats.org/spreadsheetml/2006/main" xmlns:r="http://schemas.openxmlformats.org/officeDocument/2006/relationships">
  <sheetPr>
    <pageSetUpPr fitToPage="1"/>
  </sheetPr>
  <dimension ref="A1:O117"/>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4.7109375" customWidth="1"/>
    <col min="2" max="2" width="20.7109375" customWidth="1"/>
    <col min="3" max="3" width="44.7109375" customWidth="1"/>
    <col min="4" max="5" width="24.7109375" customWidth="1"/>
    <col min="6" max="6" width="13.7109375" customWidth="1"/>
    <col min="7" max="7" width="18.7109375" customWidth="1"/>
    <col min="8" max="8" width="22.7109375" customWidth="1"/>
    <col min="9" max="9" width="24.7109375" customWidth="1"/>
    <col min="10" max="10" width="12.7109375" customWidth="1"/>
    <col min="11" max="11" width="8.7109375" customWidth="1"/>
    <col min="12" max="12" width="16.7109375" customWidth="1"/>
    <col min="13" max="13" width="10.7109375" customWidth="1"/>
    <col min="14" max="15" width="11.7109375" customWidth="1"/>
  </cols>
  <sheetData>
    <row r="1" spans="1:15" ht="32" customHeight="1">
      <c r="A1" s="1" t="s">
        <v>37</v>
      </c>
      <c r="B1" s="1" t="s">
        <v>1061</v>
      </c>
      <c r="C1" s="1" t="s">
        <v>1062</v>
      </c>
      <c r="D1" s="1" t="s">
        <v>1063</v>
      </c>
      <c r="E1" s="1" t="s">
        <v>1064</v>
      </c>
      <c r="F1" s="1" t="s">
        <v>49</v>
      </c>
      <c r="G1" s="1" t="s">
        <v>1065</v>
      </c>
      <c r="H1" s="1" t="s">
        <v>1066</v>
      </c>
      <c r="I1" s="1" t="s">
        <v>1067</v>
      </c>
      <c r="J1" s="1" t="s">
        <v>1068</v>
      </c>
      <c r="K1" s="1" t="s">
        <v>41</v>
      </c>
      <c r="L1" s="1" t="s">
        <v>45</v>
      </c>
      <c r="M1" s="1" t="s">
        <v>8</v>
      </c>
      <c r="N1" s="1" t="s">
        <v>46</v>
      </c>
      <c r="O1" s="1" t="s">
        <v>47</v>
      </c>
    </row>
    <row r="2" spans="1:15">
      <c r="A2" s="2" t="s">
        <v>1069</v>
      </c>
      <c r="B2" s="2" t="s">
        <v>1070</v>
      </c>
      <c r="C2" s="2" t="s">
        <v>1434</v>
      </c>
      <c r="D2" s="3">
        <f>(('Facts'!F2*1)+('Facts'!F4*1)+('Facts'!F6*1)+('Facts'!F8*1)+('Facts'!F10*1)+('Facts'!F12*1)+('Facts'!F14*1))*1</f>
        <v>1144000000.0</v>
      </c>
      <c r="E2" s="3">
        <f>D2/K2</f>
        <v>1144.0</v>
      </c>
      <c r="F2" s="2" t="str">
        <f>IF(ISNUMBER(D2),"calculated","not_calculated")</f>
        <v>calculated</v>
      </c>
      <c r="G2" s="2">
        <f>IF(ISNUMBER(D2),"","检查缺失值、分母与输入；口径变更须重跑Python")</f>
        <v/>
      </c>
      <c r="H2" s="2" t="s">
        <v>1072</v>
      </c>
      <c r="I2" s="2" t="s">
        <v>1073</v>
      </c>
      <c r="J2" s="2" t="s">
        <v>1074</v>
      </c>
      <c r="K2" s="2">
        <v>1000000</v>
      </c>
      <c r="L2" s="2" t="s">
        <v>58</v>
      </c>
      <c r="M2" s="2" t="s">
        <v>59</v>
      </c>
      <c r="N2" s="2"/>
      <c r="O2" s="2" t="s">
        <v>60</v>
      </c>
    </row>
    <row r="3" spans="1:15">
      <c r="A3" s="2" t="s">
        <v>1075</v>
      </c>
      <c r="B3" s="2" t="s">
        <v>1076</v>
      </c>
      <c r="C3" s="2" t="s">
        <v>1435</v>
      </c>
      <c r="D3" s="3">
        <f>(('Facts'!F16*1)+('Facts'!F18*1)+('Facts'!F20*1)+('Facts'!F22*1)+('Facts'!F24*1)+('Facts'!F26*1)+('Facts'!F28*1)+('Facts'!F30*1)+('Facts'!F32*1))*1</f>
        <v>31518000000.0</v>
      </c>
      <c r="E3" s="3">
        <f>D3/K3</f>
        <v>31518.0</v>
      </c>
      <c r="F3" s="2" t="str">
        <f>IF(ISNUMBER(D3),"calculated","not_calculated")</f>
        <v>calculated</v>
      </c>
      <c r="G3" s="2">
        <f>IF(ISNUMBER(D3),"","检查缺失值、分母与输入；口径变更须重跑Python")</f>
        <v/>
      </c>
      <c r="H3" s="2" t="s">
        <v>1077</v>
      </c>
      <c r="I3" s="2" t="s">
        <v>1073</v>
      </c>
      <c r="J3" s="2" t="s">
        <v>1074</v>
      </c>
      <c r="K3" s="2">
        <v>1000000</v>
      </c>
      <c r="L3" s="2" t="s">
        <v>58</v>
      </c>
      <c r="M3" s="2" t="s">
        <v>59</v>
      </c>
      <c r="N3" s="2"/>
      <c r="O3" s="2" t="s">
        <v>60</v>
      </c>
    </row>
    <row r="4" spans="1:15">
      <c r="A4" s="2" t="s">
        <v>1078</v>
      </c>
      <c r="B4" s="2" t="s">
        <v>1079</v>
      </c>
      <c r="C4" s="2" t="s">
        <v>1436</v>
      </c>
      <c r="D4" s="3">
        <f>(('Facts'!F36*1)+('Facts'!F38*1)+('Facts'!F40*1)+('Facts'!F42*1)+('Facts'!F44*1)+('Facts'!F46*1)+('Facts'!F48*1))*1</f>
        <v>4479000000.0</v>
      </c>
      <c r="E4" s="3">
        <f>D4/K4</f>
        <v>4479.0</v>
      </c>
      <c r="F4" s="2" t="str">
        <f>IF(ISNUMBER(D4),"calculated","not_calculated")</f>
        <v>calculated</v>
      </c>
      <c r="G4" s="2">
        <f>IF(ISNUMBER(D4),"","检查缺失值、分母与输入；口径变更须重跑Python")</f>
        <v/>
      </c>
      <c r="H4" s="2" t="s">
        <v>1080</v>
      </c>
      <c r="I4" s="2" t="s">
        <v>1073</v>
      </c>
      <c r="J4" s="2" t="s">
        <v>1074</v>
      </c>
      <c r="K4" s="2">
        <v>1000000</v>
      </c>
      <c r="L4" s="2" t="s">
        <v>58</v>
      </c>
      <c r="M4" s="2" t="s">
        <v>59</v>
      </c>
      <c r="N4" s="2"/>
      <c r="O4" s="2" t="s">
        <v>60</v>
      </c>
    </row>
    <row r="5" spans="1:15">
      <c r="A5" s="2" t="s">
        <v>1081</v>
      </c>
      <c r="B5" s="2" t="s">
        <v>1082</v>
      </c>
      <c r="C5" s="2" t="s">
        <v>1437</v>
      </c>
      <c r="D5" s="3">
        <f>(('Facts'!F50*1)+('Facts'!F52*1)+('Facts'!F54*1)+('Facts'!F56*1)+('Facts'!F58*1))*1</f>
        <v>33153000000.0</v>
      </c>
      <c r="E5" s="3">
        <f>D5/K5</f>
        <v>33153.0</v>
      </c>
      <c r="F5" s="2" t="str">
        <f>IF(ISNUMBER(D5),"calculated","not_calculated")</f>
        <v>calculated</v>
      </c>
      <c r="G5" s="2">
        <f>IF(ISNUMBER(D5),"","检查缺失值、分母与输入；口径变更须重跑Python")</f>
        <v/>
      </c>
      <c r="H5" s="2" t="s">
        <v>1083</v>
      </c>
      <c r="I5" s="2" t="s">
        <v>1073</v>
      </c>
      <c r="J5" s="2" t="s">
        <v>1074</v>
      </c>
      <c r="K5" s="2">
        <v>1000000</v>
      </c>
      <c r="L5" s="2" t="s">
        <v>58</v>
      </c>
      <c r="M5" s="2" t="s">
        <v>59</v>
      </c>
      <c r="N5" s="2"/>
      <c r="O5" s="2" t="s">
        <v>60</v>
      </c>
    </row>
    <row r="6" spans="1:15">
      <c r="A6" s="2" t="s">
        <v>1084</v>
      </c>
      <c r="B6" s="2" t="s">
        <v>1085</v>
      </c>
      <c r="C6" s="2" t="s">
        <v>1438</v>
      </c>
      <c r="D6" s="3">
        <f>(('Facts'!F62*1)+('Facts'!F64*1)+('Facts'!F66*1)+('Facts'!F68*1))*1</f>
        <v>-1635000000.0</v>
      </c>
      <c r="E6" s="3">
        <f>D6/K6</f>
        <v>-1635.0</v>
      </c>
      <c r="F6" s="2" t="str">
        <f>IF(ISNUMBER(D6),"calculated","not_calculated")</f>
        <v>calculated</v>
      </c>
      <c r="G6" s="2">
        <f>IF(ISNUMBER(D6),"","检查缺失值、分母与输入；口径变更须重跑Python")</f>
        <v/>
      </c>
      <c r="H6" s="2" t="s">
        <v>1086</v>
      </c>
      <c r="I6" s="2" t="s">
        <v>1073</v>
      </c>
      <c r="J6" s="2" t="s">
        <v>1074</v>
      </c>
      <c r="K6" s="2">
        <v>1000000</v>
      </c>
      <c r="L6" s="2" t="s">
        <v>58</v>
      </c>
      <c r="M6" s="2" t="s">
        <v>59</v>
      </c>
      <c r="N6" s="2"/>
      <c r="O6" s="2" t="s">
        <v>60</v>
      </c>
    </row>
    <row r="7" spans="1:15">
      <c r="A7" s="2" t="s">
        <v>1087</v>
      </c>
      <c r="B7" s="2" t="s">
        <v>1088</v>
      </c>
      <c r="C7" s="2" t="s">
        <v>1439</v>
      </c>
      <c r="D7" s="3">
        <f>(('Facts'!F60*1)+('Facts'!F70*1))*1</f>
        <v>31518000000.0</v>
      </c>
      <c r="E7" s="3">
        <f>D7/K7</f>
        <v>31518.0</v>
      </c>
      <c r="F7" s="2" t="str">
        <f>IF(ISNUMBER(D7),"calculated","not_calculated")</f>
        <v>calculated</v>
      </c>
      <c r="G7" s="2">
        <f>IF(ISNUMBER(D7),"","检查缺失值、分母与输入；口径变更须重跑Python")</f>
        <v/>
      </c>
      <c r="H7" s="2" t="s">
        <v>1089</v>
      </c>
      <c r="I7" s="2" t="s">
        <v>1073</v>
      </c>
      <c r="J7" s="2" t="s">
        <v>1074</v>
      </c>
      <c r="K7" s="2">
        <v>1000000</v>
      </c>
      <c r="L7" s="2" t="s">
        <v>58</v>
      </c>
      <c r="M7" s="2" t="s">
        <v>59</v>
      </c>
      <c r="N7" s="2"/>
      <c r="O7" s="2" t="s">
        <v>60</v>
      </c>
    </row>
    <row r="8" spans="1:15">
      <c r="A8" s="2" t="s">
        <v>1090</v>
      </c>
      <c r="B8" s="2" t="s">
        <v>1091</v>
      </c>
      <c r="C8" s="2" t="s">
        <v>1440</v>
      </c>
      <c r="D8" s="3">
        <f>(('Facts'!F72*1)+('Facts'!F74*1))*1</f>
        <v>4264000000.0</v>
      </c>
      <c r="E8" s="3">
        <f>D8/K8</f>
        <v>4264.0</v>
      </c>
      <c r="F8" s="2" t="str">
        <f>IF(ISNUMBER(D8),"calculated","not_calculated")</f>
        <v>calculated</v>
      </c>
      <c r="G8" s="2">
        <f>IF(ISNUMBER(D8),"","检查缺失值、分母与输入；口径变更须重跑Python")</f>
        <v/>
      </c>
      <c r="H8" s="2" t="s">
        <v>1092</v>
      </c>
      <c r="I8" s="2" t="s">
        <v>1073</v>
      </c>
      <c r="J8" s="2" t="s">
        <v>1074</v>
      </c>
      <c r="K8" s="2">
        <v>1000000</v>
      </c>
      <c r="L8" s="2" t="s">
        <v>58</v>
      </c>
      <c r="M8" s="2" t="s">
        <v>59</v>
      </c>
      <c r="N8" s="2" t="s">
        <v>242</v>
      </c>
      <c r="O8" s="2" t="s">
        <v>60</v>
      </c>
    </row>
    <row r="9" spans="1:15">
      <c r="A9" s="2" t="s">
        <v>1093</v>
      </c>
      <c r="B9" s="2" t="s">
        <v>1094</v>
      </c>
      <c r="C9" s="2" t="s">
        <v>1441</v>
      </c>
      <c r="D9" s="3">
        <f>(('Facts'!F78*1)+('Facts'!F80*1)+('Facts'!F82*1)+('Facts'!F84*1)+('Facts'!F86*1)+('Facts'!F88*1)+('Facts'!F90*1))*1</f>
        <v>2189000000.0</v>
      </c>
      <c r="E9" s="3">
        <f>D9/K9</f>
        <v>2189.0</v>
      </c>
      <c r="F9" s="2" t="str">
        <f>IF(ISNUMBER(D9),"calculated","not_calculated")</f>
        <v>calculated</v>
      </c>
      <c r="G9" s="2">
        <f>IF(ISNUMBER(D9),"","检查缺失值、分母与输入；口径变更须重跑Python")</f>
        <v/>
      </c>
      <c r="H9" s="2" t="s">
        <v>1095</v>
      </c>
      <c r="I9" s="2" t="s">
        <v>1073</v>
      </c>
      <c r="J9" s="2" t="s">
        <v>1074</v>
      </c>
      <c r="K9" s="2">
        <v>1000000</v>
      </c>
      <c r="L9" s="2" t="s">
        <v>58</v>
      </c>
      <c r="M9" s="2" t="s">
        <v>59</v>
      </c>
      <c r="N9" s="2" t="s">
        <v>242</v>
      </c>
      <c r="O9" s="2" t="s">
        <v>60</v>
      </c>
    </row>
    <row r="10" spans="1:15">
      <c r="A10" s="2" t="s">
        <v>1096</v>
      </c>
      <c r="B10" s="2" t="s">
        <v>1097</v>
      </c>
      <c r="C10" s="2" t="s">
        <v>1442</v>
      </c>
      <c r="D10" s="3">
        <f>(('Facts'!F94*1)+('Facts'!F96*1)+('Facts'!F98*1)+('Facts'!F100*1))*1</f>
        <v>1119000000.0</v>
      </c>
      <c r="E10" s="3">
        <f>D10/K10</f>
        <v>1119.0</v>
      </c>
      <c r="F10" s="2" t="str">
        <f>IF(ISNUMBER(D10),"calculated","not_calculated")</f>
        <v>calculated</v>
      </c>
      <c r="G10" s="2">
        <f>IF(ISNUMBER(D10),"","检查缺失值、分母与输入；口径变更须重跑Python")</f>
        <v/>
      </c>
      <c r="H10" s="2" t="s">
        <v>1098</v>
      </c>
      <c r="I10" s="2" t="s">
        <v>1073</v>
      </c>
      <c r="J10" s="2" t="s">
        <v>1074</v>
      </c>
      <c r="K10" s="2">
        <v>1000000</v>
      </c>
      <c r="L10" s="2" t="s">
        <v>58</v>
      </c>
      <c r="M10" s="2" t="s">
        <v>59</v>
      </c>
      <c r="N10" s="2" t="s">
        <v>242</v>
      </c>
      <c r="O10" s="2" t="s">
        <v>60</v>
      </c>
    </row>
    <row r="11" spans="1:15">
      <c r="A11" s="2" t="s">
        <v>1099</v>
      </c>
      <c r="B11" s="2" t="s">
        <v>1100</v>
      </c>
      <c r="C11" s="2" t="s">
        <v>1443</v>
      </c>
      <c r="D11" s="3">
        <f>(('Facts'!F102*1)+('Facts'!F104*1))*1</f>
        <v>1103000000.0</v>
      </c>
      <c r="E11" s="3">
        <f>D11/K11</f>
        <v>1103.0</v>
      </c>
      <c r="F11" s="2" t="str">
        <f>IF(ISNUMBER(D11),"calculated","not_calculated")</f>
        <v>calculated</v>
      </c>
      <c r="G11" s="2">
        <f>IF(ISNUMBER(D11),"","检查缺失值、分母与输入；口径变更须重跑Python")</f>
        <v/>
      </c>
      <c r="H11" s="2" t="s">
        <v>1101</v>
      </c>
      <c r="I11" s="2" t="s">
        <v>1073</v>
      </c>
      <c r="J11" s="2" t="s">
        <v>1074</v>
      </c>
      <c r="K11" s="2">
        <v>1000000</v>
      </c>
      <c r="L11" s="2" t="s">
        <v>58</v>
      </c>
      <c r="M11" s="2" t="s">
        <v>59</v>
      </c>
      <c r="N11" s="2" t="s">
        <v>242</v>
      </c>
      <c r="O11" s="2" t="s">
        <v>60</v>
      </c>
    </row>
    <row r="12" spans="1:15">
      <c r="A12" s="2" t="s">
        <v>1102</v>
      </c>
      <c r="B12" s="2" t="s">
        <v>1103</v>
      </c>
      <c r="C12" s="2" t="s">
        <v>1444</v>
      </c>
      <c r="D12" s="3">
        <f>(('Facts'!F106*1)+('Facts'!F112*1))*1</f>
        <v>444000000.0</v>
      </c>
      <c r="E12" s="3">
        <f>D12/K12</f>
        <v>444.0</v>
      </c>
      <c r="F12" s="2" t="str">
        <f>IF(ISNUMBER(D12),"calculated","not_calculated")</f>
        <v>calculated</v>
      </c>
      <c r="G12" s="2">
        <f>IF(ISNUMBER(D12),"","检查缺失值、分母与输入；口径变更须重跑Python")</f>
        <v/>
      </c>
      <c r="H12" s="2" t="s">
        <v>1104</v>
      </c>
      <c r="I12" s="2" t="s">
        <v>1073</v>
      </c>
      <c r="J12" s="2" t="s">
        <v>1074</v>
      </c>
      <c r="K12" s="2">
        <v>1000000</v>
      </c>
      <c r="L12" s="2" t="s">
        <v>58</v>
      </c>
      <c r="M12" s="2" t="s">
        <v>59</v>
      </c>
      <c r="N12" s="2" t="s">
        <v>242</v>
      </c>
      <c r="O12" s="2" t="s">
        <v>60</v>
      </c>
    </row>
    <row r="13" spans="1:15">
      <c r="A13" s="2" t="s">
        <v>1105</v>
      </c>
      <c r="B13" s="2" t="s">
        <v>1106</v>
      </c>
      <c r="C13" s="2" t="s">
        <v>1445</v>
      </c>
      <c r="D13" s="3">
        <f>(('Facts'!F114*1)+('Facts'!F116*1))*1</f>
        <v>444000000.0</v>
      </c>
      <c r="E13" s="3">
        <f>D13/K13</f>
        <v>444.0</v>
      </c>
      <c r="F13" s="2" t="str">
        <f>IF(ISNUMBER(D13),"calculated","not_calculated")</f>
        <v>calculated</v>
      </c>
      <c r="G13" s="2">
        <f>IF(ISNUMBER(D13),"","检查缺失值、分母与输入；口径变更须重跑Python")</f>
        <v/>
      </c>
      <c r="H13" s="2" t="s">
        <v>1107</v>
      </c>
      <c r="I13" s="2" t="s">
        <v>1073</v>
      </c>
      <c r="J13" s="2" t="s">
        <v>1074</v>
      </c>
      <c r="K13" s="2">
        <v>1000000</v>
      </c>
      <c r="L13" s="2" t="s">
        <v>58</v>
      </c>
      <c r="M13" s="2" t="s">
        <v>59</v>
      </c>
      <c r="N13" s="2" t="s">
        <v>242</v>
      </c>
      <c r="O13" s="2" t="s">
        <v>60</v>
      </c>
    </row>
    <row r="14" spans="1:15">
      <c r="A14" s="2" t="s">
        <v>1108</v>
      </c>
      <c r="B14" s="2" t="s">
        <v>1109</v>
      </c>
      <c r="C14" s="2" t="s">
        <v>1446</v>
      </c>
      <c r="D14" s="3">
        <f>(('Facts'!F144*1)+('Facts'!F146*1)+('Facts'!F148*1)+('Facts'!F150*1))*1</f>
        <v>-1158000000.0</v>
      </c>
      <c r="E14" s="3">
        <f>D14/K14</f>
        <v>-1158.0</v>
      </c>
      <c r="F14" s="2" t="str">
        <f>IF(ISNUMBER(D14),"calculated","not_calculated")</f>
        <v>calculated</v>
      </c>
      <c r="G14" s="2">
        <f>IF(ISNUMBER(D14),"","检查缺失值、分母与输入；口径变更须重跑Python")</f>
        <v/>
      </c>
      <c r="H14" s="2" t="s">
        <v>1110</v>
      </c>
      <c r="I14" s="2" t="s">
        <v>1073</v>
      </c>
      <c r="J14" s="2" t="s">
        <v>1074</v>
      </c>
      <c r="K14" s="2">
        <v>1000000</v>
      </c>
      <c r="L14" s="2" t="s">
        <v>58</v>
      </c>
      <c r="M14" s="2" t="s">
        <v>59</v>
      </c>
      <c r="N14" s="2" t="s">
        <v>242</v>
      </c>
      <c r="O14" s="2" t="s">
        <v>60</v>
      </c>
    </row>
    <row r="15" spans="1:15">
      <c r="A15" s="2" t="s">
        <v>1111</v>
      </c>
      <c r="B15" s="2" t="s">
        <v>1112</v>
      </c>
      <c r="C15" s="2" t="s">
        <v>1447</v>
      </c>
      <c r="D15" s="3">
        <f>(('Facts'!F154*1)+('Facts'!F156*1)+('Facts'!F158*1)+('Facts'!F160*1)+('Facts'!F162*1)+('Facts'!F164*1)+('Facts'!F166*1)+('Facts'!F168*1)+('Facts'!F170*1))*1</f>
        <v>-1886000000.0</v>
      </c>
      <c r="E15" s="3">
        <f>D15/K15</f>
        <v>-1886.0</v>
      </c>
      <c r="F15" s="2" t="str">
        <f>IF(ISNUMBER(D15),"calculated","not_calculated")</f>
        <v>calculated</v>
      </c>
      <c r="G15" s="2">
        <f>IF(ISNUMBER(D15),"","检查缺失值、分母与输入；口径变更须重跑Python")</f>
        <v/>
      </c>
      <c r="H15" s="2" t="s">
        <v>1113</v>
      </c>
      <c r="I15" s="2" t="s">
        <v>1073</v>
      </c>
      <c r="J15" s="2" t="s">
        <v>1074</v>
      </c>
      <c r="K15" s="2">
        <v>1000000</v>
      </c>
      <c r="L15" s="2" t="s">
        <v>58</v>
      </c>
      <c r="M15" s="2" t="s">
        <v>59</v>
      </c>
      <c r="N15" s="2" t="s">
        <v>242</v>
      </c>
      <c r="O15" s="2" t="s">
        <v>60</v>
      </c>
    </row>
    <row r="16" spans="1:15">
      <c r="A16" s="2" t="s">
        <v>1114</v>
      </c>
      <c r="B16" s="2" t="s">
        <v>1115</v>
      </c>
      <c r="C16" s="2" t="s">
        <v>1448</v>
      </c>
      <c r="D16" s="3">
        <f>(('Facts'!F142*1)+('Facts'!F152*1)+('Facts'!F172*1))*1</f>
        <v>13000000.0</v>
      </c>
      <c r="E16" s="3">
        <f>D16/K16</f>
        <v>13.0</v>
      </c>
      <c r="F16" s="2" t="str">
        <f>IF(ISNUMBER(D16),"calculated","not_calculated")</f>
        <v>calculated</v>
      </c>
      <c r="G16" s="2">
        <f>IF(ISNUMBER(D16),"","检查缺失值、分母与输入；口径变更须重跑Python")</f>
        <v/>
      </c>
      <c r="H16" s="2" t="s">
        <v>1116</v>
      </c>
      <c r="I16" s="2" t="s">
        <v>1073</v>
      </c>
      <c r="J16" s="2" t="s">
        <v>1074</v>
      </c>
      <c r="K16" s="2">
        <v>1000000</v>
      </c>
      <c r="L16" s="2" t="s">
        <v>58</v>
      </c>
      <c r="M16" s="2" t="s">
        <v>59</v>
      </c>
      <c r="N16" s="2" t="s">
        <v>242</v>
      </c>
      <c r="O16" s="2" t="s">
        <v>60</v>
      </c>
    </row>
    <row r="17" spans="1:15">
      <c r="A17" s="2" t="s">
        <v>1117</v>
      </c>
      <c r="B17" s="2" t="s">
        <v>1118</v>
      </c>
      <c r="C17" s="2" t="s">
        <v>1449</v>
      </c>
      <c r="D17" s="3">
        <f>(('Facts'!F14*1)+('Facts'!F204*1)+('Facts'!F206*1)+('Facts'!F208*1)+('Facts'!F210*-1))*1</f>
        <v>10725000000.0</v>
      </c>
      <c r="E17" s="3">
        <f>D17/K17</f>
        <v>10725.0</v>
      </c>
      <c r="F17" s="2" t="str">
        <f>IF(ISNUMBER(D17),"calculated","not_calculated")</f>
        <v>calculated</v>
      </c>
      <c r="G17" s="2">
        <f>IF(ISNUMBER(D17),"","检查缺失值、分母与输入；口径变更须重跑Python")</f>
        <v/>
      </c>
      <c r="H17" s="2" t="s">
        <v>1119</v>
      </c>
      <c r="I17" s="2" t="s">
        <v>1073</v>
      </c>
      <c r="J17" s="2" t="s">
        <v>1074</v>
      </c>
      <c r="K17" s="2">
        <v>1000000</v>
      </c>
      <c r="L17" s="2" t="s">
        <v>58</v>
      </c>
      <c r="M17" s="2" t="s">
        <v>59</v>
      </c>
      <c r="N17" s="2"/>
      <c r="O17" s="2" t="s">
        <v>60</v>
      </c>
    </row>
    <row r="18" spans="1:15">
      <c r="A18" s="2" t="s">
        <v>1120</v>
      </c>
      <c r="B18" s="2" t="s">
        <v>1121</v>
      </c>
      <c r="C18" s="2" t="s">
        <v>1450</v>
      </c>
      <c r="D18" s="3">
        <f>(('Facts'!F48*1)+('Facts'!F222*1)+('Facts'!F224*1)+('Facts'!F226*1))*1</f>
        <v>2314000000.0</v>
      </c>
      <c r="E18" s="3">
        <f>D18/K18</f>
        <v>2314.0</v>
      </c>
      <c r="F18" s="2" t="str">
        <f>IF(ISNUMBER(D18),"calculated","not_calculated")</f>
        <v>calculated</v>
      </c>
      <c r="G18" s="2">
        <f>IF(ISNUMBER(D18),"","检查缺失值、分母与输入；口径变更须重跑Python")</f>
        <v/>
      </c>
      <c r="H18" s="2" t="s">
        <v>1122</v>
      </c>
      <c r="I18" s="2" t="s">
        <v>1073</v>
      </c>
      <c r="J18" s="2" t="s">
        <v>1074</v>
      </c>
      <c r="K18" s="2">
        <v>1000000</v>
      </c>
      <c r="L18" s="2" t="s">
        <v>58</v>
      </c>
      <c r="M18" s="2" t="s">
        <v>59</v>
      </c>
      <c r="N18" s="2"/>
      <c r="O18" s="2" t="s">
        <v>60</v>
      </c>
    </row>
    <row r="19" spans="1:15">
      <c r="A19" s="2" t="s">
        <v>1123</v>
      </c>
      <c r="B19" s="2" t="s">
        <v>1124</v>
      </c>
      <c r="C19" s="2" t="s">
        <v>1451</v>
      </c>
      <c r="D19" s="3">
        <f>(('Facts'!F190*1)+('Facts'!F192*-1)+('Facts'!F194*-1))*1</f>
        <v>923000000.0</v>
      </c>
      <c r="E19" s="3">
        <f>D19/K19</f>
        <v>923.0</v>
      </c>
      <c r="F19" s="2" t="str">
        <f>IF(ISNUMBER(D19),"calculated","not_calculated")</f>
        <v>calculated</v>
      </c>
      <c r="G19" s="2">
        <f>IF(ISNUMBER(D19),"","检查缺失值、分母与输入；口径变更须重跑Python")</f>
        <v/>
      </c>
      <c r="H19" s="2" t="s">
        <v>1125</v>
      </c>
      <c r="I19" s="2" t="s">
        <v>1073</v>
      </c>
      <c r="J19" s="2" t="s">
        <v>1074</v>
      </c>
      <c r="K19" s="2">
        <v>1000000</v>
      </c>
      <c r="L19" s="2" t="s">
        <v>58</v>
      </c>
      <c r="M19" s="2" t="s">
        <v>59</v>
      </c>
      <c r="N19" s="2" t="s">
        <v>242</v>
      </c>
      <c r="O19" s="2" t="s">
        <v>60</v>
      </c>
    </row>
    <row r="20" spans="1:15">
      <c r="A20" s="2" t="s">
        <v>1126</v>
      </c>
      <c r="B20" s="2" t="s">
        <v>1127</v>
      </c>
      <c r="C20" s="2" t="s">
        <v>1452</v>
      </c>
      <c r="D20" s="3">
        <f>(('Facts'!F196*1)+('Facts'!F198*1))*1</f>
        <v>916000000.0</v>
      </c>
      <c r="E20" s="3">
        <f>D20/K20</f>
        <v>916.0</v>
      </c>
      <c r="F20" s="2" t="str">
        <f>IF(ISNUMBER(D20),"calculated","not_calculated")</f>
        <v>calculated</v>
      </c>
      <c r="G20" s="2">
        <f>IF(ISNUMBER(D20),"","检查缺失值、分母与输入；口径变更须重跑Python")</f>
        <v/>
      </c>
      <c r="H20" s="2" t="s">
        <v>1128</v>
      </c>
      <c r="I20" s="2" t="s">
        <v>1073</v>
      </c>
      <c r="J20" s="2" t="s">
        <v>1074</v>
      </c>
      <c r="K20" s="2">
        <v>1000000</v>
      </c>
      <c r="L20" s="2" t="s">
        <v>58</v>
      </c>
      <c r="M20" s="2" t="s">
        <v>59</v>
      </c>
      <c r="N20" s="2" t="s">
        <v>242</v>
      </c>
      <c r="O20" s="2" t="s">
        <v>60</v>
      </c>
    </row>
    <row r="21" spans="1:15">
      <c r="A21" s="2" t="s">
        <v>1129</v>
      </c>
      <c r="B21" s="2" t="s">
        <v>1130</v>
      </c>
      <c r="C21" s="2" t="s">
        <v>1453</v>
      </c>
      <c r="D21" s="3">
        <f>(('Facts'!F240*1)+('Facts'!F242*1)+('Facts'!F244*1)+('Facts'!F246*1)+('Facts'!F248*1))*1</f>
        <v>-16000000.0</v>
      </c>
      <c r="E21" s="3">
        <f>D21/K21</f>
        <v>-16.0</v>
      </c>
      <c r="F21" s="2" t="str">
        <f>IF(ISNUMBER(D21),"calculated","not_calculated")</f>
        <v>calculated</v>
      </c>
      <c r="G21" s="2">
        <f>IF(ISNUMBER(D21),"","检查缺失值、分母与输入；口径变更须重跑Python")</f>
        <v/>
      </c>
      <c r="H21" s="2" t="s">
        <v>1131</v>
      </c>
      <c r="I21" s="2" t="s">
        <v>1073</v>
      </c>
      <c r="J21" s="2" t="s">
        <v>1074</v>
      </c>
      <c r="K21" s="2">
        <v>1000000</v>
      </c>
      <c r="L21" s="2" t="s">
        <v>58</v>
      </c>
      <c r="M21" s="2" t="s">
        <v>59</v>
      </c>
      <c r="N21" s="2" t="s">
        <v>242</v>
      </c>
      <c r="O21" s="2" t="s">
        <v>60</v>
      </c>
    </row>
    <row r="22" spans="1:15">
      <c r="A22" s="2" t="s">
        <v>1132</v>
      </c>
      <c r="B22" s="2" t="s">
        <v>1133</v>
      </c>
      <c r="C22" s="2" t="s">
        <v>1454</v>
      </c>
      <c r="D22" s="3">
        <f>(('Facts'!F2*1)+('Facts'!F4*1)+('Facts'!F250*1))*1</f>
        <v>274000000.0</v>
      </c>
      <c r="E22" s="3">
        <f>D22/K22</f>
        <v>274.0</v>
      </c>
      <c r="F22" s="2" t="str">
        <f>IF(ISNUMBER(D22),"calculated","not_calculated")</f>
        <v>calculated</v>
      </c>
      <c r="G22" s="2">
        <f>IF(ISNUMBER(D22),"","检查缺失值、分母与输入；口径变更须重跑Python")</f>
        <v/>
      </c>
      <c r="H22" s="2" t="s">
        <v>1134</v>
      </c>
      <c r="I22" s="2" t="s">
        <v>1073</v>
      </c>
      <c r="J22" s="2" t="s">
        <v>1074</v>
      </c>
      <c r="K22" s="2">
        <v>1000000</v>
      </c>
      <c r="L22" s="2" t="s">
        <v>58</v>
      </c>
      <c r="M22" s="2" t="s">
        <v>59</v>
      </c>
      <c r="N22" s="2"/>
      <c r="O22" s="2" t="s">
        <v>60</v>
      </c>
    </row>
    <row r="23" spans="1:15">
      <c r="A23" s="2" t="s">
        <v>1135</v>
      </c>
      <c r="B23" s="2" t="s">
        <v>1136</v>
      </c>
      <c r="C23" s="2" t="s">
        <v>1455</v>
      </c>
      <c r="D23" s="3">
        <f>(('Facts'!F252*1)+('Facts'!F254*1))*1</f>
        <v>34000000.0</v>
      </c>
      <c r="E23" s="3">
        <f>D23/K23</f>
        <v>34.0</v>
      </c>
      <c r="F23" s="2" t="str">
        <f>IF(ISNUMBER(D23),"calculated","not_calculated")</f>
        <v>calculated</v>
      </c>
      <c r="G23" s="2">
        <f>IF(ISNUMBER(D23),"","检查缺失值、分母与输入；口径变更须重跑Python")</f>
        <v/>
      </c>
      <c r="H23" s="2" t="s">
        <v>1137</v>
      </c>
      <c r="I23" s="2" t="s">
        <v>1073</v>
      </c>
      <c r="J23" s="2" t="s">
        <v>1074</v>
      </c>
      <c r="K23" s="2">
        <v>1000000</v>
      </c>
      <c r="L23" s="2" t="s">
        <v>58</v>
      </c>
      <c r="M23" s="2" t="s">
        <v>59</v>
      </c>
      <c r="N23" s="2"/>
      <c r="O23" s="2" t="s">
        <v>60</v>
      </c>
    </row>
    <row r="24" spans="1:15">
      <c r="A24" s="2" t="s">
        <v>1138</v>
      </c>
      <c r="B24" s="2" t="s">
        <v>1139</v>
      </c>
      <c r="C24" s="2" t="s">
        <v>1456</v>
      </c>
      <c r="D24" s="3">
        <f>(('Facts'!F256*1)+('Facts'!F258*1))*1</f>
        <v>308000000.0</v>
      </c>
      <c r="E24" s="3">
        <f>D24/K24</f>
        <v>308.0</v>
      </c>
      <c r="F24" s="2" t="str">
        <f>IF(ISNUMBER(D24),"calculated","not_calculated")</f>
        <v>calculated</v>
      </c>
      <c r="G24" s="2">
        <f>IF(ISNUMBER(D24),"","检查缺失值、分母与输入；口径变更须重跑Python")</f>
        <v/>
      </c>
      <c r="H24" s="2" t="s">
        <v>1140</v>
      </c>
      <c r="I24" s="2" t="s">
        <v>1073</v>
      </c>
      <c r="J24" s="2" t="s">
        <v>1074</v>
      </c>
      <c r="K24" s="2">
        <v>1000000</v>
      </c>
      <c r="L24" s="2" t="s">
        <v>58</v>
      </c>
      <c r="M24" s="2" t="s">
        <v>59</v>
      </c>
      <c r="N24" s="2"/>
      <c r="O24" s="2" t="s">
        <v>60</v>
      </c>
    </row>
    <row r="25" spans="1:15">
      <c r="A25" s="2" t="s">
        <v>1141</v>
      </c>
      <c r="B25" s="2" t="s">
        <v>1142</v>
      </c>
      <c r="C25" s="2" t="s">
        <v>1457</v>
      </c>
      <c r="D25" s="3">
        <f>(('Facts'!F76*1)+('Facts'!F92*-1))*1</f>
        <v>2075000000.0</v>
      </c>
      <c r="E25" s="3">
        <f>D25/K25</f>
        <v>2075.0</v>
      </c>
      <c r="F25" s="2" t="str">
        <f>IF(ISNUMBER(D25),"calculated","not_calculated")</f>
        <v>calculated</v>
      </c>
      <c r="G25" s="2">
        <f>IF(ISNUMBER(D25),"","检查缺失值、分母与输入；口径变更须重跑Python")</f>
        <v/>
      </c>
      <c r="H25" s="2" t="s">
        <v>1143</v>
      </c>
      <c r="I25" s="2" t="s">
        <v>1073</v>
      </c>
      <c r="J25" s="2" t="s">
        <v>1074</v>
      </c>
      <c r="K25" s="2">
        <v>1000000</v>
      </c>
      <c r="L25" s="2" t="s">
        <v>58</v>
      </c>
      <c r="M25" s="2" t="s">
        <v>59</v>
      </c>
      <c r="N25" s="2" t="s">
        <v>242</v>
      </c>
      <c r="O25" s="2" t="s">
        <v>60</v>
      </c>
    </row>
    <row r="26" spans="1:15">
      <c r="A26" s="2" t="s">
        <v>1144</v>
      </c>
      <c r="B26" s="2" t="s">
        <v>1145</v>
      </c>
      <c r="C26" s="2" t="s">
        <v>1458</v>
      </c>
      <c r="D26" s="3">
        <f>(('Facts'!F108*1)+('Facts'!F110*-1))*1</f>
        <v>-659000000.0</v>
      </c>
      <c r="E26" s="3">
        <f>D26/K26</f>
        <v>-659.0</v>
      </c>
      <c r="F26" s="2" t="str">
        <f>IF(ISNUMBER(D26),"calculated","not_calculated")</f>
        <v>calculated</v>
      </c>
      <c r="G26" s="2">
        <f>IF(ISNUMBER(D26),"","检查缺失值、分母与输入；口径变更须重跑Python")</f>
        <v/>
      </c>
      <c r="H26" s="2" t="s">
        <v>1146</v>
      </c>
      <c r="I26" s="2" t="s">
        <v>1073</v>
      </c>
      <c r="J26" s="2" t="s">
        <v>1074</v>
      </c>
      <c r="K26" s="2">
        <v>1000000</v>
      </c>
      <c r="L26" s="2" t="s">
        <v>58</v>
      </c>
      <c r="M26" s="2" t="s">
        <v>59</v>
      </c>
      <c r="N26" s="2" t="s">
        <v>242</v>
      </c>
      <c r="O26" s="2" t="s">
        <v>60</v>
      </c>
    </row>
    <row r="27" spans="1:15">
      <c r="A27" s="2" t="s">
        <v>1147</v>
      </c>
      <c r="B27" s="2" t="s">
        <v>1148</v>
      </c>
      <c r="C27" s="2" t="s">
        <v>1459</v>
      </c>
      <c r="D27" s="3">
        <f>(('Facts'!F114*1)+('Facts'!F108*-1)+('Facts'!F110*1)+('Facts'!F88*1)+('Facts'!F120*1)+('Facts'!F122*1)+('Facts'!F84*1)+('Facts'!F124*1)+('Facts'!F126*1)+('Facts'!F128*1)+('Facts'!F130*1)+('Facts'!F132*1)+('Facts'!F134*1)+('Facts'!F136*1)+('Facts'!F138*1)+('Facts'!F140*1))*1</f>
        <v>3057000000.0</v>
      </c>
      <c r="E27" s="3">
        <f>D27/K27</f>
        <v>3057.0</v>
      </c>
      <c r="F27" s="2" t="str">
        <f>IF(ISNUMBER(D27),"calculated","not_calculated")</f>
        <v>calculated</v>
      </c>
      <c r="G27" s="2">
        <f>IF(ISNUMBER(D27),"","检查缺失值、分母与输入；口径变更须重跑Python")</f>
        <v/>
      </c>
      <c r="H27" s="2" t="s">
        <v>1149</v>
      </c>
      <c r="I27" s="2" t="s">
        <v>1073</v>
      </c>
      <c r="J27" s="2" t="s">
        <v>1074</v>
      </c>
      <c r="K27" s="2">
        <v>1000000</v>
      </c>
      <c r="L27" s="2" t="s">
        <v>58</v>
      </c>
      <c r="M27" s="2" t="s">
        <v>59</v>
      </c>
      <c r="N27" s="2" t="s">
        <v>242</v>
      </c>
      <c r="O27" s="2" t="s">
        <v>60</v>
      </c>
    </row>
    <row r="28" spans="1:15">
      <c r="A28" s="2" t="s">
        <v>1150</v>
      </c>
      <c r="B28" s="2" t="s">
        <v>1151</v>
      </c>
      <c r="C28" s="2" t="s">
        <v>1460</v>
      </c>
      <c r="D28" s="3">
        <f>(('Facts'!F182*1)+('Facts'!F174*1)+('Facts'!F176*1))*1</f>
        <v>308000000.0</v>
      </c>
      <c r="E28" s="3">
        <f>D28/K28</f>
        <v>308.0</v>
      </c>
      <c r="F28" s="2" t="str">
        <f>IF(ISNUMBER(D28),"calculated","not_calculated")</f>
        <v>calculated</v>
      </c>
      <c r="G28" s="2">
        <f>IF(ISNUMBER(D28),"","检查缺失值、分母与输入；口径变更须重跑Python")</f>
        <v/>
      </c>
      <c r="H28" s="2" t="s">
        <v>1152</v>
      </c>
      <c r="I28" s="2" t="s">
        <v>1073</v>
      </c>
      <c r="J28" s="2" t="s">
        <v>1074</v>
      </c>
      <c r="K28" s="2">
        <v>1000000</v>
      </c>
      <c r="L28" s="2" t="s">
        <v>58</v>
      </c>
      <c r="M28" s="2" t="s">
        <v>59</v>
      </c>
      <c r="N28" s="2" t="s">
        <v>242</v>
      </c>
      <c r="O28" s="2" t="s">
        <v>60</v>
      </c>
    </row>
    <row r="29" spans="1:15">
      <c r="A29" s="2" t="s">
        <v>1153</v>
      </c>
      <c r="B29" s="2" t="s">
        <v>1154</v>
      </c>
      <c r="C29" s="2" t="s">
        <v>1461</v>
      </c>
      <c r="D29" s="3">
        <f>(('Facts'!F180*1)+('Facts'!F184*1)+('Facts'!F186*1)+('Facts'!F188*1)+('Facts'!F114*1)+('Facts'!F116*1))*1</f>
        <v>-1635000000.0</v>
      </c>
      <c r="E29" s="3">
        <f>D29/K29</f>
        <v>-1635.0</v>
      </c>
      <c r="F29" s="2" t="str">
        <f>IF(ISNUMBER(D29),"calculated","not_calculated")</f>
        <v>calculated</v>
      </c>
      <c r="G29" s="2">
        <f>IF(ISNUMBER(D29),"","检查缺失值、分母与输入；口径变更须重跑Python")</f>
        <v/>
      </c>
      <c r="H29" s="2" t="s">
        <v>1155</v>
      </c>
      <c r="I29" s="2" t="s">
        <v>1073</v>
      </c>
      <c r="J29" s="2" t="s">
        <v>1074</v>
      </c>
      <c r="K29" s="2">
        <v>1000000</v>
      </c>
      <c r="L29" s="2" t="s">
        <v>58</v>
      </c>
      <c r="M29" s="2" t="s">
        <v>59</v>
      </c>
      <c r="N29" s="2" t="s">
        <v>242</v>
      </c>
      <c r="O29" s="2" t="s">
        <v>60</v>
      </c>
    </row>
    <row r="30" spans="1:15">
      <c r="A30" s="2" t="s">
        <v>1156</v>
      </c>
      <c r="B30" s="2" t="s">
        <v>1157</v>
      </c>
      <c r="C30" s="2" t="s">
        <v>1462</v>
      </c>
      <c r="D30" s="3">
        <f>(('Facts'!F142*1)+('Facts'!F130*-1))*1</f>
        <v>1872000000.0</v>
      </c>
      <c r="E30" s="3">
        <f>D30/K30</f>
        <v>1872.0</v>
      </c>
      <c r="F30" s="2" t="str">
        <f>IF(ISNUMBER(D30),"calculated","not_calculated")</f>
        <v>calculated</v>
      </c>
      <c r="G30" s="2">
        <f>IF(ISNUMBER(D30),"","检查缺失值、分母与输入；口径变更须重跑Python")</f>
        <v/>
      </c>
      <c r="H30" s="2" t="s">
        <v>1158</v>
      </c>
      <c r="I30" s="2" t="s">
        <v>1073</v>
      </c>
      <c r="J30" s="2" t="s">
        <v>1074</v>
      </c>
      <c r="K30" s="2">
        <v>1000000</v>
      </c>
      <c r="L30" s="2" t="s">
        <v>58</v>
      </c>
      <c r="M30" s="2" t="s">
        <v>59</v>
      </c>
      <c r="N30" s="2" t="s">
        <v>242</v>
      </c>
      <c r="O30" s="2" t="s">
        <v>60</v>
      </c>
    </row>
    <row r="31" spans="1:15">
      <c r="A31" s="2" t="s">
        <v>1159</v>
      </c>
      <c r="B31" s="2" t="s">
        <v>1160</v>
      </c>
      <c r="C31" s="2" t="s">
        <v>1463</v>
      </c>
      <c r="D31" s="3">
        <f>(('Calculations'!D30*1)+('Facts'!F144*1))*1</f>
        <v>1690000000.0</v>
      </c>
      <c r="E31" s="3">
        <f>D31/K31</f>
        <v>1690.0</v>
      </c>
      <c r="F31" s="2" t="str">
        <f>IF(ISNUMBER(D31),"calculated","not_calculated")</f>
        <v>calculated</v>
      </c>
      <c r="G31" s="2">
        <f>IF(ISNUMBER(D31),"","检查缺失值、分母与输入；口径变更须重跑Python")</f>
        <v/>
      </c>
      <c r="H31" s="2" t="s">
        <v>1161</v>
      </c>
      <c r="I31" s="2" t="s">
        <v>1162</v>
      </c>
      <c r="J31" s="2" t="s">
        <v>1074</v>
      </c>
      <c r="K31" s="2">
        <v>1000000</v>
      </c>
      <c r="L31" s="2" t="s">
        <v>58</v>
      </c>
      <c r="M31" s="2" t="s">
        <v>59</v>
      </c>
      <c r="N31" s="2" t="s">
        <v>242</v>
      </c>
      <c r="O31" s="2" t="s">
        <v>60</v>
      </c>
    </row>
    <row r="32" spans="1:15">
      <c r="A32" s="2" t="s">
        <v>1163</v>
      </c>
      <c r="B32" s="2" t="s">
        <v>1164</v>
      </c>
      <c r="C32" s="2" t="s">
        <v>1464</v>
      </c>
      <c r="D32" s="3">
        <f>(('Calculations'!D31*1)+('Facts'!F170*1))*1</f>
        <v>-390000000.0</v>
      </c>
      <c r="E32" s="3">
        <f>D32/K32</f>
        <v>-390.0</v>
      </c>
      <c r="F32" s="2" t="str">
        <f>IF(ISNUMBER(D32),"calculated","not_calculated")</f>
        <v>calculated</v>
      </c>
      <c r="G32" s="2">
        <f>IF(ISNUMBER(D32),"","检查缺失值、分母与输入；口径变更须重跑Python")</f>
        <v/>
      </c>
      <c r="H32" s="2" t="s">
        <v>1165</v>
      </c>
      <c r="I32" s="2" t="s">
        <v>1166</v>
      </c>
      <c r="J32" s="2" t="s">
        <v>1074</v>
      </c>
      <c r="K32" s="2">
        <v>1000000</v>
      </c>
      <c r="L32" s="2" t="s">
        <v>58</v>
      </c>
      <c r="M32" s="2" t="s">
        <v>59</v>
      </c>
      <c r="N32" s="2" t="s">
        <v>242</v>
      </c>
      <c r="O32" s="2" t="s">
        <v>60</v>
      </c>
    </row>
    <row r="33" spans="1:15">
      <c r="A33" s="2" t="s">
        <v>1167</v>
      </c>
      <c r="B33" s="2" t="s">
        <v>1168</v>
      </c>
      <c r="C33" s="2" t="s">
        <v>1465</v>
      </c>
      <c r="D33" s="3">
        <f>(('Facts'!F130*1)+('Facts'!F150*1))*1</f>
        <v>205000000.0</v>
      </c>
      <c r="E33" s="3">
        <f>D33/K33</f>
        <v>205.0</v>
      </c>
      <c r="F33" s="2" t="str">
        <f>IF(ISNUMBER(D33),"calculated","not_calculated")</f>
        <v>calculated</v>
      </c>
      <c r="G33" s="2">
        <f>IF(ISNUMBER(D33),"","检查缺失值、分母与输入；口径变更须重跑Python")</f>
        <v/>
      </c>
      <c r="H33" s="2" t="s">
        <v>1169</v>
      </c>
      <c r="I33" s="2" t="s">
        <v>1170</v>
      </c>
      <c r="J33" s="2" t="s">
        <v>1074</v>
      </c>
      <c r="K33" s="2">
        <v>1000000</v>
      </c>
      <c r="L33" s="2" t="s">
        <v>58</v>
      </c>
      <c r="M33" s="2" t="s">
        <v>59</v>
      </c>
      <c r="N33" s="2" t="s">
        <v>242</v>
      </c>
      <c r="O33" s="2" t="s">
        <v>60</v>
      </c>
    </row>
    <row r="34" spans="1:15">
      <c r="A34" s="2" t="s">
        <v>1171</v>
      </c>
      <c r="B34" s="2" t="s">
        <v>1172</v>
      </c>
      <c r="C34" s="2" t="s">
        <v>1466</v>
      </c>
      <c r="D34" s="3">
        <f>(('Facts'!F3*1)+('Facts'!F5*1)+('Facts'!F7*1)+('Facts'!F9*1)+('Facts'!F11*1)+('Facts'!F13*1)+('Facts'!F15*1))*1</f>
        <v>1090000000.0</v>
      </c>
      <c r="E34" s="3">
        <f>D34/K34</f>
        <v>1090.0</v>
      </c>
      <c r="F34" s="2" t="str">
        <f>IF(ISNUMBER(D34),"calculated","not_calculated")</f>
        <v>calculated</v>
      </c>
      <c r="G34" s="2">
        <f>IF(ISNUMBER(D34),"","检查缺失值、分母与输入；口径变更须重跑Python")</f>
        <v/>
      </c>
      <c r="H34" s="2" t="s">
        <v>1173</v>
      </c>
      <c r="I34" s="2" t="s">
        <v>1073</v>
      </c>
      <c r="J34" s="2" t="s">
        <v>1074</v>
      </c>
      <c r="K34" s="2">
        <v>1000000</v>
      </c>
      <c r="L34" s="2" t="s">
        <v>58</v>
      </c>
      <c r="M34" s="2" t="s">
        <v>59</v>
      </c>
      <c r="N34" s="2"/>
      <c r="O34" s="2" t="s">
        <v>66</v>
      </c>
    </row>
    <row r="35" spans="1:15">
      <c r="A35" s="2" t="s">
        <v>1174</v>
      </c>
      <c r="B35" s="2" t="s">
        <v>1175</v>
      </c>
      <c r="C35" s="2" t="s">
        <v>1467</v>
      </c>
      <c r="D35" s="3">
        <f>(('Facts'!F17*1)+('Facts'!F19*1)+('Facts'!F21*1)+('Facts'!F23*1)+('Facts'!F25*1)+('Facts'!F27*1)+('Facts'!F29*1)+('Facts'!F31*1)+('Facts'!F33*1))*1</f>
        <v>32736000000.0</v>
      </c>
      <c r="E35" s="3">
        <f>D35/K35</f>
        <v>32736.0</v>
      </c>
      <c r="F35" s="2" t="str">
        <f>IF(ISNUMBER(D35),"calculated","not_calculated")</f>
        <v>calculated</v>
      </c>
      <c r="G35" s="2">
        <f>IF(ISNUMBER(D35),"","检查缺失值、分母与输入；口径变更须重跑Python")</f>
        <v/>
      </c>
      <c r="H35" s="2" t="s">
        <v>1176</v>
      </c>
      <c r="I35" s="2" t="s">
        <v>1073</v>
      </c>
      <c r="J35" s="2" t="s">
        <v>1074</v>
      </c>
      <c r="K35" s="2">
        <v>1000000</v>
      </c>
      <c r="L35" s="2" t="s">
        <v>58</v>
      </c>
      <c r="M35" s="2" t="s">
        <v>59</v>
      </c>
      <c r="N35" s="2"/>
      <c r="O35" s="2" t="s">
        <v>66</v>
      </c>
    </row>
    <row r="36" spans="1:15">
      <c r="A36" s="2" t="s">
        <v>1177</v>
      </c>
      <c r="B36" s="2" t="s">
        <v>1178</v>
      </c>
      <c r="C36" s="2" t="s">
        <v>1468</v>
      </c>
      <c r="D36" s="3">
        <f>(('Facts'!F37*1)+('Facts'!F39*1)+('Facts'!F41*1)+('Facts'!F43*1)+('Facts'!F45*1)+('Facts'!F47*1)+('Facts'!F49*1))*1</f>
        <v>2177000000.0</v>
      </c>
      <c r="E36" s="3">
        <f>D36/K36</f>
        <v>2177.0</v>
      </c>
      <c r="F36" s="2" t="str">
        <f>IF(ISNUMBER(D36),"calculated","not_calculated")</f>
        <v>calculated</v>
      </c>
      <c r="G36" s="2">
        <f>IF(ISNUMBER(D36),"","检查缺失值、分母与输入；口径变更须重跑Python")</f>
        <v/>
      </c>
      <c r="H36" s="2" t="s">
        <v>1179</v>
      </c>
      <c r="I36" s="2" t="s">
        <v>1073</v>
      </c>
      <c r="J36" s="2" t="s">
        <v>1074</v>
      </c>
      <c r="K36" s="2">
        <v>1000000</v>
      </c>
      <c r="L36" s="2" t="s">
        <v>58</v>
      </c>
      <c r="M36" s="2" t="s">
        <v>59</v>
      </c>
      <c r="N36" s="2"/>
      <c r="O36" s="2" t="s">
        <v>66</v>
      </c>
    </row>
    <row r="37" spans="1:15">
      <c r="A37" s="2" t="s">
        <v>1180</v>
      </c>
      <c r="B37" s="2" t="s">
        <v>1181</v>
      </c>
      <c r="C37" s="2" t="s">
        <v>1469</v>
      </c>
      <c r="D37" s="3">
        <f>(('Facts'!F51*1)+('Facts'!F53*1)+('Facts'!F55*1)+('Facts'!F57*1)+('Facts'!F59*1))*1</f>
        <v>32869000000.0</v>
      </c>
      <c r="E37" s="3">
        <f>D37/K37</f>
        <v>32869.0</v>
      </c>
      <c r="F37" s="2" t="str">
        <f>IF(ISNUMBER(D37),"calculated","not_calculated")</f>
        <v>calculated</v>
      </c>
      <c r="G37" s="2">
        <f>IF(ISNUMBER(D37),"","检查缺失值、分母与输入；口径变更须重跑Python")</f>
        <v/>
      </c>
      <c r="H37" s="2" t="s">
        <v>1182</v>
      </c>
      <c r="I37" s="2" t="s">
        <v>1073</v>
      </c>
      <c r="J37" s="2" t="s">
        <v>1074</v>
      </c>
      <c r="K37" s="2">
        <v>1000000</v>
      </c>
      <c r="L37" s="2" t="s">
        <v>58</v>
      </c>
      <c r="M37" s="2" t="s">
        <v>59</v>
      </c>
      <c r="N37" s="2"/>
      <c r="O37" s="2" t="s">
        <v>66</v>
      </c>
    </row>
    <row r="38" spans="1:15">
      <c r="A38" s="2" t="s">
        <v>1183</v>
      </c>
      <c r="B38" s="2" t="s">
        <v>1184</v>
      </c>
      <c r="C38" s="2" t="s">
        <v>1470</v>
      </c>
      <c r="D38" s="3">
        <f>(('Facts'!F63*1)+('Facts'!F65*1)+('Facts'!F67*1)+('Facts'!F69*1))*1</f>
        <v>-133000000.0</v>
      </c>
      <c r="E38" s="3">
        <f>D38/K38</f>
        <v>-133.0</v>
      </c>
      <c r="F38" s="2" t="str">
        <f>IF(ISNUMBER(D38),"calculated","not_calculated")</f>
        <v>calculated</v>
      </c>
      <c r="G38" s="2">
        <f>IF(ISNUMBER(D38),"","检查缺失值、分母与输入；口径变更须重跑Python")</f>
        <v/>
      </c>
      <c r="H38" s="2" t="s">
        <v>1185</v>
      </c>
      <c r="I38" s="2" t="s">
        <v>1073</v>
      </c>
      <c r="J38" s="2" t="s">
        <v>1074</v>
      </c>
      <c r="K38" s="2">
        <v>1000000</v>
      </c>
      <c r="L38" s="2" t="s">
        <v>58</v>
      </c>
      <c r="M38" s="2" t="s">
        <v>59</v>
      </c>
      <c r="N38" s="2"/>
      <c r="O38" s="2" t="s">
        <v>66</v>
      </c>
    </row>
    <row r="39" spans="1:15">
      <c r="A39" s="2" t="s">
        <v>1186</v>
      </c>
      <c r="B39" s="2" t="s">
        <v>1187</v>
      </c>
      <c r="C39" s="2" t="s">
        <v>1471</v>
      </c>
      <c r="D39" s="3">
        <f>(('Facts'!F61*1)+('Facts'!F71*1))*1</f>
        <v>32736000000.0</v>
      </c>
      <c r="E39" s="3">
        <f>D39/K39</f>
        <v>32736.0</v>
      </c>
      <c r="F39" s="2" t="str">
        <f>IF(ISNUMBER(D39),"calculated","not_calculated")</f>
        <v>calculated</v>
      </c>
      <c r="G39" s="2">
        <f>IF(ISNUMBER(D39),"","检查缺失值、分母与输入；口径变更须重跑Python")</f>
        <v/>
      </c>
      <c r="H39" s="2" t="s">
        <v>1188</v>
      </c>
      <c r="I39" s="2" t="s">
        <v>1073</v>
      </c>
      <c r="J39" s="2" t="s">
        <v>1074</v>
      </c>
      <c r="K39" s="2">
        <v>1000000</v>
      </c>
      <c r="L39" s="2" t="s">
        <v>58</v>
      </c>
      <c r="M39" s="2" t="s">
        <v>59</v>
      </c>
      <c r="N39" s="2"/>
      <c r="O39" s="2" t="s">
        <v>66</v>
      </c>
    </row>
    <row r="40" spans="1:15">
      <c r="A40" s="2" t="s">
        <v>1189</v>
      </c>
      <c r="B40" s="2" t="s">
        <v>1190</v>
      </c>
      <c r="C40" s="2" t="s">
        <v>1472</v>
      </c>
      <c r="D40" s="3">
        <f>(('Facts'!F73*1)+('Facts'!F75*1))*1</f>
        <v>4460000000.0</v>
      </c>
      <c r="E40" s="3">
        <f>D40/K40</f>
        <v>4460.0</v>
      </c>
      <c r="F40" s="2" t="str">
        <f>IF(ISNUMBER(D40),"calculated","not_calculated")</f>
        <v>calculated</v>
      </c>
      <c r="G40" s="2">
        <f>IF(ISNUMBER(D40),"","检查缺失值、分母与输入；口径变更须重跑Python")</f>
        <v/>
      </c>
      <c r="H40" s="2" t="s">
        <v>1191</v>
      </c>
      <c r="I40" s="2" t="s">
        <v>1073</v>
      </c>
      <c r="J40" s="2" t="s">
        <v>1074</v>
      </c>
      <c r="K40" s="2">
        <v>1000000</v>
      </c>
      <c r="L40" s="2" t="s">
        <v>58</v>
      </c>
      <c r="M40" s="2" t="s">
        <v>59</v>
      </c>
      <c r="N40" s="2" t="s">
        <v>247</v>
      </c>
      <c r="O40" s="2" t="s">
        <v>66</v>
      </c>
    </row>
    <row r="41" spans="1:15">
      <c r="A41" s="2" t="s">
        <v>1192</v>
      </c>
      <c r="B41" s="2" t="s">
        <v>1193</v>
      </c>
      <c r="C41" s="2" t="s">
        <v>1473</v>
      </c>
      <c r="D41" s="3">
        <f>(('Facts'!F79*1)+('Facts'!F81*1)+('Facts'!F83*1)+('Facts'!F85*1)+('Facts'!F87*1)+('Facts'!F89*1)+('Facts'!F91*1))*1</f>
        <v>2342000000.0</v>
      </c>
      <c r="E41" s="3">
        <f>D41/K41</f>
        <v>2342.0</v>
      </c>
      <c r="F41" s="2" t="str">
        <f>IF(ISNUMBER(D41),"calculated","not_calculated")</f>
        <v>calculated</v>
      </c>
      <c r="G41" s="2">
        <f>IF(ISNUMBER(D41),"","检查缺失值、分母与输入；口径变更须重跑Python")</f>
        <v/>
      </c>
      <c r="H41" s="2" t="s">
        <v>1194</v>
      </c>
      <c r="I41" s="2" t="s">
        <v>1073</v>
      </c>
      <c r="J41" s="2" t="s">
        <v>1074</v>
      </c>
      <c r="K41" s="2">
        <v>1000000</v>
      </c>
      <c r="L41" s="2" t="s">
        <v>58</v>
      </c>
      <c r="M41" s="2" t="s">
        <v>59</v>
      </c>
      <c r="N41" s="2" t="s">
        <v>247</v>
      </c>
      <c r="O41" s="2" t="s">
        <v>66</v>
      </c>
    </row>
    <row r="42" spans="1:15">
      <c r="A42" s="2" t="s">
        <v>1195</v>
      </c>
      <c r="B42" s="2" t="s">
        <v>1196</v>
      </c>
      <c r="C42" s="2" t="s">
        <v>1474</v>
      </c>
      <c r="D42" s="3">
        <f>(('Facts'!F95*1)+('Facts'!F97*1)+('Facts'!F99*1)+('Facts'!F101*1))*1</f>
        <v>1180000000.0</v>
      </c>
      <c r="E42" s="3">
        <f>D42/K42</f>
        <v>1180.0</v>
      </c>
      <c r="F42" s="2" t="str">
        <f>IF(ISNUMBER(D42),"calculated","not_calculated")</f>
        <v>calculated</v>
      </c>
      <c r="G42" s="2">
        <f>IF(ISNUMBER(D42),"","检查缺失值、分母与输入；口径变更须重跑Python")</f>
        <v/>
      </c>
      <c r="H42" s="2" t="s">
        <v>1197</v>
      </c>
      <c r="I42" s="2" t="s">
        <v>1073</v>
      </c>
      <c r="J42" s="2" t="s">
        <v>1074</v>
      </c>
      <c r="K42" s="2">
        <v>1000000</v>
      </c>
      <c r="L42" s="2" t="s">
        <v>58</v>
      </c>
      <c r="M42" s="2" t="s">
        <v>59</v>
      </c>
      <c r="N42" s="2" t="s">
        <v>247</v>
      </c>
      <c r="O42" s="2" t="s">
        <v>66</v>
      </c>
    </row>
    <row r="43" spans="1:15">
      <c r="A43" s="2" t="s">
        <v>1198</v>
      </c>
      <c r="B43" s="2" t="s">
        <v>1199</v>
      </c>
      <c r="C43" s="2" t="s">
        <v>1475</v>
      </c>
      <c r="D43" s="3">
        <f>(('Facts'!F103*1)+('Facts'!F105*1))*1</f>
        <v>1162000000.0</v>
      </c>
      <c r="E43" s="3">
        <f>D43/K43</f>
        <v>1162.0</v>
      </c>
      <c r="F43" s="2" t="str">
        <f>IF(ISNUMBER(D43),"calculated","not_calculated")</f>
        <v>calculated</v>
      </c>
      <c r="G43" s="2">
        <f>IF(ISNUMBER(D43),"","检查缺失值、分母与输入；口径变更须重跑Python")</f>
        <v/>
      </c>
      <c r="H43" s="2" t="s">
        <v>1200</v>
      </c>
      <c r="I43" s="2" t="s">
        <v>1073</v>
      </c>
      <c r="J43" s="2" t="s">
        <v>1074</v>
      </c>
      <c r="K43" s="2">
        <v>1000000</v>
      </c>
      <c r="L43" s="2" t="s">
        <v>58</v>
      </c>
      <c r="M43" s="2" t="s">
        <v>59</v>
      </c>
      <c r="N43" s="2" t="s">
        <v>247</v>
      </c>
      <c r="O43" s="2" t="s">
        <v>66</v>
      </c>
    </row>
    <row r="44" spans="1:15">
      <c r="A44" s="2" t="s">
        <v>1201</v>
      </c>
      <c r="B44" s="2" t="s">
        <v>1202</v>
      </c>
      <c r="C44" s="2" t="s">
        <v>1476</v>
      </c>
      <c r="D44" s="3">
        <f>(('Facts'!F107*1)+('Facts'!F113*1))*1</f>
        <v>-3903000000.0</v>
      </c>
      <c r="E44" s="3">
        <f>D44/K44</f>
        <v>-3903.0</v>
      </c>
      <c r="F44" s="2" t="str">
        <f>IF(ISNUMBER(D44),"calculated","not_calculated")</f>
        <v>calculated</v>
      </c>
      <c r="G44" s="2">
        <f>IF(ISNUMBER(D44),"","检查缺失值、分母与输入；口径变更须重跑Python")</f>
        <v/>
      </c>
      <c r="H44" s="2" t="s">
        <v>1203</v>
      </c>
      <c r="I44" s="2" t="s">
        <v>1073</v>
      </c>
      <c r="J44" s="2" t="s">
        <v>1074</v>
      </c>
      <c r="K44" s="2">
        <v>1000000</v>
      </c>
      <c r="L44" s="2" t="s">
        <v>58</v>
      </c>
      <c r="M44" s="2" t="s">
        <v>59</v>
      </c>
      <c r="N44" s="2" t="s">
        <v>247</v>
      </c>
      <c r="O44" s="2" t="s">
        <v>66</v>
      </c>
    </row>
    <row r="45" spans="1:15">
      <c r="A45" s="2" t="s">
        <v>1204</v>
      </c>
      <c r="B45" s="2" t="s">
        <v>1205</v>
      </c>
      <c r="C45" s="2" t="s">
        <v>1477</v>
      </c>
      <c r="D45" s="3">
        <f>(('Facts'!F115*1)+('Facts'!F117*1))*1</f>
        <v>-3904000000.0</v>
      </c>
      <c r="E45" s="3">
        <f>D45/K45</f>
        <v>-3904.0</v>
      </c>
      <c r="F45" s="2" t="str">
        <f>IF(ISNUMBER(D45),"calculated","not_calculated")</f>
        <v>calculated</v>
      </c>
      <c r="G45" s="2">
        <f>IF(ISNUMBER(D45),"","检查缺失值、分母与输入；口径变更须重跑Python")</f>
        <v/>
      </c>
      <c r="H45" s="2" t="s">
        <v>1206</v>
      </c>
      <c r="I45" s="2" t="s">
        <v>1073</v>
      </c>
      <c r="J45" s="2" t="s">
        <v>1074</v>
      </c>
      <c r="K45" s="2">
        <v>1000000</v>
      </c>
      <c r="L45" s="2" t="s">
        <v>58</v>
      </c>
      <c r="M45" s="2" t="s">
        <v>59</v>
      </c>
      <c r="N45" s="2" t="s">
        <v>247</v>
      </c>
      <c r="O45" s="2" t="s">
        <v>66</v>
      </c>
    </row>
    <row r="46" spans="1:15">
      <c r="A46" s="2" t="s">
        <v>1207</v>
      </c>
      <c r="B46" s="2" t="s">
        <v>1208</v>
      </c>
      <c r="C46" s="2" t="s">
        <v>1478</v>
      </c>
      <c r="D46" s="3">
        <f>(('Facts'!F145*1)+('Facts'!F147*1)+('Facts'!F149*1)+('Facts'!F151*1))*1</f>
        <v>-1220000000.0</v>
      </c>
      <c r="E46" s="3">
        <f>D46/K46</f>
        <v>-1220.0</v>
      </c>
      <c r="F46" s="2" t="str">
        <f>IF(ISNUMBER(D46),"calculated","not_calculated")</f>
        <v>calculated</v>
      </c>
      <c r="G46" s="2">
        <f>IF(ISNUMBER(D46),"","检查缺失值、分母与输入；口径变更须重跑Python")</f>
        <v/>
      </c>
      <c r="H46" s="2" t="s">
        <v>1209</v>
      </c>
      <c r="I46" s="2" t="s">
        <v>1073</v>
      </c>
      <c r="J46" s="2" t="s">
        <v>1074</v>
      </c>
      <c r="K46" s="2">
        <v>1000000</v>
      </c>
      <c r="L46" s="2" t="s">
        <v>58</v>
      </c>
      <c r="M46" s="2" t="s">
        <v>59</v>
      </c>
      <c r="N46" s="2" t="s">
        <v>247</v>
      </c>
      <c r="O46" s="2" t="s">
        <v>66</v>
      </c>
    </row>
    <row r="47" spans="1:15">
      <c r="A47" s="2" t="s">
        <v>1210</v>
      </c>
      <c r="B47" s="2" t="s">
        <v>1211</v>
      </c>
      <c r="C47" s="2" t="s">
        <v>1479</v>
      </c>
      <c r="D47" s="3">
        <f>(('Facts'!F155*1)+('Facts'!F157*1)+('Facts'!F159*1)+('Facts'!F161*1)+('Facts'!F163*1)+('Facts'!F165*1)+('Facts'!F167*1)+('Facts'!F169*1)+('Facts'!F171*1))*1</f>
        <v>-1708000000.0</v>
      </c>
      <c r="E47" s="3">
        <f>D47/K47</f>
        <v>-1708.0</v>
      </c>
      <c r="F47" s="2" t="str">
        <f>IF(ISNUMBER(D47),"calculated","not_calculated")</f>
        <v>calculated</v>
      </c>
      <c r="G47" s="2">
        <f>IF(ISNUMBER(D47),"","检查缺失值、分母与输入；口径变更须重跑Python")</f>
        <v/>
      </c>
      <c r="H47" s="2" t="s">
        <v>1212</v>
      </c>
      <c r="I47" s="2" t="s">
        <v>1073</v>
      </c>
      <c r="J47" s="2" t="s">
        <v>1074</v>
      </c>
      <c r="K47" s="2">
        <v>1000000</v>
      </c>
      <c r="L47" s="2" t="s">
        <v>58</v>
      </c>
      <c r="M47" s="2" t="s">
        <v>59</v>
      </c>
      <c r="N47" s="2" t="s">
        <v>247</v>
      </c>
      <c r="O47" s="2" t="s">
        <v>66</v>
      </c>
    </row>
    <row r="48" spans="1:15">
      <c r="A48" s="2" t="s">
        <v>1213</v>
      </c>
      <c r="B48" s="2" t="s">
        <v>1214</v>
      </c>
      <c r="C48" s="2" t="s">
        <v>1480</v>
      </c>
      <c r="D48" s="3">
        <f>(('Facts'!F143*1)+('Facts'!F153*1)+('Facts'!F173*1))*1</f>
        <v>15000000.0</v>
      </c>
      <c r="E48" s="3">
        <f>D48/K48</f>
        <v>15.0</v>
      </c>
      <c r="F48" s="2" t="str">
        <f>IF(ISNUMBER(D48),"calculated","not_calculated")</f>
        <v>calculated</v>
      </c>
      <c r="G48" s="2">
        <f>IF(ISNUMBER(D48),"","检查缺失值、分母与输入；口径变更须重跑Python")</f>
        <v/>
      </c>
      <c r="H48" s="2" t="s">
        <v>1215</v>
      </c>
      <c r="I48" s="2" t="s">
        <v>1073</v>
      </c>
      <c r="J48" s="2" t="s">
        <v>1074</v>
      </c>
      <c r="K48" s="2">
        <v>1000000</v>
      </c>
      <c r="L48" s="2" t="s">
        <v>58</v>
      </c>
      <c r="M48" s="2" t="s">
        <v>59</v>
      </c>
      <c r="N48" s="2" t="s">
        <v>247</v>
      </c>
      <c r="O48" s="2" t="s">
        <v>66</v>
      </c>
    </row>
    <row r="49" spans="1:15">
      <c r="A49" s="2" t="s">
        <v>1216</v>
      </c>
      <c r="B49" s="2" t="s">
        <v>1217</v>
      </c>
      <c r="C49" s="2" t="s">
        <v>1481</v>
      </c>
      <c r="D49" s="3">
        <f>(('Facts'!F15*1)+('Facts'!F205*1)+('Facts'!F207*1)+('Facts'!F209*1)+('Facts'!F211*-1))*1</f>
        <v>11397000000.0</v>
      </c>
      <c r="E49" s="3">
        <f>D49/K49</f>
        <v>11397.0</v>
      </c>
      <c r="F49" s="2" t="str">
        <f>IF(ISNUMBER(D49),"calculated","not_calculated")</f>
        <v>calculated</v>
      </c>
      <c r="G49" s="2">
        <f>IF(ISNUMBER(D49),"","检查缺失值、分母与输入；口径变更须重跑Python")</f>
        <v/>
      </c>
      <c r="H49" s="2" t="s">
        <v>1218</v>
      </c>
      <c r="I49" s="2" t="s">
        <v>1073</v>
      </c>
      <c r="J49" s="2" t="s">
        <v>1074</v>
      </c>
      <c r="K49" s="2">
        <v>1000000</v>
      </c>
      <c r="L49" s="2" t="s">
        <v>58</v>
      </c>
      <c r="M49" s="2" t="s">
        <v>59</v>
      </c>
      <c r="N49" s="2"/>
      <c r="O49" s="2" t="s">
        <v>66</v>
      </c>
    </row>
    <row r="50" spans="1:15">
      <c r="A50" s="2" t="s">
        <v>1219</v>
      </c>
      <c r="B50" s="2" t="s">
        <v>1220</v>
      </c>
      <c r="C50" s="2" t="s">
        <v>1482</v>
      </c>
      <c r="D50" s="3">
        <f>(('Facts'!F49*1)+('Facts'!F223*1)+('Facts'!F225*1)+('Facts'!F227*1))*1</f>
        <v>2244000000.0</v>
      </c>
      <c r="E50" s="3">
        <f>D50/K50</f>
        <v>2244.0</v>
      </c>
      <c r="F50" s="2" t="str">
        <f>IF(ISNUMBER(D50),"calculated","not_calculated")</f>
        <v>calculated</v>
      </c>
      <c r="G50" s="2">
        <f>IF(ISNUMBER(D50),"","检查缺失值、分母与输入；口径变更须重跑Python")</f>
        <v/>
      </c>
      <c r="H50" s="2" t="s">
        <v>1221</v>
      </c>
      <c r="I50" s="2" t="s">
        <v>1073</v>
      </c>
      <c r="J50" s="2" t="s">
        <v>1074</v>
      </c>
      <c r="K50" s="2">
        <v>1000000</v>
      </c>
      <c r="L50" s="2" t="s">
        <v>58</v>
      </c>
      <c r="M50" s="2" t="s">
        <v>59</v>
      </c>
      <c r="N50" s="2"/>
      <c r="O50" s="2" t="s">
        <v>66</v>
      </c>
    </row>
    <row r="51" spans="1:15">
      <c r="A51" s="2" t="s">
        <v>1222</v>
      </c>
      <c r="B51" s="2" t="s">
        <v>1223</v>
      </c>
      <c r="C51" s="2" t="s">
        <v>1483</v>
      </c>
      <c r="D51" s="3">
        <f>(('Facts'!F191*1)+('Facts'!F193*-1)+('Facts'!F195*-1))*1</f>
        <v>-5059000000.0</v>
      </c>
      <c r="E51" s="3">
        <f>D51/K51</f>
        <v>-5059.0</v>
      </c>
      <c r="F51" s="2" t="str">
        <f>IF(ISNUMBER(D51),"calculated","not_calculated")</f>
        <v>calculated</v>
      </c>
      <c r="G51" s="2">
        <f>IF(ISNUMBER(D51),"","检查缺失值、分母与输入；口径变更须重跑Python")</f>
        <v/>
      </c>
      <c r="H51" s="2" t="s">
        <v>1224</v>
      </c>
      <c r="I51" s="2" t="s">
        <v>1073</v>
      </c>
      <c r="J51" s="2" t="s">
        <v>1074</v>
      </c>
      <c r="K51" s="2">
        <v>1000000</v>
      </c>
      <c r="L51" s="2" t="s">
        <v>58</v>
      </c>
      <c r="M51" s="2" t="s">
        <v>59</v>
      </c>
      <c r="N51" s="2" t="s">
        <v>247</v>
      </c>
      <c r="O51" s="2" t="s">
        <v>66</v>
      </c>
    </row>
    <row r="52" spans="1:15">
      <c r="A52" s="2" t="s">
        <v>1225</v>
      </c>
      <c r="B52" s="2" t="s">
        <v>1226</v>
      </c>
      <c r="C52" s="2" t="s">
        <v>1484</v>
      </c>
      <c r="D52" s="3">
        <f>(('Facts'!F197*1)+('Facts'!F199*1))*1</f>
        <v>-5065000000.0</v>
      </c>
      <c r="E52" s="3">
        <f>D52/K52</f>
        <v>-5065.0</v>
      </c>
      <c r="F52" s="2" t="str">
        <f>IF(ISNUMBER(D52),"calculated","not_calculated")</f>
        <v>calculated</v>
      </c>
      <c r="G52" s="2">
        <f>IF(ISNUMBER(D52),"","检查缺失值、分母与输入；口径变更须重跑Python")</f>
        <v/>
      </c>
      <c r="H52" s="2" t="s">
        <v>1227</v>
      </c>
      <c r="I52" s="2" t="s">
        <v>1073</v>
      </c>
      <c r="J52" s="2" t="s">
        <v>1074</v>
      </c>
      <c r="K52" s="2">
        <v>1000000</v>
      </c>
      <c r="L52" s="2" t="s">
        <v>58</v>
      </c>
      <c r="M52" s="2" t="s">
        <v>59</v>
      </c>
      <c r="N52" s="2" t="s">
        <v>247</v>
      </c>
      <c r="O52" s="2" t="s">
        <v>66</v>
      </c>
    </row>
    <row r="53" spans="1:15">
      <c r="A53" s="2" t="s">
        <v>1228</v>
      </c>
      <c r="B53" s="2" t="s">
        <v>1229</v>
      </c>
      <c r="C53" s="2" t="s">
        <v>1485</v>
      </c>
      <c r="D53" s="3">
        <f>(('Facts'!F241*1)+('Facts'!F243*1)+('Facts'!F245*1)+('Facts'!F247*1)+('Facts'!F249*1))*1</f>
        <v>-18000000.0</v>
      </c>
      <c r="E53" s="3">
        <f>D53/K53</f>
        <v>-18.0</v>
      </c>
      <c r="F53" s="2" t="str">
        <f>IF(ISNUMBER(D53),"calculated","not_calculated")</f>
        <v>calculated</v>
      </c>
      <c r="G53" s="2">
        <f>IF(ISNUMBER(D53),"","检查缺失值、分母与输入；口径变更须重跑Python")</f>
        <v/>
      </c>
      <c r="H53" s="2" t="s">
        <v>1230</v>
      </c>
      <c r="I53" s="2" t="s">
        <v>1073</v>
      </c>
      <c r="J53" s="2" t="s">
        <v>1074</v>
      </c>
      <c r="K53" s="2">
        <v>1000000</v>
      </c>
      <c r="L53" s="2" t="s">
        <v>58</v>
      </c>
      <c r="M53" s="2" t="s">
        <v>59</v>
      </c>
      <c r="N53" s="2" t="s">
        <v>247</v>
      </c>
      <c r="O53" s="2" t="s">
        <v>66</v>
      </c>
    </row>
    <row r="54" spans="1:15">
      <c r="A54" s="2" t="s">
        <v>1231</v>
      </c>
      <c r="B54" s="2" t="s">
        <v>1232</v>
      </c>
      <c r="C54" s="2" t="s">
        <v>1486</v>
      </c>
      <c r="D54" s="3">
        <f>(('Facts'!F3*1)+('Facts'!F5*1)+('Facts'!F251*1))*1</f>
        <v>275000000.0</v>
      </c>
      <c r="E54" s="3">
        <f>D54/K54</f>
        <v>275.0</v>
      </c>
      <c r="F54" s="2" t="str">
        <f>IF(ISNUMBER(D54),"calculated","not_calculated")</f>
        <v>calculated</v>
      </c>
      <c r="G54" s="2">
        <f>IF(ISNUMBER(D54),"","检查缺失值、分母与输入；口径变更须重跑Python")</f>
        <v/>
      </c>
      <c r="H54" s="2" t="s">
        <v>1233</v>
      </c>
      <c r="I54" s="2" t="s">
        <v>1073</v>
      </c>
      <c r="J54" s="2" t="s">
        <v>1074</v>
      </c>
      <c r="K54" s="2">
        <v>1000000</v>
      </c>
      <c r="L54" s="2" t="s">
        <v>58</v>
      </c>
      <c r="M54" s="2" t="s">
        <v>59</v>
      </c>
      <c r="N54" s="2"/>
      <c r="O54" s="2" t="s">
        <v>66</v>
      </c>
    </row>
    <row r="55" spans="1:15">
      <c r="A55" s="2" t="s">
        <v>1234</v>
      </c>
      <c r="B55" s="2" t="s">
        <v>1235</v>
      </c>
      <c r="C55" s="2" t="s">
        <v>1487</v>
      </c>
      <c r="D55" s="3">
        <f>(('Facts'!F253*1)+('Facts'!F255*1))*1</f>
        <v>20000000.0</v>
      </c>
      <c r="E55" s="3">
        <f>D55/K55</f>
        <v>20.0</v>
      </c>
      <c r="F55" s="2" t="str">
        <f>IF(ISNUMBER(D55),"calculated","not_calculated")</f>
        <v>calculated</v>
      </c>
      <c r="G55" s="2">
        <f>IF(ISNUMBER(D55),"","检查缺失值、分母与输入；口径变更须重跑Python")</f>
        <v/>
      </c>
      <c r="H55" s="2" t="s">
        <v>1236</v>
      </c>
      <c r="I55" s="2" t="s">
        <v>1073</v>
      </c>
      <c r="J55" s="2" t="s">
        <v>1074</v>
      </c>
      <c r="K55" s="2">
        <v>1000000</v>
      </c>
      <c r="L55" s="2" t="s">
        <v>58</v>
      </c>
      <c r="M55" s="2" t="s">
        <v>59</v>
      </c>
      <c r="N55" s="2"/>
      <c r="O55" s="2" t="s">
        <v>66</v>
      </c>
    </row>
    <row r="56" spans="1:15">
      <c r="A56" s="2" t="s">
        <v>1237</v>
      </c>
      <c r="B56" s="2" t="s">
        <v>1238</v>
      </c>
      <c r="C56" s="2" t="s">
        <v>1488</v>
      </c>
      <c r="D56" s="3">
        <f>(('Facts'!F257*1)+('Facts'!F259*1))*1</f>
        <v>295000000.0</v>
      </c>
      <c r="E56" s="3">
        <f>D56/K56</f>
        <v>295.0</v>
      </c>
      <c r="F56" s="2" t="str">
        <f>IF(ISNUMBER(D56),"calculated","not_calculated")</f>
        <v>calculated</v>
      </c>
      <c r="G56" s="2">
        <f>IF(ISNUMBER(D56),"","检查缺失值、分母与输入；口径变更须重跑Python")</f>
        <v/>
      </c>
      <c r="H56" s="2" t="s">
        <v>1239</v>
      </c>
      <c r="I56" s="2" t="s">
        <v>1073</v>
      </c>
      <c r="J56" s="2" t="s">
        <v>1074</v>
      </c>
      <c r="K56" s="2">
        <v>1000000</v>
      </c>
      <c r="L56" s="2" t="s">
        <v>58</v>
      </c>
      <c r="M56" s="2" t="s">
        <v>59</v>
      </c>
      <c r="N56" s="2"/>
      <c r="O56" s="2" t="s">
        <v>66</v>
      </c>
    </row>
    <row r="57" spans="1:15">
      <c r="A57" s="2" t="s">
        <v>1240</v>
      </c>
      <c r="B57" s="2" t="s">
        <v>1241</v>
      </c>
      <c r="C57" s="2" t="s">
        <v>1489</v>
      </c>
      <c r="D57" s="3">
        <f>(('Facts'!F77*1)+('Facts'!F93*-1))*1</f>
        <v>2118000000.0</v>
      </c>
      <c r="E57" s="3">
        <f>D57/K57</f>
        <v>2118.0</v>
      </c>
      <c r="F57" s="2" t="str">
        <f>IF(ISNUMBER(D57),"calculated","not_calculated")</f>
        <v>calculated</v>
      </c>
      <c r="G57" s="2">
        <f>IF(ISNUMBER(D57),"","检查缺失值、分母与输入；口径变更须重跑Python")</f>
        <v/>
      </c>
      <c r="H57" s="2" t="s">
        <v>1242</v>
      </c>
      <c r="I57" s="2" t="s">
        <v>1073</v>
      </c>
      <c r="J57" s="2" t="s">
        <v>1074</v>
      </c>
      <c r="K57" s="2">
        <v>1000000</v>
      </c>
      <c r="L57" s="2" t="s">
        <v>58</v>
      </c>
      <c r="M57" s="2" t="s">
        <v>59</v>
      </c>
      <c r="N57" s="2" t="s">
        <v>247</v>
      </c>
      <c r="O57" s="2" t="s">
        <v>66</v>
      </c>
    </row>
    <row r="58" spans="1:15">
      <c r="A58" s="2" t="s">
        <v>1243</v>
      </c>
      <c r="B58" s="2" t="s">
        <v>1244</v>
      </c>
      <c r="C58" s="2" t="s">
        <v>1490</v>
      </c>
      <c r="D58" s="3">
        <f>(('Facts'!F109*1)+('Facts'!F111*-1))*1</f>
        <v>-5065000000.0</v>
      </c>
      <c r="E58" s="3">
        <f>D58/K58</f>
        <v>-5065.0</v>
      </c>
      <c r="F58" s="2" t="str">
        <f>IF(ISNUMBER(D58),"calculated","not_calculated")</f>
        <v>calculated</v>
      </c>
      <c r="G58" s="2">
        <f>IF(ISNUMBER(D58),"","检查缺失值、分母与输入；口径变更须重跑Python")</f>
        <v/>
      </c>
      <c r="H58" s="2" t="s">
        <v>1245</v>
      </c>
      <c r="I58" s="2" t="s">
        <v>1073</v>
      </c>
      <c r="J58" s="2" t="s">
        <v>1074</v>
      </c>
      <c r="K58" s="2">
        <v>1000000</v>
      </c>
      <c r="L58" s="2" t="s">
        <v>58</v>
      </c>
      <c r="M58" s="2" t="s">
        <v>59</v>
      </c>
      <c r="N58" s="2" t="s">
        <v>247</v>
      </c>
      <c r="O58" s="2" t="s">
        <v>66</v>
      </c>
    </row>
    <row r="59" spans="1:15">
      <c r="A59" s="2" t="s">
        <v>1246</v>
      </c>
      <c r="B59" s="2" t="s">
        <v>1247</v>
      </c>
      <c r="C59" s="2" t="s">
        <v>1491</v>
      </c>
      <c r="D59" s="3">
        <f>(('Facts'!F115*1)+('Facts'!F109*-1)+('Facts'!F111*1)+('Facts'!F89*1)+('Facts'!F121*1)+('Facts'!F123*1)+('Facts'!F85*1)+('Facts'!F125*1)+('Facts'!F127*1)+('Facts'!F129*1)+('Facts'!F131*1)+('Facts'!F133*1)+('Facts'!F135*1)+('Facts'!F137*1)+('Facts'!F139*1)+('Facts'!F141*1))*1</f>
        <v>2943000000.0</v>
      </c>
      <c r="E59" s="3">
        <f>D59/K59</f>
        <v>2943.0</v>
      </c>
      <c r="F59" s="2" t="str">
        <f>IF(ISNUMBER(D59),"calculated","not_calculated")</f>
        <v>calculated</v>
      </c>
      <c r="G59" s="2">
        <f>IF(ISNUMBER(D59),"","检查缺失值、分母与输入；口径变更须重跑Python")</f>
        <v/>
      </c>
      <c r="H59" s="2" t="s">
        <v>1248</v>
      </c>
      <c r="I59" s="2" t="s">
        <v>1073</v>
      </c>
      <c r="J59" s="2" t="s">
        <v>1074</v>
      </c>
      <c r="K59" s="2">
        <v>1000000</v>
      </c>
      <c r="L59" s="2" t="s">
        <v>58</v>
      </c>
      <c r="M59" s="2" t="s">
        <v>59</v>
      </c>
      <c r="N59" s="2" t="s">
        <v>247</v>
      </c>
      <c r="O59" s="2" t="s">
        <v>66</v>
      </c>
    </row>
    <row r="60" spans="1:15">
      <c r="A60" s="2" t="s">
        <v>1249</v>
      </c>
      <c r="B60" s="2" t="s">
        <v>1250</v>
      </c>
      <c r="C60" s="2" t="s">
        <v>1492</v>
      </c>
      <c r="D60" s="3">
        <f>(('Facts'!F183*1)+('Facts'!F175*1)+('Facts'!F177*1))*1</f>
        <v>295000000.0</v>
      </c>
      <c r="E60" s="3">
        <f>D60/K60</f>
        <v>295.0</v>
      </c>
      <c r="F60" s="2" t="str">
        <f>IF(ISNUMBER(D60),"calculated","not_calculated")</f>
        <v>calculated</v>
      </c>
      <c r="G60" s="2">
        <f>IF(ISNUMBER(D60),"","检查缺失值、分母与输入；口径变更须重跑Python")</f>
        <v/>
      </c>
      <c r="H60" s="2" t="s">
        <v>1251</v>
      </c>
      <c r="I60" s="2" t="s">
        <v>1073</v>
      </c>
      <c r="J60" s="2" t="s">
        <v>1074</v>
      </c>
      <c r="K60" s="2">
        <v>1000000</v>
      </c>
      <c r="L60" s="2" t="s">
        <v>58</v>
      </c>
      <c r="M60" s="2" t="s">
        <v>59</v>
      </c>
      <c r="N60" s="2" t="s">
        <v>247</v>
      </c>
      <c r="O60" s="2" t="s">
        <v>66</v>
      </c>
    </row>
    <row r="61" spans="1:15">
      <c r="A61" s="2" t="s">
        <v>1252</v>
      </c>
      <c r="B61" s="2" t="s">
        <v>1253</v>
      </c>
      <c r="C61" s="2" t="s">
        <v>1493</v>
      </c>
      <c r="D61" s="3">
        <f>(('Facts'!F181*1)+('Facts'!F185*1)+('Facts'!F187*1)+('Facts'!F189*1)+('Facts'!F115*1)+('Facts'!F117*1))*1</f>
        <v>-133000000.0</v>
      </c>
      <c r="E61" s="3">
        <f>D61/K61</f>
        <v>-133.0</v>
      </c>
      <c r="F61" s="2" t="str">
        <f>IF(ISNUMBER(D61),"calculated","not_calculated")</f>
        <v>calculated</v>
      </c>
      <c r="G61" s="2">
        <f>IF(ISNUMBER(D61),"","检查缺失值、分母与输入；口径变更须重跑Python")</f>
        <v/>
      </c>
      <c r="H61" s="2" t="s">
        <v>1254</v>
      </c>
      <c r="I61" s="2" t="s">
        <v>1073</v>
      </c>
      <c r="J61" s="2" t="s">
        <v>1074</v>
      </c>
      <c r="K61" s="2">
        <v>1000000</v>
      </c>
      <c r="L61" s="2" t="s">
        <v>58</v>
      </c>
      <c r="M61" s="2" t="s">
        <v>59</v>
      </c>
      <c r="N61" s="2" t="s">
        <v>247</v>
      </c>
      <c r="O61" s="2" t="s">
        <v>66</v>
      </c>
    </row>
    <row r="62" spans="1:15">
      <c r="A62" s="2" t="s">
        <v>1255</v>
      </c>
      <c r="B62" s="2" t="s">
        <v>1256</v>
      </c>
      <c r="C62" s="2" t="s">
        <v>1494</v>
      </c>
      <c r="D62" s="3">
        <f>(('Facts'!F143*1)+('Facts'!F131*-1))*1</f>
        <v>1820000000.0</v>
      </c>
      <c r="E62" s="3">
        <f>D62/K62</f>
        <v>1820.0</v>
      </c>
      <c r="F62" s="2" t="str">
        <f>IF(ISNUMBER(D62),"calculated","not_calculated")</f>
        <v>calculated</v>
      </c>
      <c r="G62" s="2">
        <f>IF(ISNUMBER(D62),"","检查缺失值、分母与输入；口径变更须重跑Python")</f>
        <v/>
      </c>
      <c r="H62" s="2" t="s">
        <v>1257</v>
      </c>
      <c r="I62" s="2" t="s">
        <v>1073</v>
      </c>
      <c r="J62" s="2" t="s">
        <v>1074</v>
      </c>
      <c r="K62" s="2">
        <v>1000000</v>
      </c>
      <c r="L62" s="2" t="s">
        <v>58</v>
      </c>
      <c r="M62" s="2" t="s">
        <v>59</v>
      </c>
      <c r="N62" s="2" t="s">
        <v>247</v>
      </c>
      <c r="O62" s="2" t="s">
        <v>66</v>
      </c>
    </row>
    <row r="63" spans="1:15">
      <c r="A63" s="2" t="s">
        <v>1258</v>
      </c>
      <c r="B63" s="2" t="s">
        <v>1259</v>
      </c>
      <c r="C63" s="2" t="s">
        <v>1495</v>
      </c>
      <c r="D63" s="3">
        <f>(('Calculations'!D62*1)+('Facts'!F145*1))*1</f>
        <v>1644000000.0</v>
      </c>
      <c r="E63" s="3">
        <f>D63/K63</f>
        <v>1644.0</v>
      </c>
      <c r="F63" s="2" t="str">
        <f>IF(ISNUMBER(D63),"calculated","not_calculated")</f>
        <v>calculated</v>
      </c>
      <c r="G63" s="2">
        <f>IF(ISNUMBER(D63),"","检查缺失值、分母与输入；口径变更须重跑Python")</f>
        <v/>
      </c>
      <c r="H63" s="2" t="s">
        <v>1260</v>
      </c>
      <c r="I63" s="2" t="s">
        <v>1162</v>
      </c>
      <c r="J63" s="2" t="s">
        <v>1074</v>
      </c>
      <c r="K63" s="2">
        <v>1000000</v>
      </c>
      <c r="L63" s="2" t="s">
        <v>58</v>
      </c>
      <c r="M63" s="2" t="s">
        <v>59</v>
      </c>
      <c r="N63" s="2" t="s">
        <v>247</v>
      </c>
      <c r="O63" s="2" t="s">
        <v>66</v>
      </c>
    </row>
    <row r="64" spans="1:15">
      <c r="A64" s="2" t="s">
        <v>1261</v>
      </c>
      <c r="B64" s="2" t="s">
        <v>1262</v>
      </c>
      <c r="C64" s="2" t="s">
        <v>1496</v>
      </c>
      <c r="D64" s="3">
        <f>(('Calculations'!D63*1)+('Facts'!F171*1))*1</f>
        <v>-1085000000.0</v>
      </c>
      <c r="E64" s="3">
        <f>D64/K64</f>
        <v>-1085.0</v>
      </c>
      <c r="F64" s="2" t="str">
        <f>IF(ISNUMBER(D64),"calculated","not_calculated")</f>
        <v>calculated</v>
      </c>
      <c r="G64" s="2">
        <f>IF(ISNUMBER(D64),"","检查缺失值、分母与输入；口径变更须重跑Python")</f>
        <v/>
      </c>
      <c r="H64" s="2" t="s">
        <v>1263</v>
      </c>
      <c r="I64" s="2" t="s">
        <v>1166</v>
      </c>
      <c r="J64" s="2" t="s">
        <v>1074</v>
      </c>
      <c r="K64" s="2">
        <v>1000000</v>
      </c>
      <c r="L64" s="2" t="s">
        <v>58</v>
      </c>
      <c r="M64" s="2" t="s">
        <v>59</v>
      </c>
      <c r="N64" s="2" t="s">
        <v>247</v>
      </c>
      <c r="O64" s="2" t="s">
        <v>66</v>
      </c>
    </row>
    <row r="65" spans="1:15">
      <c r="A65" s="2" t="s">
        <v>1264</v>
      </c>
      <c r="B65" s="2" t="s">
        <v>1265</v>
      </c>
      <c r="C65" s="2" t="s">
        <v>1497</v>
      </c>
      <c r="D65" s="3">
        <f>(('Facts'!F131*1)+('Facts'!F151*1))*1</f>
        <v>78000000.0</v>
      </c>
      <c r="E65" s="3">
        <f>D65/K65</f>
        <v>78.0</v>
      </c>
      <c r="F65" s="2" t="str">
        <f>IF(ISNUMBER(D65),"calculated","not_calculated")</f>
        <v>calculated</v>
      </c>
      <c r="G65" s="2">
        <f>IF(ISNUMBER(D65),"","检查缺失值、分母与输入；口径变更须重跑Python")</f>
        <v/>
      </c>
      <c r="H65" s="2" t="s">
        <v>1266</v>
      </c>
      <c r="I65" s="2" t="s">
        <v>1170</v>
      </c>
      <c r="J65" s="2" t="s">
        <v>1074</v>
      </c>
      <c r="K65" s="2">
        <v>1000000</v>
      </c>
      <c r="L65" s="2" t="s">
        <v>58</v>
      </c>
      <c r="M65" s="2" t="s">
        <v>59</v>
      </c>
      <c r="N65" s="2" t="s">
        <v>247</v>
      </c>
      <c r="O65" s="2" t="s">
        <v>66</v>
      </c>
    </row>
    <row r="66" spans="1:15">
      <c r="A66" s="2" t="s">
        <v>1267</v>
      </c>
      <c r="B66" s="2" t="s">
        <v>1268</v>
      </c>
      <c r="C66" s="2" t="s">
        <v>1498</v>
      </c>
      <c r="D66" s="3">
        <f>(('Facts'!F210*1)+('Facts'!F230*1))*1</f>
        <v>1575000000.0</v>
      </c>
      <c r="E66" s="3">
        <f>D66/K66</f>
        <v>1575.0</v>
      </c>
      <c r="F66" s="2" t="str">
        <f>IF(ISNUMBER(D66),"calculated","not_calculated")</f>
        <v>calculated</v>
      </c>
      <c r="G66" s="2">
        <f>IF(ISNUMBER(D66),"","检查缺失值、分母与输入；口径变更须重跑Python")</f>
        <v/>
      </c>
      <c r="H66" s="2" t="s">
        <v>1269</v>
      </c>
      <c r="I66" s="2" t="s">
        <v>1073</v>
      </c>
      <c r="J66" s="2" t="s">
        <v>1074</v>
      </c>
      <c r="K66" s="2">
        <v>1000000</v>
      </c>
      <c r="L66" s="2" t="s">
        <v>58</v>
      </c>
      <c r="M66" s="2" t="s">
        <v>59</v>
      </c>
      <c r="N66" s="2" t="s">
        <v>242</v>
      </c>
      <c r="O66" s="2" t="s">
        <v>60</v>
      </c>
    </row>
    <row r="67" spans="1:15">
      <c r="A67" s="2" t="s">
        <v>1270</v>
      </c>
      <c r="B67" s="2" t="s">
        <v>1271</v>
      </c>
      <c r="C67" s="2" t="s">
        <v>1499</v>
      </c>
      <c r="D67" s="3">
        <f>(('Facts'!F232*1)+('Facts'!F195*-1))*1</f>
        <v>5127000000.0</v>
      </c>
      <c r="E67" s="3">
        <f>D67/K67</f>
        <v>5127.0</v>
      </c>
      <c r="F67" s="2" t="str">
        <f>IF(ISNUMBER(D67),"calculated","not_calculated")</f>
        <v>calculated</v>
      </c>
      <c r="G67" s="2">
        <f>IF(ISNUMBER(D67),"","检查缺失值、分母与输入；口径变更须重跑Python")</f>
        <v/>
      </c>
      <c r="H67" s="2" t="s">
        <v>1272</v>
      </c>
      <c r="I67" s="2" t="s">
        <v>1273</v>
      </c>
      <c r="J67" s="2" t="s">
        <v>1074</v>
      </c>
      <c r="K67" s="2">
        <v>1000000</v>
      </c>
      <c r="L67" s="2" t="s">
        <v>58</v>
      </c>
      <c r="M67" s="2" t="s">
        <v>59</v>
      </c>
      <c r="N67" s="2" t="s">
        <v>247</v>
      </c>
      <c r="O67" s="2" t="s">
        <v>66</v>
      </c>
    </row>
    <row r="68" spans="1:15">
      <c r="A68" s="2" t="s">
        <v>1274</v>
      </c>
      <c r="B68" s="2" t="s">
        <v>1275</v>
      </c>
      <c r="C68" s="2" t="s">
        <v>1500</v>
      </c>
      <c r="D68" s="3">
        <f>(('Facts'!F77*1)+('Facts'!F191*1))*1</f>
        <v>6570000000.0</v>
      </c>
      <c r="E68" s="3">
        <f>D68/K68</f>
        <v>6570.0</v>
      </c>
      <c r="F68" s="2" t="str">
        <f>IF(ISNUMBER(D68),"calculated","not_calculated")</f>
        <v>calculated</v>
      </c>
      <c r="G68" s="2">
        <f>IF(ISNUMBER(D68),"","检查缺失值、分母与输入；口径变更须重跑Python")</f>
        <v/>
      </c>
      <c r="H68" s="2" t="s">
        <v>1276</v>
      </c>
      <c r="I68" s="2" t="s">
        <v>1073</v>
      </c>
      <c r="J68" s="2" t="s">
        <v>1074</v>
      </c>
      <c r="K68" s="2">
        <v>1000000</v>
      </c>
      <c r="L68" s="2" t="s">
        <v>58</v>
      </c>
      <c r="M68" s="2" t="s">
        <v>59</v>
      </c>
      <c r="N68" s="2" t="s">
        <v>247</v>
      </c>
      <c r="O68" s="2" t="s">
        <v>66</v>
      </c>
    </row>
    <row r="69" spans="1:15">
      <c r="A69" s="2" t="s">
        <v>1277</v>
      </c>
      <c r="B69" s="2" t="s">
        <v>1278</v>
      </c>
      <c r="C69" s="2" t="s">
        <v>1501</v>
      </c>
      <c r="D69" s="3">
        <f>(('Facts'!F103*1)+('Facts'!F197*1))*1</f>
        <v>-3879000000.0</v>
      </c>
      <c r="E69" s="3">
        <f>D69/K69</f>
        <v>-3879.0</v>
      </c>
      <c r="F69" s="2" t="str">
        <f>IF(ISNUMBER(D69),"calculated","not_calculated")</f>
        <v>calculated</v>
      </c>
      <c r="G69" s="2">
        <f>IF(ISNUMBER(D69),"","检查缺失值、分母与输入；口径变更须重跑Python")</f>
        <v/>
      </c>
      <c r="H69" s="2" t="s">
        <v>1279</v>
      </c>
      <c r="I69" s="2" t="s">
        <v>1073</v>
      </c>
      <c r="J69" s="2" t="s">
        <v>1074</v>
      </c>
      <c r="K69" s="2">
        <v>1000000</v>
      </c>
      <c r="L69" s="2" t="s">
        <v>58</v>
      </c>
      <c r="M69" s="2" t="s">
        <v>59</v>
      </c>
      <c r="N69" s="2" t="s">
        <v>247</v>
      </c>
      <c r="O69" s="2" t="s">
        <v>66</v>
      </c>
    </row>
    <row r="70" spans="1:15">
      <c r="A70" s="2" t="s">
        <v>1280</v>
      </c>
      <c r="B70" s="2" t="s">
        <v>1281</v>
      </c>
      <c r="C70" s="2" t="s">
        <v>1502</v>
      </c>
      <c r="D70" s="3">
        <f>(('Facts'!F105*1)+('Facts'!F199*1))*1</f>
        <v>-24000000.0</v>
      </c>
      <c r="E70" s="3">
        <f>D70/K70</f>
        <v>-24.0</v>
      </c>
      <c r="F70" s="2" t="str">
        <f>IF(ISNUMBER(D70),"calculated","not_calculated")</f>
        <v>calculated</v>
      </c>
      <c r="G70" s="2">
        <f>IF(ISNUMBER(D70),"","检查缺失值、分母与输入；口径变更须重跑Python")</f>
        <v/>
      </c>
      <c r="H70" s="2" t="s">
        <v>1282</v>
      </c>
      <c r="I70" s="2" t="s">
        <v>1073</v>
      </c>
      <c r="J70" s="2" t="s">
        <v>1074</v>
      </c>
      <c r="K70" s="2">
        <v>1000000</v>
      </c>
      <c r="L70" s="2" t="s">
        <v>58</v>
      </c>
      <c r="M70" s="2" t="s">
        <v>59</v>
      </c>
      <c r="N70" s="2" t="s">
        <v>247</v>
      </c>
      <c r="O70" s="2" t="s">
        <v>66</v>
      </c>
    </row>
    <row r="71" spans="1:15">
      <c r="A71" s="2" t="s">
        <v>1283</v>
      </c>
      <c r="B71" s="2" t="s">
        <v>1284</v>
      </c>
      <c r="C71" s="2" t="s">
        <v>1476</v>
      </c>
      <c r="D71" s="3">
        <f>(('Facts'!F107*1)+('Facts'!F113*1))*1</f>
        <v>-3903000000.0</v>
      </c>
      <c r="E71" s="3">
        <f>D71/K71</f>
        <v>-3903.0</v>
      </c>
      <c r="F71" s="2" t="str">
        <f>IF(ISNUMBER(D71),"calculated","not_calculated")</f>
        <v>calculated</v>
      </c>
      <c r="G71" s="2">
        <f>IF(ISNUMBER(D71),"","检查缺失值、分母与输入；口径变更须重跑Python")</f>
        <v/>
      </c>
      <c r="H71" s="2" t="s">
        <v>1203</v>
      </c>
      <c r="I71" s="2" t="s">
        <v>1073</v>
      </c>
      <c r="J71" s="2" t="s">
        <v>1074</v>
      </c>
      <c r="K71" s="2">
        <v>1000000</v>
      </c>
      <c r="L71" s="2" t="s">
        <v>58</v>
      </c>
      <c r="M71" s="2" t="s">
        <v>59</v>
      </c>
      <c r="N71" s="2" t="s">
        <v>247</v>
      </c>
      <c r="O71" s="2" t="s">
        <v>66</v>
      </c>
    </row>
    <row r="72" spans="1:15">
      <c r="A72" s="2" t="s">
        <v>1285</v>
      </c>
      <c r="B72" s="2" t="s">
        <v>1286</v>
      </c>
      <c r="C72" s="2" t="s">
        <v>1503</v>
      </c>
      <c r="D72" s="3">
        <f>(('Facts'!F212*1)+('Facts'!F210*1)+('Facts'!F228*-1))*1</f>
        <v>9918000000.0</v>
      </c>
      <c r="E72" s="3">
        <f>D72/K72</f>
        <v>9918.0</v>
      </c>
      <c r="F72" s="2" t="str">
        <f>IF(ISNUMBER(D72),"calculated","not_calculated")</f>
        <v>calculated</v>
      </c>
      <c r="G72" s="2">
        <f>IF(ISNUMBER(D72),"","检查缺失值、分母与输入；口径变更须重跑Python")</f>
        <v/>
      </c>
      <c r="H72" s="2" t="s">
        <v>1287</v>
      </c>
      <c r="I72" s="2" t="s">
        <v>1073</v>
      </c>
      <c r="J72" s="2" t="s">
        <v>1074</v>
      </c>
      <c r="K72" s="2">
        <v>1000000</v>
      </c>
      <c r="L72" s="2" t="s">
        <v>58</v>
      </c>
      <c r="M72" s="2" t="s">
        <v>59</v>
      </c>
      <c r="N72" s="2"/>
      <c r="O72" s="2" t="s">
        <v>60</v>
      </c>
    </row>
    <row r="73" spans="1:15">
      <c r="A73" s="2" t="s">
        <v>1288</v>
      </c>
      <c r="B73" s="2" t="s">
        <v>1289</v>
      </c>
      <c r="C73" s="2" t="s">
        <v>1504</v>
      </c>
      <c r="D73" s="3">
        <f>(('Facts'!F212*1)+('Facts'!F228*-1))*1</f>
        <v>8411000000.0</v>
      </c>
      <c r="E73" s="3">
        <f>D73/K73</f>
        <v>8411.0</v>
      </c>
      <c r="F73" s="2" t="str">
        <f>IF(ISNUMBER(D73),"calculated","not_calculated")</f>
        <v>calculated</v>
      </c>
      <c r="G73" s="2">
        <f>IF(ISNUMBER(D73),"","检查缺失值、分母与输入；口径变更须重跑Python")</f>
        <v/>
      </c>
      <c r="H73" s="2" t="s">
        <v>1290</v>
      </c>
      <c r="I73" s="2" t="s">
        <v>1073</v>
      </c>
      <c r="J73" s="2" t="s">
        <v>1074</v>
      </c>
      <c r="K73" s="2">
        <v>1000000</v>
      </c>
      <c r="L73" s="2" t="s">
        <v>58</v>
      </c>
      <c r="M73" s="2" t="s">
        <v>59</v>
      </c>
      <c r="N73" s="2"/>
      <c r="O73" s="2" t="s">
        <v>60</v>
      </c>
    </row>
    <row r="74" spans="1:15">
      <c r="A74" s="2" t="s">
        <v>1291</v>
      </c>
      <c r="B74" s="2" t="s">
        <v>1292</v>
      </c>
      <c r="C74" s="2" t="s">
        <v>1505</v>
      </c>
      <c r="D74" s="3">
        <f>(('Facts'!F44*1)+('Facts'!F52*1))*1</f>
        <v>24337000000.0</v>
      </c>
      <c r="E74" s="3">
        <f>D74/K74</f>
        <v>24337.0</v>
      </c>
      <c r="F74" s="2" t="str">
        <f>IF(ISNUMBER(D74),"calculated","not_calculated")</f>
        <v>calculated</v>
      </c>
      <c r="G74" s="2">
        <f>IF(ISNUMBER(D74),"","检查缺失值、分母与输入；口径变更须重跑Python")</f>
        <v/>
      </c>
      <c r="H74" s="2" t="s">
        <v>1293</v>
      </c>
      <c r="I74" s="2" t="s">
        <v>1073</v>
      </c>
      <c r="J74" s="2" t="s">
        <v>1074</v>
      </c>
      <c r="K74" s="2">
        <v>1000000</v>
      </c>
      <c r="L74" s="2" t="s">
        <v>58</v>
      </c>
      <c r="M74" s="2" t="s">
        <v>59</v>
      </c>
      <c r="N74" s="2"/>
      <c r="O74" s="2" t="s">
        <v>60</v>
      </c>
    </row>
    <row r="75" spans="1:15">
      <c r="A75" s="2" t="s">
        <v>1294</v>
      </c>
      <c r="B75" s="2" t="s">
        <v>1295</v>
      </c>
      <c r="C75" s="2" t="s">
        <v>1506</v>
      </c>
      <c r="D75" s="3">
        <f>(('Facts'!F261*1)+('Facts'!F262*1))*1</f>
        <v>24337000000.0</v>
      </c>
      <c r="E75" s="3">
        <f>D75/K75</f>
        <v>24337.0</v>
      </c>
      <c r="F75" s="2" t="str">
        <f>IF(ISNUMBER(D75),"calculated","not_calculated")</f>
        <v>calculated</v>
      </c>
      <c r="G75" s="2">
        <f>IF(ISNUMBER(D75),"","检查缺失值、分母与输入；口径变更须重跑Python")</f>
        <v/>
      </c>
      <c r="H75" s="2" t="s">
        <v>1296</v>
      </c>
      <c r="I75" s="2" t="s">
        <v>1073</v>
      </c>
      <c r="J75" s="2" t="s">
        <v>1074</v>
      </c>
      <c r="K75" s="2">
        <v>1000000</v>
      </c>
      <c r="L75" s="2" t="s">
        <v>58</v>
      </c>
      <c r="M75" s="2" t="s">
        <v>59</v>
      </c>
      <c r="N75" s="2"/>
      <c r="O75" s="2" t="s">
        <v>60</v>
      </c>
    </row>
    <row r="76" spans="1:15">
      <c r="A76" s="2" t="s">
        <v>1297</v>
      </c>
      <c r="B76" s="2" t="s">
        <v>1298</v>
      </c>
      <c r="C76" s="2" t="s">
        <v>1507</v>
      </c>
      <c r="D76" s="3">
        <f>(('Facts'!F266*1)+('Facts'!F263*-1))*1</f>
        <v>4084000000.0</v>
      </c>
      <c r="E76" s="3">
        <f>D76/K76</f>
        <v>4084.0</v>
      </c>
      <c r="F76" s="2" t="str">
        <f>IF(ISNUMBER(D76),"calculated","not_calculated")</f>
        <v>calculated</v>
      </c>
      <c r="G76" s="2">
        <f>IF(ISNUMBER(D76),"","检查缺失值、分母与输入；口径变更须重跑Python")</f>
        <v/>
      </c>
      <c r="H76" s="2" t="s">
        <v>1299</v>
      </c>
      <c r="I76" s="2" t="s">
        <v>1300</v>
      </c>
      <c r="J76" s="2" t="s">
        <v>1074</v>
      </c>
      <c r="K76" s="2">
        <v>1000000</v>
      </c>
      <c r="L76" s="2" t="s">
        <v>58</v>
      </c>
      <c r="M76" s="2" t="s">
        <v>59</v>
      </c>
      <c r="N76" s="2"/>
      <c r="O76" s="2" t="s">
        <v>60</v>
      </c>
    </row>
    <row r="77" spans="1:15">
      <c r="A77" s="2" t="s">
        <v>1301</v>
      </c>
      <c r="B77" s="2" t="s">
        <v>1302</v>
      </c>
      <c r="C77" s="2" t="s">
        <v>1508</v>
      </c>
      <c r="D77" s="3">
        <f>(('Facts'!F287*1)+('Facts'!F286*-1))*1</f>
        <v>2834000000.0</v>
      </c>
      <c r="E77" s="3">
        <f>D77/K77</f>
        <v>2834.0</v>
      </c>
      <c r="F77" s="2" t="str">
        <f>IF(ISNUMBER(D77),"calculated","not_calculated")</f>
        <v>calculated</v>
      </c>
      <c r="G77" s="2">
        <f>IF(ISNUMBER(D77),"","检查缺失值、分母与输入；口径变更须重跑Python")</f>
        <v/>
      </c>
      <c r="H77" s="2" t="s">
        <v>1303</v>
      </c>
      <c r="I77" s="2" t="s">
        <v>1304</v>
      </c>
      <c r="J77" s="2" t="s">
        <v>1074</v>
      </c>
      <c r="K77" s="2">
        <v>1000000</v>
      </c>
      <c r="L77" s="2" t="s">
        <v>58</v>
      </c>
      <c r="M77" s="2" t="s">
        <v>59</v>
      </c>
      <c r="N77" s="2"/>
      <c r="O77" s="2" t="s">
        <v>783</v>
      </c>
    </row>
    <row r="78" spans="1:15">
      <c r="A78" s="2" t="s">
        <v>1305</v>
      </c>
      <c r="B78" s="2" t="s">
        <v>1306</v>
      </c>
      <c r="C78" s="2" t="s">
        <v>1509</v>
      </c>
      <c r="D78" s="3">
        <f>(('Facts'!F271*1)+('Facts'!F270*-1))*1</f>
        <v>0.6</v>
      </c>
      <c r="E78" s="4">
        <f>D78</f>
        <v>0.6</v>
      </c>
      <c r="F78" s="2" t="str">
        <f>IF(ISNUMBER(D78),"calculated","not_calculated")</f>
        <v>calculated</v>
      </c>
      <c r="G78" s="2">
        <f>IF(ISNUMBER(D78),"","检查缺失值、分母与输入；口径变更须重跑Python")</f>
        <v/>
      </c>
      <c r="H78" s="2" t="s">
        <v>1307</v>
      </c>
      <c r="I78" s="2" t="s">
        <v>1308</v>
      </c>
      <c r="J78" s="2" t="s">
        <v>1309</v>
      </c>
      <c r="K78" s="2">
        <v>1</v>
      </c>
      <c r="L78" s="2" t="s">
        <v>58</v>
      </c>
      <c r="M78" s="2" t="s">
        <v>766</v>
      </c>
      <c r="N78" s="2"/>
      <c r="O78" s="2" t="s">
        <v>60</v>
      </c>
    </row>
    <row r="79" spans="1:15">
      <c r="A79" s="2" t="s">
        <v>1310</v>
      </c>
      <c r="B79" s="2" t="s">
        <v>1311</v>
      </c>
      <c r="C79" s="2" t="s">
        <v>1510</v>
      </c>
      <c r="D79" s="3">
        <f>(('Facts'!F210*1)+('Facts'!F288*1)+('Facts'!F289*-1))*1</f>
        <v>1836000000.0</v>
      </c>
      <c r="E79" s="3">
        <f>D79/K79</f>
        <v>1836.0</v>
      </c>
      <c r="F79" s="2" t="str">
        <f>IF(ISNUMBER(D79),"calculated","not_calculated")</f>
        <v>calculated</v>
      </c>
      <c r="G79" s="2">
        <f>IF(ISNUMBER(D79),"","检查缺失值、分母与输入；口径变更须重跑Python")</f>
        <v/>
      </c>
      <c r="H79" s="2" t="s">
        <v>1312</v>
      </c>
      <c r="I79" s="2" t="s">
        <v>1073</v>
      </c>
      <c r="J79" s="2" t="s">
        <v>1074</v>
      </c>
      <c r="K79" s="2">
        <v>1000000</v>
      </c>
      <c r="L79" s="2" t="s">
        <v>58</v>
      </c>
      <c r="M79" s="2" t="s">
        <v>59</v>
      </c>
      <c r="N79" s="2" t="s">
        <v>813</v>
      </c>
      <c r="O79" s="2" t="s">
        <v>783</v>
      </c>
    </row>
    <row r="80" spans="1:15">
      <c r="A80" s="2" t="s">
        <v>1313</v>
      </c>
      <c r="B80" s="2" t="s">
        <v>1314</v>
      </c>
      <c r="C80" s="2" t="s">
        <v>1511</v>
      </c>
      <c r="D80" s="3">
        <f>(('Facts'!F290*1)+('Facts'!F291*-1))*1</f>
        <v>278000000.0</v>
      </c>
      <c r="E80" s="3">
        <f>D80/K80</f>
        <v>278.0</v>
      </c>
      <c r="F80" s="2" t="str">
        <f>IF(ISNUMBER(D80),"calculated","not_calculated")</f>
        <v>calculated</v>
      </c>
      <c r="G80" s="2">
        <f>IF(ISNUMBER(D80),"","检查缺失值、分母与输入；口径变更须重跑Python")</f>
        <v/>
      </c>
      <c r="H80" s="2" t="s">
        <v>1315</v>
      </c>
      <c r="I80" s="2" t="s">
        <v>1073</v>
      </c>
      <c r="J80" s="2" t="s">
        <v>1074</v>
      </c>
      <c r="K80" s="2">
        <v>1000000</v>
      </c>
      <c r="L80" s="2" t="s">
        <v>58</v>
      </c>
      <c r="M80" s="2" t="s">
        <v>59</v>
      </c>
      <c r="N80" s="2" t="s">
        <v>813</v>
      </c>
      <c r="O80" s="2" t="s">
        <v>783</v>
      </c>
    </row>
    <row r="81" spans="1:15">
      <c r="A81" s="2" t="s">
        <v>1316</v>
      </c>
      <c r="B81" s="2" t="s">
        <v>1317</v>
      </c>
      <c r="C81" s="2" t="s">
        <v>1512</v>
      </c>
      <c r="D81" s="3">
        <f>(('Facts'!F292*1)+('Facts'!F293*1))*1</f>
        <v>276000000.0</v>
      </c>
      <c r="E81" s="3">
        <f>D81/K81</f>
        <v>276.0</v>
      </c>
      <c r="F81" s="2" t="str">
        <f>IF(ISNUMBER(D81),"calculated","not_calculated")</f>
        <v>calculated</v>
      </c>
      <c r="G81" s="2">
        <f>IF(ISNUMBER(D81),"","检查缺失值、分母与输入；口径变更须重跑Python")</f>
        <v/>
      </c>
      <c r="H81" s="2" t="s">
        <v>1318</v>
      </c>
      <c r="I81" s="2" t="s">
        <v>1073</v>
      </c>
      <c r="J81" s="2" t="s">
        <v>1074</v>
      </c>
      <c r="K81" s="2">
        <v>1000000</v>
      </c>
      <c r="L81" s="2" t="s">
        <v>58</v>
      </c>
      <c r="M81" s="2" t="s">
        <v>59</v>
      </c>
      <c r="N81" s="2" t="s">
        <v>813</v>
      </c>
      <c r="O81" s="2" t="s">
        <v>783</v>
      </c>
    </row>
    <row r="82" spans="1:15">
      <c r="A82" s="2" t="s">
        <v>1319</v>
      </c>
      <c r="B82" s="2" t="s">
        <v>1320</v>
      </c>
      <c r="C82" s="2" t="s">
        <v>1513</v>
      </c>
      <c r="D82" s="3">
        <f>(('Facts'!F277*1)+('Facts'!F278*1)+('Facts'!F279*1)+('Facts'!F280*1)+('Facts'!F281*1))*1</f>
        <v>325000000.0</v>
      </c>
      <c r="E82" s="3">
        <f>D82/K82</f>
        <v>325.0</v>
      </c>
      <c r="F82" s="2" t="str">
        <f>IF(ISNUMBER(D82),"calculated","not_calculated")</f>
        <v>calculated</v>
      </c>
      <c r="G82" s="2">
        <f>IF(ISNUMBER(D82),"","检查缺失值、分母与输入；口径变更须重跑Python")</f>
        <v/>
      </c>
      <c r="H82" s="2" t="s">
        <v>1321</v>
      </c>
      <c r="I82" s="2" t="s">
        <v>1073</v>
      </c>
      <c r="J82" s="2" t="s">
        <v>1074</v>
      </c>
      <c r="K82" s="2">
        <v>1000000</v>
      </c>
      <c r="L82" s="2" t="s">
        <v>58</v>
      </c>
      <c r="M82" s="2" t="s">
        <v>59</v>
      </c>
      <c r="N82" s="2"/>
      <c r="O82" s="2" t="s">
        <v>783</v>
      </c>
    </row>
    <row r="83" spans="1:15">
      <c r="A83" s="2" t="s">
        <v>1322</v>
      </c>
      <c r="B83" s="2" t="s">
        <v>1323</v>
      </c>
      <c r="C83" s="2" t="s">
        <v>1514</v>
      </c>
      <c r="D83" s="3">
        <f>(('Facts'!F284*1)+('Facts'!F285*1))*1</f>
        <v>24682000000.0</v>
      </c>
      <c r="E83" s="3">
        <f>D83/K83</f>
        <v>24682.0</v>
      </c>
      <c r="F83" s="2" t="str">
        <f>IF(ISNUMBER(D83),"calculated","not_calculated")</f>
        <v>calculated</v>
      </c>
      <c r="G83" s="2">
        <f>IF(ISNUMBER(D83),"","检查缺失值、分母与输入；口径变更须重跑Python")</f>
        <v/>
      </c>
      <c r="H83" s="2" t="s">
        <v>1324</v>
      </c>
      <c r="I83" s="2" t="s">
        <v>1073</v>
      </c>
      <c r="J83" s="2" t="s">
        <v>1074</v>
      </c>
      <c r="K83" s="2">
        <v>1000000</v>
      </c>
      <c r="L83" s="2" t="s">
        <v>58</v>
      </c>
      <c r="M83" s="2" t="s">
        <v>59</v>
      </c>
      <c r="N83" s="2"/>
      <c r="O83" s="2" t="s">
        <v>783</v>
      </c>
    </row>
    <row r="84" spans="1:15">
      <c r="A84" s="2" t="s">
        <v>1325</v>
      </c>
      <c r="B84" s="2" t="s">
        <v>1326</v>
      </c>
      <c r="C84" s="2" t="s">
        <v>1515</v>
      </c>
      <c r="D84" s="3">
        <f>(('Facts'!F297*1)+('Facts'!F298*-1))*1</f>
        <v>819000000.0</v>
      </c>
      <c r="E84" s="3">
        <f>D84/K84</f>
        <v>819.0</v>
      </c>
      <c r="F84" s="2" t="str">
        <f>IF(ISNUMBER(D84),"calculated","not_calculated")</f>
        <v>calculated</v>
      </c>
      <c r="G84" s="2">
        <f>IF(ISNUMBER(D84),"","检查缺失值、分母与输入；口径变更须重跑Python")</f>
        <v/>
      </c>
      <c r="H84" s="2" t="s">
        <v>1327</v>
      </c>
      <c r="I84" s="2" t="s">
        <v>1073</v>
      </c>
      <c r="J84" s="2" t="s">
        <v>1074</v>
      </c>
      <c r="K84" s="2">
        <v>1000000</v>
      </c>
      <c r="L84" s="2" t="s">
        <v>58</v>
      </c>
      <c r="M84" s="2" t="s">
        <v>59</v>
      </c>
      <c r="N84" s="2" t="s">
        <v>242</v>
      </c>
      <c r="O84" s="2" t="s">
        <v>829</v>
      </c>
    </row>
    <row r="85" spans="1:15">
      <c r="A85" s="2" t="s">
        <v>1328</v>
      </c>
      <c r="B85" s="2" t="s">
        <v>1329</v>
      </c>
      <c r="C85" s="2" t="s">
        <v>1516</v>
      </c>
      <c r="D85" s="3">
        <f>(('Facts'!F299*1)+('Facts'!F300*-1))*1</f>
        <v>8376000000.0</v>
      </c>
      <c r="E85" s="3">
        <f>D85/K85</f>
        <v>8376.0</v>
      </c>
      <c r="F85" s="2" t="str">
        <f>IF(ISNUMBER(D85),"calculated","not_calculated")</f>
        <v>calculated</v>
      </c>
      <c r="G85" s="2">
        <f>IF(ISNUMBER(D85),"","检查缺失值、分母与输入；口径变更须重跑Python")</f>
        <v/>
      </c>
      <c r="H85" s="2" t="s">
        <v>1330</v>
      </c>
      <c r="I85" s="2" t="s">
        <v>1331</v>
      </c>
      <c r="J85" s="2" t="s">
        <v>1074</v>
      </c>
      <c r="K85" s="2">
        <v>1000000</v>
      </c>
      <c r="L85" s="2" t="s">
        <v>58</v>
      </c>
      <c r="M85" s="2" t="s">
        <v>59</v>
      </c>
      <c r="N85" s="2"/>
      <c r="O85" s="2" t="s">
        <v>841</v>
      </c>
    </row>
    <row r="86" spans="1:15">
      <c r="A86" s="2" t="s">
        <v>1332</v>
      </c>
      <c r="B86" s="2" t="s">
        <v>1333</v>
      </c>
      <c r="C86" s="2" t="s">
        <v>1517</v>
      </c>
      <c r="D86" s="3">
        <f>(('Calculations'!D85*1)+('Facts'!F301*-1))*1</f>
        <v>8302000000.0</v>
      </c>
      <c r="E86" s="3">
        <f>D86/K86</f>
        <v>8302.0</v>
      </c>
      <c r="F86" s="2" t="str">
        <f>IF(ISNUMBER(D86),"calculated","not_calculated")</f>
        <v>calculated</v>
      </c>
      <c r="G86" s="2">
        <f>IF(ISNUMBER(D86),"","检查缺失值、分母与输入；口径变更须重跑Python")</f>
        <v/>
      </c>
      <c r="H86" s="2" t="s">
        <v>1334</v>
      </c>
      <c r="I86" s="2" t="s">
        <v>1335</v>
      </c>
      <c r="J86" s="2" t="s">
        <v>1074</v>
      </c>
      <c r="K86" s="2">
        <v>1000000</v>
      </c>
      <c r="L86" s="2" t="s">
        <v>58</v>
      </c>
      <c r="M86" s="2" t="s">
        <v>59</v>
      </c>
      <c r="N86" s="2"/>
      <c r="O86" s="2" t="s">
        <v>841</v>
      </c>
    </row>
    <row r="87" spans="1:15">
      <c r="A87" s="2" t="s">
        <v>1336</v>
      </c>
      <c r="B87" s="2" t="s">
        <v>1337</v>
      </c>
      <c r="C87" s="2" t="s">
        <v>1518</v>
      </c>
      <c r="D87" s="3">
        <f>(('Facts'!F306*1)+('Facts'!F307*-1))*1</f>
        <v>4460600000.0</v>
      </c>
      <c r="E87" s="3">
        <f>D87/K87</f>
        <v>4460.6</v>
      </c>
      <c r="F87" s="2" t="str">
        <f>IF(ISNUMBER(D87),"calculated","not_calculated")</f>
        <v>calculated</v>
      </c>
      <c r="G87" s="2">
        <f>IF(ISNUMBER(D87),"","检查缺失值、分母与输入；口径变更须重跑Python")</f>
        <v/>
      </c>
      <c r="H87" s="2" t="s">
        <v>1338</v>
      </c>
      <c r="I87" s="2" t="s">
        <v>1339</v>
      </c>
      <c r="J87" s="2" t="s">
        <v>1074</v>
      </c>
      <c r="K87" s="2">
        <v>1000000</v>
      </c>
      <c r="L87" s="2" t="s">
        <v>58</v>
      </c>
      <c r="M87" s="2" t="s">
        <v>860</v>
      </c>
      <c r="N87" s="2"/>
      <c r="O87" s="2" t="s">
        <v>841</v>
      </c>
    </row>
    <row r="88" spans="1:15">
      <c r="A88" s="2" t="s">
        <v>1340</v>
      </c>
      <c r="B88" s="2" t="s">
        <v>1341</v>
      </c>
      <c r="C88" s="2" t="s">
        <v>1519</v>
      </c>
      <c r="D88" s="3">
        <f>(('Facts'!F114*1)+('Facts'!F115*-1))*1</f>
        <v>4347000000.0</v>
      </c>
      <c r="E88" s="3">
        <f>D88/K88</f>
        <v>4347.0</v>
      </c>
      <c r="F88" s="2" t="str">
        <f>IF(ISNUMBER(D88),"calculated","not_calculated")</f>
        <v>calculated</v>
      </c>
      <c r="G88" s="2">
        <f>IF(ISNUMBER(D88),"","检查缺失值、分母与输入；口径变更须重跑Python")</f>
        <v/>
      </c>
      <c r="H88" s="2" t="s">
        <v>1342</v>
      </c>
      <c r="I88" s="2" t="s">
        <v>1073</v>
      </c>
      <c r="J88" s="2" t="s">
        <v>1074</v>
      </c>
      <c r="K88" s="2">
        <v>1000000</v>
      </c>
      <c r="L88" s="2" t="s">
        <v>58</v>
      </c>
      <c r="M88" s="2" t="s">
        <v>59</v>
      </c>
      <c r="N88" s="2" t="s">
        <v>242</v>
      </c>
      <c r="O88" s="2" t="s">
        <v>60</v>
      </c>
    </row>
    <row r="89" spans="1:15">
      <c r="A89" s="2" t="s">
        <v>1343</v>
      </c>
      <c r="B89" s="2" t="s">
        <v>1344</v>
      </c>
      <c r="C89" s="2" t="s">
        <v>1520</v>
      </c>
      <c r="D89" s="3">
        <f>(('Facts'!F106*1)+('Facts'!F107*-1))*1</f>
        <v>-59000000.0</v>
      </c>
      <c r="E89" s="3">
        <f>D89/K89</f>
        <v>-59.0</v>
      </c>
      <c r="F89" s="2" t="str">
        <f>IF(ISNUMBER(D89),"calculated","not_calculated")</f>
        <v>calculated</v>
      </c>
      <c r="G89" s="2">
        <f>IF(ISNUMBER(D89),"","检查缺失值、分母与输入；口径变更须重跑Python")</f>
        <v/>
      </c>
      <c r="H89" s="2" t="s">
        <v>1345</v>
      </c>
      <c r="I89" s="2" t="s">
        <v>1073</v>
      </c>
      <c r="J89" s="2" t="s">
        <v>1074</v>
      </c>
      <c r="K89" s="2">
        <v>1000000</v>
      </c>
      <c r="L89" s="2" t="s">
        <v>58</v>
      </c>
      <c r="M89" s="2" t="s">
        <v>59</v>
      </c>
      <c r="N89" s="2" t="s">
        <v>242</v>
      </c>
      <c r="O89" s="2" t="s">
        <v>60</v>
      </c>
    </row>
    <row r="90" spans="1:15">
      <c r="A90" s="2" t="s">
        <v>1346</v>
      </c>
      <c r="B90" s="2" t="s">
        <v>1347</v>
      </c>
      <c r="C90" s="2" t="s">
        <v>1521</v>
      </c>
      <c r="D90" s="3">
        <f>(('Facts'!F112*1)+('Facts'!F113*-1))*1</f>
        <v>4406000000.0</v>
      </c>
      <c r="E90" s="3">
        <f>D90/K90</f>
        <v>4406.0</v>
      </c>
      <c r="F90" s="2" t="str">
        <f>IF(ISNUMBER(D90),"calculated","not_calculated")</f>
        <v>calculated</v>
      </c>
      <c r="G90" s="2">
        <f>IF(ISNUMBER(D90),"","检查缺失值、分母与输入；口径变更须重跑Python")</f>
        <v/>
      </c>
      <c r="H90" s="2" t="s">
        <v>1348</v>
      </c>
      <c r="I90" s="2" t="s">
        <v>1073</v>
      </c>
      <c r="J90" s="2" t="s">
        <v>1074</v>
      </c>
      <c r="K90" s="2">
        <v>1000000</v>
      </c>
      <c r="L90" s="2" t="s">
        <v>58</v>
      </c>
      <c r="M90" s="2" t="s">
        <v>59</v>
      </c>
      <c r="N90" s="2" t="s">
        <v>242</v>
      </c>
      <c r="O90" s="2" t="s">
        <v>60</v>
      </c>
    </row>
    <row r="91" spans="1:15">
      <c r="A91" s="2" t="s">
        <v>1349</v>
      </c>
      <c r="B91" s="2" t="s">
        <v>1350</v>
      </c>
      <c r="C91" s="2" t="s">
        <v>1522</v>
      </c>
      <c r="D91" s="3">
        <f>(('Calculations'!D89*1)+('Calculations'!D90*1))*1</f>
        <v>4347000000.0</v>
      </c>
      <c r="E91" s="3">
        <f>D91/K91</f>
        <v>4347.0</v>
      </c>
      <c r="F91" s="2" t="str">
        <f>IF(ISNUMBER(D91),"calculated","not_calculated")</f>
        <v>calculated</v>
      </c>
      <c r="G91" s="2">
        <f>IF(ISNUMBER(D91),"","检查缺失值、分母与输入；口径变更须重跑Python")</f>
        <v/>
      </c>
      <c r="H91" s="2" t="s">
        <v>1351</v>
      </c>
      <c r="I91" s="2" t="s">
        <v>1073</v>
      </c>
      <c r="J91" s="2" t="s">
        <v>1074</v>
      </c>
      <c r="K91" s="2">
        <v>1000000</v>
      </c>
      <c r="L91" s="2" t="s">
        <v>58</v>
      </c>
      <c r="M91" s="2" t="s">
        <v>59</v>
      </c>
      <c r="N91" s="2" t="s">
        <v>242</v>
      </c>
      <c r="O91" s="2" t="s">
        <v>60</v>
      </c>
    </row>
    <row r="92" spans="1:15">
      <c r="A92" s="2" t="s">
        <v>1352</v>
      </c>
      <c r="B92" s="2" t="s">
        <v>1353</v>
      </c>
      <c r="C92" s="2" t="s">
        <v>1523</v>
      </c>
      <c r="D92" s="3">
        <f>(('Facts'!F316*1)+('Facts'!F317*-1)+('Facts'!F318*-1)+('Facts'!F319*-1))*1</f>
        <v>6247000000.0</v>
      </c>
      <c r="E92" s="3">
        <f>D92/K92</f>
        <v>6247.0</v>
      </c>
      <c r="F92" s="2" t="str">
        <f>IF(ISNUMBER(D92),"calculated","not_calculated")</f>
        <v>calculated</v>
      </c>
      <c r="G92" s="2">
        <f>IF(ISNUMBER(D92),"","检查缺失值、分母与输入；口径变更须重跑Python")</f>
        <v/>
      </c>
      <c r="H92" s="2" t="s">
        <v>1354</v>
      </c>
      <c r="I92" s="2" t="s">
        <v>896</v>
      </c>
      <c r="J92" s="2" t="s">
        <v>1074</v>
      </c>
      <c r="K92" s="2">
        <v>1000000</v>
      </c>
      <c r="L92" s="2" t="s">
        <v>58</v>
      </c>
      <c r="M92" s="2" t="s">
        <v>59</v>
      </c>
      <c r="N92" s="2"/>
      <c r="O92" s="2" t="s">
        <v>60</v>
      </c>
    </row>
    <row r="93" spans="1:15">
      <c r="A93" s="2" t="s">
        <v>1355</v>
      </c>
      <c r="B93" s="2" t="s">
        <v>1356</v>
      </c>
      <c r="C93" s="2" t="s">
        <v>1524</v>
      </c>
      <c r="D93" s="3">
        <f>(('Facts'!F321*1)+('Facts'!F320*1))*1</f>
        <v>6346000000.0</v>
      </c>
      <c r="E93" s="3">
        <f>D93/K93</f>
        <v>6346.0</v>
      </c>
      <c r="F93" s="2" t="str">
        <f>IF(ISNUMBER(D93),"calculated","not_calculated")</f>
        <v>calculated</v>
      </c>
      <c r="G93" s="2">
        <f>IF(ISNUMBER(D93),"","检查缺失值、分母与输入；口径变更须重跑Python")</f>
        <v/>
      </c>
      <c r="H93" s="2" t="s">
        <v>1357</v>
      </c>
      <c r="I93" s="2" t="s">
        <v>896</v>
      </c>
      <c r="J93" s="2" t="s">
        <v>1074</v>
      </c>
      <c r="K93" s="2">
        <v>1000000</v>
      </c>
      <c r="L93" s="2" t="s">
        <v>58</v>
      </c>
      <c r="M93" s="2" t="s">
        <v>59</v>
      </c>
      <c r="N93" s="2"/>
      <c r="O93" s="2" t="s">
        <v>60</v>
      </c>
    </row>
    <row r="94" spans="1:15">
      <c r="A94" s="2" t="s">
        <v>1358</v>
      </c>
      <c r="B94" s="2" t="s">
        <v>1359</v>
      </c>
      <c r="C94" s="2" t="s">
        <v>1525</v>
      </c>
      <c r="D94" s="3">
        <f>(('Facts'!F320*1)+('Facts'!F323*-1)+('Facts'!F324*-1))*1</f>
        <v>-4478000000.0</v>
      </c>
      <c r="E94" s="3">
        <f>D94/K94</f>
        <v>-4478.0</v>
      </c>
      <c r="F94" s="2" t="str">
        <f>IF(ISNUMBER(D94),"calculated","not_calculated")</f>
        <v>calculated</v>
      </c>
      <c r="G94" s="2">
        <f>IF(ISNUMBER(D94),"","检查缺失值、分母与输入；口径变更须重跑Python")</f>
        <v/>
      </c>
      <c r="H94" s="2" t="s">
        <v>1360</v>
      </c>
      <c r="I94" s="2" t="s">
        <v>896</v>
      </c>
      <c r="J94" s="2" t="s">
        <v>1074</v>
      </c>
      <c r="K94" s="2">
        <v>1000000</v>
      </c>
      <c r="L94" s="2" t="s">
        <v>58</v>
      </c>
      <c r="M94" s="2" t="s">
        <v>59</v>
      </c>
      <c r="N94" s="2"/>
      <c r="O94" s="2" t="s">
        <v>60</v>
      </c>
    </row>
    <row r="95" spans="1:15">
      <c r="A95" s="2" t="s">
        <v>1361</v>
      </c>
      <c r="B95" s="2" t="s">
        <v>1362</v>
      </c>
      <c r="C95" s="2" t="s">
        <v>1526</v>
      </c>
      <c r="D95" s="3">
        <f>(('Facts'!F326*1)+('Facts'!F327*1)+('Facts'!F328*1)+('Facts'!F329*-1)+('Facts'!F330*-1))*1</f>
        <v>-4317000000.0</v>
      </c>
      <c r="E95" s="3">
        <f>D95/K95</f>
        <v>-4317.0</v>
      </c>
      <c r="F95" s="2" t="str">
        <f>IF(ISNUMBER(D95),"calculated","not_calculated")</f>
        <v>calculated</v>
      </c>
      <c r="G95" s="2">
        <f>IF(ISNUMBER(D95),"","检查缺失值、分母与输入；口径变更须重跑Python")</f>
        <v/>
      </c>
      <c r="H95" s="2" t="s">
        <v>1363</v>
      </c>
      <c r="I95" s="2" t="s">
        <v>896</v>
      </c>
      <c r="J95" s="2" t="s">
        <v>1074</v>
      </c>
      <c r="K95" s="2">
        <v>1000000</v>
      </c>
      <c r="L95" s="2" t="s">
        <v>58</v>
      </c>
      <c r="M95" s="2" t="s">
        <v>59</v>
      </c>
      <c r="N95" s="2"/>
      <c r="O95" s="2" t="s">
        <v>60</v>
      </c>
    </row>
    <row r="96" spans="1:15">
      <c r="A96" s="2" t="s">
        <v>1364</v>
      </c>
      <c r="B96" s="2" t="s">
        <v>1365</v>
      </c>
      <c r="C96" s="2" t="s">
        <v>1527</v>
      </c>
      <c r="D96" s="3">
        <f>(('Facts'!F325*1)+('Facts'!F331*-1))*1</f>
        <v>-161000000.0</v>
      </c>
      <c r="E96" s="3">
        <f>D96/K96</f>
        <v>-161.0</v>
      </c>
      <c r="F96" s="2" t="str">
        <f>IF(ISNUMBER(D96),"calculated","not_calculated")</f>
        <v>calculated</v>
      </c>
      <c r="G96" s="2">
        <f>IF(ISNUMBER(D96),"","检查缺失值、分母与输入；口径变更须重跑Python")</f>
        <v/>
      </c>
      <c r="H96" s="2" t="s">
        <v>1366</v>
      </c>
      <c r="I96" s="2" t="s">
        <v>896</v>
      </c>
      <c r="J96" s="2" t="s">
        <v>1074</v>
      </c>
      <c r="K96" s="2">
        <v>1000000</v>
      </c>
      <c r="L96" s="2" t="s">
        <v>58</v>
      </c>
      <c r="M96" s="2" t="s">
        <v>59</v>
      </c>
      <c r="N96" s="2"/>
      <c r="O96" s="2" t="s">
        <v>60</v>
      </c>
    </row>
    <row r="97" spans="1:15">
      <c r="A97" s="2" t="s">
        <v>1367</v>
      </c>
      <c r="B97" s="2" t="s">
        <v>1368</v>
      </c>
      <c r="C97" s="2" t="s">
        <v>1528</v>
      </c>
      <c r="D97" s="3">
        <f>(('Facts'!F333*1)+('Facts'!F332*1))*1</f>
        <v>-1796000000.0</v>
      </c>
      <c r="E97" s="3">
        <f>D97/K97</f>
        <v>-1796.0</v>
      </c>
      <c r="F97" s="2" t="str">
        <f>IF(ISNUMBER(D97),"calculated","not_calculated")</f>
        <v>calculated</v>
      </c>
      <c r="G97" s="2">
        <f>IF(ISNUMBER(D97),"","检查缺失值、分母与输入；口径变更须重跑Python")</f>
        <v/>
      </c>
      <c r="H97" s="2" t="s">
        <v>1369</v>
      </c>
      <c r="I97" s="2" t="s">
        <v>896</v>
      </c>
      <c r="J97" s="2" t="s">
        <v>1074</v>
      </c>
      <c r="K97" s="2">
        <v>1000000</v>
      </c>
      <c r="L97" s="2" t="s">
        <v>58</v>
      </c>
      <c r="M97" s="2" t="s">
        <v>59</v>
      </c>
      <c r="N97" s="2"/>
      <c r="O97" s="2" t="s">
        <v>60</v>
      </c>
    </row>
    <row r="98" spans="1:15">
      <c r="A98" s="2" t="s">
        <v>1370</v>
      </c>
      <c r="B98" s="2" t="s">
        <v>1371</v>
      </c>
      <c r="C98" s="2" t="s">
        <v>1529</v>
      </c>
      <c r="D98" s="3">
        <f>(('Facts'!F336*1)+('Facts'!F337*1))*1</f>
        <v>-887000000.0</v>
      </c>
      <c r="E98" s="3">
        <f>D98/K98</f>
        <v>-887.0</v>
      </c>
      <c r="F98" s="2" t="str">
        <f>IF(ISNUMBER(D98),"calculated","not_calculated")</f>
        <v>calculated</v>
      </c>
      <c r="G98" s="2">
        <f>IF(ISNUMBER(D98),"","检查缺失值、分母与输入；口径变更须重跑Python")</f>
        <v/>
      </c>
      <c r="H98" s="2" t="s">
        <v>1372</v>
      </c>
      <c r="I98" s="2" t="s">
        <v>896</v>
      </c>
      <c r="J98" s="2" t="s">
        <v>1074</v>
      </c>
      <c r="K98" s="2">
        <v>1000000</v>
      </c>
      <c r="L98" s="2" t="s">
        <v>58</v>
      </c>
      <c r="M98" s="2" t="s">
        <v>59</v>
      </c>
      <c r="N98" s="2" t="s">
        <v>242</v>
      </c>
      <c r="O98" s="2" t="s">
        <v>60</v>
      </c>
    </row>
    <row r="99" spans="1:15">
      <c r="A99" s="2" t="s">
        <v>1373</v>
      </c>
      <c r="B99" s="2" t="s">
        <v>944</v>
      </c>
      <c r="C99" s="2" t="s">
        <v>1530</v>
      </c>
      <c r="D99" s="3">
        <f>(('Facts'!F335*1)+('Facts'!F337*1))*1</f>
        <v>1188000000.0</v>
      </c>
      <c r="E99" s="3">
        <f>D99/K99</f>
        <v>1188.0</v>
      </c>
      <c r="F99" s="2" t="str">
        <f>IF(ISNUMBER(D99),"calculated","not_calculated")</f>
        <v>calculated</v>
      </c>
      <c r="G99" s="2">
        <f>IF(ISNUMBER(D99),"","检查缺失值、分母与输入；口径变更须重跑Python")</f>
        <v/>
      </c>
      <c r="H99" s="2" t="s">
        <v>1374</v>
      </c>
      <c r="I99" s="2" t="s">
        <v>896</v>
      </c>
      <c r="J99" s="2" t="s">
        <v>1074</v>
      </c>
      <c r="K99" s="2">
        <v>1000000</v>
      </c>
      <c r="L99" s="2" t="s">
        <v>58</v>
      </c>
      <c r="M99" s="2" t="s">
        <v>59</v>
      </c>
      <c r="N99" s="2" t="s">
        <v>242</v>
      </c>
      <c r="O99" s="2" t="s">
        <v>60</v>
      </c>
    </row>
    <row r="100" spans="1:15">
      <c r="A100" s="2" t="s">
        <v>1375</v>
      </c>
      <c r="B100" s="2" t="s">
        <v>1376</v>
      </c>
      <c r="C100" s="2" t="s">
        <v>1531</v>
      </c>
      <c r="D100" s="3">
        <f>(('Facts'!F340*1)+('Facts'!F341*-1))*1</f>
        <v>0.0</v>
      </c>
      <c r="E100" s="3">
        <f>D100/K100</f>
        <v>0.0</v>
      </c>
      <c r="F100" s="2" t="str">
        <f>IF(ISNUMBER(D100),"calculated","not_calculated")</f>
        <v>calculated</v>
      </c>
      <c r="G100" s="2">
        <f>IF(ISNUMBER(D100),"","检查缺失值、分母与输入；口径变更须重跑Python")</f>
        <v/>
      </c>
      <c r="H100" s="2" t="s">
        <v>1377</v>
      </c>
      <c r="I100" s="2" t="s">
        <v>1378</v>
      </c>
      <c r="J100" s="2" t="s">
        <v>1074</v>
      </c>
      <c r="K100" s="2">
        <v>1000000</v>
      </c>
      <c r="L100" s="2" t="s">
        <v>58</v>
      </c>
      <c r="M100" s="2" t="s">
        <v>947</v>
      </c>
      <c r="N100" s="2" t="s">
        <v>247</v>
      </c>
      <c r="O100" s="2" t="s">
        <v>66</v>
      </c>
    </row>
    <row r="101" spans="1:15">
      <c r="A101" s="2" t="s">
        <v>1379</v>
      </c>
      <c r="B101" s="2" t="s">
        <v>1380</v>
      </c>
      <c r="C101" s="2" t="s">
        <v>1532</v>
      </c>
      <c r="D101" s="3">
        <f>(('Facts'!F344*1)+('Facts'!F345*1))*1</f>
        <v>8500000000.0</v>
      </c>
      <c r="E101" s="3">
        <f>D101/K101</f>
        <v>8500.0</v>
      </c>
      <c r="F101" s="2" t="str">
        <f>IF(ISNUMBER(D101),"calculated","not_calculated")</f>
        <v>calculated</v>
      </c>
      <c r="G101" s="2">
        <f>IF(ISNUMBER(D101),"","检查缺失值、分母与输入；口径变更须重跑Python")</f>
        <v/>
      </c>
      <c r="H101" s="2" t="s">
        <v>1381</v>
      </c>
      <c r="I101" s="2" t="s">
        <v>1382</v>
      </c>
      <c r="J101" s="2" t="s">
        <v>1074</v>
      </c>
      <c r="K101" s="2">
        <v>1000000</v>
      </c>
      <c r="L101" s="2" t="s">
        <v>58</v>
      </c>
      <c r="M101" s="2" t="s">
        <v>59</v>
      </c>
      <c r="N101" s="2"/>
      <c r="O101" s="2" t="s">
        <v>960</v>
      </c>
    </row>
    <row r="102" spans="1:15">
      <c r="A102" s="2" t="s">
        <v>1383</v>
      </c>
      <c r="B102" s="2" t="s">
        <v>1384</v>
      </c>
      <c r="C102" s="2" t="s">
        <v>1533</v>
      </c>
      <c r="D102" s="3">
        <f>(('Facts'!F47*1)+('Facts'!F55*1))*1</f>
        <v>5326000000.0</v>
      </c>
      <c r="E102" s="3">
        <f>D102/K102</f>
        <v>5326.0</v>
      </c>
      <c r="F102" s="2" t="str">
        <f>IF(ISNUMBER(D102),"calculated","not_calculated")</f>
        <v>calculated</v>
      </c>
      <c r="G102" s="2">
        <f>IF(ISNUMBER(D102),"","检查缺失值、分母与输入；口径变更须重跑Python")</f>
        <v/>
      </c>
      <c r="H102" s="2" t="s">
        <v>1385</v>
      </c>
      <c r="I102" s="2" t="s">
        <v>1386</v>
      </c>
      <c r="J102" s="2" t="s">
        <v>1074</v>
      </c>
      <c r="K102" s="2">
        <v>1000000</v>
      </c>
      <c r="L102" s="2" t="s">
        <v>58</v>
      </c>
      <c r="M102" s="2" t="s">
        <v>59</v>
      </c>
      <c r="N102" s="2"/>
      <c r="O102" s="2" t="s">
        <v>66</v>
      </c>
    </row>
    <row r="103" spans="1:15">
      <c r="A103" s="2" t="s">
        <v>1387</v>
      </c>
      <c r="B103" s="2" t="s">
        <v>1388</v>
      </c>
      <c r="C103" s="2" t="s">
        <v>1534</v>
      </c>
      <c r="D103" s="3">
        <f>(('Facts'!F46*1)+('Facts'!F54*1))*1</f>
        <v>5229000000.0</v>
      </c>
      <c r="E103" s="3">
        <f>D103/K103</f>
        <v>5229.0</v>
      </c>
      <c r="F103" s="2" t="str">
        <f>IF(ISNUMBER(D103),"calculated","not_calculated")</f>
        <v>calculated</v>
      </c>
      <c r="G103" s="2">
        <f>IF(ISNUMBER(D103),"","检查缺失值、分母与输入；口径变更须重跑Python")</f>
        <v/>
      </c>
      <c r="H103" s="2" t="s">
        <v>1389</v>
      </c>
      <c r="I103" s="2" t="s">
        <v>1386</v>
      </c>
      <c r="J103" s="2" t="s">
        <v>1074</v>
      </c>
      <c r="K103" s="2">
        <v>1000000</v>
      </c>
      <c r="L103" s="2" t="s">
        <v>58</v>
      </c>
      <c r="M103" s="2" t="s">
        <v>59</v>
      </c>
      <c r="N103" s="2"/>
      <c r="O103" s="2" t="s">
        <v>60</v>
      </c>
    </row>
    <row r="104" spans="1:15">
      <c r="A104" s="2" t="s">
        <v>1390</v>
      </c>
      <c r="B104" s="2" t="s">
        <v>1391</v>
      </c>
      <c r="C104" s="2" t="s">
        <v>1535</v>
      </c>
      <c r="D104" s="3">
        <f>(AVERAGE('Calculations'!D102,'Calculations'!D103))*1</f>
        <v>5277500000.0</v>
      </c>
      <c r="E104" s="3">
        <f>D104/K104</f>
        <v>5277.5</v>
      </c>
      <c r="F104" s="2" t="str">
        <f>IF(ISNUMBER(D104),"calculated","not_calculated")</f>
        <v>calculated</v>
      </c>
      <c r="G104" s="2">
        <f>IF(ISNUMBER(D104),"","检查缺失值、分母与输入；口径变更须重跑Python")</f>
        <v/>
      </c>
      <c r="H104" s="2" t="s">
        <v>1392</v>
      </c>
      <c r="I104" s="2" t="s">
        <v>1386</v>
      </c>
      <c r="J104" s="2" t="s">
        <v>1074</v>
      </c>
      <c r="K104" s="2">
        <v>1000000</v>
      </c>
      <c r="L104" s="2" t="s">
        <v>58</v>
      </c>
      <c r="M104" s="2" t="s">
        <v>59</v>
      </c>
      <c r="N104" s="2" t="s">
        <v>242</v>
      </c>
      <c r="O104" s="2" t="s">
        <v>60</v>
      </c>
    </row>
    <row r="105" spans="1:15">
      <c r="A105" s="2" t="s">
        <v>1393</v>
      </c>
      <c r="B105" s="2" t="s">
        <v>1394</v>
      </c>
      <c r="C105" s="2" t="s">
        <v>1536</v>
      </c>
      <c r="D105" s="3">
        <f>(('Facts'!F122-'Facts'!F354))*1</f>
        <v>12000000.0</v>
      </c>
      <c r="E105" s="3">
        <f>D105/K105</f>
        <v>12.0</v>
      </c>
      <c r="F105" s="2" t="str">
        <f>IF(ISNUMBER(D105),"calculated","not_calculated")</f>
        <v>calculated</v>
      </c>
      <c r="G105" s="2">
        <f>IF(ISNUMBER(D105),"","检查缺失值、分母与输入；口径变更须重跑Python")</f>
        <v/>
      </c>
      <c r="H105" s="2" t="s">
        <v>1395</v>
      </c>
      <c r="I105" s="2" t="s">
        <v>1386</v>
      </c>
      <c r="J105" s="2" t="s">
        <v>1074</v>
      </c>
      <c r="K105" s="2">
        <v>1000000</v>
      </c>
      <c r="L105" s="2" t="s">
        <v>58</v>
      </c>
      <c r="M105" s="2" t="s">
        <v>59</v>
      </c>
      <c r="N105" s="2" t="s">
        <v>242</v>
      </c>
      <c r="O105" s="2" t="s">
        <v>60</v>
      </c>
    </row>
    <row r="106" spans="1:15">
      <c r="A106" s="2" t="s">
        <v>1396</v>
      </c>
      <c r="B106" s="2" t="s">
        <v>1397</v>
      </c>
      <c r="C106" s="2" t="s">
        <v>1537</v>
      </c>
      <c r="D106" s="3">
        <f>(('Facts'!F355-'Facts'!F84))*1</f>
        <v>1000000.0</v>
      </c>
      <c r="E106" s="3">
        <f>D106/K106</f>
        <v>1.0</v>
      </c>
      <c r="F106" s="2" t="str">
        <f>IF(ISNUMBER(D106),"calculated","not_calculated")</f>
        <v>calculated</v>
      </c>
      <c r="G106" s="2">
        <f>IF(ISNUMBER(D106),"","检查缺失值、分母与输入；口径变更须重跑Python")</f>
        <v/>
      </c>
      <c r="H106" s="2" t="s">
        <v>1398</v>
      </c>
      <c r="I106" s="2" t="s">
        <v>1399</v>
      </c>
      <c r="J106" s="2" t="s">
        <v>1074</v>
      </c>
      <c r="K106" s="2">
        <v>1000000</v>
      </c>
      <c r="L106" s="2" t="s">
        <v>58</v>
      </c>
      <c r="M106" s="2" t="s">
        <v>59</v>
      </c>
      <c r="N106" s="2" t="s">
        <v>242</v>
      </c>
      <c r="O106" s="2" t="s">
        <v>60</v>
      </c>
    </row>
    <row r="107" spans="1:15">
      <c r="A107" s="2" t="s">
        <v>1400</v>
      </c>
      <c r="B107" s="2" t="s">
        <v>1401</v>
      </c>
      <c r="C107" s="2" t="s">
        <v>1538</v>
      </c>
      <c r="D107" s="3">
        <f>(('Facts'!F349*-1)+('Facts'!F350*-1)+('Facts'!F351*1))*1</f>
        <v>-972000000.0</v>
      </c>
      <c r="E107" s="3">
        <f>D107/K107</f>
        <v>-972.0</v>
      </c>
      <c r="F107" s="2" t="str">
        <f>IF(ISNUMBER(D107),"calculated","not_calculated")</f>
        <v>calculated</v>
      </c>
      <c r="G107" s="2">
        <f>IF(ISNUMBER(D107),"","检查缺失值、分母与输入；口径变更须重跑Python")</f>
        <v/>
      </c>
      <c r="H107" s="2" t="s">
        <v>1402</v>
      </c>
      <c r="I107" s="2" t="s">
        <v>1386</v>
      </c>
      <c r="J107" s="2" t="s">
        <v>1074</v>
      </c>
      <c r="K107" s="2">
        <v>1000000</v>
      </c>
      <c r="L107" s="2" t="s">
        <v>58</v>
      </c>
      <c r="M107" s="2" t="s">
        <v>59</v>
      </c>
      <c r="N107" s="2" t="s">
        <v>242</v>
      </c>
      <c r="O107" s="2" t="s">
        <v>60</v>
      </c>
    </row>
    <row r="108" spans="1:15">
      <c r="A108" s="2" t="s">
        <v>1403</v>
      </c>
      <c r="B108" s="2" t="s">
        <v>1404</v>
      </c>
      <c r="C108" s="2" t="s">
        <v>1539</v>
      </c>
      <c r="D108" s="3">
        <f>(('Facts'!F358*1)+('Facts'!F359*1)+('Facts'!F356*1))*1</f>
        <v>690000000.0</v>
      </c>
      <c r="E108" s="3">
        <f>D108/K108</f>
        <v>690.0</v>
      </c>
      <c r="F108" s="2" t="str">
        <f>IF(ISNUMBER(D108),"calculated","not_calculated")</f>
        <v>calculated</v>
      </c>
      <c r="G108" s="2">
        <f>IF(ISNUMBER(D108),"","检查缺失值、分母与输入；口径变更须重跑Python")</f>
        <v/>
      </c>
      <c r="H108" s="2" t="s">
        <v>1405</v>
      </c>
      <c r="I108" s="2" t="s">
        <v>1386</v>
      </c>
      <c r="J108" s="2" t="s">
        <v>1074</v>
      </c>
      <c r="K108" s="2">
        <v>1000000</v>
      </c>
      <c r="L108" s="2" t="s">
        <v>58</v>
      </c>
      <c r="M108" s="2" t="s">
        <v>59</v>
      </c>
      <c r="N108" s="2" t="s">
        <v>242</v>
      </c>
      <c r="O108" s="2" t="s">
        <v>60</v>
      </c>
    </row>
    <row r="109" spans="1:15">
      <c r="A109" s="2" t="s">
        <v>1406</v>
      </c>
      <c r="B109" s="2" t="s">
        <v>1407</v>
      </c>
      <c r="C109" s="2" t="s">
        <v>1540</v>
      </c>
      <c r="D109" s="3">
        <f>(('Facts'!F361*1)+('Facts'!F356*1)+('Facts'!F357*-1))*1</f>
        <v>322000000.0</v>
      </c>
      <c r="E109" s="3">
        <f>D109/K109</f>
        <v>322.0</v>
      </c>
      <c r="F109" s="2" t="str">
        <f>IF(ISNUMBER(D109),"calculated","not_calculated")</f>
        <v>calculated</v>
      </c>
      <c r="G109" s="2">
        <f>IF(ISNUMBER(D109),"","检查缺失值、分母与输入；口径变更须重跑Python")</f>
        <v/>
      </c>
      <c r="H109" s="2" t="s">
        <v>1408</v>
      </c>
      <c r="I109" s="2" t="s">
        <v>1386</v>
      </c>
      <c r="J109" s="2" t="s">
        <v>1074</v>
      </c>
      <c r="K109" s="2">
        <v>1000000</v>
      </c>
      <c r="L109" s="2" t="s">
        <v>58</v>
      </c>
      <c r="M109" s="2" t="s">
        <v>59</v>
      </c>
      <c r="N109" s="2" t="s">
        <v>242</v>
      </c>
      <c r="O109" s="2" t="s">
        <v>60</v>
      </c>
    </row>
    <row r="110" spans="1:15">
      <c r="A110" s="2" t="s">
        <v>1409</v>
      </c>
      <c r="B110" s="2" t="s">
        <v>1410</v>
      </c>
      <c r="C110" s="2" t="s">
        <v>1541</v>
      </c>
      <c r="D110" s="3">
        <f>(('Facts'!F364-'Facts'!F365))*1</f>
        <v>296000000.0</v>
      </c>
      <c r="E110" s="3">
        <f>D110/K110</f>
        <v>296.0</v>
      </c>
      <c r="F110" s="2" t="str">
        <f>IF(ISNUMBER(D110),"calculated","not_calculated")</f>
        <v>calculated</v>
      </c>
      <c r="G110" s="2">
        <f>IF(ISNUMBER(D110),"","检查缺失值、分母与输入；口径变更须重跑Python")</f>
        <v/>
      </c>
      <c r="H110" s="2" t="s">
        <v>1411</v>
      </c>
      <c r="I110" s="2" t="s">
        <v>1386</v>
      </c>
      <c r="J110" s="2" t="s">
        <v>1074</v>
      </c>
      <c r="K110" s="2">
        <v>1000000</v>
      </c>
      <c r="L110" s="2" t="s">
        <v>58</v>
      </c>
      <c r="M110" s="2" t="s">
        <v>59</v>
      </c>
      <c r="N110" s="2" t="s">
        <v>813</v>
      </c>
      <c r="O110" s="2" t="s">
        <v>783</v>
      </c>
    </row>
    <row r="111" spans="1:15">
      <c r="A111" s="2" t="s">
        <v>1412</v>
      </c>
      <c r="B111" s="2" t="s">
        <v>1413</v>
      </c>
      <c r="C111" s="2" t="s">
        <v>1542</v>
      </c>
      <c r="D111" s="3">
        <f>(('Facts'!F366-'Facts'!F367))*1</f>
        <v>371000000.0</v>
      </c>
      <c r="E111" s="3">
        <f>D111/K111</f>
        <v>371.0</v>
      </c>
      <c r="F111" s="2" t="str">
        <f>IF(ISNUMBER(D111),"calculated","not_calculated")</f>
        <v>calculated</v>
      </c>
      <c r="G111" s="2">
        <f>IF(ISNUMBER(D111),"","检查缺失值、分母与输入；口径变更须重跑Python")</f>
        <v/>
      </c>
      <c r="H111" s="2" t="s">
        <v>1414</v>
      </c>
      <c r="I111" s="2" t="s">
        <v>1386</v>
      </c>
      <c r="J111" s="2" t="s">
        <v>1074</v>
      </c>
      <c r="K111" s="2">
        <v>1000000</v>
      </c>
      <c r="L111" s="2" t="s">
        <v>58</v>
      </c>
      <c r="M111" s="2" t="s">
        <v>59</v>
      </c>
      <c r="N111" s="2" t="s">
        <v>242</v>
      </c>
      <c r="O111" s="2" t="s">
        <v>829</v>
      </c>
    </row>
    <row r="112" spans="1:15">
      <c r="A112" s="2" t="s">
        <v>1415</v>
      </c>
      <c r="B112" s="2" t="s">
        <v>1416</v>
      </c>
      <c r="C112" s="2" t="s">
        <v>1543</v>
      </c>
      <c r="D112" s="3">
        <f>IF(OR('Calculations'!D111&lt;=0,'Calculations'!D110&lt;0),NA(),((('Calculations'!D110-'Calculations'!D111)/'Calculations'!D111))*1)</f>
        <v>-0.20215633423180593</v>
      </c>
      <c r="E112" s="5">
        <f>D112</f>
        <v>-0.20215633423180593</v>
      </c>
      <c r="F112" s="2" t="str">
        <f>IF(ISNUMBER(D112),"calculated","not_calculated")</f>
        <v>calculated</v>
      </c>
      <c r="G112" s="2">
        <f>IF(ISNUMBER(D112),"","检查缺失值、分母与输入；口径变更须重跑Python")</f>
        <v/>
      </c>
      <c r="H112" s="2" t="s">
        <v>1417</v>
      </c>
      <c r="I112" s="2" t="s">
        <v>1386</v>
      </c>
      <c r="J112" s="2" t="s">
        <v>1418</v>
      </c>
      <c r="K112" s="2">
        <v>1</v>
      </c>
      <c r="L112" s="2" t="s">
        <v>58</v>
      </c>
      <c r="M112" s="2" t="s">
        <v>59</v>
      </c>
      <c r="N112" s="2" t="s">
        <v>813</v>
      </c>
      <c r="O112" s="2" t="s">
        <v>783</v>
      </c>
    </row>
    <row r="113" spans="1:15">
      <c r="A113" s="2" t="s">
        <v>1419</v>
      </c>
      <c r="B113" s="2" t="s">
        <v>1420</v>
      </c>
      <c r="C113" s="2" t="s">
        <v>1544</v>
      </c>
      <c r="D113" s="3">
        <f>(('Facts'!F369*1)+('Facts'!F370*1)+('Facts'!F371*1))*1</f>
        <v>-24000000.0</v>
      </c>
      <c r="E113" s="3">
        <f>D113/K113</f>
        <v>-24.0</v>
      </c>
      <c r="F113" s="2" t="str">
        <f>IF(ISNUMBER(D113),"calculated","not_calculated")</f>
        <v>calculated</v>
      </c>
      <c r="G113" s="2">
        <f>IF(ISNUMBER(D113),"","检查缺失值、分母与输入；口径变更须重跑Python")</f>
        <v/>
      </c>
      <c r="H113" s="2" t="s">
        <v>1421</v>
      </c>
      <c r="I113" s="2" t="s">
        <v>1386</v>
      </c>
      <c r="J113" s="2" t="s">
        <v>1074</v>
      </c>
      <c r="K113" s="2">
        <v>1000000</v>
      </c>
      <c r="L113" s="2" t="s">
        <v>58</v>
      </c>
      <c r="M113" s="2" t="s">
        <v>59</v>
      </c>
      <c r="N113" s="2" t="s">
        <v>813</v>
      </c>
      <c r="O113" s="2" t="s">
        <v>783</v>
      </c>
    </row>
    <row r="114" spans="1:15">
      <c r="A114" s="2" t="s">
        <v>1422</v>
      </c>
      <c r="B114" s="2" t="s">
        <v>1423</v>
      </c>
      <c r="C114" s="2" t="s">
        <v>1545</v>
      </c>
      <c r="D114" s="3">
        <f>(('Calculations'!D113*1)+('Facts'!F368*1))*1</f>
        <v>940000000.0</v>
      </c>
      <c r="E114" s="3">
        <f>D114/K114</f>
        <v>940.0</v>
      </c>
      <c r="F114" s="2" t="str">
        <f>IF(ISNUMBER(D114),"calculated","not_calculated")</f>
        <v>calculated</v>
      </c>
      <c r="G114" s="2">
        <f>IF(ISNUMBER(D114),"","检查缺失值、分母与输入；口径变更须重跑Python")</f>
        <v/>
      </c>
      <c r="H114" s="2" t="s">
        <v>1424</v>
      </c>
      <c r="I114" s="2" t="s">
        <v>1386</v>
      </c>
      <c r="J114" s="2" t="s">
        <v>1074</v>
      </c>
      <c r="K114" s="2">
        <v>1000000</v>
      </c>
      <c r="L114" s="2" t="s">
        <v>58</v>
      </c>
      <c r="M114" s="2" t="s">
        <v>59</v>
      </c>
      <c r="N114" s="2" t="s">
        <v>813</v>
      </c>
      <c r="O114" s="2" t="s">
        <v>783</v>
      </c>
    </row>
    <row r="115" spans="1:15">
      <c r="A115" s="2" t="s">
        <v>1425</v>
      </c>
      <c r="B115" s="2" t="s">
        <v>1426</v>
      </c>
      <c r="C115" s="2" t="s">
        <v>1546</v>
      </c>
      <c r="D115" s="3">
        <f>IF('Facts'!F373&lt;=0,NA(),(('Facts'!F372/'Facts'!F373))*1)</f>
        <v>0.9001161440185831</v>
      </c>
      <c r="E115" s="5">
        <f>D115</f>
        <v>0.9001161440185831</v>
      </c>
      <c r="F115" s="2" t="str">
        <f>IF(ISNUMBER(D115),"calculated","not_calculated")</f>
        <v>calculated</v>
      </c>
      <c r="G115" s="2">
        <f>IF(ISNUMBER(D115),"","检查缺失值、分母与输入；口径变更须重跑Python")</f>
        <v/>
      </c>
      <c r="H115" s="2" t="s">
        <v>1427</v>
      </c>
      <c r="I115" s="2" t="s">
        <v>1386</v>
      </c>
      <c r="J115" s="2" t="s">
        <v>1418</v>
      </c>
      <c r="K115" s="2">
        <v>1</v>
      </c>
      <c r="L115" s="2" t="s">
        <v>58</v>
      </c>
      <c r="M115" s="2" t="s">
        <v>59</v>
      </c>
      <c r="N115" s="2"/>
      <c r="O115" s="2" t="s">
        <v>60</v>
      </c>
    </row>
    <row r="116" spans="1:15">
      <c r="A116" s="2" t="s">
        <v>1428</v>
      </c>
      <c r="B116" s="2" t="s">
        <v>1429</v>
      </c>
      <c r="C116" s="2" t="s">
        <v>1547</v>
      </c>
      <c r="D116" s="3">
        <f>IF('Facts'!F375&lt;=0,NA(),(('Facts'!F374/'Facts'!F375))*1)</f>
        <v>0.30260777811275247</v>
      </c>
      <c r="E116" s="5">
        <f>D116</f>
        <v>0.30260777811275247</v>
      </c>
      <c r="F116" s="2" t="str">
        <f>IF(ISNUMBER(D116),"calculated","not_calculated")</f>
        <v>calculated</v>
      </c>
      <c r="G116" s="2">
        <f>IF(ISNUMBER(D116),"","检查缺失值、分母与输入；口径变更须重跑Python")</f>
        <v/>
      </c>
      <c r="H116" s="2" t="s">
        <v>1430</v>
      </c>
      <c r="I116" s="2" t="s">
        <v>1386</v>
      </c>
      <c r="J116" s="2" t="s">
        <v>1418</v>
      </c>
      <c r="K116" s="2">
        <v>1</v>
      </c>
      <c r="L116" s="2" t="s">
        <v>58</v>
      </c>
      <c r="M116" s="2" t="s">
        <v>59</v>
      </c>
      <c r="N116" s="2"/>
      <c r="O116" s="2" t="s">
        <v>60</v>
      </c>
    </row>
    <row r="117" spans="1:15">
      <c r="A117" s="2" t="s">
        <v>1431</v>
      </c>
      <c r="B117" s="2" t="s">
        <v>1432</v>
      </c>
      <c r="C117" s="2" t="s">
        <v>1548</v>
      </c>
      <c r="D117" s="3">
        <f>IF('Facts'!F377&lt;=0,NA(),(('Facts'!F376/'Facts'!F377))*1)</f>
        <v>0.42680893631210404</v>
      </c>
      <c r="E117" s="5">
        <f>D117</f>
        <v>0.42680893631210404</v>
      </c>
      <c r="F117" s="2" t="str">
        <f>IF(ISNUMBER(D117),"calculated","not_calculated")</f>
        <v>calculated</v>
      </c>
      <c r="G117" s="2">
        <f>IF(ISNUMBER(D117),"","检查缺失值、分母与输入；口径变更须重跑Python")</f>
        <v/>
      </c>
      <c r="H117" s="2" t="s">
        <v>1433</v>
      </c>
      <c r="I117" s="2" t="s">
        <v>1386</v>
      </c>
      <c r="J117" s="2" t="s">
        <v>1418</v>
      </c>
      <c r="K117" s="2">
        <v>1</v>
      </c>
      <c r="L117" s="2" t="s">
        <v>58</v>
      </c>
      <c r="M117" s="2" t="s">
        <v>59</v>
      </c>
      <c r="N117" s="2" t="s">
        <v>1045</v>
      </c>
      <c r="O117" s="2" t="s">
        <v>60</v>
      </c>
    </row>
  </sheetData>
  <autoFilter ref="A1:O117"/>
  <pageMargins left="0.25" right="0.25" top="0.75" bottom="0.75" header="0.3" footer="0.3"/>
  <pageSetup paperSize="8" fitToHeight="0" orientation="landscape"/>
</worksheet>
</file>

<file path=xl/worksheets/sheet4.xml><?xml version="1.0" encoding="utf-8"?>
<worksheet xmlns="http://schemas.openxmlformats.org/spreadsheetml/2006/main" xmlns:r="http://schemas.openxmlformats.org/officeDocument/2006/relationships">
  <sheetPr>
    <pageSetUpPr fitToPage="1"/>
  </sheetPr>
  <dimension ref="A1:J85"/>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8.7109375" customWidth="1"/>
    <col min="2" max="2" width="30.7109375" customWidth="1"/>
    <col min="3" max="4" width="22.7109375" customWidth="1"/>
    <col min="5" max="6" width="24.7109375" customWidth="1"/>
    <col min="7" max="7" width="25.7109375" customWidth="1"/>
    <col min="8" max="8" width="38.7109375" customWidth="1"/>
    <col min="9" max="9" width="28.7109375" customWidth="1"/>
    <col min="10" max="10" width="12.7109375" customWidth="1"/>
  </cols>
  <sheetData>
    <row r="1" spans="1:10" ht="32" customHeight="1">
      <c r="A1" s="1" t="s">
        <v>37</v>
      </c>
      <c r="B1" s="1" t="s">
        <v>1549</v>
      </c>
      <c r="C1" s="1" t="s">
        <v>1550</v>
      </c>
      <c r="D1" s="1" t="s">
        <v>1551</v>
      </c>
      <c r="E1" s="1" t="s">
        <v>1552</v>
      </c>
      <c r="F1" s="1" t="s">
        <v>1553</v>
      </c>
      <c r="G1" s="1" t="s">
        <v>49</v>
      </c>
      <c r="H1" s="1" t="s">
        <v>1554</v>
      </c>
      <c r="I1" s="1" t="s">
        <v>1555</v>
      </c>
      <c r="J1" s="1" t="s">
        <v>1556</v>
      </c>
    </row>
    <row r="2" spans="1:10" ht="33" customHeight="1">
      <c r="A2" s="2" t="s">
        <v>1557</v>
      </c>
      <c r="B2" s="2" t="s">
        <v>1070</v>
      </c>
      <c r="C2" s="2" t="s">
        <v>99</v>
      </c>
      <c r="D2" s="2" t="s">
        <v>1069</v>
      </c>
      <c r="E2" s="2">
        <f>ROUND('Facts'!F16-'Calculations'!D2,J2)</f>
        <v>0.0</v>
      </c>
      <c r="F2" s="2">
        <v>0</v>
      </c>
      <c r="G2" s="2" t="str">
        <f>IF(COUNT(E2,F2)&lt;2,"not_tested",IF(ABS(E2)&lt;=F2,"within_input_tolerance","unexplained_difference"))</f>
        <v>within_input_tolerance</v>
      </c>
      <c r="H2" s="2" t="s">
        <v>1559</v>
      </c>
      <c r="I2" s="2">
        <f>IF(ISNUMBER(E2),"","missing or unavailable input")</f>
        <v/>
      </c>
      <c r="J2">
        <v>0</v>
      </c>
    </row>
    <row r="3" spans="1:10" ht="33" customHeight="1">
      <c r="A3" s="2" t="s">
        <v>1560</v>
      </c>
      <c r="B3" s="2" t="s">
        <v>1076</v>
      </c>
      <c r="C3" s="2" t="s">
        <v>144</v>
      </c>
      <c r="D3" s="2" t="s">
        <v>1075</v>
      </c>
      <c r="E3" s="2">
        <f>ROUND('Facts'!F34-'Calculations'!D3,J3)</f>
        <v>0.0</v>
      </c>
      <c r="F3" s="2">
        <v>0</v>
      </c>
      <c r="G3" s="2" t="str">
        <f>IF(COUNT(E3,F3)&lt;2,"not_tested",IF(ABS(E3)&lt;=F3,"within_input_tolerance","unexplained_difference"))</f>
        <v>within_input_tolerance</v>
      </c>
      <c r="H3" s="2" t="s">
        <v>1559</v>
      </c>
      <c r="I3" s="2">
        <f>IF(ISNUMBER(E3),"","missing or unavailable input")</f>
        <v/>
      </c>
      <c r="J3">
        <v>0</v>
      </c>
    </row>
    <row r="4" spans="1:10" ht="33" customHeight="1">
      <c r="A4" s="2" t="s">
        <v>1561</v>
      </c>
      <c r="B4" s="2" t="s">
        <v>1079</v>
      </c>
      <c r="C4" s="2" t="s">
        <v>184</v>
      </c>
      <c r="D4" s="2" t="s">
        <v>1078</v>
      </c>
      <c r="E4" s="2">
        <f>ROUND('Facts'!F50-'Calculations'!D4,J4)</f>
        <v>0.0</v>
      </c>
      <c r="F4" s="2">
        <v>0</v>
      </c>
      <c r="G4" s="2" t="str">
        <f>IF(COUNT(E4,F4)&lt;2,"not_tested",IF(ABS(E4)&lt;=F4,"within_input_tolerance","unexplained_difference"))</f>
        <v>within_input_tolerance</v>
      </c>
      <c r="H4" s="2" t="s">
        <v>1559</v>
      </c>
      <c r="I4" s="2">
        <f>IF(ISNUMBER(E4),"","missing or unavailable input")</f>
        <v/>
      </c>
      <c r="J4">
        <v>0</v>
      </c>
    </row>
    <row r="5" spans="1:10" ht="33" customHeight="1">
      <c r="A5" s="2" t="s">
        <v>1562</v>
      </c>
      <c r="B5" s="2" t="s">
        <v>1082</v>
      </c>
      <c r="C5" s="2" t="s">
        <v>209</v>
      </c>
      <c r="D5" s="2" t="s">
        <v>1081</v>
      </c>
      <c r="E5" s="2">
        <f>ROUND('Facts'!F60-'Calculations'!D5,J5)</f>
        <v>0.0</v>
      </c>
      <c r="F5" s="2">
        <v>0</v>
      </c>
      <c r="G5" s="2" t="str">
        <f>IF(COUNT(E5,F5)&lt;2,"not_tested",IF(ABS(E5)&lt;=F5,"within_input_tolerance","unexplained_difference"))</f>
        <v>within_input_tolerance</v>
      </c>
      <c r="H5" s="2" t="s">
        <v>1559</v>
      </c>
      <c r="I5" s="2">
        <f>IF(ISNUMBER(E5),"","missing or unavailable input")</f>
        <v/>
      </c>
      <c r="J5">
        <v>0</v>
      </c>
    </row>
    <row r="6" spans="1:10" ht="33" customHeight="1">
      <c r="A6" s="2" t="s">
        <v>1563</v>
      </c>
      <c r="B6" s="2" t="s">
        <v>1085</v>
      </c>
      <c r="C6" s="2" t="s">
        <v>234</v>
      </c>
      <c r="D6" s="2" t="s">
        <v>1084</v>
      </c>
      <c r="E6" s="2">
        <f>ROUND('Facts'!F70-'Calculations'!D6,J6)</f>
        <v>0.0</v>
      </c>
      <c r="F6" s="2">
        <v>0</v>
      </c>
      <c r="G6" s="2" t="str">
        <f>IF(COUNT(E6,F6)&lt;2,"not_tested",IF(ABS(E6)&lt;=F6,"within_input_tolerance","unexplained_difference"))</f>
        <v>within_input_tolerance</v>
      </c>
      <c r="H6" s="2" t="s">
        <v>1559</v>
      </c>
      <c r="I6" s="2">
        <f>IF(ISNUMBER(E6),"","missing or unavailable input")</f>
        <v/>
      </c>
      <c r="J6">
        <v>0</v>
      </c>
    </row>
    <row r="7" spans="1:10" ht="33" customHeight="1">
      <c r="A7" s="2" t="s">
        <v>1564</v>
      </c>
      <c r="B7" s="2" t="s">
        <v>1088</v>
      </c>
      <c r="C7" s="2" t="s">
        <v>144</v>
      </c>
      <c r="D7" s="2" t="s">
        <v>1087</v>
      </c>
      <c r="E7" s="2">
        <f>ROUND('Facts'!F34-'Calculations'!D7,J7)</f>
        <v>0.0</v>
      </c>
      <c r="F7" s="2">
        <v>0</v>
      </c>
      <c r="G7" s="2" t="str">
        <f>IF(COUNT(E7,F7)&lt;2,"not_tested",IF(ABS(E7)&lt;=F7,"within_input_tolerance","unexplained_difference"))</f>
        <v>within_input_tolerance</v>
      </c>
      <c r="H7" s="2" t="s">
        <v>1559</v>
      </c>
      <c r="I7" s="2">
        <f>IF(ISNUMBER(E7),"","missing or unavailable input")</f>
        <v/>
      </c>
      <c r="J7">
        <v>0</v>
      </c>
    </row>
    <row r="8" spans="1:10" ht="33" customHeight="1">
      <c r="A8" s="2" t="s">
        <v>1565</v>
      </c>
      <c r="B8" s="2" t="s">
        <v>1091</v>
      </c>
      <c r="C8" s="2" t="s">
        <v>253</v>
      </c>
      <c r="D8" s="2" t="s">
        <v>1090</v>
      </c>
      <c r="E8" s="2">
        <f>ROUND('Facts'!F76-'Calculations'!D8,J8)</f>
        <v>0.0</v>
      </c>
      <c r="F8" s="2">
        <v>0</v>
      </c>
      <c r="G8" s="2" t="str">
        <f>IF(COUNT(E8,F8)&lt;2,"not_tested",IF(ABS(E8)&lt;=F8,"within_input_tolerance","unexplained_difference"))</f>
        <v>within_input_tolerance</v>
      </c>
      <c r="H8" s="2" t="s">
        <v>1559</v>
      </c>
      <c r="I8" s="2">
        <f>IF(ISNUMBER(E8),"","missing or unavailable input")</f>
        <v/>
      </c>
      <c r="J8">
        <v>0</v>
      </c>
    </row>
    <row r="9" spans="1:10" ht="33" customHeight="1">
      <c r="A9" s="2" t="s">
        <v>1566</v>
      </c>
      <c r="B9" s="2" t="s">
        <v>1094</v>
      </c>
      <c r="C9" s="2" t="s">
        <v>293</v>
      </c>
      <c r="D9" s="2" t="s">
        <v>1093</v>
      </c>
      <c r="E9" s="2">
        <f>ROUND('Facts'!F92-'Calculations'!D9,J9)</f>
        <v>0.0</v>
      </c>
      <c r="F9" s="2">
        <v>0</v>
      </c>
      <c r="G9" s="2" t="str">
        <f>IF(COUNT(E9,F9)&lt;2,"not_tested",IF(ABS(E9)&lt;=F9,"within_input_tolerance","unexplained_difference"))</f>
        <v>within_input_tolerance</v>
      </c>
      <c r="H9" s="2" t="s">
        <v>1559</v>
      </c>
      <c r="I9" s="2">
        <f>IF(ISNUMBER(E9),"","missing or unavailable input")</f>
        <v/>
      </c>
      <c r="J9">
        <v>0</v>
      </c>
    </row>
    <row r="10" spans="1:10" ht="33" customHeight="1">
      <c r="A10" s="2" t="s">
        <v>1567</v>
      </c>
      <c r="B10" s="2" t="s">
        <v>1097</v>
      </c>
      <c r="C10" s="2" t="s">
        <v>318</v>
      </c>
      <c r="D10" s="2" t="s">
        <v>1096</v>
      </c>
      <c r="E10" s="2">
        <f>ROUND('Facts'!F102-'Calculations'!D10,J10)</f>
        <v>0.0</v>
      </c>
      <c r="F10" s="2">
        <v>0</v>
      </c>
      <c r="G10" s="2" t="str">
        <f>IF(COUNT(E10,F10)&lt;2,"not_tested",IF(ABS(E10)&lt;=F10,"within_input_tolerance","unexplained_difference"))</f>
        <v>within_input_tolerance</v>
      </c>
      <c r="H10" s="2" t="s">
        <v>1559</v>
      </c>
      <c r="I10" s="2">
        <f>IF(ISNUMBER(E10),"","missing or unavailable input")</f>
        <v/>
      </c>
      <c r="J10">
        <v>0</v>
      </c>
    </row>
    <row r="11" spans="1:10" ht="33" customHeight="1">
      <c r="A11" s="2" t="s">
        <v>1568</v>
      </c>
      <c r="B11" s="2" t="s">
        <v>1100</v>
      </c>
      <c r="C11" s="2" t="s">
        <v>328</v>
      </c>
      <c r="D11" s="2" t="s">
        <v>1099</v>
      </c>
      <c r="E11" s="2">
        <f>ROUND('Facts'!F106-'Calculations'!D11,J11)</f>
        <v>0.0</v>
      </c>
      <c r="F11" s="2">
        <v>0</v>
      </c>
      <c r="G11" s="2" t="str">
        <f>IF(COUNT(E11,F11)&lt;2,"not_tested",IF(ABS(E11)&lt;=F11,"within_input_tolerance","unexplained_difference"))</f>
        <v>within_input_tolerance</v>
      </c>
      <c r="H11" s="2" t="s">
        <v>1559</v>
      </c>
      <c r="I11" s="2">
        <f>IF(ISNUMBER(E11),"","missing or unavailable input")</f>
        <v/>
      </c>
      <c r="J11">
        <v>0</v>
      </c>
    </row>
    <row r="12" spans="1:10" ht="33" customHeight="1">
      <c r="A12" s="2" t="s">
        <v>1569</v>
      </c>
      <c r="B12" s="2" t="s">
        <v>1103</v>
      </c>
      <c r="C12" s="2" t="s">
        <v>348</v>
      </c>
      <c r="D12" s="2" t="s">
        <v>1102</v>
      </c>
      <c r="E12" s="2">
        <f>ROUND('Facts'!F114-'Calculations'!D12,J12)</f>
        <v>0.0</v>
      </c>
      <c r="F12" s="2">
        <v>0</v>
      </c>
      <c r="G12" s="2" t="str">
        <f>IF(COUNT(E12,F12)&lt;2,"not_tested",IF(ABS(E12)&lt;=F12,"within_input_tolerance","unexplained_difference"))</f>
        <v>within_input_tolerance</v>
      </c>
      <c r="H12" s="2" t="s">
        <v>1559</v>
      </c>
      <c r="I12" s="2">
        <f>IF(ISNUMBER(E12),"","missing or unavailable input")</f>
        <v/>
      </c>
      <c r="J12">
        <v>0</v>
      </c>
    </row>
    <row r="13" spans="1:10" ht="33" customHeight="1">
      <c r="A13" s="2" t="s">
        <v>1570</v>
      </c>
      <c r="B13" s="2" t="s">
        <v>1106</v>
      </c>
      <c r="C13" s="2" t="s">
        <v>358</v>
      </c>
      <c r="D13" s="2" t="s">
        <v>1105</v>
      </c>
      <c r="E13" s="2">
        <f>ROUND('Facts'!F118-'Calculations'!D13,J13)</f>
        <v>0.0</v>
      </c>
      <c r="F13" s="2">
        <v>0</v>
      </c>
      <c r="G13" s="2" t="str">
        <f>IF(COUNT(E13,F13)&lt;2,"not_tested",IF(ABS(E13)&lt;=F13,"within_input_tolerance","unexplained_difference"))</f>
        <v>within_input_tolerance</v>
      </c>
      <c r="H13" s="2" t="s">
        <v>1559</v>
      </c>
      <c r="I13" s="2">
        <f>IF(ISNUMBER(E13),"","missing or unavailable input")</f>
        <v/>
      </c>
      <c r="J13">
        <v>0</v>
      </c>
    </row>
    <row r="14" spans="1:10" ht="33" customHeight="1">
      <c r="A14" s="2" t="s">
        <v>1571</v>
      </c>
      <c r="B14" s="2" t="s">
        <v>1109</v>
      </c>
      <c r="C14" s="2" t="s">
        <v>444</v>
      </c>
      <c r="D14" s="2" t="s">
        <v>1108</v>
      </c>
      <c r="E14" s="2">
        <f>ROUND('Facts'!F152-'Calculations'!D14,J14)</f>
        <v>0.0</v>
      </c>
      <c r="F14" s="2">
        <v>0</v>
      </c>
      <c r="G14" s="2" t="str">
        <f>IF(COUNT(E14,F14)&lt;2,"not_tested",IF(ABS(E14)&lt;=F14,"within_input_tolerance","unexplained_difference"))</f>
        <v>within_input_tolerance</v>
      </c>
      <c r="H14" s="2" t="s">
        <v>1559</v>
      </c>
      <c r="I14" s="2">
        <f>IF(ISNUMBER(E14),"","missing or unavailable input")</f>
        <v/>
      </c>
      <c r="J14">
        <v>0</v>
      </c>
    </row>
    <row r="15" spans="1:10" ht="33" customHeight="1">
      <c r="A15" s="2" t="s">
        <v>1572</v>
      </c>
      <c r="B15" s="2" t="s">
        <v>1112</v>
      </c>
      <c r="C15" s="2" t="s">
        <v>494</v>
      </c>
      <c r="D15" s="2" t="s">
        <v>1111</v>
      </c>
      <c r="E15" s="2">
        <f>ROUND('Facts'!F172-'Calculations'!D15,J15)</f>
        <v>0.0</v>
      </c>
      <c r="F15" s="2">
        <v>0</v>
      </c>
      <c r="G15" s="2" t="str">
        <f>IF(COUNT(E15,F15)&lt;2,"not_tested",IF(ABS(E15)&lt;=F15,"within_input_tolerance","unexplained_difference"))</f>
        <v>within_input_tolerance</v>
      </c>
      <c r="H15" s="2" t="s">
        <v>1559</v>
      </c>
      <c r="I15" s="2">
        <f>IF(ISNUMBER(E15),"","missing or unavailable input")</f>
        <v/>
      </c>
      <c r="J15">
        <v>0</v>
      </c>
    </row>
    <row r="16" spans="1:10" ht="33" customHeight="1">
      <c r="A16" s="2" t="s">
        <v>1573</v>
      </c>
      <c r="B16" s="2" t="s">
        <v>1115</v>
      </c>
      <c r="C16" s="2" t="s">
        <v>499</v>
      </c>
      <c r="D16" s="2" t="s">
        <v>1114</v>
      </c>
      <c r="E16" s="2">
        <f>ROUND('Facts'!F174-'Calculations'!D16,J16)</f>
        <v>0.0</v>
      </c>
      <c r="F16" s="2">
        <v>0</v>
      </c>
      <c r="G16" s="2" t="str">
        <f>IF(COUNT(E16,F16)&lt;2,"not_tested",IF(ABS(E16)&lt;=F16,"within_input_tolerance","unexplained_difference"))</f>
        <v>within_input_tolerance</v>
      </c>
      <c r="H16" s="2" t="s">
        <v>1559</v>
      </c>
      <c r="I16" s="2">
        <f>IF(ISNUMBER(E16),"","missing or unavailable input")</f>
        <v/>
      </c>
      <c r="J16">
        <v>0</v>
      </c>
    </row>
    <row r="17" spans="1:10" ht="33" customHeight="1">
      <c r="A17" s="2" t="s">
        <v>1574</v>
      </c>
      <c r="B17" s="2" t="s">
        <v>1118</v>
      </c>
      <c r="C17" s="2" t="s">
        <v>600</v>
      </c>
      <c r="D17" s="2" t="s">
        <v>1117</v>
      </c>
      <c r="E17" s="2">
        <f>ROUND('Facts'!F212-'Calculations'!D17,J17)</f>
        <v>0.0</v>
      </c>
      <c r="F17" s="2">
        <v>0</v>
      </c>
      <c r="G17" s="2" t="str">
        <f>IF(COUNT(E17,F17)&lt;2,"not_tested",IF(ABS(E17)&lt;=F17,"within_input_tolerance","unexplained_difference"))</f>
        <v>within_input_tolerance</v>
      </c>
      <c r="H17" s="2" t="s">
        <v>1559</v>
      </c>
      <c r="I17" s="2">
        <f>IF(ISNUMBER(E17),"","missing or unavailable input")</f>
        <v/>
      </c>
      <c r="J17">
        <v>0</v>
      </c>
    </row>
    <row r="18" spans="1:10" ht="33" customHeight="1">
      <c r="A18" s="2" t="s">
        <v>1575</v>
      </c>
      <c r="B18" s="2" t="s">
        <v>1121</v>
      </c>
      <c r="C18" s="2" t="s">
        <v>640</v>
      </c>
      <c r="D18" s="2" t="s">
        <v>1120</v>
      </c>
      <c r="E18" s="2">
        <f>ROUND('Facts'!F228-'Calculations'!D18,J18)</f>
        <v>0.0</v>
      </c>
      <c r="F18" s="2">
        <v>0</v>
      </c>
      <c r="G18" s="2" t="str">
        <f>IF(COUNT(E18,F18)&lt;2,"not_tested",IF(ABS(E18)&lt;=F18,"within_input_tolerance","unexplained_difference"))</f>
        <v>within_input_tolerance</v>
      </c>
      <c r="H18" s="2" t="s">
        <v>1559</v>
      </c>
      <c r="I18" s="2">
        <f>IF(ISNUMBER(E18),"","missing or unavailable input")</f>
        <v/>
      </c>
      <c r="J18">
        <v>0</v>
      </c>
    </row>
    <row r="19" spans="1:10" ht="33" customHeight="1">
      <c r="A19" s="2" t="s">
        <v>1576</v>
      </c>
      <c r="B19" s="2" t="s">
        <v>1124</v>
      </c>
      <c r="C19" s="2" t="s">
        <v>560</v>
      </c>
      <c r="D19" s="2" t="s">
        <v>1123</v>
      </c>
      <c r="E19" s="2">
        <f>ROUND('Facts'!F196-'Calculations'!D19,J19)</f>
        <v>0.0</v>
      </c>
      <c r="F19" s="2">
        <v>0</v>
      </c>
      <c r="G19" s="2" t="str">
        <f>IF(COUNT(E19,F19)&lt;2,"not_tested",IF(ABS(E19)&lt;=F19,"within_input_tolerance","unexplained_difference"))</f>
        <v>within_input_tolerance</v>
      </c>
      <c r="H19" s="2" t="s">
        <v>1559</v>
      </c>
      <c r="I19" s="2">
        <f>IF(ISNUMBER(E19),"","missing or unavailable input")</f>
        <v/>
      </c>
      <c r="J19">
        <v>0</v>
      </c>
    </row>
    <row r="20" spans="1:10" ht="33" customHeight="1">
      <c r="A20" s="2" t="s">
        <v>1577</v>
      </c>
      <c r="B20" s="2" t="s">
        <v>1127</v>
      </c>
      <c r="C20" s="2" t="s">
        <v>333</v>
      </c>
      <c r="D20" s="2" t="s">
        <v>1126</v>
      </c>
      <c r="E20" s="2">
        <f>ROUND('Facts'!F108-'Calculations'!D20,J20)</f>
        <v>0.0</v>
      </c>
      <c r="F20" s="2">
        <v>0</v>
      </c>
      <c r="G20" s="2" t="str">
        <f>IF(COUNT(E20,F20)&lt;2,"not_tested",IF(ABS(E20)&lt;=F20,"within_input_tolerance","unexplained_difference"))</f>
        <v>within_input_tolerance</v>
      </c>
      <c r="H20" s="2" t="s">
        <v>1559</v>
      </c>
      <c r="I20" s="2">
        <f>IF(ISNUMBER(E20),"","missing or unavailable input")</f>
        <v/>
      </c>
      <c r="J20">
        <v>0</v>
      </c>
    </row>
    <row r="21" spans="1:10" ht="33" customHeight="1">
      <c r="A21" s="2" t="s">
        <v>1578</v>
      </c>
      <c r="B21" s="2" t="s">
        <v>1130</v>
      </c>
      <c r="C21" s="2" t="s">
        <v>323</v>
      </c>
      <c r="D21" s="2" t="s">
        <v>1129</v>
      </c>
      <c r="E21" s="2">
        <f>ROUND('Facts'!F104-'Calculations'!D21,J21)</f>
        <v>0.0</v>
      </c>
      <c r="F21" s="2">
        <v>0</v>
      </c>
      <c r="G21" s="2" t="str">
        <f>IF(COUNT(E21,F21)&lt;2,"not_tested",IF(ABS(E21)&lt;=F21,"within_input_tolerance","unexplained_difference"))</f>
        <v>within_input_tolerance</v>
      </c>
      <c r="H21" s="2" t="s">
        <v>1559</v>
      </c>
      <c r="I21" s="2">
        <f>IF(ISNUMBER(E21),"","missing or unavailable input")</f>
        <v/>
      </c>
      <c r="J21">
        <v>0</v>
      </c>
    </row>
    <row r="22" spans="1:10" ht="33" customHeight="1">
      <c r="A22" s="2" t="s">
        <v>1579</v>
      </c>
      <c r="B22" s="2" t="s">
        <v>1133</v>
      </c>
      <c r="C22" s="2" t="s">
        <v>720</v>
      </c>
      <c r="D22" s="2" t="s">
        <v>1132</v>
      </c>
      <c r="E22" s="2">
        <f>ROUND('Facts'!F256-'Calculations'!D22,J22)</f>
        <v>0.0</v>
      </c>
      <c r="F22" s="2">
        <v>0</v>
      </c>
      <c r="G22" s="2" t="str">
        <f>IF(COUNT(E22,F22)&lt;2,"not_tested",IF(ABS(E22)&lt;=F22,"within_input_tolerance","unexplained_difference"))</f>
        <v>within_input_tolerance</v>
      </c>
      <c r="H22" s="2" t="s">
        <v>1559</v>
      </c>
      <c r="I22" s="2">
        <f>IF(ISNUMBER(E22),"","missing or unavailable input")</f>
        <v/>
      </c>
      <c r="J22">
        <v>0</v>
      </c>
    </row>
    <row r="23" spans="1:10" ht="33" customHeight="1">
      <c r="A23" s="2" t="s">
        <v>1580</v>
      </c>
      <c r="B23" s="2" t="s">
        <v>1136</v>
      </c>
      <c r="C23" s="2" t="s">
        <v>725</v>
      </c>
      <c r="D23" s="2" t="s">
        <v>1135</v>
      </c>
      <c r="E23" s="2">
        <f>ROUND('Facts'!F258-'Calculations'!D23,J23)</f>
        <v>0.0</v>
      </c>
      <c r="F23" s="2">
        <v>0</v>
      </c>
      <c r="G23" s="2" t="str">
        <f>IF(COUNT(E23,F23)&lt;2,"not_tested",IF(ABS(E23)&lt;=F23,"within_input_tolerance","unexplained_difference"))</f>
        <v>within_input_tolerance</v>
      </c>
      <c r="H23" s="2" t="s">
        <v>1559</v>
      </c>
      <c r="I23" s="2">
        <f>IF(ISNUMBER(E23),"","missing or unavailable input")</f>
        <v/>
      </c>
      <c r="J23">
        <v>0</v>
      </c>
    </row>
    <row r="24" spans="1:10" ht="33" customHeight="1">
      <c r="A24" s="2" t="s">
        <v>1581</v>
      </c>
      <c r="B24" s="2" t="s">
        <v>1139</v>
      </c>
      <c r="C24" s="2" t="s">
        <v>509</v>
      </c>
      <c r="D24" s="2" t="s">
        <v>1138</v>
      </c>
      <c r="E24" s="2">
        <f>ROUND('Facts'!F178-'Calculations'!D24,J24)</f>
        <v>0.0</v>
      </c>
      <c r="F24" s="2">
        <v>0</v>
      </c>
      <c r="G24" s="2" t="str">
        <f>IF(COUNT(E24,F24)&lt;2,"not_tested",IF(ABS(E24)&lt;=F24,"within_input_tolerance","unexplained_difference"))</f>
        <v>within_input_tolerance</v>
      </c>
      <c r="H24" s="2" t="s">
        <v>1559</v>
      </c>
      <c r="I24" s="2">
        <f>IF(ISNUMBER(E24),"","missing or unavailable input")</f>
        <v/>
      </c>
      <c r="J24">
        <v>0</v>
      </c>
    </row>
    <row r="25" spans="1:10" ht="33" customHeight="1">
      <c r="A25" s="2" t="s">
        <v>1582</v>
      </c>
      <c r="B25" s="2" t="s">
        <v>1142</v>
      </c>
      <c r="C25" s="2" t="s">
        <v>298</v>
      </c>
      <c r="D25" s="2" t="s">
        <v>1141</v>
      </c>
      <c r="E25" s="2">
        <f>ROUND('Facts'!F94-'Calculations'!D25,J25)</f>
        <v>0.0</v>
      </c>
      <c r="F25" s="2">
        <v>0</v>
      </c>
      <c r="G25" s="2" t="str">
        <f>IF(COUNT(E25,F25)&lt;2,"not_tested",IF(ABS(E25)&lt;=F25,"within_input_tolerance","unexplained_difference"))</f>
        <v>within_input_tolerance</v>
      </c>
      <c r="H25" s="2" t="s">
        <v>1559</v>
      </c>
      <c r="I25" s="2">
        <f>IF(ISNUMBER(E25),"","missing or unavailable input")</f>
        <v/>
      </c>
      <c r="J25">
        <v>0</v>
      </c>
    </row>
    <row r="26" spans="1:10" ht="33" customHeight="1">
      <c r="A26" s="2" t="s">
        <v>1583</v>
      </c>
      <c r="B26" s="2" t="s">
        <v>1145</v>
      </c>
      <c r="C26" s="2" t="s">
        <v>343</v>
      </c>
      <c r="D26" s="2" t="s">
        <v>1144</v>
      </c>
      <c r="E26" s="2">
        <f>ROUND('Facts'!F112-'Calculations'!D26,J26)</f>
        <v>0.0</v>
      </c>
      <c r="F26" s="2">
        <v>0</v>
      </c>
      <c r="G26" s="2" t="str">
        <f>IF(COUNT(E26,F26)&lt;2,"not_tested",IF(ABS(E26)&lt;=F26,"within_input_tolerance","unexplained_difference"))</f>
        <v>within_input_tolerance</v>
      </c>
      <c r="H26" s="2" t="s">
        <v>1559</v>
      </c>
      <c r="I26" s="2">
        <f>IF(ISNUMBER(E26),"","missing or unavailable input")</f>
        <v/>
      </c>
      <c r="J26">
        <v>0</v>
      </c>
    </row>
    <row r="27" spans="1:10" ht="33" customHeight="1">
      <c r="A27" s="2" t="s">
        <v>1584</v>
      </c>
      <c r="B27" s="2" t="s">
        <v>1585</v>
      </c>
      <c r="C27" s="2" t="s">
        <v>419</v>
      </c>
      <c r="D27" s="2" t="s">
        <v>1147</v>
      </c>
      <c r="E27" s="2">
        <f>ROUND('Facts'!F142-'Calculations'!D27,J27)</f>
        <v>0.0</v>
      </c>
      <c r="F27" s="2">
        <v>0</v>
      </c>
      <c r="G27" s="2" t="str">
        <f>IF(COUNT(E27,F27)&lt;2,"not_tested",IF(ABS(E27)&lt;=F27,"within_input_tolerance","unexplained_difference"))</f>
        <v>within_input_tolerance</v>
      </c>
      <c r="H27" s="2" t="s">
        <v>1559</v>
      </c>
      <c r="I27" s="2">
        <f>IF(ISNUMBER(E27),"","missing or unavailable input")</f>
        <v/>
      </c>
      <c r="J27">
        <v>0</v>
      </c>
    </row>
    <row r="28" spans="1:10" ht="33" customHeight="1">
      <c r="A28" s="2" t="s">
        <v>1586</v>
      </c>
      <c r="B28" s="2" t="s">
        <v>1587</v>
      </c>
      <c r="C28" s="2" t="s">
        <v>509</v>
      </c>
      <c r="D28" s="2" t="s">
        <v>1150</v>
      </c>
      <c r="E28" s="2">
        <f>ROUND('Facts'!F178-'Calculations'!D28,J28)</f>
        <v>0.0</v>
      </c>
      <c r="F28" s="2">
        <v>0</v>
      </c>
      <c r="G28" s="2" t="str">
        <f>IF(COUNT(E28,F28)&lt;2,"not_tested",IF(ABS(E28)&lt;=F28,"within_input_tolerance","unexplained_difference"))</f>
        <v>within_input_tolerance</v>
      </c>
      <c r="H28" s="2" t="s">
        <v>1559</v>
      </c>
      <c r="I28" s="2">
        <f>IF(ISNUMBER(E28),"","missing or unavailable input")</f>
        <v/>
      </c>
      <c r="J28">
        <v>0</v>
      </c>
    </row>
    <row r="29" spans="1:10" ht="33" customHeight="1">
      <c r="A29" s="2" t="s">
        <v>1588</v>
      </c>
      <c r="B29" s="2" t="s">
        <v>1589</v>
      </c>
      <c r="C29" s="2" t="s">
        <v>234</v>
      </c>
      <c r="D29" s="2" t="s">
        <v>1153</v>
      </c>
      <c r="E29" s="2">
        <f>ROUND('Facts'!F70-'Calculations'!D29,J29)</f>
        <v>0.0</v>
      </c>
      <c r="F29" s="2">
        <v>0</v>
      </c>
      <c r="G29" s="2" t="str">
        <f>IF(COUNT(E29,F29)&lt;2,"not_tested",IF(ABS(E29)&lt;=F29,"within_input_tolerance","unexplained_difference"))</f>
        <v>within_input_tolerance</v>
      </c>
      <c r="H29" s="2" t="s">
        <v>1559</v>
      </c>
      <c r="I29" s="2">
        <f>IF(ISNUMBER(E29),"","missing or unavailable input")</f>
        <v/>
      </c>
      <c r="J29">
        <v>0</v>
      </c>
    </row>
    <row r="30" spans="1:10" ht="33" customHeight="1">
      <c r="A30" s="2" t="s">
        <v>1590</v>
      </c>
      <c r="B30" s="2" t="s">
        <v>1172</v>
      </c>
      <c r="C30" s="2" t="s">
        <v>102</v>
      </c>
      <c r="D30" s="2" t="s">
        <v>1171</v>
      </c>
      <c r="E30" s="2">
        <f>ROUND('Facts'!F17-'Calculations'!D34,J30)</f>
        <v>0.0</v>
      </c>
      <c r="F30" s="2">
        <v>0</v>
      </c>
      <c r="G30" s="2" t="str">
        <f>IF(COUNT(E30,F30)&lt;2,"not_tested",IF(ABS(E30)&lt;=F30,"within_input_tolerance","unexplained_difference"))</f>
        <v>within_input_tolerance</v>
      </c>
      <c r="H30" s="2" t="s">
        <v>1559</v>
      </c>
      <c r="I30" s="2">
        <f>IF(ISNUMBER(E30),"","missing or unavailable input")</f>
        <v/>
      </c>
      <c r="J30">
        <v>0</v>
      </c>
    </row>
    <row r="31" spans="1:10" ht="33" customHeight="1">
      <c r="A31" s="2" t="s">
        <v>1591</v>
      </c>
      <c r="B31" s="2" t="s">
        <v>1175</v>
      </c>
      <c r="C31" s="2" t="s">
        <v>147</v>
      </c>
      <c r="D31" s="2" t="s">
        <v>1174</v>
      </c>
      <c r="E31" s="2">
        <f>ROUND('Facts'!F35-'Calculations'!D35,J31)</f>
        <v>0.0</v>
      </c>
      <c r="F31" s="2">
        <v>0</v>
      </c>
      <c r="G31" s="2" t="str">
        <f>IF(COUNT(E31,F31)&lt;2,"not_tested",IF(ABS(E31)&lt;=F31,"within_input_tolerance","unexplained_difference"))</f>
        <v>within_input_tolerance</v>
      </c>
      <c r="H31" s="2" t="s">
        <v>1559</v>
      </c>
      <c r="I31" s="2">
        <f>IF(ISNUMBER(E31),"","missing or unavailable input")</f>
        <v/>
      </c>
      <c r="J31">
        <v>0</v>
      </c>
    </row>
    <row r="32" spans="1:10" ht="33" customHeight="1">
      <c r="A32" s="2" t="s">
        <v>1592</v>
      </c>
      <c r="B32" s="2" t="s">
        <v>1178</v>
      </c>
      <c r="C32" s="2" t="s">
        <v>187</v>
      </c>
      <c r="D32" s="2" t="s">
        <v>1177</v>
      </c>
      <c r="E32" s="2">
        <f>ROUND('Facts'!F51-'Calculations'!D36,J32)</f>
        <v>0.0</v>
      </c>
      <c r="F32" s="2">
        <v>0</v>
      </c>
      <c r="G32" s="2" t="str">
        <f>IF(COUNT(E32,F32)&lt;2,"not_tested",IF(ABS(E32)&lt;=F32,"within_input_tolerance","unexplained_difference"))</f>
        <v>within_input_tolerance</v>
      </c>
      <c r="H32" s="2" t="s">
        <v>1559</v>
      </c>
      <c r="I32" s="2">
        <f>IF(ISNUMBER(E32),"","missing or unavailable input")</f>
        <v/>
      </c>
      <c r="J32">
        <v>0</v>
      </c>
    </row>
    <row r="33" spans="1:10" ht="33" customHeight="1">
      <c r="A33" s="2" t="s">
        <v>1593</v>
      </c>
      <c r="B33" s="2" t="s">
        <v>1181</v>
      </c>
      <c r="C33" s="2" t="s">
        <v>212</v>
      </c>
      <c r="D33" s="2" t="s">
        <v>1180</v>
      </c>
      <c r="E33" s="2">
        <f>ROUND('Facts'!F61-'Calculations'!D37,J33)</f>
        <v>0.0</v>
      </c>
      <c r="F33" s="2">
        <v>0</v>
      </c>
      <c r="G33" s="2" t="str">
        <f>IF(COUNT(E33,F33)&lt;2,"not_tested",IF(ABS(E33)&lt;=F33,"within_input_tolerance","unexplained_difference"))</f>
        <v>within_input_tolerance</v>
      </c>
      <c r="H33" s="2" t="s">
        <v>1559</v>
      </c>
      <c r="I33" s="2">
        <f>IF(ISNUMBER(E33),"","missing or unavailable input")</f>
        <v/>
      </c>
      <c r="J33">
        <v>0</v>
      </c>
    </row>
    <row r="34" spans="1:10" ht="33" customHeight="1">
      <c r="A34" s="2" t="s">
        <v>1594</v>
      </c>
      <c r="B34" s="2" t="s">
        <v>1184</v>
      </c>
      <c r="C34" s="2" t="s">
        <v>237</v>
      </c>
      <c r="D34" s="2" t="s">
        <v>1183</v>
      </c>
      <c r="E34" s="2">
        <f>ROUND('Facts'!F71-'Calculations'!D38,J34)</f>
        <v>0.0</v>
      </c>
      <c r="F34" s="2">
        <v>0</v>
      </c>
      <c r="G34" s="2" t="str">
        <f>IF(COUNT(E34,F34)&lt;2,"not_tested",IF(ABS(E34)&lt;=F34,"within_input_tolerance","unexplained_difference"))</f>
        <v>within_input_tolerance</v>
      </c>
      <c r="H34" s="2" t="s">
        <v>1559</v>
      </c>
      <c r="I34" s="2">
        <f>IF(ISNUMBER(E34),"","missing or unavailable input")</f>
        <v/>
      </c>
      <c r="J34">
        <v>0</v>
      </c>
    </row>
    <row r="35" spans="1:10" ht="33" customHeight="1">
      <c r="A35" s="2" t="s">
        <v>1595</v>
      </c>
      <c r="B35" s="2" t="s">
        <v>1187</v>
      </c>
      <c r="C35" s="2" t="s">
        <v>147</v>
      </c>
      <c r="D35" s="2" t="s">
        <v>1186</v>
      </c>
      <c r="E35" s="2">
        <f>ROUND('Facts'!F35-'Calculations'!D39,J35)</f>
        <v>0.0</v>
      </c>
      <c r="F35" s="2">
        <v>0</v>
      </c>
      <c r="G35" s="2" t="str">
        <f>IF(COUNT(E35,F35)&lt;2,"not_tested",IF(ABS(E35)&lt;=F35,"within_input_tolerance","unexplained_difference"))</f>
        <v>within_input_tolerance</v>
      </c>
      <c r="H35" s="2" t="s">
        <v>1559</v>
      </c>
      <c r="I35" s="2">
        <f>IF(ISNUMBER(E35),"","missing or unavailable input")</f>
        <v/>
      </c>
      <c r="J35">
        <v>0</v>
      </c>
    </row>
    <row r="36" spans="1:10" ht="33" customHeight="1">
      <c r="A36" s="2" t="s">
        <v>1596</v>
      </c>
      <c r="B36" s="2" t="s">
        <v>1190</v>
      </c>
      <c r="C36" s="2" t="s">
        <v>256</v>
      </c>
      <c r="D36" s="2" t="s">
        <v>1189</v>
      </c>
      <c r="E36" s="2">
        <f>ROUND('Facts'!F77-'Calculations'!D40,J36)</f>
        <v>0.0</v>
      </c>
      <c r="F36" s="2">
        <v>0</v>
      </c>
      <c r="G36" s="2" t="str">
        <f>IF(COUNT(E36,F36)&lt;2,"not_tested",IF(ABS(E36)&lt;=F36,"within_input_tolerance","unexplained_difference"))</f>
        <v>within_input_tolerance</v>
      </c>
      <c r="H36" s="2" t="s">
        <v>1559</v>
      </c>
      <c r="I36" s="2">
        <f>IF(ISNUMBER(E36),"","missing or unavailable input")</f>
        <v/>
      </c>
      <c r="J36">
        <v>0</v>
      </c>
    </row>
    <row r="37" spans="1:10" ht="33" customHeight="1">
      <c r="A37" s="2" t="s">
        <v>1597</v>
      </c>
      <c r="B37" s="2" t="s">
        <v>1193</v>
      </c>
      <c r="C37" s="2" t="s">
        <v>296</v>
      </c>
      <c r="D37" s="2" t="s">
        <v>1192</v>
      </c>
      <c r="E37" s="2">
        <f>ROUND('Facts'!F93-'Calculations'!D41,J37)</f>
        <v>0.0</v>
      </c>
      <c r="F37" s="2">
        <v>0</v>
      </c>
      <c r="G37" s="2" t="str">
        <f>IF(COUNT(E37,F37)&lt;2,"not_tested",IF(ABS(E37)&lt;=F37,"within_input_tolerance","unexplained_difference"))</f>
        <v>within_input_tolerance</v>
      </c>
      <c r="H37" s="2" t="s">
        <v>1559</v>
      </c>
      <c r="I37" s="2">
        <f>IF(ISNUMBER(E37),"","missing or unavailable input")</f>
        <v/>
      </c>
      <c r="J37">
        <v>0</v>
      </c>
    </row>
    <row r="38" spans="1:10" ht="33" customHeight="1">
      <c r="A38" s="2" t="s">
        <v>1598</v>
      </c>
      <c r="B38" s="2" t="s">
        <v>1196</v>
      </c>
      <c r="C38" s="2" t="s">
        <v>321</v>
      </c>
      <c r="D38" s="2" t="s">
        <v>1195</v>
      </c>
      <c r="E38" s="2">
        <f>ROUND('Facts'!F103-'Calculations'!D42,J38)</f>
        <v>0.0</v>
      </c>
      <c r="F38" s="2">
        <v>0</v>
      </c>
      <c r="G38" s="2" t="str">
        <f>IF(COUNT(E38,F38)&lt;2,"not_tested",IF(ABS(E38)&lt;=F38,"within_input_tolerance","unexplained_difference"))</f>
        <v>within_input_tolerance</v>
      </c>
      <c r="H38" s="2" t="s">
        <v>1559</v>
      </c>
      <c r="I38" s="2">
        <f>IF(ISNUMBER(E38),"","missing or unavailable input")</f>
        <v/>
      </c>
      <c r="J38">
        <v>0</v>
      </c>
    </row>
    <row r="39" spans="1:10" ht="33" customHeight="1">
      <c r="A39" s="2" t="s">
        <v>1599</v>
      </c>
      <c r="B39" s="2" t="s">
        <v>1199</v>
      </c>
      <c r="C39" s="2" t="s">
        <v>331</v>
      </c>
      <c r="D39" s="2" t="s">
        <v>1198</v>
      </c>
      <c r="E39" s="2">
        <f>ROUND('Facts'!F107-'Calculations'!D43,J39)</f>
        <v>0.0</v>
      </c>
      <c r="F39" s="2">
        <v>0</v>
      </c>
      <c r="G39" s="2" t="str">
        <f>IF(COUNT(E39,F39)&lt;2,"not_tested",IF(ABS(E39)&lt;=F39,"within_input_tolerance","unexplained_difference"))</f>
        <v>within_input_tolerance</v>
      </c>
      <c r="H39" s="2" t="s">
        <v>1559</v>
      </c>
      <c r="I39" s="2">
        <f>IF(ISNUMBER(E39),"","missing or unavailable input")</f>
        <v/>
      </c>
      <c r="J39">
        <v>0</v>
      </c>
    </row>
    <row r="40" spans="1:10" ht="33" customHeight="1">
      <c r="A40" s="2" t="s">
        <v>1600</v>
      </c>
      <c r="B40" s="2" t="s">
        <v>1202</v>
      </c>
      <c r="C40" s="2" t="s">
        <v>351</v>
      </c>
      <c r="D40" s="2" t="s">
        <v>1201</v>
      </c>
      <c r="E40" s="2">
        <f>ROUND('Facts'!F115-'Calculations'!D44,J40)</f>
        <v>0.0</v>
      </c>
      <c r="F40" s="2">
        <v>0</v>
      </c>
      <c r="G40" s="2" t="str">
        <f>IF(COUNT(E40,F40)&lt;2,"not_tested",IF(ABS(E40)&lt;=F40,"within_input_tolerance","unexplained_difference"))</f>
        <v>within_input_tolerance</v>
      </c>
      <c r="H40" s="2" t="s">
        <v>1559</v>
      </c>
      <c r="I40" s="2">
        <f>IF(ISNUMBER(E40),"","missing or unavailable input")</f>
        <v/>
      </c>
      <c r="J40">
        <v>0</v>
      </c>
    </row>
    <row r="41" spans="1:10" ht="33" customHeight="1">
      <c r="A41" s="2" t="s">
        <v>1601</v>
      </c>
      <c r="B41" s="2" t="s">
        <v>1205</v>
      </c>
      <c r="C41" s="2" t="s">
        <v>361</v>
      </c>
      <c r="D41" s="2" t="s">
        <v>1204</v>
      </c>
      <c r="E41" s="2">
        <f>ROUND('Facts'!F119-'Calculations'!D45,J41)</f>
        <v>0.0</v>
      </c>
      <c r="F41" s="2">
        <v>0</v>
      </c>
      <c r="G41" s="2" t="str">
        <f>IF(COUNT(E41,F41)&lt;2,"not_tested",IF(ABS(E41)&lt;=F41,"within_input_tolerance","unexplained_difference"))</f>
        <v>within_input_tolerance</v>
      </c>
      <c r="H41" s="2" t="s">
        <v>1559</v>
      </c>
      <c r="I41" s="2">
        <f>IF(ISNUMBER(E41),"","missing or unavailable input")</f>
        <v/>
      </c>
      <c r="J41">
        <v>0</v>
      </c>
    </row>
    <row r="42" spans="1:10" ht="33" customHeight="1">
      <c r="A42" s="2" t="s">
        <v>1602</v>
      </c>
      <c r="B42" s="2" t="s">
        <v>1208</v>
      </c>
      <c r="C42" s="2" t="s">
        <v>447</v>
      </c>
      <c r="D42" s="2" t="s">
        <v>1207</v>
      </c>
      <c r="E42" s="2">
        <f>ROUND('Facts'!F153-'Calculations'!D46,J42)</f>
        <v>0.0</v>
      </c>
      <c r="F42" s="2">
        <v>0</v>
      </c>
      <c r="G42" s="2" t="str">
        <f>IF(COUNT(E42,F42)&lt;2,"not_tested",IF(ABS(E42)&lt;=F42,"within_input_tolerance","unexplained_difference"))</f>
        <v>within_input_tolerance</v>
      </c>
      <c r="H42" s="2" t="s">
        <v>1559</v>
      </c>
      <c r="I42" s="2">
        <f>IF(ISNUMBER(E42),"","missing or unavailable input")</f>
        <v/>
      </c>
      <c r="J42">
        <v>0</v>
      </c>
    </row>
    <row r="43" spans="1:10" ht="33" customHeight="1">
      <c r="A43" s="2" t="s">
        <v>1603</v>
      </c>
      <c r="B43" s="2" t="s">
        <v>1211</v>
      </c>
      <c r="C43" s="2" t="s">
        <v>497</v>
      </c>
      <c r="D43" s="2" t="s">
        <v>1210</v>
      </c>
      <c r="E43" s="2">
        <f>ROUND('Facts'!F173-'Calculations'!D47,J43)</f>
        <v>0.0</v>
      </c>
      <c r="F43" s="2">
        <v>0</v>
      </c>
      <c r="G43" s="2" t="str">
        <f>IF(COUNT(E43,F43)&lt;2,"not_tested",IF(ABS(E43)&lt;=F43,"within_input_tolerance","unexplained_difference"))</f>
        <v>within_input_tolerance</v>
      </c>
      <c r="H43" s="2" t="s">
        <v>1559</v>
      </c>
      <c r="I43" s="2">
        <f>IF(ISNUMBER(E43),"","missing or unavailable input")</f>
        <v/>
      </c>
      <c r="J43">
        <v>0</v>
      </c>
    </row>
    <row r="44" spans="1:10" ht="33" customHeight="1">
      <c r="A44" s="2" t="s">
        <v>1604</v>
      </c>
      <c r="B44" s="2" t="s">
        <v>1214</v>
      </c>
      <c r="C44" s="2" t="s">
        <v>502</v>
      </c>
      <c r="D44" s="2" t="s">
        <v>1213</v>
      </c>
      <c r="E44" s="2">
        <f>ROUND('Facts'!F175-'Calculations'!D48,J44)</f>
        <v>0.0</v>
      </c>
      <c r="F44" s="2">
        <v>0</v>
      </c>
      <c r="G44" s="2" t="str">
        <f>IF(COUNT(E44,F44)&lt;2,"not_tested",IF(ABS(E44)&lt;=F44,"within_input_tolerance","unexplained_difference"))</f>
        <v>within_input_tolerance</v>
      </c>
      <c r="H44" s="2" t="s">
        <v>1559</v>
      </c>
      <c r="I44" s="2">
        <f>IF(ISNUMBER(E44),"","missing or unavailable input")</f>
        <v/>
      </c>
      <c r="J44">
        <v>0</v>
      </c>
    </row>
    <row r="45" spans="1:10" ht="33" customHeight="1">
      <c r="A45" s="2" t="s">
        <v>1605</v>
      </c>
      <c r="B45" s="2" t="s">
        <v>1217</v>
      </c>
      <c r="C45" s="2" t="s">
        <v>603</v>
      </c>
      <c r="D45" s="2" t="s">
        <v>1216</v>
      </c>
      <c r="E45" s="2">
        <f>ROUND('Facts'!F213-'Calculations'!D49,J45)</f>
        <v>0.0</v>
      </c>
      <c r="F45" s="2">
        <v>0</v>
      </c>
      <c r="G45" s="2" t="str">
        <f>IF(COUNT(E45,F45)&lt;2,"not_tested",IF(ABS(E45)&lt;=F45,"within_input_tolerance","unexplained_difference"))</f>
        <v>within_input_tolerance</v>
      </c>
      <c r="H45" s="2" t="s">
        <v>1559</v>
      </c>
      <c r="I45" s="2">
        <f>IF(ISNUMBER(E45),"","missing or unavailable input")</f>
        <v/>
      </c>
      <c r="J45">
        <v>0</v>
      </c>
    </row>
    <row r="46" spans="1:10" ht="33" customHeight="1">
      <c r="A46" s="2" t="s">
        <v>1606</v>
      </c>
      <c r="B46" s="2" t="s">
        <v>1220</v>
      </c>
      <c r="C46" s="2" t="s">
        <v>643</v>
      </c>
      <c r="D46" s="2" t="s">
        <v>1219</v>
      </c>
      <c r="E46" s="2">
        <f>ROUND('Facts'!F229-'Calculations'!D50,J46)</f>
        <v>0.0</v>
      </c>
      <c r="F46" s="2">
        <v>0</v>
      </c>
      <c r="G46" s="2" t="str">
        <f>IF(COUNT(E46,F46)&lt;2,"not_tested",IF(ABS(E46)&lt;=F46,"within_input_tolerance","unexplained_difference"))</f>
        <v>within_input_tolerance</v>
      </c>
      <c r="H46" s="2" t="s">
        <v>1559</v>
      </c>
      <c r="I46" s="2">
        <f>IF(ISNUMBER(E46),"","missing or unavailable input")</f>
        <v/>
      </c>
      <c r="J46">
        <v>0</v>
      </c>
    </row>
    <row r="47" spans="1:10" ht="33" customHeight="1">
      <c r="A47" s="2" t="s">
        <v>1607</v>
      </c>
      <c r="B47" s="2" t="s">
        <v>1223</v>
      </c>
      <c r="C47" s="2" t="s">
        <v>563</v>
      </c>
      <c r="D47" s="2" t="s">
        <v>1222</v>
      </c>
      <c r="E47" s="2">
        <f>ROUND('Facts'!F197-'Calculations'!D51,J47)</f>
        <v>0.0</v>
      </c>
      <c r="F47" s="2">
        <v>0</v>
      </c>
      <c r="G47" s="2" t="str">
        <f>IF(COUNT(E47,F47)&lt;2,"not_tested",IF(ABS(E47)&lt;=F47,"within_input_tolerance","unexplained_difference"))</f>
        <v>within_input_tolerance</v>
      </c>
      <c r="H47" s="2" t="s">
        <v>1559</v>
      </c>
      <c r="I47" s="2">
        <f>IF(ISNUMBER(E47),"","missing or unavailable input")</f>
        <v/>
      </c>
      <c r="J47">
        <v>0</v>
      </c>
    </row>
    <row r="48" spans="1:10" ht="33" customHeight="1">
      <c r="A48" s="2" t="s">
        <v>1608</v>
      </c>
      <c r="B48" s="2" t="s">
        <v>1226</v>
      </c>
      <c r="C48" s="2" t="s">
        <v>336</v>
      </c>
      <c r="D48" s="2" t="s">
        <v>1225</v>
      </c>
      <c r="E48" s="2">
        <f>ROUND('Facts'!F109-'Calculations'!D52,J48)</f>
        <v>0.0</v>
      </c>
      <c r="F48" s="2">
        <v>0</v>
      </c>
      <c r="G48" s="2" t="str">
        <f>IF(COUNT(E48,F48)&lt;2,"not_tested",IF(ABS(E48)&lt;=F48,"within_input_tolerance","unexplained_difference"))</f>
        <v>within_input_tolerance</v>
      </c>
      <c r="H48" s="2" t="s">
        <v>1559</v>
      </c>
      <c r="I48" s="2">
        <f>IF(ISNUMBER(E48),"","missing or unavailable input")</f>
        <v/>
      </c>
      <c r="J48">
        <v>0</v>
      </c>
    </row>
    <row r="49" spans="1:10" ht="33" customHeight="1">
      <c r="A49" s="2" t="s">
        <v>1609</v>
      </c>
      <c r="B49" s="2" t="s">
        <v>1229</v>
      </c>
      <c r="C49" s="2" t="s">
        <v>326</v>
      </c>
      <c r="D49" s="2" t="s">
        <v>1228</v>
      </c>
      <c r="E49" s="2">
        <f>ROUND('Facts'!F105-'Calculations'!D53,J49)</f>
        <v>0.0</v>
      </c>
      <c r="F49" s="2">
        <v>0</v>
      </c>
      <c r="G49" s="2" t="str">
        <f>IF(COUNT(E49,F49)&lt;2,"not_tested",IF(ABS(E49)&lt;=F49,"within_input_tolerance","unexplained_difference"))</f>
        <v>within_input_tolerance</v>
      </c>
      <c r="H49" s="2" t="s">
        <v>1559</v>
      </c>
      <c r="I49" s="2">
        <f>IF(ISNUMBER(E49),"","missing or unavailable input")</f>
        <v/>
      </c>
      <c r="J49">
        <v>0</v>
      </c>
    </row>
    <row r="50" spans="1:10" ht="33" customHeight="1">
      <c r="A50" s="2" t="s">
        <v>1610</v>
      </c>
      <c r="B50" s="2" t="s">
        <v>1232</v>
      </c>
      <c r="C50" s="2" t="s">
        <v>723</v>
      </c>
      <c r="D50" s="2" t="s">
        <v>1231</v>
      </c>
      <c r="E50" s="2">
        <f>ROUND('Facts'!F257-'Calculations'!D54,J50)</f>
        <v>0.0</v>
      </c>
      <c r="F50" s="2">
        <v>0</v>
      </c>
      <c r="G50" s="2" t="str">
        <f>IF(COUNT(E50,F50)&lt;2,"not_tested",IF(ABS(E50)&lt;=F50,"within_input_tolerance","unexplained_difference"))</f>
        <v>within_input_tolerance</v>
      </c>
      <c r="H50" s="2" t="s">
        <v>1559</v>
      </c>
      <c r="I50" s="2">
        <f>IF(ISNUMBER(E50),"","missing or unavailable input")</f>
        <v/>
      </c>
      <c r="J50">
        <v>0</v>
      </c>
    </row>
    <row r="51" spans="1:10" ht="33" customHeight="1">
      <c r="A51" s="2" t="s">
        <v>1611</v>
      </c>
      <c r="B51" s="2" t="s">
        <v>1235</v>
      </c>
      <c r="C51" s="2" t="s">
        <v>728</v>
      </c>
      <c r="D51" s="2" t="s">
        <v>1234</v>
      </c>
      <c r="E51" s="2">
        <f>ROUND('Facts'!F259-'Calculations'!D55,J51)</f>
        <v>0.0</v>
      </c>
      <c r="F51" s="2">
        <v>0</v>
      </c>
      <c r="G51" s="2" t="str">
        <f>IF(COUNT(E51,F51)&lt;2,"not_tested",IF(ABS(E51)&lt;=F51,"within_input_tolerance","unexplained_difference"))</f>
        <v>within_input_tolerance</v>
      </c>
      <c r="H51" s="2" t="s">
        <v>1559</v>
      </c>
      <c r="I51" s="2">
        <f>IF(ISNUMBER(E51),"","missing or unavailable input")</f>
        <v/>
      </c>
      <c r="J51">
        <v>0</v>
      </c>
    </row>
    <row r="52" spans="1:10" ht="33" customHeight="1">
      <c r="A52" s="2" t="s">
        <v>1612</v>
      </c>
      <c r="B52" s="2" t="s">
        <v>1238</v>
      </c>
      <c r="C52" s="2" t="s">
        <v>513</v>
      </c>
      <c r="D52" s="2" t="s">
        <v>1237</v>
      </c>
      <c r="E52" s="2">
        <f>ROUND('Facts'!F179-'Calculations'!D56,J52)</f>
        <v>0.0</v>
      </c>
      <c r="F52" s="2">
        <v>0</v>
      </c>
      <c r="G52" s="2" t="str">
        <f>IF(COUNT(E52,F52)&lt;2,"not_tested",IF(ABS(E52)&lt;=F52,"within_input_tolerance","unexplained_difference"))</f>
        <v>within_input_tolerance</v>
      </c>
      <c r="H52" s="2" t="s">
        <v>1559</v>
      </c>
      <c r="I52" s="2">
        <f>IF(ISNUMBER(E52),"","missing or unavailable input")</f>
        <v/>
      </c>
      <c r="J52">
        <v>0</v>
      </c>
    </row>
    <row r="53" spans="1:10" ht="33" customHeight="1">
      <c r="A53" s="2" t="s">
        <v>1613</v>
      </c>
      <c r="B53" s="2" t="s">
        <v>1241</v>
      </c>
      <c r="C53" s="2" t="s">
        <v>301</v>
      </c>
      <c r="D53" s="2" t="s">
        <v>1240</v>
      </c>
      <c r="E53" s="2">
        <f>ROUND('Facts'!F95-'Calculations'!D57,J53)</f>
        <v>0.0</v>
      </c>
      <c r="F53" s="2">
        <v>0</v>
      </c>
      <c r="G53" s="2" t="str">
        <f>IF(COUNT(E53,F53)&lt;2,"not_tested",IF(ABS(E53)&lt;=F53,"within_input_tolerance","unexplained_difference"))</f>
        <v>within_input_tolerance</v>
      </c>
      <c r="H53" s="2" t="s">
        <v>1559</v>
      </c>
      <c r="I53" s="2">
        <f>IF(ISNUMBER(E53),"","missing or unavailable input")</f>
        <v/>
      </c>
      <c r="J53">
        <v>0</v>
      </c>
    </row>
    <row r="54" spans="1:10" ht="33" customHeight="1">
      <c r="A54" s="2" t="s">
        <v>1614</v>
      </c>
      <c r="B54" s="2" t="s">
        <v>1244</v>
      </c>
      <c r="C54" s="2" t="s">
        <v>346</v>
      </c>
      <c r="D54" s="2" t="s">
        <v>1243</v>
      </c>
      <c r="E54" s="2">
        <f>ROUND('Facts'!F113-'Calculations'!D58,J54)</f>
        <v>0.0</v>
      </c>
      <c r="F54" s="2">
        <v>0</v>
      </c>
      <c r="G54" s="2" t="str">
        <f>IF(COUNT(E54,F54)&lt;2,"not_tested",IF(ABS(E54)&lt;=F54,"within_input_tolerance","unexplained_difference"))</f>
        <v>within_input_tolerance</v>
      </c>
      <c r="H54" s="2" t="s">
        <v>1559</v>
      </c>
      <c r="I54" s="2">
        <f>IF(ISNUMBER(E54),"","missing or unavailable input")</f>
        <v/>
      </c>
      <c r="J54">
        <v>0</v>
      </c>
    </row>
    <row r="55" spans="1:10" ht="33" customHeight="1">
      <c r="A55" s="2" t="s">
        <v>1615</v>
      </c>
      <c r="B55" s="2" t="s">
        <v>1616</v>
      </c>
      <c r="C55" s="2" t="s">
        <v>422</v>
      </c>
      <c r="D55" s="2" t="s">
        <v>1246</v>
      </c>
      <c r="E55" s="2">
        <f>ROUND('Facts'!F143-'Calculations'!D59,J55)</f>
        <v>0.0</v>
      </c>
      <c r="F55" s="2">
        <v>0</v>
      </c>
      <c r="G55" s="2" t="str">
        <f>IF(COUNT(E55,F55)&lt;2,"not_tested",IF(ABS(E55)&lt;=F55,"within_input_tolerance","unexplained_difference"))</f>
        <v>within_input_tolerance</v>
      </c>
      <c r="H55" s="2" t="s">
        <v>1559</v>
      </c>
      <c r="I55" s="2">
        <f>IF(ISNUMBER(E55),"","missing or unavailable input")</f>
        <v/>
      </c>
      <c r="J55">
        <v>0</v>
      </c>
    </row>
    <row r="56" spans="1:10" ht="33" customHeight="1">
      <c r="A56" s="2" t="s">
        <v>1617</v>
      </c>
      <c r="B56" s="2" t="s">
        <v>1618</v>
      </c>
      <c r="C56" s="2" t="s">
        <v>513</v>
      </c>
      <c r="D56" s="2" t="s">
        <v>1249</v>
      </c>
      <c r="E56" s="2">
        <f>ROUND('Facts'!F179-'Calculations'!D60,J56)</f>
        <v>0.0</v>
      </c>
      <c r="F56" s="2">
        <v>0</v>
      </c>
      <c r="G56" s="2" t="str">
        <f>IF(COUNT(E56,F56)&lt;2,"not_tested",IF(ABS(E56)&lt;=F56,"within_input_tolerance","unexplained_difference"))</f>
        <v>within_input_tolerance</v>
      </c>
      <c r="H56" s="2" t="s">
        <v>1559</v>
      </c>
      <c r="I56" s="2">
        <f>IF(ISNUMBER(E56),"","missing or unavailable input")</f>
        <v/>
      </c>
      <c r="J56">
        <v>0</v>
      </c>
    </row>
    <row r="57" spans="1:10" ht="33" customHeight="1">
      <c r="A57" s="2" t="s">
        <v>1619</v>
      </c>
      <c r="B57" s="2" t="s">
        <v>1620</v>
      </c>
      <c r="C57" s="2" t="s">
        <v>237</v>
      </c>
      <c r="D57" s="2" t="s">
        <v>1252</v>
      </c>
      <c r="E57" s="2">
        <f>ROUND('Facts'!F71-'Calculations'!D61,J57)</f>
        <v>0.0</v>
      </c>
      <c r="F57" s="2">
        <v>0</v>
      </c>
      <c r="G57" s="2" t="str">
        <f>IF(COUNT(E57,F57)&lt;2,"not_tested",IF(ABS(E57)&lt;=F57,"within_input_tolerance","unexplained_difference"))</f>
        <v>within_input_tolerance</v>
      </c>
      <c r="H57" s="2" t="s">
        <v>1559</v>
      </c>
      <c r="I57" s="2">
        <f>IF(ISNUMBER(E57),"","missing or unavailable input")</f>
        <v/>
      </c>
      <c r="J57">
        <v>0</v>
      </c>
    </row>
    <row r="58" spans="1:10" ht="33" customHeight="1">
      <c r="A58" s="2" t="s">
        <v>1621</v>
      </c>
      <c r="B58" s="2" t="s">
        <v>1622</v>
      </c>
      <c r="C58" s="2" t="s">
        <v>338</v>
      </c>
      <c r="D58" s="2" t="s">
        <v>1267</v>
      </c>
      <c r="E58" s="2">
        <f>ROUND('Facts'!F110-'Calculations'!D66,J58)</f>
        <v>0.0</v>
      </c>
      <c r="F58" s="2">
        <v>0</v>
      </c>
      <c r="G58" s="2" t="str">
        <f>IF(COUNT(E58,F58)&lt;2,"not_tested",IF(ABS(E58)&lt;=F58,"within_input_tolerance","unexplained_difference"))</f>
        <v>within_input_tolerance</v>
      </c>
      <c r="H58" s="2" t="s">
        <v>1559</v>
      </c>
      <c r="I58" s="2">
        <f>IF(ISNUMBER(E58),"","missing or unavailable input")</f>
        <v/>
      </c>
      <c r="J58">
        <v>0</v>
      </c>
    </row>
    <row r="59" spans="1:10" ht="33" customHeight="1">
      <c r="A59" s="2" t="s">
        <v>1623</v>
      </c>
      <c r="B59" s="2" t="s">
        <v>1624</v>
      </c>
      <c r="C59" s="2" t="s">
        <v>656</v>
      </c>
      <c r="D59" s="2" t="s">
        <v>1270</v>
      </c>
      <c r="E59" s="2">
        <f>ROUND('Facts'!F233-'Calculations'!D67,J59)</f>
        <v>0.0</v>
      </c>
      <c r="F59" s="2">
        <v>0</v>
      </c>
      <c r="G59" s="2" t="str">
        <f>IF(COUNT(E59,F59)&lt;2,"not_tested",IF(ABS(E59)&lt;=F59,"within_input_tolerance","unexplained_difference"))</f>
        <v>within_input_tolerance</v>
      </c>
      <c r="H59" s="2" t="s">
        <v>1559</v>
      </c>
      <c r="I59" s="2">
        <f>IF(ISNUMBER(E59),"","missing or unavailable input")</f>
        <v/>
      </c>
      <c r="J59">
        <v>0</v>
      </c>
    </row>
    <row r="60" spans="1:10" ht="48" customHeight="1">
      <c r="A60" s="2" t="s">
        <v>1625</v>
      </c>
      <c r="B60" s="2" t="s">
        <v>1626</v>
      </c>
      <c r="C60" s="2" t="s">
        <v>658</v>
      </c>
      <c r="D60" s="2" t="s">
        <v>1274</v>
      </c>
      <c r="E60" s="2">
        <f>ROUND('Facts'!F234-'Calculations'!D68,J60)</f>
        <v>-2000000.0</v>
      </c>
      <c r="F60" s="2">
        <v>0</v>
      </c>
      <c r="G60" s="2" t="str">
        <f>IF(COUNT(E60,F60)&lt;2,"not_tested",IF(ABS(E60)&lt;=F60,"within_input_tolerance","unexplained_difference"))</f>
        <v>unexplained_difference</v>
      </c>
      <c r="H60" s="2" t="s">
        <v>1628</v>
      </c>
      <c r="I60" s="2">
        <f>IF(ISNUMBER(E60),"","missing or unavailable input")</f>
        <v/>
      </c>
      <c r="J60">
        <v>0</v>
      </c>
    </row>
    <row r="61" spans="1:10" ht="33" customHeight="1">
      <c r="A61" s="2" t="s">
        <v>1629</v>
      </c>
      <c r="B61" s="2" t="s">
        <v>1630</v>
      </c>
      <c r="C61" s="2" t="s">
        <v>662</v>
      </c>
      <c r="D61" s="2" t="s">
        <v>1277</v>
      </c>
      <c r="E61" s="2">
        <f>ROUND('Facts'!F235-'Calculations'!D69,J61)</f>
        <v>0.0</v>
      </c>
      <c r="F61" s="2">
        <v>0</v>
      </c>
      <c r="G61" s="2" t="str">
        <f>IF(COUNT(E61,F61)&lt;2,"not_tested",IF(ABS(E61)&lt;=F61,"within_input_tolerance","unexplained_difference"))</f>
        <v>within_input_tolerance</v>
      </c>
      <c r="H61" s="2" t="s">
        <v>1559</v>
      </c>
      <c r="I61" s="2">
        <f>IF(ISNUMBER(E61),"","missing or unavailable input")</f>
        <v/>
      </c>
      <c r="J61">
        <v>0</v>
      </c>
    </row>
    <row r="62" spans="1:10" ht="33" customHeight="1">
      <c r="A62" s="2" t="s">
        <v>1631</v>
      </c>
      <c r="B62" s="2" t="s">
        <v>1632</v>
      </c>
      <c r="C62" s="2" t="s">
        <v>665</v>
      </c>
      <c r="D62" s="2" t="s">
        <v>1280</v>
      </c>
      <c r="E62" s="2">
        <f>ROUND('Facts'!F236-'Calculations'!D70,J62)</f>
        <v>0.0</v>
      </c>
      <c r="F62" s="2">
        <v>0</v>
      </c>
      <c r="G62" s="2" t="str">
        <f>IF(COUNT(E62,F62)&lt;2,"not_tested",IF(ABS(E62)&lt;=F62,"within_input_tolerance","unexplained_difference"))</f>
        <v>within_input_tolerance</v>
      </c>
      <c r="H62" s="2" t="s">
        <v>1559</v>
      </c>
      <c r="I62" s="2">
        <f>IF(ISNUMBER(E62),"","missing or unavailable input")</f>
        <v/>
      </c>
      <c r="J62">
        <v>0</v>
      </c>
    </row>
    <row r="63" spans="1:10" ht="33" customHeight="1">
      <c r="A63" s="2" t="s">
        <v>1633</v>
      </c>
      <c r="B63" s="2" t="s">
        <v>1634</v>
      </c>
      <c r="C63" s="2" t="s">
        <v>668</v>
      </c>
      <c r="D63" s="2" t="s">
        <v>1283</v>
      </c>
      <c r="E63" s="2">
        <f>ROUND('Facts'!F237-'Calculations'!D71,J63)</f>
        <v>0.0</v>
      </c>
      <c r="F63" s="2">
        <v>0</v>
      </c>
      <c r="G63" s="2" t="str">
        <f>IF(COUNT(E63,F63)&lt;2,"not_tested",IF(ABS(E63)&lt;=F63,"within_input_tolerance","unexplained_difference"))</f>
        <v>within_input_tolerance</v>
      </c>
      <c r="H63" s="2" t="s">
        <v>1559</v>
      </c>
      <c r="I63" s="2">
        <f>IF(ISNUMBER(E63),"","missing or unavailable input")</f>
        <v/>
      </c>
      <c r="J63">
        <v>0</v>
      </c>
    </row>
    <row r="64" spans="1:10" ht="33" customHeight="1">
      <c r="A64" s="2" t="s">
        <v>1635</v>
      </c>
      <c r="B64" s="2" t="s">
        <v>1636</v>
      </c>
      <c r="C64" s="2" t="s">
        <v>730</v>
      </c>
      <c r="D64" s="2" t="s">
        <v>1291</v>
      </c>
      <c r="E64" s="2">
        <f>ROUND('Facts'!F260-'Calculations'!D74,J64)</f>
        <v>0.0</v>
      </c>
      <c r="F64" s="2">
        <v>0</v>
      </c>
      <c r="G64" s="2" t="str">
        <f>IF(COUNT(E64,F64)&lt;2,"not_tested",IF(ABS(E64)&lt;=F64,"within_input_tolerance","unexplained_difference"))</f>
        <v>within_input_tolerance</v>
      </c>
      <c r="H64" s="2" t="s">
        <v>1559</v>
      </c>
      <c r="I64" s="2">
        <f>IF(ISNUMBER(E64),"","missing or unavailable input")</f>
        <v/>
      </c>
      <c r="J64">
        <v>0</v>
      </c>
    </row>
    <row r="65" spans="1:10" ht="33" customHeight="1">
      <c r="A65" s="2" t="s">
        <v>1637</v>
      </c>
      <c r="B65" s="2" t="s">
        <v>1638</v>
      </c>
      <c r="C65" s="2" t="s">
        <v>730</v>
      </c>
      <c r="D65" s="2" t="s">
        <v>1294</v>
      </c>
      <c r="E65" s="2">
        <f>ROUND('Facts'!F260-'Calculations'!D75,J65)</f>
        <v>0.0</v>
      </c>
      <c r="F65" s="2">
        <v>0</v>
      </c>
      <c r="G65" s="2" t="str">
        <f>IF(COUNT(E65,F65)&lt;2,"not_tested",IF(ABS(E65)&lt;=F65,"within_input_tolerance","unexplained_difference"))</f>
        <v>within_input_tolerance</v>
      </c>
      <c r="H65" s="2" t="s">
        <v>1559</v>
      </c>
      <c r="I65" s="2">
        <f>IF(ISNUMBER(E65),"","missing or unavailable input")</f>
        <v/>
      </c>
      <c r="J65">
        <v>0</v>
      </c>
    </row>
    <row r="66" spans="1:10" ht="33" customHeight="1">
      <c r="A66" s="2" t="s">
        <v>1639</v>
      </c>
      <c r="B66" s="2" t="s">
        <v>1640</v>
      </c>
      <c r="C66" s="2" t="s">
        <v>780</v>
      </c>
      <c r="D66" s="2" t="s">
        <v>1310</v>
      </c>
      <c r="E66" s="2">
        <f>ROUND('Facts'!F274-'Calculations'!D79,J66)</f>
        <v>0.0</v>
      </c>
      <c r="F66" s="2">
        <v>0</v>
      </c>
      <c r="G66" s="2" t="str">
        <f>IF(COUNT(E66,F66)&lt;2,"not_tested",IF(ABS(E66)&lt;=F66,"within_input_tolerance","unexplained_difference"))</f>
        <v>within_input_tolerance</v>
      </c>
      <c r="H66" s="2" t="s">
        <v>1559</v>
      </c>
      <c r="I66" s="2">
        <f>IF(ISNUMBER(E66),"","missing or unavailable input")</f>
        <v/>
      </c>
      <c r="J66">
        <v>0</v>
      </c>
    </row>
    <row r="67" spans="1:10" ht="33" customHeight="1">
      <c r="A67" s="2" t="s">
        <v>1641</v>
      </c>
      <c r="B67" s="2" t="s">
        <v>1314</v>
      </c>
      <c r="C67" s="2" t="s">
        <v>820</v>
      </c>
      <c r="D67" s="2" t="s">
        <v>1313</v>
      </c>
      <c r="E67" s="2">
        <f>ROUND('Facts'!F292-'Calculations'!D80,J67)</f>
        <v>0.0</v>
      </c>
      <c r="F67" s="2">
        <v>0</v>
      </c>
      <c r="G67" s="2" t="str">
        <f>IF(COUNT(E67,F67)&lt;2,"not_tested",IF(ABS(E67)&lt;=F67,"within_input_tolerance","unexplained_difference"))</f>
        <v>within_input_tolerance</v>
      </c>
      <c r="H67" s="2" t="s">
        <v>1559</v>
      </c>
      <c r="I67" s="2">
        <f>IF(ISNUMBER(E67),"","missing or unavailable input")</f>
        <v/>
      </c>
      <c r="J67">
        <v>0</v>
      </c>
    </row>
    <row r="68" spans="1:10" ht="33" customHeight="1">
      <c r="A68" s="2" t="s">
        <v>1642</v>
      </c>
      <c r="B68" s="2" t="s">
        <v>1643</v>
      </c>
      <c r="C68" s="2" t="s">
        <v>824</v>
      </c>
      <c r="D68" s="2" t="s">
        <v>1316</v>
      </c>
      <c r="E68" s="2">
        <f>ROUND('Facts'!F294-'Calculations'!D81,J68)</f>
        <v>0.0</v>
      </c>
      <c r="F68" s="2">
        <v>0</v>
      </c>
      <c r="G68" s="2" t="str">
        <f>IF(COUNT(E68,F68)&lt;2,"not_tested",IF(ABS(E68)&lt;=F68,"within_input_tolerance","unexplained_difference"))</f>
        <v>within_input_tolerance</v>
      </c>
      <c r="H68" s="2" t="s">
        <v>1559</v>
      </c>
      <c r="I68" s="2">
        <f>IF(ISNUMBER(E68),"","missing or unavailable input")</f>
        <v/>
      </c>
      <c r="J68">
        <v>0</v>
      </c>
    </row>
    <row r="69" spans="1:10" ht="33" customHeight="1">
      <c r="A69" s="2" t="s">
        <v>1644</v>
      </c>
      <c r="B69" s="2" t="s">
        <v>1645</v>
      </c>
      <c r="C69" s="2" t="s">
        <v>799</v>
      </c>
      <c r="D69" s="2" t="s">
        <v>1319</v>
      </c>
      <c r="E69" s="2">
        <f>ROUND('Facts'!F282-'Calculations'!D82,J69)</f>
        <v>0.0</v>
      </c>
      <c r="F69" s="2">
        <v>0</v>
      </c>
      <c r="G69" s="2" t="str">
        <f>IF(COUNT(E69,F69)&lt;2,"not_tested",IF(ABS(E69)&lt;=F69,"within_input_tolerance","unexplained_difference"))</f>
        <v>within_input_tolerance</v>
      </c>
      <c r="H69" s="2" t="s">
        <v>1559</v>
      </c>
      <c r="I69" s="2">
        <f>IF(ISNUMBER(E69),"","missing or unavailable input")</f>
        <v/>
      </c>
      <c r="J69">
        <v>0</v>
      </c>
    </row>
    <row r="70" spans="1:10" ht="33" customHeight="1">
      <c r="A70" s="2" t="s">
        <v>1646</v>
      </c>
      <c r="B70" s="2" t="s">
        <v>1647</v>
      </c>
      <c r="C70" s="2" t="s">
        <v>801</v>
      </c>
      <c r="D70" s="2" t="s">
        <v>1322</v>
      </c>
      <c r="E70" s="2">
        <f>ROUND('Facts'!F283-'Calculations'!D83,J70)</f>
        <v>0.0</v>
      </c>
      <c r="F70" s="2">
        <v>0</v>
      </c>
      <c r="G70" s="2" t="str">
        <f>IF(COUNT(E70,F70)&lt;2,"not_tested",IF(ABS(E70)&lt;=F70,"within_input_tolerance","unexplained_difference"))</f>
        <v>within_input_tolerance</v>
      </c>
      <c r="H70" s="2" t="s">
        <v>1559</v>
      </c>
      <c r="I70" s="2">
        <f>IF(ISNUMBER(E70),"","missing or unavailable input")</f>
        <v/>
      </c>
      <c r="J70">
        <v>0</v>
      </c>
    </row>
    <row r="71" spans="1:10" ht="33" customHeight="1">
      <c r="A71" s="2" t="s">
        <v>1648</v>
      </c>
      <c r="B71" s="2" t="s">
        <v>1649</v>
      </c>
      <c r="C71" s="2" t="s">
        <v>826</v>
      </c>
      <c r="D71" s="2" t="s">
        <v>1325</v>
      </c>
      <c r="E71" s="2">
        <f>ROUND('Facts'!F295-'Calculations'!D84,J71)</f>
        <v>0.0</v>
      </c>
      <c r="F71" s="2">
        <v>0</v>
      </c>
      <c r="G71" s="2" t="str">
        <f>IF(COUNT(E71,F71)&lt;2,"not_tested",IF(ABS(E71)&lt;=F71,"within_input_tolerance","unexplained_difference"))</f>
        <v>within_input_tolerance</v>
      </c>
      <c r="H71" s="2" t="s">
        <v>1559</v>
      </c>
      <c r="I71" s="2">
        <f>IF(ISNUMBER(E71),"","missing or unavailable input")</f>
        <v/>
      </c>
      <c r="J71">
        <v>0</v>
      </c>
    </row>
    <row r="72" spans="1:10" ht="48" customHeight="1">
      <c r="A72" s="2" t="s">
        <v>1650</v>
      </c>
      <c r="B72" s="2" t="s">
        <v>1651</v>
      </c>
      <c r="C72" s="2" t="s">
        <v>830</v>
      </c>
      <c r="D72" s="2" t="s">
        <v>1325</v>
      </c>
      <c r="E72" s="2">
        <f>ROUND('Facts'!F296-'Calculations'!D84,J72)</f>
        <v>11000000.0</v>
      </c>
      <c r="F72" s="2">
        <v>0</v>
      </c>
      <c r="G72" s="2" t="str">
        <f>IF(COUNT(E72,F72)&lt;2,"not_tested",IF(ABS(E72)&lt;=F72,"within_input_tolerance","unexplained_difference"))</f>
        <v>unexplained_difference</v>
      </c>
      <c r="H72" s="2" t="s">
        <v>1652</v>
      </c>
      <c r="I72" s="2">
        <f>IF(ISNUMBER(E72),"","missing or unavailable input")</f>
        <v/>
      </c>
      <c r="J72">
        <v>0</v>
      </c>
    </row>
    <row r="73" spans="1:10" ht="33" customHeight="1">
      <c r="A73" s="2" t="s">
        <v>1653</v>
      </c>
      <c r="B73" s="2" t="s">
        <v>1654</v>
      </c>
      <c r="C73" s="2" t="s">
        <v>1340</v>
      </c>
      <c r="D73" s="2" t="s">
        <v>1349</v>
      </c>
      <c r="E73" s="2">
        <f>ROUND('Calculations'!D88-'Calculations'!D91,J73)</f>
        <v>0.0</v>
      </c>
      <c r="F73" s="2">
        <v>0</v>
      </c>
      <c r="G73" s="2" t="str">
        <f>IF(COUNT(E73,F73)&lt;2,"not_tested",IF(ABS(E73)&lt;=F73,"within_input_tolerance","unexplained_difference"))</f>
        <v>within_input_tolerance</v>
      </c>
      <c r="H73" s="2" t="s">
        <v>1559</v>
      </c>
      <c r="I73" s="2">
        <f>IF(ISNUMBER(E73),"","missing or unavailable input")</f>
        <v/>
      </c>
      <c r="J73">
        <v>0</v>
      </c>
    </row>
    <row r="74" spans="1:10" ht="33" customHeight="1">
      <c r="A74" s="2" t="s">
        <v>1655</v>
      </c>
      <c r="B74" s="2" t="s">
        <v>1353</v>
      </c>
      <c r="C74" s="2" t="s">
        <v>903</v>
      </c>
      <c r="D74" s="2" t="s">
        <v>1352</v>
      </c>
      <c r="E74" s="2">
        <f>ROUND('Facts'!F320-'Calculations'!D92,J74)</f>
        <v>0.0</v>
      </c>
      <c r="F74" s="2">
        <v>0</v>
      </c>
      <c r="G74" s="2" t="str">
        <f>IF(COUNT(E74,F74)&lt;2,"not_tested",IF(ABS(E74)&lt;=F74,"within_input_tolerance","unexplained_difference"))</f>
        <v>within_input_tolerance</v>
      </c>
      <c r="H74" s="2" t="s">
        <v>1656</v>
      </c>
      <c r="I74" s="2">
        <f>IF(ISNUMBER(E74),"","missing or unavailable input")</f>
        <v/>
      </c>
      <c r="J74">
        <v>0</v>
      </c>
    </row>
    <row r="75" spans="1:10" ht="33" customHeight="1">
      <c r="A75" s="2" t="s">
        <v>1657</v>
      </c>
      <c r="B75" s="2" t="s">
        <v>1356</v>
      </c>
      <c r="C75" s="2" t="s">
        <v>908</v>
      </c>
      <c r="D75" s="2" t="s">
        <v>1355</v>
      </c>
      <c r="E75" s="2">
        <f>ROUND('Facts'!F322-'Calculations'!D93,J75)</f>
        <v>0.0</v>
      </c>
      <c r="F75" s="2">
        <v>0</v>
      </c>
      <c r="G75" s="2" t="str">
        <f>IF(COUNT(E75,F75)&lt;2,"not_tested",IF(ABS(E75)&lt;=F75,"within_input_tolerance","unexplained_difference"))</f>
        <v>within_input_tolerance</v>
      </c>
      <c r="H75" s="2" t="s">
        <v>1656</v>
      </c>
      <c r="I75" s="2">
        <f>IF(ISNUMBER(E75),"","missing or unavailable input")</f>
        <v/>
      </c>
      <c r="J75">
        <v>0</v>
      </c>
    </row>
    <row r="76" spans="1:10" ht="33" customHeight="1">
      <c r="A76" s="2" t="s">
        <v>1658</v>
      </c>
      <c r="B76" s="2" t="s">
        <v>1359</v>
      </c>
      <c r="C76" s="2" t="s">
        <v>914</v>
      </c>
      <c r="D76" s="2" t="s">
        <v>1358</v>
      </c>
      <c r="E76" s="2">
        <f>ROUND('Facts'!F325-'Calculations'!D94,J76)</f>
        <v>0.0</v>
      </c>
      <c r="F76" s="2">
        <v>0</v>
      </c>
      <c r="G76" s="2" t="str">
        <f>IF(COUNT(E76,F76)&lt;2,"not_tested",IF(ABS(E76)&lt;=F76,"within_input_tolerance","unexplained_difference"))</f>
        <v>within_input_tolerance</v>
      </c>
      <c r="H76" s="2" t="s">
        <v>1656</v>
      </c>
      <c r="I76" s="2">
        <f>IF(ISNUMBER(E76),"","missing or unavailable input")</f>
        <v/>
      </c>
      <c r="J76">
        <v>0</v>
      </c>
    </row>
    <row r="77" spans="1:10" ht="33" customHeight="1">
      <c r="A77" s="2" t="s">
        <v>1659</v>
      </c>
      <c r="B77" s="2" t="s">
        <v>1362</v>
      </c>
      <c r="C77" s="2" t="s">
        <v>926</v>
      </c>
      <c r="D77" s="2" t="s">
        <v>1361</v>
      </c>
      <c r="E77" s="2">
        <f>ROUND('Facts'!F331-'Calculations'!D95,J77)</f>
        <v>0.0</v>
      </c>
      <c r="F77" s="2">
        <v>0</v>
      </c>
      <c r="G77" s="2" t="str">
        <f>IF(COUNT(E77,F77)&lt;2,"not_tested",IF(ABS(E77)&lt;=F77,"within_input_tolerance","unexplained_difference"))</f>
        <v>within_input_tolerance</v>
      </c>
      <c r="H77" s="2" t="s">
        <v>1656</v>
      </c>
      <c r="I77" s="2">
        <f>IF(ISNUMBER(E77),"","missing or unavailable input")</f>
        <v/>
      </c>
      <c r="J77">
        <v>0</v>
      </c>
    </row>
    <row r="78" spans="1:10" ht="33" customHeight="1">
      <c r="A78" s="2" t="s">
        <v>1660</v>
      </c>
      <c r="B78" s="2" t="s">
        <v>1365</v>
      </c>
      <c r="C78" s="2" t="s">
        <v>928</v>
      </c>
      <c r="D78" s="2" t="s">
        <v>1364</v>
      </c>
      <c r="E78" s="2">
        <f>ROUND('Facts'!F332-'Calculations'!D96,J78)</f>
        <v>0.0</v>
      </c>
      <c r="F78" s="2">
        <v>0</v>
      </c>
      <c r="G78" s="2" t="str">
        <f>IF(COUNT(E78,F78)&lt;2,"not_tested",IF(ABS(E78)&lt;=F78,"within_input_tolerance","unexplained_difference"))</f>
        <v>within_input_tolerance</v>
      </c>
      <c r="H78" s="2" t="s">
        <v>1656</v>
      </c>
      <c r="I78" s="2">
        <f>IF(ISNUMBER(E78),"","missing or unavailable input")</f>
        <v/>
      </c>
      <c r="J78">
        <v>0</v>
      </c>
    </row>
    <row r="79" spans="1:10" ht="33" customHeight="1">
      <c r="A79" s="2" t="s">
        <v>1661</v>
      </c>
      <c r="B79" s="2" t="s">
        <v>1368</v>
      </c>
      <c r="C79" s="2" t="s">
        <v>932</v>
      </c>
      <c r="D79" s="2" t="s">
        <v>1367</v>
      </c>
      <c r="E79" s="2">
        <f>ROUND('Facts'!F334-'Calculations'!D97,J79)</f>
        <v>0.0</v>
      </c>
      <c r="F79" s="2">
        <v>0</v>
      </c>
      <c r="G79" s="2" t="str">
        <f>IF(COUNT(E79,F79)&lt;2,"not_tested",IF(ABS(E79)&lt;=F79,"within_input_tolerance","unexplained_difference"))</f>
        <v>within_input_tolerance</v>
      </c>
      <c r="H79" s="2" t="s">
        <v>1656</v>
      </c>
      <c r="I79" s="2">
        <f>IF(ISNUMBER(E79),"","missing or unavailable input")</f>
        <v/>
      </c>
      <c r="J79">
        <v>0</v>
      </c>
    </row>
    <row r="80" spans="1:10" ht="33" customHeight="1">
      <c r="A80" s="2" t="s">
        <v>1662</v>
      </c>
      <c r="B80" s="2" t="s">
        <v>1371</v>
      </c>
      <c r="C80" s="2" t="s">
        <v>941</v>
      </c>
      <c r="D80" s="2" t="s">
        <v>1370</v>
      </c>
      <c r="E80" s="2">
        <f>ROUND('Facts'!F338-'Calculations'!D98,J80)</f>
        <v>0.0</v>
      </c>
      <c r="F80" s="2">
        <v>0</v>
      </c>
      <c r="G80" s="2" t="str">
        <f>IF(COUNT(E80,F80)&lt;2,"not_tested",IF(ABS(E80)&lt;=F80,"within_input_tolerance","unexplained_difference"))</f>
        <v>within_input_tolerance</v>
      </c>
      <c r="H80" s="2" t="s">
        <v>1656</v>
      </c>
      <c r="I80" s="2">
        <f>IF(ISNUMBER(E80),"","missing or unavailable input")</f>
        <v/>
      </c>
      <c r="J80">
        <v>0</v>
      </c>
    </row>
    <row r="81" spans="1:10" ht="33" customHeight="1">
      <c r="A81" s="2" t="s">
        <v>1663</v>
      </c>
      <c r="B81" s="2" t="s">
        <v>944</v>
      </c>
      <c r="C81" s="2" t="s">
        <v>943</v>
      </c>
      <c r="D81" s="2" t="s">
        <v>1373</v>
      </c>
      <c r="E81" s="2">
        <f>ROUND('Facts'!F339-'Calculations'!D99,J81)</f>
        <v>0.0</v>
      </c>
      <c r="F81" s="2">
        <v>0</v>
      </c>
      <c r="G81" s="2" t="str">
        <f>IF(COUNT(E81,F81)&lt;2,"not_tested",IF(ABS(E81)&lt;=F81,"within_input_tolerance","unexplained_difference"))</f>
        <v>within_input_tolerance</v>
      </c>
      <c r="H81" s="2" t="s">
        <v>1656</v>
      </c>
      <c r="I81" s="2">
        <f>IF(ISNUMBER(E81),"","missing or unavailable input")</f>
        <v/>
      </c>
      <c r="J81">
        <v>0</v>
      </c>
    </row>
    <row r="82" spans="1:10" ht="33" customHeight="1">
      <c r="A82" s="2" t="s">
        <v>1664</v>
      </c>
      <c r="B82" s="2" t="s">
        <v>1665</v>
      </c>
      <c r="C82" s="2" t="s">
        <v>951</v>
      </c>
      <c r="D82" s="2" t="s">
        <v>1375</v>
      </c>
      <c r="E82" s="2">
        <f>ROUND('Facts'!F342-'Calculations'!D100,J82)</f>
        <v>0.0</v>
      </c>
      <c r="F82" s="2">
        <v>0</v>
      </c>
      <c r="G82" s="2" t="str">
        <f>IF(COUNT(E82,F82)&lt;2,"not_tested",IF(ABS(E82)&lt;=F82,"within_input_tolerance","unexplained_difference"))</f>
        <v>within_input_tolerance</v>
      </c>
      <c r="H82" s="2" t="s">
        <v>1656</v>
      </c>
      <c r="I82" s="2">
        <f>IF(ISNUMBER(E82),"","missing or unavailable input")</f>
        <v/>
      </c>
      <c r="J82">
        <v>0</v>
      </c>
    </row>
    <row r="83" spans="1:10" ht="33" customHeight="1">
      <c r="A83" s="2" t="s">
        <v>1666</v>
      </c>
      <c r="B83" s="2" t="s">
        <v>1667</v>
      </c>
      <c r="C83" s="2" t="s">
        <v>303</v>
      </c>
      <c r="D83" s="2" t="s">
        <v>1400</v>
      </c>
      <c r="E83" s="2">
        <f>ROUND('Facts'!F96-'Calculations'!D107,J83)</f>
        <v>0.0</v>
      </c>
      <c r="F83" s="2">
        <v>0</v>
      </c>
      <c r="G83" s="2" t="str">
        <f>IF(COUNT(E83,F83)&lt;2,"not_tested",IF(ABS(E83)&lt;=F83,"within_input_tolerance","unexplained_difference"))</f>
        <v>within_input_tolerance</v>
      </c>
      <c r="H83" s="2" t="s">
        <v>1668</v>
      </c>
      <c r="I83" s="2">
        <f>IF(ISNUMBER(E83),"","missing or unavailable input")</f>
        <v/>
      </c>
      <c r="J83">
        <v>0</v>
      </c>
    </row>
    <row r="84" spans="1:10" ht="33" customHeight="1">
      <c r="A84" s="2" t="s">
        <v>1669</v>
      </c>
      <c r="B84" s="2" t="s">
        <v>1670</v>
      </c>
      <c r="C84" s="2" t="s">
        <v>283</v>
      </c>
      <c r="D84" s="2" t="s">
        <v>1403</v>
      </c>
      <c r="E84" s="2">
        <f>ROUND('Facts'!F88-'Calculations'!D108,J84)</f>
        <v>0.0</v>
      </c>
      <c r="F84" s="2">
        <v>0</v>
      </c>
      <c r="G84" s="2" t="str">
        <f>IF(COUNT(E84,F84)&lt;2,"not_tested",IF(ABS(E84)&lt;=F84,"within_input_tolerance","unexplained_difference"))</f>
        <v>within_input_tolerance</v>
      </c>
      <c r="H84" s="2" t="s">
        <v>1668</v>
      </c>
      <c r="I84" s="2">
        <f>IF(ISNUMBER(E84),"","missing or unavailable input")</f>
        <v/>
      </c>
      <c r="J84">
        <v>0</v>
      </c>
    </row>
    <row r="85" spans="1:10" ht="33" customHeight="1">
      <c r="A85" s="2" t="s">
        <v>1671</v>
      </c>
      <c r="B85" s="2" t="s">
        <v>1672</v>
      </c>
      <c r="C85" s="2" t="s">
        <v>1004</v>
      </c>
      <c r="D85" s="2" t="s">
        <v>1406</v>
      </c>
      <c r="E85" s="2">
        <f>ROUND('Facts'!F362-'Calculations'!D109,J85)</f>
        <v>0.0</v>
      </c>
      <c r="F85" s="2">
        <v>0</v>
      </c>
      <c r="G85" s="2" t="str">
        <f>IF(COUNT(E85,F85)&lt;2,"not_tested",IF(ABS(E85)&lt;=F85,"within_input_tolerance","unexplained_difference"))</f>
        <v>within_input_tolerance</v>
      </c>
      <c r="H85" s="2" t="s">
        <v>1668</v>
      </c>
      <c r="I85" s="2">
        <f>IF(ISNUMBER(E85),"","missing or unavailable input")</f>
        <v/>
      </c>
      <c r="J85">
        <v>0</v>
      </c>
    </row>
  </sheetData>
  <autoFilter ref="A1:J85"/>
  <pageMargins left="0.25" right="0.25" top="0.75" bottom="0.75" header="0.3" footer="0.3"/>
  <pageSetup paperSize="8" fitToHeight="0" orientation="landscape"/>
</worksheet>
</file>

<file path=xl/worksheets/sheet5.xml><?xml version="1.0" encoding="utf-8"?>
<worksheet xmlns="http://schemas.openxmlformats.org/spreadsheetml/2006/main" xmlns:r="http://schemas.openxmlformats.org/officeDocument/2006/relationships">
  <dimension ref="A1:F17"/>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0.7109375" customWidth="1"/>
    <col min="2" max="2" width="60.7109375" customWidth="1"/>
    <col min="3" max="3" width="100.7109375" customWidth="1"/>
    <col min="4" max="4" width="20.7109375" customWidth="1"/>
    <col min="5" max="6" width="70.7109375" customWidth="1"/>
  </cols>
  <sheetData>
    <row r="1" spans="1:6" ht="32" customHeight="1">
      <c r="A1" s="1" t="s">
        <v>37</v>
      </c>
      <c r="B1" s="1" t="s">
        <v>1673</v>
      </c>
      <c r="C1" s="1" t="s">
        <v>1674</v>
      </c>
      <c r="D1" s="1" t="s">
        <v>1675</v>
      </c>
      <c r="E1" s="1" t="s">
        <v>1676</v>
      </c>
      <c r="F1" s="1" t="s">
        <v>1677</v>
      </c>
    </row>
    <row r="2" spans="1:6">
      <c r="A2" s="2" t="s">
        <v>1678</v>
      </c>
      <c r="B2" s="2" t="s">
        <v>1679</v>
      </c>
      <c r="C2" s="2" t="s">
        <v>1680</v>
      </c>
      <c r="D2" s="2" t="s">
        <v>1681</v>
      </c>
      <c r="E2" s="2" t="s">
        <v>1682</v>
      </c>
      <c r="F2" s="2" t="s">
        <v>1683</v>
      </c>
    </row>
    <row r="3" spans="1:6">
      <c r="A3" s="2" t="s">
        <v>1684</v>
      </c>
      <c r="B3" s="2" t="s">
        <v>1685</v>
      </c>
      <c r="C3" s="2" t="s">
        <v>1686</v>
      </c>
      <c r="D3" s="2" t="s">
        <v>1687</v>
      </c>
      <c r="E3" s="2" t="s">
        <v>1688</v>
      </c>
      <c r="F3" s="2" t="s">
        <v>1689</v>
      </c>
    </row>
    <row r="4" spans="1:6">
      <c r="A4" s="2" t="s">
        <v>1690</v>
      </c>
      <c r="B4" s="2" t="s">
        <v>1691</v>
      </c>
      <c r="C4" s="2" t="s">
        <v>1692</v>
      </c>
      <c r="D4" s="2" t="s">
        <v>1693</v>
      </c>
      <c r="E4" s="2"/>
      <c r="F4" s="2" t="s">
        <v>1694</v>
      </c>
    </row>
    <row r="5" spans="1:6">
      <c r="A5" s="2" t="s">
        <v>1695</v>
      </c>
      <c r="B5" s="2" t="s">
        <v>1696</v>
      </c>
      <c r="C5" s="2" t="s">
        <v>1697</v>
      </c>
      <c r="D5" s="2" t="s">
        <v>1698</v>
      </c>
      <c r="E5" s="2"/>
      <c r="F5" s="2" t="s">
        <v>1699</v>
      </c>
    </row>
    <row r="6" spans="1:6">
      <c r="A6" s="2" t="s">
        <v>1700</v>
      </c>
      <c r="B6" s="2" t="s">
        <v>1701</v>
      </c>
      <c r="C6" s="2" t="s">
        <v>1702</v>
      </c>
      <c r="D6" s="2" t="s">
        <v>1703</v>
      </c>
      <c r="E6" s="2" t="s">
        <v>1704</v>
      </c>
      <c r="F6" s="2" t="s">
        <v>1705</v>
      </c>
    </row>
    <row r="7" spans="1:6">
      <c r="A7" s="2" t="s">
        <v>1706</v>
      </c>
      <c r="B7" s="2" t="s">
        <v>1707</v>
      </c>
      <c r="C7" s="2" t="s">
        <v>1708</v>
      </c>
      <c r="D7" s="2" t="s">
        <v>841</v>
      </c>
      <c r="E7" s="2" t="s">
        <v>1709</v>
      </c>
      <c r="F7" s="2" t="s">
        <v>1710</v>
      </c>
    </row>
    <row r="8" spans="1:6">
      <c r="A8" s="2" t="s">
        <v>1711</v>
      </c>
      <c r="B8" s="2" t="s">
        <v>1712</v>
      </c>
      <c r="C8" s="2" t="s">
        <v>1713</v>
      </c>
      <c r="D8" s="2" t="s">
        <v>841</v>
      </c>
      <c r="E8" s="2" t="s">
        <v>1714</v>
      </c>
      <c r="F8" s="2" t="s">
        <v>1715</v>
      </c>
    </row>
    <row r="9" spans="1:6">
      <c r="A9" s="2" t="s">
        <v>1716</v>
      </c>
      <c r="B9" s="2" t="s">
        <v>1717</v>
      </c>
      <c r="C9" s="2" t="s">
        <v>1718</v>
      </c>
      <c r="D9" s="2" t="s">
        <v>1693</v>
      </c>
      <c r="E9" s="2" t="s">
        <v>1719</v>
      </c>
      <c r="F9" s="2" t="s">
        <v>1720</v>
      </c>
    </row>
    <row r="10" spans="1:6">
      <c r="A10" s="2" t="s">
        <v>1721</v>
      </c>
      <c r="B10" s="2" t="s">
        <v>1722</v>
      </c>
      <c r="C10" s="2" t="s">
        <v>1723</v>
      </c>
      <c r="D10" s="2" t="s">
        <v>841</v>
      </c>
      <c r="E10" s="2" t="s">
        <v>1724</v>
      </c>
      <c r="F10" s="2" t="s">
        <v>1725</v>
      </c>
    </row>
    <row r="11" spans="1:6">
      <c r="A11" s="2" t="s">
        <v>1726</v>
      </c>
      <c r="B11" s="2" t="s">
        <v>1727</v>
      </c>
      <c r="C11" s="2" t="s">
        <v>1728</v>
      </c>
      <c r="D11" s="2" t="s">
        <v>1729</v>
      </c>
      <c r="E11" s="2" t="s">
        <v>1730</v>
      </c>
      <c r="F11" s="2" t="s">
        <v>1731</v>
      </c>
    </row>
    <row r="12" spans="1:6">
      <c r="A12" s="2" t="s">
        <v>1732</v>
      </c>
      <c r="B12" s="2" t="s">
        <v>1733</v>
      </c>
      <c r="C12" s="2" t="s">
        <v>1734</v>
      </c>
      <c r="D12" s="2" t="s">
        <v>1735</v>
      </c>
      <c r="E12" s="2" t="s">
        <v>1736</v>
      </c>
      <c r="F12" s="2" t="s">
        <v>1737</v>
      </c>
    </row>
    <row r="13" spans="1:6">
      <c r="A13" s="2" t="s">
        <v>1738</v>
      </c>
      <c r="B13" s="2" t="s">
        <v>1739</v>
      </c>
      <c r="C13" s="2" t="s">
        <v>1740</v>
      </c>
      <c r="D13" s="2" t="s">
        <v>1741</v>
      </c>
      <c r="E13" s="2" t="s">
        <v>1742</v>
      </c>
      <c r="F13" s="2" t="s">
        <v>1743</v>
      </c>
    </row>
    <row r="14" spans="1:6">
      <c r="A14" s="2" t="s">
        <v>1744</v>
      </c>
      <c r="B14" s="2" t="s">
        <v>1745</v>
      </c>
      <c r="C14" s="2" t="s">
        <v>1746</v>
      </c>
      <c r="D14" s="2" t="s">
        <v>1747</v>
      </c>
      <c r="E14" s="2" t="s">
        <v>1748</v>
      </c>
      <c r="F14" s="2" t="s">
        <v>1743</v>
      </c>
    </row>
    <row r="15" spans="1:6">
      <c r="A15" s="2" t="s">
        <v>1749</v>
      </c>
      <c r="B15" s="2" t="s">
        <v>1750</v>
      </c>
      <c r="C15" s="2" t="s">
        <v>1751</v>
      </c>
      <c r="D15" s="2" t="s">
        <v>1752</v>
      </c>
      <c r="E15" s="2" t="s">
        <v>1753</v>
      </c>
      <c r="F15" s="2" t="s">
        <v>1743</v>
      </c>
    </row>
    <row r="16" spans="1:6">
      <c r="A16" s="2" t="s">
        <v>1754</v>
      </c>
      <c r="B16" s="2" t="s">
        <v>1755</v>
      </c>
      <c r="C16" s="2" t="s">
        <v>1756</v>
      </c>
      <c r="D16" s="2" t="s">
        <v>1757</v>
      </c>
      <c r="E16" s="2" t="s">
        <v>1758</v>
      </c>
      <c r="F16" s="2" t="s">
        <v>1743</v>
      </c>
    </row>
    <row r="17" spans="1:6">
      <c r="A17" s="2" t="s">
        <v>1759</v>
      </c>
      <c r="B17" s="2" t="s">
        <v>1760</v>
      </c>
      <c r="C17" s="2" t="s">
        <v>1761</v>
      </c>
      <c r="D17" s="2" t="s">
        <v>1681</v>
      </c>
      <c r="E17" s="2" t="s">
        <v>1762</v>
      </c>
      <c r="F17" s="2" t="s">
        <v>1763</v>
      </c>
    </row>
  </sheetData>
  <autoFilter ref="A1:F17"/>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E47"/>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2" width="20.7109375" customWidth="1"/>
    <col min="3" max="3" width="45.7109375" customWidth="1"/>
    <col min="4" max="4" width="90.7109375" customWidth="1"/>
    <col min="5" max="5" width="65.7109375" customWidth="1"/>
  </cols>
  <sheetData>
    <row r="1" spans="1:5" ht="32" customHeight="1">
      <c r="A1" s="1" t="s">
        <v>37</v>
      </c>
      <c r="B1" s="1" t="s">
        <v>1764</v>
      </c>
      <c r="C1" s="1" t="s">
        <v>1765</v>
      </c>
      <c r="D1" s="1" t="s">
        <v>1766</v>
      </c>
      <c r="E1" s="1" t="s">
        <v>1767</v>
      </c>
    </row>
    <row r="2" spans="1:5">
      <c r="A2" s="2" t="s">
        <v>55</v>
      </c>
      <c r="B2" s="2" t="s">
        <v>1678</v>
      </c>
      <c r="C2" s="2" t="s">
        <v>1768</v>
      </c>
      <c r="D2" s="2" t="s">
        <v>1769</v>
      </c>
      <c r="E2" s="2" t="s">
        <v>1770</v>
      </c>
    </row>
    <row r="3" spans="1:5">
      <c r="A3" s="2" t="s">
        <v>241</v>
      </c>
      <c r="B3" s="2" t="s">
        <v>1678</v>
      </c>
      <c r="C3" s="2" t="s">
        <v>1771</v>
      </c>
      <c r="D3" s="2" t="s">
        <v>1772</v>
      </c>
      <c r="E3" s="2" t="s">
        <v>1770</v>
      </c>
    </row>
    <row r="4" spans="1:5">
      <c r="A4" s="2" t="s">
        <v>365</v>
      </c>
      <c r="B4" s="2" t="s">
        <v>1678</v>
      </c>
      <c r="C4" s="2" t="s">
        <v>1773</v>
      </c>
      <c r="D4" s="2" t="s">
        <v>1774</v>
      </c>
      <c r="E4" s="2" t="s">
        <v>1770</v>
      </c>
    </row>
    <row r="5" spans="1:5">
      <c r="A5" s="2" t="s">
        <v>517</v>
      </c>
      <c r="B5" s="2" t="s">
        <v>1678</v>
      </c>
      <c r="C5" s="2" t="s">
        <v>1775</v>
      </c>
      <c r="D5" s="2" t="s">
        <v>1776</v>
      </c>
      <c r="E5" s="2" t="s">
        <v>1770</v>
      </c>
    </row>
    <row r="6" spans="1:5">
      <c r="A6" s="2" t="s">
        <v>546</v>
      </c>
      <c r="B6" s="2" t="s">
        <v>1678</v>
      </c>
      <c r="C6" s="2" t="s">
        <v>1777</v>
      </c>
      <c r="D6" s="2" t="s">
        <v>1778</v>
      </c>
      <c r="E6" s="2" t="s">
        <v>1770</v>
      </c>
    </row>
    <row r="7" spans="1:5">
      <c r="A7" s="2" t="s">
        <v>654</v>
      </c>
      <c r="B7" s="2" t="s">
        <v>1684</v>
      </c>
      <c r="C7" s="2" t="s">
        <v>1779</v>
      </c>
      <c r="D7" s="2" t="s">
        <v>1780</v>
      </c>
      <c r="E7" s="2" t="s">
        <v>1770</v>
      </c>
    </row>
    <row r="8" spans="1:5">
      <c r="A8" s="2" t="s">
        <v>673</v>
      </c>
      <c r="B8" s="2" t="s">
        <v>1684</v>
      </c>
      <c r="C8" s="2" t="s">
        <v>1781</v>
      </c>
      <c r="D8" s="2" t="s">
        <v>1782</v>
      </c>
      <c r="E8" s="2" t="s">
        <v>1770</v>
      </c>
    </row>
    <row r="9" spans="1:5">
      <c r="A9" s="2" t="s">
        <v>1783</v>
      </c>
      <c r="B9" s="2" t="s">
        <v>1690</v>
      </c>
      <c r="C9" s="2" t="s">
        <v>1784</v>
      </c>
      <c r="D9" s="2" t="s">
        <v>1785</v>
      </c>
      <c r="E9" s="2" t="s">
        <v>1786</v>
      </c>
    </row>
    <row r="10" spans="1:5">
      <c r="A10" s="2" t="s">
        <v>835</v>
      </c>
      <c r="B10" s="2" t="s">
        <v>1690</v>
      </c>
      <c r="C10" s="2" t="s">
        <v>1787</v>
      </c>
      <c r="D10" s="2" t="s">
        <v>1788</v>
      </c>
      <c r="E10" s="2" t="s">
        <v>1789</v>
      </c>
    </row>
    <row r="11" spans="1:5">
      <c r="A11" s="2" t="s">
        <v>660</v>
      </c>
      <c r="B11" s="2" t="s">
        <v>1684</v>
      </c>
      <c r="C11" s="2" t="s">
        <v>1790</v>
      </c>
      <c r="D11" s="2" t="s">
        <v>1791</v>
      </c>
      <c r="E11" s="2" t="s">
        <v>1770</v>
      </c>
    </row>
    <row r="12" spans="1:5">
      <c r="A12" s="2" t="s">
        <v>680</v>
      </c>
      <c r="B12" s="2" t="s">
        <v>1678</v>
      </c>
      <c r="C12" s="2" t="s">
        <v>1792</v>
      </c>
      <c r="D12" s="2" t="s">
        <v>1793</v>
      </c>
      <c r="E12" s="2" t="s">
        <v>1770</v>
      </c>
    </row>
    <row r="13" spans="1:5">
      <c r="A13" s="2" t="s">
        <v>706</v>
      </c>
      <c r="B13" s="2" t="s">
        <v>1678</v>
      </c>
      <c r="C13" s="2" t="s">
        <v>1794</v>
      </c>
      <c r="D13" s="2" t="s">
        <v>1795</v>
      </c>
      <c r="E13" s="2" t="s">
        <v>1770</v>
      </c>
    </row>
    <row r="14" spans="1:5">
      <c r="A14" s="2" t="s">
        <v>732</v>
      </c>
      <c r="B14" s="2" t="s">
        <v>1678</v>
      </c>
      <c r="C14" s="2" t="s">
        <v>1796</v>
      </c>
      <c r="D14" s="2" t="s">
        <v>1797</v>
      </c>
      <c r="E14" s="2" t="s">
        <v>1770</v>
      </c>
    </row>
    <row r="15" spans="1:5">
      <c r="A15" s="2" t="s">
        <v>764</v>
      </c>
      <c r="B15" s="2" t="s">
        <v>1678</v>
      </c>
      <c r="C15" s="2" t="s">
        <v>1798</v>
      </c>
      <c r="D15" s="2" t="s">
        <v>1799</v>
      </c>
      <c r="E15" s="2" t="s">
        <v>1770</v>
      </c>
    </row>
    <row r="16" spans="1:5">
      <c r="A16" s="2" t="s">
        <v>1800</v>
      </c>
      <c r="B16" s="2" t="s">
        <v>1678</v>
      </c>
      <c r="C16" s="2" t="s">
        <v>1801</v>
      </c>
      <c r="D16" s="2" t="s">
        <v>1802</v>
      </c>
      <c r="E16" s="2" t="s">
        <v>1770</v>
      </c>
    </row>
    <row r="17" spans="1:5">
      <c r="A17" s="2" t="s">
        <v>1803</v>
      </c>
      <c r="B17" s="2" t="s">
        <v>1678</v>
      </c>
      <c r="C17" s="2" t="s">
        <v>1804</v>
      </c>
      <c r="D17" s="2" t="s">
        <v>1805</v>
      </c>
      <c r="E17" s="2" t="s">
        <v>1770</v>
      </c>
    </row>
    <row r="18" spans="1:5">
      <c r="A18" s="2" t="s">
        <v>1806</v>
      </c>
      <c r="B18" s="2" t="s">
        <v>1695</v>
      </c>
      <c r="C18" s="2" t="s">
        <v>1807</v>
      </c>
      <c r="D18" s="2" t="s">
        <v>1808</v>
      </c>
      <c r="E18" s="2" t="s">
        <v>1770</v>
      </c>
    </row>
    <row r="19" spans="1:5">
      <c r="A19" s="2" t="s">
        <v>782</v>
      </c>
      <c r="B19" s="2" t="s">
        <v>1700</v>
      </c>
      <c r="C19" s="2" t="s">
        <v>1809</v>
      </c>
      <c r="D19" s="2" t="s">
        <v>1810</v>
      </c>
      <c r="E19" s="2" t="s">
        <v>1770</v>
      </c>
    </row>
    <row r="20" spans="1:5">
      <c r="A20" s="2" t="s">
        <v>790</v>
      </c>
      <c r="B20" s="2" t="s">
        <v>1700</v>
      </c>
      <c r="C20" s="2" t="s">
        <v>1811</v>
      </c>
      <c r="D20" s="2" t="s">
        <v>1812</v>
      </c>
      <c r="E20" s="2" t="s">
        <v>1770</v>
      </c>
    </row>
    <row r="21" spans="1:5">
      <c r="A21" s="2" t="s">
        <v>840</v>
      </c>
      <c r="B21" s="2" t="s">
        <v>1700</v>
      </c>
      <c r="C21" s="2" t="s">
        <v>1813</v>
      </c>
      <c r="D21" s="2" t="s">
        <v>1814</v>
      </c>
      <c r="E21" s="2" t="s">
        <v>1770</v>
      </c>
    </row>
    <row r="22" spans="1:5">
      <c r="A22" s="2" t="s">
        <v>868</v>
      </c>
      <c r="B22" s="2" t="s">
        <v>1700</v>
      </c>
      <c r="C22" s="2" t="s">
        <v>1815</v>
      </c>
      <c r="D22" s="2" t="s">
        <v>1816</v>
      </c>
      <c r="E22" s="2" t="s">
        <v>1770</v>
      </c>
    </row>
    <row r="23" spans="1:5">
      <c r="A23" s="2" t="s">
        <v>1817</v>
      </c>
      <c r="B23" s="2" t="s">
        <v>1706</v>
      </c>
      <c r="C23" s="2" t="s">
        <v>1818</v>
      </c>
      <c r="D23" s="2" t="s">
        <v>1819</v>
      </c>
      <c r="E23" s="2" t="s">
        <v>1770</v>
      </c>
    </row>
    <row r="24" spans="1:5">
      <c r="A24" s="2" t="s">
        <v>859</v>
      </c>
      <c r="B24" s="2" t="s">
        <v>1711</v>
      </c>
      <c r="C24" s="2" t="s">
        <v>1820</v>
      </c>
      <c r="D24" s="2" t="s">
        <v>1821</v>
      </c>
      <c r="E24" s="2" t="s">
        <v>1770</v>
      </c>
    </row>
    <row r="25" spans="1:5">
      <c r="A25" s="2" t="s">
        <v>872</v>
      </c>
      <c r="B25" s="2" t="s">
        <v>1678</v>
      </c>
      <c r="C25" s="2" t="s">
        <v>1822</v>
      </c>
      <c r="D25" s="2" t="s">
        <v>1823</v>
      </c>
      <c r="E25" s="2" t="s">
        <v>1770</v>
      </c>
    </row>
    <row r="26" spans="1:5">
      <c r="A26" s="2" t="s">
        <v>1824</v>
      </c>
      <c r="B26" s="2" t="s">
        <v>1716</v>
      </c>
      <c r="C26" s="2" t="s">
        <v>1825</v>
      </c>
      <c r="D26" s="2" t="s">
        <v>1826</v>
      </c>
      <c r="E26" s="2" t="s">
        <v>1827</v>
      </c>
    </row>
    <row r="27" spans="1:5">
      <c r="A27" s="2" t="s">
        <v>1828</v>
      </c>
      <c r="B27" s="2" t="s">
        <v>1721</v>
      </c>
      <c r="C27" s="2" t="s">
        <v>1829</v>
      </c>
      <c r="D27" s="2" t="s">
        <v>1830</v>
      </c>
      <c r="E27" s="2" t="s">
        <v>1831</v>
      </c>
    </row>
    <row r="28" spans="1:5">
      <c r="A28" s="2" t="s">
        <v>1832</v>
      </c>
      <c r="B28" s="2" t="s">
        <v>1721</v>
      </c>
      <c r="C28" s="2" t="s">
        <v>1833</v>
      </c>
      <c r="D28" s="2" t="s">
        <v>1834</v>
      </c>
      <c r="E28" s="2" t="s">
        <v>1831</v>
      </c>
    </row>
    <row r="29" spans="1:5">
      <c r="A29" s="2" t="s">
        <v>1835</v>
      </c>
      <c r="B29" s="2" t="s">
        <v>1721</v>
      </c>
      <c r="C29" s="2" t="s">
        <v>1836</v>
      </c>
      <c r="D29" s="2" t="s">
        <v>1837</v>
      </c>
      <c r="E29" s="2" t="s">
        <v>1831</v>
      </c>
    </row>
    <row r="30" spans="1:5">
      <c r="A30" s="2" t="s">
        <v>959</v>
      </c>
      <c r="B30" s="2" t="s">
        <v>1726</v>
      </c>
      <c r="C30" s="2" t="s">
        <v>1838</v>
      </c>
      <c r="D30" s="2" t="s">
        <v>1839</v>
      </c>
      <c r="E30" s="2" t="s">
        <v>1831</v>
      </c>
    </row>
    <row r="31" spans="1:5">
      <c r="A31" s="2" t="s">
        <v>1840</v>
      </c>
      <c r="B31" s="2" t="s">
        <v>1726</v>
      </c>
      <c r="C31" s="2" t="s">
        <v>1841</v>
      </c>
      <c r="D31" s="2" t="s">
        <v>1842</v>
      </c>
      <c r="E31" s="2" t="s">
        <v>1831</v>
      </c>
    </row>
    <row r="32" spans="1:5">
      <c r="A32" s="2" t="s">
        <v>1843</v>
      </c>
      <c r="B32" s="2" t="s">
        <v>1721</v>
      </c>
      <c r="C32" s="2" t="s">
        <v>1844</v>
      </c>
      <c r="D32" s="2" t="s">
        <v>1845</v>
      </c>
      <c r="E32" s="2" t="s">
        <v>1831</v>
      </c>
    </row>
    <row r="33" spans="1:5">
      <c r="A33" s="2" t="s">
        <v>1846</v>
      </c>
      <c r="B33" s="2" t="s">
        <v>1700</v>
      </c>
      <c r="C33" s="2" t="s">
        <v>1847</v>
      </c>
      <c r="D33" s="2" t="s">
        <v>1848</v>
      </c>
      <c r="E33" s="2" t="s">
        <v>1831</v>
      </c>
    </row>
    <row r="34" spans="1:5">
      <c r="A34" s="2" t="s">
        <v>1849</v>
      </c>
      <c r="B34" s="2" t="s">
        <v>1732</v>
      </c>
      <c r="C34" s="2" t="s">
        <v>1850</v>
      </c>
      <c r="D34" s="2" t="s">
        <v>1851</v>
      </c>
      <c r="E34" s="2" t="s">
        <v>1831</v>
      </c>
    </row>
    <row r="35" spans="1:5">
      <c r="A35" s="2" t="s">
        <v>1852</v>
      </c>
      <c r="B35" s="2" t="s">
        <v>1678</v>
      </c>
      <c r="C35" s="2" t="s">
        <v>1853</v>
      </c>
      <c r="D35" s="2" t="s">
        <v>1854</v>
      </c>
      <c r="E35" s="2" t="s">
        <v>1831</v>
      </c>
    </row>
    <row r="36" spans="1:5">
      <c r="A36" s="2" t="s">
        <v>1855</v>
      </c>
      <c r="B36" s="2" t="s">
        <v>1749</v>
      </c>
      <c r="C36" s="2" t="s">
        <v>1856</v>
      </c>
      <c r="D36" s="2" t="s">
        <v>1857</v>
      </c>
      <c r="E36" s="2" t="s">
        <v>1858</v>
      </c>
    </row>
    <row r="37" spans="1:5">
      <c r="A37" s="2" t="s">
        <v>972</v>
      </c>
      <c r="B37" s="2" t="s">
        <v>1678</v>
      </c>
      <c r="C37" s="2" t="s">
        <v>1859</v>
      </c>
      <c r="D37" s="2" t="s">
        <v>1860</v>
      </c>
      <c r="E37" s="2" t="s">
        <v>1858</v>
      </c>
    </row>
    <row r="38" spans="1:5">
      <c r="A38" s="2" t="s">
        <v>967</v>
      </c>
      <c r="B38" s="2" t="s">
        <v>1678</v>
      </c>
      <c r="C38" s="2" t="s">
        <v>1861</v>
      </c>
      <c r="D38" s="2" t="s">
        <v>1862</v>
      </c>
      <c r="E38" s="2" t="s">
        <v>1858</v>
      </c>
    </row>
    <row r="39" spans="1:5">
      <c r="A39" s="2" t="s">
        <v>975</v>
      </c>
      <c r="B39" s="2" t="s">
        <v>1678</v>
      </c>
      <c r="C39" s="2" t="s">
        <v>1863</v>
      </c>
      <c r="D39" s="2" t="s">
        <v>1864</v>
      </c>
      <c r="E39" s="2" t="s">
        <v>1858</v>
      </c>
    </row>
    <row r="40" spans="1:5">
      <c r="A40" s="2" t="s">
        <v>987</v>
      </c>
      <c r="B40" s="2" t="s">
        <v>1678</v>
      </c>
      <c r="C40" s="2" t="s">
        <v>1865</v>
      </c>
      <c r="D40" s="2" t="s">
        <v>1866</v>
      </c>
      <c r="E40" s="2" t="s">
        <v>1858</v>
      </c>
    </row>
    <row r="41" spans="1:5">
      <c r="A41" s="2" t="s">
        <v>992</v>
      </c>
      <c r="B41" s="2" t="s">
        <v>1678</v>
      </c>
      <c r="C41" s="2" t="s">
        <v>1867</v>
      </c>
      <c r="D41" s="2" t="s">
        <v>1868</v>
      </c>
      <c r="E41" s="2" t="s">
        <v>1858</v>
      </c>
    </row>
    <row r="42" spans="1:5">
      <c r="A42" s="2" t="s">
        <v>982</v>
      </c>
      <c r="B42" s="2" t="s">
        <v>1759</v>
      </c>
      <c r="C42" s="2" t="s">
        <v>1869</v>
      </c>
      <c r="D42" s="2" t="s">
        <v>1870</v>
      </c>
      <c r="E42" s="2" t="s">
        <v>1858</v>
      </c>
    </row>
    <row r="43" spans="1:5">
      <c r="A43" s="2" t="s">
        <v>1011</v>
      </c>
      <c r="B43" s="2" t="s">
        <v>1700</v>
      </c>
      <c r="C43" s="2" t="s">
        <v>1871</v>
      </c>
      <c r="D43" s="2" t="s">
        <v>1872</v>
      </c>
      <c r="E43" s="2" t="s">
        <v>1858</v>
      </c>
    </row>
    <row r="44" spans="1:5">
      <c r="A44" s="2" t="s">
        <v>1020</v>
      </c>
      <c r="B44" s="2" t="s">
        <v>1744</v>
      </c>
      <c r="C44" s="2" t="s">
        <v>1873</v>
      </c>
      <c r="D44" s="2" t="s">
        <v>1874</v>
      </c>
      <c r="E44" s="2" t="s">
        <v>1858</v>
      </c>
    </row>
    <row r="45" spans="1:5">
      <c r="A45" s="2" t="s">
        <v>1030</v>
      </c>
      <c r="B45" s="2" t="s">
        <v>1738</v>
      </c>
      <c r="C45" s="2" t="s">
        <v>1875</v>
      </c>
      <c r="D45" s="2" t="s">
        <v>1876</v>
      </c>
      <c r="E45" s="2" t="s">
        <v>1858</v>
      </c>
    </row>
    <row r="46" spans="1:5">
      <c r="A46" s="2" t="s">
        <v>1037</v>
      </c>
      <c r="B46" s="2" t="s">
        <v>1738</v>
      </c>
      <c r="C46" s="2" t="s">
        <v>1877</v>
      </c>
      <c r="D46" s="2" t="s">
        <v>1878</v>
      </c>
      <c r="E46" s="2" t="s">
        <v>1858</v>
      </c>
    </row>
    <row r="47" spans="1:5">
      <c r="A47" s="2" t="s">
        <v>1879</v>
      </c>
      <c r="B47" s="2" t="s">
        <v>1754</v>
      </c>
      <c r="C47" s="2" t="s">
        <v>1880</v>
      </c>
      <c r="D47" s="2" t="s">
        <v>1881</v>
      </c>
      <c r="E47" s="2" t="s">
        <v>1858</v>
      </c>
    </row>
  </sheetData>
  <autoFilter ref="A1:E47"/>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I18"/>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8.7109375" customWidth="1"/>
    <col min="2" max="2" width="45.7109375" customWidth="1"/>
    <col min="3" max="3" width="85.7109375" customWidth="1"/>
    <col min="4" max="4" width="75.7109375" customWidth="1"/>
    <col min="5" max="5" width="18.7109375" customWidth="1"/>
    <col min="6" max="7" width="35.7109375" customWidth="1"/>
    <col min="8" max="9" width="75.7109375" customWidth="1"/>
  </cols>
  <sheetData>
    <row r="1" spans="1:9" ht="32" customHeight="1">
      <c r="A1" s="1" t="s">
        <v>37</v>
      </c>
      <c r="B1" s="1" t="s">
        <v>1882</v>
      </c>
      <c r="C1" s="1" t="s">
        <v>1883</v>
      </c>
      <c r="D1" s="1" t="s">
        <v>1884</v>
      </c>
      <c r="E1" s="1" t="s">
        <v>49</v>
      </c>
      <c r="F1" s="1" t="s">
        <v>1885</v>
      </c>
      <c r="G1" s="1" t="s">
        <v>1886</v>
      </c>
      <c r="H1" s="1" t="s">
        <v>1887</v>
      </c>
      <c r="I1" s="1" t="s">
        <v>1888</v>
      </c>
    </row>
    <row r="2" spans="1:9">
      <c r="A2" s="2" t="s">
        <v>1889</v>
      </c>
      <c r="B2" s="2" t="s">
        <v>1890</v>
      </c>
      <c r="C2" s="2" t="s">
        <v>1891</v>
      </c>
      <c r="D2" s="2" t="s">
        <v>1892</v>
      </c>
      <c r="E2" s="2" t="s">
        <v>1893</v>
      </c>
      <c r="F2" s="2" t="s">
        <v>1894</v>
      </c>
      <c r="G2" s="2" t="s">
        <v>1895</v>
      </c>
      <c r="H2" s="2" t="s">
        <v>1896</v>
      </c>
      <c r="I2" s="2" t="s">
        <v>1897</v>
      </c>
    </row>
    <row r="3" spans="1:9">
      <c r="A3" s="2" t="s">
        <v>1898</v>
      </c>
      <c r="B3" s="2" t="s">
        <v>1899</v>
      </c>
      <c r="C3" s="2" t="s">
        <v>1900</v>
      </c>
      <c r="D3" s="2" t="s">
        <v>1901</v>
      </c>
      <c r="E3" s="2" t="s">
        <v>1893</v>
      </c>
      <c r="F3" s="2" t="s">
        <v>1902</v>
      </c>
      <c r="G3" s="2"/>
      <c r="H3" s="2" t="s">
        <v>1903</v>
      </c>
      <c r="I3" s="2" t="s">
        <v>1904</v>
      </c>
    </row>
    <row r="4" spans="1:9">
      <c r="A4" s="2" t="s">
        <v>1905</v>
      </c>
      <c r="B4" s="2" t="s">
        <v>1906</v>
      </c>
      <c r="C4" s="2" t="s">
        <v>1907</v>
      </c>
      <c r="D4" s="2" t="s">
        <v>1908</v>
      </c>
      <c r="E4" s="2" t="s">
        <v>1893</v>
      </c>
      <c r="F4" s="2" t="s">
        <v>1909</v>
      </c>
      <c r="G4" s="2"/>
      <c r="H4" s="2" t="s">
        <v>1910</v>
      </c>
      <c r="I4" s="2" t="s">
        <v>1911</v>
      </c>
    </row>
    <row r="5" spans="1:9">
      <c r="A5" s="2" t="s">
        <v>1912</v>
      </c>
      <c r="B5" s="2" t="s">
        <v>1913</v>
      </c>
      <c r="C5" s="2" t="s">
        <v>1914</v>
      </c>
      <c r="D5" s="2" t="s">
        <v>1915</v>
      </c>
      <c r="E5" s="2" t="s">
        <v>1893</v>
      </c>
      <c r="F5" s="2" t="s">
        <v>1916</v>
      </c>
      <c r="G5" s="2"/>
      <c r="H5" s="2" t="s">
        <v>1917</v>
      </c>
      <c r="I5" s="2" t="s">
        <v>1918</v>
      </c>
    </row>
    <row r="6" spans="1:9">
      <c r="A6" s="2" t="s">
        <v>1919</v>
      </c>
      <c r="B6" s="2" t="s">
        <v>1920</v>
      </c>
      <c r="C6" s="2" t="s">
        <v>1921</v>
      </c>
      <c r="D6" s="2" t="s">
        <v>1922</v>
      </c>
      <c r="E6" s="2" t="s">
        <v>1893</v>
      </c>
      <c r="F6" s="2" t="s">
        <v>1923</v>
      </c>
      <c r="G6" s="2" t="s">
        <v>1924</v>
      </c>
      <c r="H6" s="2" t="s">
        <v>1925</v>
      </c>
      <c r="I6" s="2" t="s">
        <v>1926</v>
      </c>
    </row>
    <row r="7" spans="1:9">
      <c r="A7" s="2" t="s">
        <v>1927</v>
      </c>
      <c r="B7" s="2" t="s">
        <v>1928</v>
      </c>
      <c r="C7" s="2" t="s">
        <v>1929</v>
      </c>
      <c r="D7" s="2" t="s">
        <v>1930</v>
      </c>
      <c r="E7" s="2" t="s">
        <v>1931</v>
      </c>
      <c r="F7" s="2" t="s">
        <v>1932</v>
      </c>
      <c r="G7" s="2"/>
      <c r="H7" s="2" t="s">
        <v>1933</v>
      </c>
      <c r="I7" s="2" t="s">
        <v>1934</v>
      </c>
    </row>
    <row r="8" spans="1:9">
      <c r="A8" s="2" t="s">
        <v>1935</v>
      </c>
      <c r="B8" s="2" t="s">
        <v>1936</v>
      </c>
      <c r="C8" s="2" t="s">
        <v>1937</v>
      </c>
      <c r="D8" s="2" t="s">
        <v>1938</v>
      </c>
      <c r="E8" s="2" t="s">
        <v>1893</v>
      </c>
      <c r="F8" s="2" t="s">
        <v>1939</v>
      </c>
      <c r="G8" s="2" t="s">
        <v>888</v>
      </c>
      <c r="H8" s="2" t="s">
        <v>1940</v>
      </c>
      <c r="I8" s="2" t="s">
        <v>1941</v>
      </c>
    </row>
    <row r="9" spans="1:9">
      <c r="A9" s="2" t="s">
        <v>1942</v>
      </c>
      <c r="B9" s="2" t="s">
        <v>1943</v>
      </c>
      <c r="C9" s="2" t="s">
        <v>1944</v>
      </c>
      <c r="D9" s="2" t="s">
        <v>1945</v>
      </c>
      <c r="E9" s="2" t="s">
        <v>1893</v>
      </c>
      <c r="F9" s="2" t="s">
        <v>1946</v>
      </c>
      <c r="G9" s="2" t="s">
        <v>1947</v>
      </c>
      <c r="H9" s="2" t="s">
        <v>1948</v>
      </c>
      <c r="I9" s="2" t="s">
        <v>1949</v>
      </c>
    </row>
    <row r="10" spans="1:9">
      <c r="A10" s="2" t="s">
        <v>1950</v>
      </c>
      <c r="B10" s="2" t="s">
        <v>1951</v>
      </c>
      <c r="C10" s="2" t="s">
        <v>1952</v>
      </c>
      <c r="D10" s="2" t="s">
        <v>1953</v>
      </c>
      <c r="E10" s="2" t="s">
        <v>1931</v>
      </c>
      <c r="F10" s="2" t="s">
        <v>1954</v>
      </c>
      <c r="G10" s="2" t="s">
        <v>888</v>
      </c>
      <c r="H10" s="2" t="s">
        <v>1955</v>
      </c>
      <c r="I10" s="2" t="s">
        <v>1956</v>
      </c>
    </row>
    <row r="11" spans="1:9">
      <c r="A11" s="2" t="s">
        <v>1957</v>
      </c>
      <c r="B11" s="2" t="s">
        <v>1958</v>
      </c>
      <c r="C11" s="2" t="s">
        <v>1959</v>
      </c>
      <c r="D11" s="2" t="s">
        <v>1960</v>
      </c>
      <c r="E11" s="2" t="s">
        <v>1961</v>
      </c>
      <c r="F11" s="2" t="s">
        <v>1962</v>
      </c>
      <c r="G11" s="2"/>
      <c r="H11" s="2" t="s">
        <v>1963</v>
      </c>
      <c r="I11" s="2" t="s">
        <v>1964</v>
      </c>
    </row>
    <row r="12" spans="1:9">
      <c r="A12" s="2" t="s">
        <v>1965</v>
      </c>
      <c r="B12" s="2" t="s">
        <v>1966</v>
      </c>
      <c r="C12" s="2" t="s">
        <v>1967</v>
      </c>
      <c r="D12" s="2" t="s">
        <v>1968</v>
      </c>
      <c r="E12" s="2" t="s">
        <v>1931</v>
      </c>
      <c r="F12" s="2" t="s">
        <v>872</v>
      </c>
      <c r="G12" s="2"/>
      <c r="H12" s="2" t="s">
        <v>1969</v>
      </c>
      <c r="I12" s="2" t="s">
        <v>1970</v>
      </c>
    </row>
    <row r="13" spans="1:9">
      <c r="A13" s="2" t="s">
        <v>1971</v>
      </c>
      <c r="B13" s="2" t="s">
        <v>1972</v>
      </c>
      <c r="C13" s="2" t="s">
        <v>1973</v>
      </c>
      <c r="D13" s="2" t="s">
        <v>1974</v>
      </c>
      <c r="E13" s="2" t="s">
        <v>1893</v>
      </c>
      <c r="F13" s="2" t="s">
        <v>1975</v>
      </c>
      <c r="G13" s="2"/>
      <c r="H13" s="2" t="s">
        <v>1976</v>
      </c>
      <c r="I13" s="2" t="s">
        <v>1918</v>
      </c>
    </row>
    <row r="14" spans="1:9">
      <c r="A14" s="2" t="s">
        <v>1977</v>
      </c>
      <c r="B14" s="2" t="s">
        <v>1978</v>
      </c>
      <c r="C14" s="2" t="s">
        <v>1979</v>
      </c>
      <c r="D14" s="2" t="s">
        <v>1980</v>
      </c>
      <c r="E14" s="2" t="s">
        <v>1931</v>
      </c>
      <c r="F14" s="2" t="s">
        <v>1981</v>
      </c>
      <c r="G14" s="2"/>
      <c r="H14" s="2" t="s">
        <v>1982</v>
      </c>
      <c r="I14" s="2" t="s">
        <v>1983</v>
      </c>
    </row>
    <row r="15" spans="1:9">
      <c r="A15" s="2" t="s">
        <v>1984</v>
      </c>
      <c r="B15" s="2" t="s">
        <v>1985</v>
      </c>
      <c r="C15" s="2" t="s">
        <v>1986</v>
      </c>
      <c r="D15" s="2" t="s">
        <v>1987</v>
      </c>
      <c r="E15" s="2" t="s">
        <v>1931</v>
      </c>
      <c r="F15" s="2" t="s">
        <v>1988</v>
      </c>
      <c r="G15" s="2" t="s">
        <v>1989</v>
      </c>
      <c r="H15" s="2" t="s">
        <v>1990</v>
      </c>
      <c r="I15" s="2" t="s">
        <v>1991</v>
      </c>
    </row>
    <row r="16" spans="1:9">
      <c r="A16" s="2" t="s">
        <v>1992</v>
      </c>
      <c r="B16" s="2" t="s">
        <v>1993</v>
      </c>
      <c r="C16" s="2" t="s">
        <v>1994</v>
      </c>
      <c r="D16" s="2" t="s">
        <v>1995</v>
      </c>
      <c r="E16" s="2" t="s">
        <v>1931</v>
      </c>
      <c r="F16" s="2" t="s">
        <v>1996</v>
      </c>
      <c r="G16" s="2" t="s">
        <v>881</v>
      </c>
      <c r="H16" s="2" t="s">
        <v>1997</v>
      </c>
      <c r="I16" s="2" t="s">
        <v>1998</v>
      </c>
    </row>
    <row r="17" spans="1:9">
      <c r="A17" s="2" t="s">
        <v>1999</v>
      </c>
      <c r="B17" s="2" t="s">
        <v>2000</v>
      </c>
      <c r="C17" s="2" t="s">
        <v>2001</v>
      </c>
      <c r="D17" s="2" t="s">
        <v>2002</v>
      </c>
      <c r="E17" s="2" t="s">
        <v>1893</v>
      </c>
      <c r="F17" s="2" t="s">
        <v>2003</v>
      </c>
      <c r="G17" s="2"/>
      <c r="H17" s="2" t="s">
        <v>2004</v>
      </c>
      <c r="I17" s="2" t="s">
        <v>2005</v>
      </c>
    </row>
    <row r="18" spans="1:9">
      <c r="A18" s="2" t="s">
        <v>2006</v>
      </c>
      <c r="B18" s="2" t="s">
        <v>2007</v>
      </c>
      <c r="C18" s="2" t="s">
        <v>2008</v>
      </c>
      <c r="D18" s="2" t="s">
        <v>2009</v>
      </c>
      <c r="E18" s="2" t="s">
        <v>1931</v>
      </c>
      <c r="F18" s="2" t="s">
        <v>2010</v>
      </c>
      <c r="G18" s="2" t="s">
        <v>872</v>
      </c>
      <c r="H18" s="2" t="s">
        <v>2011</v>
      </c>
      <c r="I18" s="2" t="s">
        <v>2012</v>
      </c>
    </row>
  </sheetData>
  <autoFilter ref="A1:I18"/>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J9"/>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0" width="28.7109375" customWidth="1"/>
  </cols>
  <sheetData>
    <row r="1" spans="1:10" ht="32" customHeight="1">
      <c r="A1" s="1" t="s">
        <v>37</v>
      </c>
      <c r="B1" s="1" t="s">
        <v>2013</v>
      </c>
      <c r="C1" s="1" t="s">
        <v>2014</v>
      </c>
      <c r="D1" s="1" t="s">
        <v>2015</v>
      </c>
      <c r="E1" s="1" t="s">
        <v>2016</v>
      </c>
      <c r="F1" s="1" t="s">
        <v>2017</v>
      </c>
      <c r="G1" s="1" t="s">
        <v>49</v>
      </c>
      <c r="H1" s="1" t="s">
        <v>2018</v>
      </c>
      <c r="I1" s="1" t="s">
        <v>39</v>
      </c>
      <c r="J1" s="1" t="s">
        <v>2019</v>
      </c>
    </row>
    <row r="2" spans="1:10">
      <c r="A2" s="2" t="s">
        <v>2020</v>
      </c>
      <c r="B2" s="2" t="s">
        <v>1889</v>
      </c>
      <c r="C2" s="2" t="s">
        <v>2021</v>
      </c>
      <c r="D2" s="2" t="s">
        <v>2022</v>
      </c>
      <c r="E2" s="2" t="s">
        <v>2023</v>
      </c>
      <c r="F2" s="2" t="s">
        <v>2024</v>
      </c>
      <c r="G2" s="2" t="s">
        <v>2025</v>
      </c>
      <c r="H2" s="2" t="s">
        <v>2026</v>
      </c>
      <c r="I2" s="2" t="s">
        <v>2027</v>
      </c>
      <c r="J2" s="2" t="s">
        <v>2028</v>
      </c>
    </row>
    <row r="3" spans="1:10">
      <c r="A3" s="2" t="s">
        <v>2029</v>
      </c>
      <c r="B3" s="2" t="s">
        <v>1898</v>
      </c>
      <c r="C3" s="2" t="s">
        <v>2030</v>
      </c>
      <c r="D3" s="2" t="s">
        <v>2022</v>
      </c>
      <c r="E3" s="2" t="s">
        <v>2023</v>
      </c>
      <c r="F3" s="2" t="s">
        <v>2031</v>
      </c>
      <c r="G3" s="2" t="s">
        <v>2025</v>
      </c>
      <c r="H3" s="2" t="s">
        <v>2032</v>
      </c>
      <c r="I3" s="2" t="s">
        <v>2033</v>
      </c>
      <c r="J3" s="2" t="s">
        <v>2028</v>
      </c>
    </row>
    <row r="4" spans="1:10">
      <c r="A4" s="2" t="s">
        <v>2034</v>
      </c>
      <c r="B4" s="2" t="s">
        <v>1912</v>
      </c>
      <c r="C4" s="2" t="s">
        <v>2035</v>
      </c>
      <c r="D4" s="2" t="s">
        <v>2022</v>
      </c>
      <c r="E4" s="2" t="s">
        <v>2023</v>
      </c>
      <c r="F4" s="2" t="s">
        <v>2036</v>
      </c>
      <c r="G4" s="2" t="s">
        <v>2025</v>
      </c>
      <c r="H4" s="2" t="s">
        <v>2037</v>
      </c>
      <c r="I4" s="2" t="s">
        <v>2038</v>
      </c>
      <c r="J4" s="2" t="s">
        <v>2028</v>
      </c>
    </row>
    <row r="5" spans="1:10">
      <c r="A5" s="2" t="s">
        <v>2039</v>
      </c>
      <c r="B5" s="2" t="s">
        <v>1957</v>
      </c>
      <c r="C5" s="2" t="s">
        <v>2040</v>
      </c>
      <c r="D5" s="2" t="s">
        <v>2022</v>
      </c>
      <c r="E5" s="2" t="s">
        <v>2023</v>
      </c>
      <c r="F5" s="2" t="s">
        <v>2041</v>
      </c>
      <c r="G5" s="2" t="s">
        <v>2025</v>
      </c>
      <c r="H5" s="2" t="s">
        <v>2042</v>
      </c>
      <c r="I5" s="2" t="s">
        <v>2043</v>
      </c>
      <c r="J5" s="2" t="s">
        <v>2028</v>
      </c>
    </row>
    <row r="6" spans="1:10">
      <c r="A6" s="2" t="s">
        <v>2044</v>
      </c>
      <c r="B6" s="2" t="s">
        <v>1942</v>
      </c>
      <c r="C6" s="2" t="s">
        <v>2045</v>
      </c>
      <c r="D6" s="2" t="s">
        <v>2022</v>
      </c>
      <c r="E6" s="2" t="s">
        <v>2023</v>
      </c>
      <c r="F6" s="2" t="s">
        <v>2046</v>
      </c>
      <c r="G6" s="2" t="s">
        <v>2025</v>
      </c>
      <c r="H6" s="2" t="s">
        <v>2047</v>
      </c>
      <c r="I6" s="2" t="s">
        <v>2048</v>
      </c>
      <c r="J6" s="2" t="s">
        <v>2028</v>
      </c>
    </row>
    <row r="7" spans="1:10">
      <c r="A7" s="2" t="s">
        <v>2049</v>
      </c>
      <c r="B7" s="2" t="s">
        <v>1950</v>
      </c>
      <c r="C7" s="2" t="s">
        <v>2050</v>
      </c>
      <c r="D7" s="2" t="s">
        <v>2022</v>
      </c>
      <c r="E7" s="2" t="s">
        <v>2023</v>
      </c>
      <c r="F7" s="2" t="s">
        <v>2051</v>
      </c>
      <c r="G7" s="2" t="s">
        <v>2025</v>
      </c>
      <c r="H7" s="2" t="s">
        <v>2052</v>
      </c>
      <c r="I7" s="2" t="s">
        <v>2053</v>
      </c>
      <c r="J7" s="2" t="s">
        <v>2028</v>
      </c>
    </row>
    <row r="8" spans="1:10">
      <c r="A8" s="2" t="s">
        <v>2054</v>
      </c>
      <c r="B8" s="2" t="s">
        <v>1965</v>
      </c>
      <c r="C8" s="2" t="s">
        <v>2055</v>
      </c>
      <c r="D8" s="2" t="s">
        <v>2022</v>
      </c>
      <c r="E8" s="2" t="s">
        <v>2023</v>
      </c>
      <c r="F8" s="2" t="s">
        <v>2056</v>
      </c>
      <c r="G8" s="2" t="s">
        <v>2025</v>
      </c>
      <c r="H8" s="2" t="s">
        <v>2057</v>
      </c>
      <c r="I8" s="2" t="s">
        <v>872</v>
      </c>
      <c r="J8" s="2" t="s">
        <v>2028</v>
      </c>
    </row>
    <row r="9" spans="1:10">
      <c r="A9" s="2" t="s">
        <v>2058</v>
      </c>
      <c r="B9" s="2" t="s">
        <v>1984</v>
      </c>
      <c r="C9" s="2" t="s">
        <v>2059</v>
      </c>
      <c r="D9" s="2" t="s">
        <v>2060</v>
      </c>
      <c r="E9" s="2" t="s">
        <v>2061</v>
      </c>
      <c r="F9" s="2" t="s">
        <v>2062</v>
      </c>
      <c r="G9" s="2" t="s">
        <v>2025</v>
      </c>
      <c r="H9" s="2" t="s">
        <v>2063</v>
      </c>
      <c r="I9" s="2" t="s">
        <v>2064</v>
      </c>
      <c r="J9" s="2" t="s">
        <v>2065</v>
      </c>
    </row>
  </sheetData>
  <autoFilter ref="A1:J9"/>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F10"/>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2" width="18.7109375" customWidth="1"/>
    <col min="3" max="3" width="75.7109375" customWidth="1"/>
    <col min="4" max="4" width="70.7109375" customWidth="1"/>
    <col min="5" max="5" width="30.7109375" customWidth="1"/>
    <col min="6" max="6" width="75.7109375" customWidth="1"/>
  </cols>
  <sheetData>
    <row r="1" spans="1:6" ht="32" customHeight="1">
      <c r="A1" s="1" t="s">
        <v>37</v>
      </c>
      <c r="B1" s="1" t="s">
        <v>2013</v>
      </c>
      <c r="C1" s="1" t="s">
        <v>2066</v>
      </c>
      <c r="D1" s="1" t="s">
        <v>2067</v>
      </c>
      <c r="E1" s="1" t="s">
        <v>2068</v>
      </c>
      <c r="F1" s="1" t="s">
        <v>2069</v>
      </c>
    </row>
    <row r="2" spans="1:6">
      <c r="A2" s="2" t="s">
        <v>2070</v>
      </c>
      <c r="B2" s="2" t="s">
        <v>1889</v>
      </c>
      <c r="C2" s="2" t="s">
        <v>2071</v>
      </c>
      <c r="D2" s="2" t="s">
        <v>2072</v>
      </c>
      <c r="E2" s="2" t="s">
        <v>2073</v>
      </c>
      <c r="F2" s="2" t="s">
        <v>2074</v>
      </c>
    </row>
    <row r="3" spans="1:6">
      <c r="A3" s="2" t="s">
        <v>2075</v>
      </c>
      <c r="B3" s="2" t="s">
        <v>1898</v>
      </c>
      <c r="C3" s="2" t="s">
        <v>2076</v>
      </c>
      <c r="D3" s="2" t="s">
        <v>2077</v>
      </c>
      <c r="E3" s="2" t="s">
        <v>2078</v>
      </c>
      <c r="F3" s="2" t="s">
        <v>2079</v>
      </c>
    </row>
    <row r="4" spans="1:6">
      <c r="A4" s="2" t="s">
        <v>2080</v>
      </c>
      <c r="B4" s="2" t="s">
        <v>1919</v>
      </c>
      <c r="C4" s="2" t="s">
        <v>2081</v>
      </c>
      <c r="D4" s="2" t="s">
        <v>2082</v>
      </c>
      <c r="E4" s="2" t="s">
        <v>2083</v>
      </c>
      <c r="F4" s="2" t="s">
        <v>2084</v>
      </c>
    </row>
    <row r="5" spans="1:6">
      <c r="A5" s="2" t="s">
        <v>2085</v>
      </c>
      <c r="B5" s="2" t="s">
        <v>1927</v>
      </c>
      <c r="C5" s="2" t="s">
        <v>2086</v>
      </c>
      <c r="D5" s="2" t="s">
        <v>2087</v>
      </c>
      <c r="E5" s="2" t="s">
        <v>2088</v>
      </c>
      <c r="F5" s="2" t="s">
        <v>2089</v>
      </c>
    </row>
    <row r="6" spans="1:6">
      <c r="A6" s="2" t="s">
        <v>2090</v>
      </c>
      <c r="B6" s="2" t="s">
        <v>1950</v>
      </c>
      <c r="C6" s="2" t="s">
        <v>2091</v>
      </c>
      <c r="D6" s="2" t="s">
        <v>2092</v>
      </c>
      <c r="E6" s="2" t="s">
        <v>2093</v>
      </c>
      <c r="F6" s="2" t="s">
        <v>2094</v>
      </c>
    </row>
    <row r="7" spans="1:6">
      <c r="A7" s="2" t="s">
        <v>2095</v>
      </c>
      <c r="B7" s="2" t="s">
        <v>1942</v>
      </c>
      <c r="C7" s="2" t="s">
        <v>2096</v>
      </c>
      <c r="D7" s="2" t="s">
        <v>2097</v>
      </c>
      <c r="E7" s="2" t="s">
        <v>2098</v>
      </c>
      <c r="F7" s="2" t="s">
        <v>2099</v>
      </c>
    </row>
    <row r="8" spans="1:6">
      <c r="A8" s="2" t="s">
        <v>2100</v>
      </c>
      <c r="B8" s="2" t="s">
        <v>1957</v>
      </c>
      <c r="C8" s="2" t="s">
        <v>2101</v>
      </c>
      <c r="D8" s="2" t="s">
        <v>2102</v>
      </c>
      <c r="E8" s="2" t="s">
        <v>2103</v>
      </c>
      <c r="F8" s="2" t="s">
        <v>2104</v>
      </c>
    </row>
    <row r="9" spans="1:6">
      <c r="A9" s="2" t="s">
        <v>2105</v>
      </c>
      <c r="B9" s="2" t="s">
        <v>1965</v>
      </c>
      <c r="C9" s="2" t="s">
        <v>2106</v>
      </c>
      <c r="D9" s="2" t="s">
        <v>2107</v>
      </c>
      <c r="E9" s="2" t="s">
        <v>2108</v>
      </c>
      <c r="F9" s="2" t="s">
        <v>2109</v>
      </c>
    </row>
    <row r="10" spans="1:6">
      <c r="A10" s="2" t="s">
        <v>2110</v>
      </c>
      <c r="B10" s="2" t="s">
        <v>1984</v>
      </c>
      <c r="C10" s="2" t="s">
        <v>2111</v>
      </c>
      <c r="D10" s="2" t="s">
        <v>2112</v>
      </c>
      <c r="E10" s="2" t="s">
        <v>2113</v>
      </c>
      <c r="F10" s="2" t="s">
        <v>2114</v>
      </c>
    </row>
  </sheetData>
  <autoFilter ref="A1:F10"/>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D18"/>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4" width="28.7109375" customWidth="1"/>
  </cols>
  <sheetData>
    <row r="1" spans="1:4" ht="32" customHeight="1">
      <c r="A1" s="1" t="s">
        <v>2115</v>
      </c>
      <c r="B1" s="1" t="s">
        <v>2116</v>
      </c>
      <c r="C1" s="1" t="s">
        <v>2117</v>
      </c>
      <c r="D1" s="1" t="s">
        <v>2118</v>
      </c>
    </row>
    <row r="2" spans="1:4">
      <c r="A2" s="2" t="s">
        <v>2119</v>
      </c>
      <c r="B2" s="2" t="s">
        <v>2120</v>
      </c>
      <c r="C2" s="2" t="s">
        <v>2121</v>
      </c>
      <c r="D2" s="2" t="s">
        <v>2122</v>
      </c>
    </row>
    <row r="3" spans="1:4">
      <c r="A3" s="2" t="s">
        <v>2123</v>
      </c>
      <c r="B3" s="2" t="s">
        <v>2124</v>
      </c>
      <c r="C3" s="2" t="s">
        <v>2125</v>
      </c>
      <c r="D3" s="2" t="s">
        <v>2122</v>
      </c>
    </row>
    <row r="4" spans="1:4">
      <c r="A4" s="2" t="s">
        <v>2126</v>
      </c>
      <c r="B4" s="2" t="s">
        <v>2127</v>
      </c>
      <c r="C4" s="2" t="s">
        <v>2128</v>
      </c>
      <c r="D4" s="2" t="s">
        <v>2129</v>
      </c>
    </row>
    <row r="5" spans="1:4">
      <c r="A5" s="2" t="s">
        <v>2130</v>
      </c>
      <c r="B5" s="2" t="s">
        <v>2131</v>
      </c>
      <c r="C5" s="2" t="s">
        <v>2132</v>
      </c>
      <c r="D5" s="2" t="s">
        <v>2129</v>
      </c>
    </row>
    <row r="6" spans="1:4">
      <c r="A6" s="2" t="s">
        <v>2133</v>
      </c>
      <c r="B6" s="2" t="s">
        <v>2134</v>
      </c>
      <c r="C6" s="2" t="s">
        <v>2135</v>
      </c>
      <c r="D6" s="2" t="s">
        <v>2129</v>
      </c>
    </row>
    <row r="7" spans="1:4">
      <c r="A7" s="2" t="s">
        <v>2136</v>
      </c>
      <c r="B7" s="2" t="s">
        <v>2137</v>
      </c>
      <c r="C7" s="2" t="s">
        <v>2138</v>
      </c>
      <c r="D7" s="2" t="s">
        <v>2129</v>
      </c>
    </row>
    <row r="8" spans="1:4">
      <c r="A8" s="2" t="s">
        <v>2139</v>
      </c>
      <c r="B8" s="2" t="s">
        <v>2140</v>
      </c>
      <c r="C8" s="2" t="s">
        <v>2141</v>
      </c>
      <c r="D8" s="2" t="s">
        <v>2129</v>
      </c>
    </row>
    <row r="9" spans="1:4">
      <c r="A9" s="2" t="s">
        <v>2142</v>
      </c>
      <c r="B9" s="2" t="s">
        <v>2143</v>
      </c>
      <c r="C9" s="2" t="s">
        <v>2144</v>
      </c>
      <c r="D9" s="2" t="s">
        <v>2129</v>
      </c>
    </row>
    <row r="10" spans="1:4">
      <c r="A10" s="2" t="s">
        <v>2145</v>
      </c>
      <c r="B10" s="2" t="s">
        <v>2146</v>
      </c>
      <c r="C10" s="2" t="s">
        <v>2147</v>
      </c>
      <c r="D10" s="2" t="s">
        <v>2129</v>
      </c>
    </row>
    <row r="11" spans="1:4">
      <c r="A11" s="2" t="s">
        <v>2148</v>
      </c>
      <c r="B11" s="2" t="s">
        <v>2149</v>
      </c>
      <c r="C11" s="2" t="s">
        <v>2150</v>
      </c>
      <c r="D11" s="2" t="s">
        <v>2151</v>
      </c>
    </row>
    <row r="12" spans="1:4">
      <c r="A12" s="2" t="s">
        <v>2152</v>
      </c>
      <c r="B12" s="2" t="s">
        <v>2153</v>
      </c>
      <c r="C12" s="2" t="s">
        <v>2154</v>
      </c>
      <c r="D12" s="2" t="s">
        <v>2151</v>
      </c>
    </row>
    <row r="13" spans="1:4">
      <c r="A13" s="2" t="s">
        <v>2155</v>
      </c>
      <c r="B13" s="2" t="s">
        <v>2156</v>
      </c>
      <c r="C13" s="2" t="s">
        <v>2157</v>
      </c>
      <c r="D13" s="2" t="s">
        <v>2151</v>
      </c>
    </row>
    <row r="14" spans="1:4">
      <c r="A14" s="2" t="s">
        <v>2158</v>
      </c>
      <c r="B14" s="2" t="s">
        <v>2159</v>
      </c>
      <c r="C14" s="2" t="s">
        <v>2160</v>
      </c>
      <c r="D14" s="2" t="s">
        <v>2129</v>
      </c>
    </row>
    <row r="15" spans="1:4">
      <c r="A15" s="2" t="s">
        <v>2161</v>
      </c>
      <c r="B15" s="2" t="s">
        <v>2162</v>
      </c>
      <c r="C15" s="2" t="s">
        <v>2163</v>
      </c>
      <c r="D15" s="2" t="s">
        <v>2164</v>
      </c>
    </row>
    <row r="16" spans="1:4">
      <c r="A16" s="2" t="s">
        <v>2165</v>
      </c>
      <c r="B16" s="2" t="s">
        <v>2166</v>
      </c>
      <c r="C16" s="2" t="s">
        <v>2167</v>
      </c>
      <c r="D16" s="2" t="s">
        <v>2168</v>
      </c>
    </row>
    <row r="17" spans="1:4">
      <c r="A17" s="2" t="s">
        <v>2169</v>
      </c>
      <c r="B17" s="2" t="s">
        <v>2170</v>
      </c>
      <c r="C17" s="2" t="s">
        <v>2171</v>
      </c>
      <c r="D17" s="2" t="s">
        <v>2168</v>
      </c>
    </row>
    <row r="18" spans="1:4">
      <c r="A18" s="2" t="s">
        <v>2172</v>
      </c>
      <c r="B18" s="2" t="s">
        <v>2173</v>
      </c>
      <c r="C18" s="2" t="s">
        <v>2174</v>
      </c>
      <c r="D18" s="2" t="s">
        <v>2151</v>
      </c>
    </row>
  </sheetData>
  <autoFilter ref="A1:D18"/>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B27"/>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2175</v>
      </c>
      <c r="B1" s="1" t="s">
        <v>2176</v>
      </c>
    </row>
    <row r="2" spans="1:2">
      <c r="A2" s="2" t="s">
        <v>2177</v>
      </c>
      <c r="B2" s="2" t="s">
        <v>2178</v>
      </c>
    </row>
    <row r="3" spans="1:2">
      <c r="A3" s="2" t="s">
        <v>2179</v>
      </c>
      <c r="B3" s="2" t="s">
        <v>2180</v>
      </c>
    </row>
    <row r="4" spans="1:2">
      <c r="A4" s="2" t="s">
        <v>2181</v>
      </c>
      <c r="B4" s="2" t="s">
        <v>7</v>
      </c>
    </row>
    <row r="5" spans="1:2">
      <c r="A5" s="2" t="s">
        <v>2182</v>
      </c>
      <c r="B5" s="2" t="s">
        <v>2183</v>
      </c>
    </row>
    <row r="6" spans="1:2">
      <c r="A6" s="2" t="s">
        <v>2184</v>
      </c>
      <c r="B6" s="2" t="s">
        <v>2185</v>
      </c>
    </row>
    <row r="7" spans="1:2">
      <c r="A7" s="2" t="s">
        <v>2186</v>
      </c>
      <c r="B7" s="2" t="s">
        <v>2187</v>
      </c>
    </row>
    <row r="8" spans="1:2">
      <c r="A8" s="2" t="s">
        <v>2188</v>
      </c>
      <c r="B8" s="2" t="s">
        <v>2189</v>
      </c>
    </row>
    <row r="9" spans="1:2">
      <c r="A9" s="2" t="s">
        <v>2190</v>
      </c>
      <c r="B9" s="2" t="s">
        <v>2191</v>
      </c>
    </row>
    <row r="10" spans="1:2">
      <c r="A10" s="2" t="s">
        <v>2192</v>
      </c>
      <c r="B10" s="2" t="s">
        <v>2193</v>
      </c>
    </row>
    <row r="11" spans="1:2">
      <c r="A11" s="2" t="s">
        <v>2194</v>
      </c>
      <c r="B11" s="2" t="s">
        <v>2195</v>
      </c>
    </row>
    <row r="12" spans="1:2">
      <c r="A12" s="2" t="s">
        <v>2196</v>
      </c>
      <c r="B12" s="2" t="s">
        <v>2197</v>
      </c>
    </row>
    <row r="13" spans="1:2">
      <c r="A13" s="2" t="s">
        <v>2198</v>
      </c>
      <c r="B13" s="2" t="s">
        <v>2199</v>
      </c>
    </row>
    <row r="14" spans="1:2">
      <c r="A14" s="2" t="s">
        <v>2200</v>
      </c>
      <c r="B14" s="2" t="s">
        <v>2201</v>
      </c>
    </row>
    <row r="15" spans="1:2">
      <c r="A15" s="2" t="s">
        <v>2202</v>
      </c>
      <c r="B15" s="2" t="s">
        <v>2203</v>
      </c>
    </row>
    <row r="16" spans="1:2">
      <c r="A16" s="2" t="s">
        <v>2204</v>
      </c>
      <c r="B16" s="2" t="s">
        <v>2205</v>
      </c>
    </row>
    <row r="17" spans="1:2">
      <c r="A17" s="2" t="s">
        <v>2206</v>
      </c>
      <c r="B17" s="2" t="s">
        <v>2207</v>
      </c>
    </row>
    <row r="18" spans="1:2">
      <c r="A18" s="2" t="s">
        <v>2208</v>
      </c>
      <c r="B18" s="2" t="s">
        <v>2209</v>
      </c>
    </row>
    <row r="19" spans="1:2">
      <c r="A19" s="2" t="s">
        <v>2210</v>
      </c>
      <c r="B19" s="2" t="s">
        <v>2211</v>
      </c>
    </row>
    <row r="20" spans="1:2">
      <c r="A20" s="2" t="s">
        <v>2212</v>
      </c>
      <c r="B20" s="2" t="s">
        <v>2213</v>
      </c>
    </row>
    <row r="21" spans="1:2">
      <c r="A21" s="2" t="s">
        <v>2214</v>
      </c>
      <c r="B21" s="2" t="s">
        <v>2215</v>
      </c>
    </row>
    <row r="22" spans="1:2">
      <c r="A22" s="2" t="s">
        <v>2216</v>
      </c>
      <c r="B22" s="2" t="s">
        <v>2217</v>
      </c>
    </row>
    <row r="23" spans="1:2">
      <c r="A23" s="2" t="s">
        <v>2218</v>
      </c>
      <c r="B23" s="2" t="s">
        <v>2219</v>
      </c>
    </row>
    <row r="24" spans="1:2">
      <c r="A24" s="2" t="s">
        <v>2220</v>
      </c>
      <c r="B24" s="2" t="s">
        <v>2221</v>
      </c>
    </row>
    <row r="25" spans="1:2">
      <c r="A25" s="2" t="s">
        <v>2222</v>
      </c>
      <c r="B25" s="2" t="s">
        <v>2223</v>
      </c>
    </row>
    <row r="26" spans="1:2">
      <c r="A26" s="2" t="s">
        <v>2224</v>
      </c>
      <c r="B26" s="2" t="s">
        <v>2225</v>
      </c>
    </row>
    <row r="27" spans="1:2">
      <c r="A27" s="2" t="s">
        <v>2226</v>
      </c>
      <c r="B27" s="2" t="s">
        <v>2227</v>
      </c>
    </row>
  </sheetData>
  <autoFilter ref="A1:B27"/>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3</vt:i4>
      </vt:variant>
    </vt:vector>
  </HeadingPairs>
  <TitlesOfParts>
    <vt:vector size="14" baseType="lpstr">
      <vt:lpstr>Readme</vt:lpstr>
      <vt:lpstr>Facts</vt:lpstr>
      <vt:lpstr>Calculations</vt:lpstr>
      <vt:lpstr>Reconciliations</vt:lpstr>
      <vt:lpstr>Sources</vt:lpstr>
      <vt:lpstr>Evidence</vt:lpstr>
      <vt:lpstr>Findings</vt:lpstr>
      <vt:lpstr>Procedures</vt:lpstr>
      <vt:lpstr>Requests</vt:lpstr>
      <vt:lpstr>Quant1</vt:lpstr>
      <vt:lpstr>Quant1Notes</vt:lpstr>
      <vt:lpstr>Calculations!Print_Titles</vt:lpstr>
      <vt:lpstr>Readme!Print_Titles</vt:lpstr>
      <vt:lpstr>Reconciliations!Print_Titles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Crown Castle 年报与Fiber出售分析</dc:title>
  <dc:creator/>
  <dc:description>Workpaper crown-castle-2025-public-3</dc:description>
  <cp:lastModifiedBy/>
  <dcterms:created xsi:type="dcterms:W3CDTF">2026-10-04T03:08:39Z</dcterms:created>
  <dcterms:modified xsi:type="dcterms:W3CDTF">2026-10-04T03:08:39Z</dcterms:modified>
</cp:coreProperties>
</file>