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Facts" sheetId="2" r:id="rId2"/>
    <sheet name="Calculations" sheetId="3" r:id="rId3"/>
    <sheet name="Reconciliations" sheetId="4" r:id="rId4"/>
    <sheet name="Sources" sheetId="5" r:id="rId5"/>
    <sheet name="Evidence" sheetId="6" r:id="rId6"/>
    <sheet name="Findings" sheetId="7" r:id="rId7"/>
    <sheet name="Procedures" sheetId="8" r:id="rId8"/>
    <sheet name="Requests" sheetId="9" r:id="rId9"/>
    <sheet name="Quant1" sheetId="10" r:id="rId10"/>
    <sheet name="Quant1Notes" sheetId="11" r:id="rId11"/>
    <sheet name="Quant2" sheetId="12" r:id="rId12"/>
    <sheet name="Quant2Notes" sheetId="13" r:id="rId13"/>
    <sheet name="Quant3" sheetId="14" r:id="rId14"/>
    <sheet name="Quant3Notes" sheetId="15" r:id="rId15"/>
  </sheets>
  <definedNames>
    <definedName name="_xlnm._FilterDatabase" localSheetId="2" hidden="1">Calculations!$A$1:$O$124</definedName>
    <definedName name="_xlnm._FilterDatabase" localSheetId="5" hidden="1">Evidence!$A$1:$E$89</definedName>
    <definedName name="_xlnm._FilterDatabase" localSheetId="1" hidden="1">Facts!$A$1:$R$637</definedName>
    <definedName name="_xlnm._FilterDatabase" localSheetId="6" hidden="1">Findings!$A$1:$I$30</definedName>
    <definedName name="_xlnm._FilterDatabase" localSheetId="7" hidden="1">Procedures!$A$1:$J$15</definedName>
    <definedName name="_xlnm._FilterDatabase" localSheetId="9" hidden="1">Quant1!$A$1:$F$327</definedName>
    <definedName name="_xlnm._FilterDatabase" localSheetId="10" hidden="1">Quant1Notes!$A$1:$B$115</definedName>
    <definedName name="_xlnm._FilterDatabase" localSheetId="11" hidden="1">Quant2!$A$1:$D$18</definedName>
    <definedName name="_xlnm._FilterDatabase" localSheetId="12" hidden="1">Quant2Notes!$A$1:$B$27</definedName>
    <definedName name="_xlnm._FilterDatabase" localSheetId="13" hidden="1">Quant3!$A$1:$I$61</definedName>
    <definedName name="_xlnm._FilterDatabase" localSheetId="14" hidden="1">Quant3Notes!$A$1:$B$70</definedName>
    <definedName name="_xlnm._FilterDatabase" localSheetId="0" hidden="1">Readme!$A$1:$B$28</definedName>
    <definedName name="_xlnm._FilterDatabase" localSheetId="3" hidden="1">Reconciliations!$A$1:$J$85</definedName>
    <definedName name="_xlnm._FilterDatabase" localSheetId="8" hidden="1">Requests!$A$1:$F$14</definedName>
    <definedName name="_xlnm._FilterDatabase" localSheetId="4" hidden="1">Sources!$A$1:$F$23</definedName>
    <definedName name="_xlnm.Print_Titles" localSheetId="2">Calculations!$1:$1</definedName>
    <definedName name="_xlnm.Print_Titles" localSheetId="0">Readme!$1:$1</definedName>
    <definedName name="_xlnm.Print_Titles" localSheetId="3">Reconciliations!$1:$1</definedName>
  </definedNames>
  <calcPr calcId="124519" fullCalcOnLoad="1"/>
</workbook>
</file>

<file path=xl/sharedStrings.xml><?xml version="1.0" encoding="utf-8"?>
<sst xmlns="http://schemas.openxmlformats.org/spreadsheetml/2006/main" count="14043" uniqueCount="3938">
  <si>
    <t>字段 / field</t>
  </si>
  <si>
    <t>内容 / value</t>
  </si>
  <si>
    <t>任务</t>
  </si>
  <si>
    <t>Crown Castle 年报与Fiber出售分析</t>
  </si>
  <si>
    <t>版本</t>
  </si>
  <si>
    <t>crown-castle-2025-public-4</t>
  </si>
  <si>
    <t>信息截止</t>
  </si>
  <si>
    <t>2026-06-30</t>
  </si>
  <si>
    <t>范围</t>
  </si>
  <si>
    <t>合并报表；明确区分持续经营、终止经营及契约借款人口径</t>
  </si>
  <si>
    <t>准则</t>
  </si>
  <si>
    <t>US GAAP</t>
  </si>
  <si>
    <t>方法与适用范围</t>
  </si>
  <si>
    <t>下载官方 PDF，以 pypdf 提取；关键表逐页图像复核；原件 SHA-256 留存</t>
  </si>
  <si>
    <t>仅采用截止日前公开原件；分别保留原报、重列比较期和期后事项，禁止跨期倒填</t>
  </si>
  <si>
    <t>以共同底稿复算四表及交易调节；金额按原表百万美元记录，勾稽差额以美元列示</t>
  </si>
  <si>
    <t>已执行程序仅为公开资料阅读、版本对照和计算；内部审计证据列为待核请求</t>
  </si>
  <si>
    <t>读取出售备考、签署出售协议和新旧信贷定义，将备考假设、实际交割收付及尚未完成的计划分列。</t>
  </si>
  <si>
    <t>按S&amp;P Ratios and Adjustments 2025-12-17及Sector-Specific Corporate Methodology 2025-09-26数字基础设施章建立历史调整桥和条件路径；方法代理、实际现金和分析估计分列。</t>
  </si>
  <si>
    <t>从实际Q1持续经营现金接入售后经营与融资；逐年同步滚动账面债、金融本金、租赁、ARO、付息、分配和方法指标。已发生、公司展望及研究假设分别保留。</t>
  </si>
  <si>
    <t>按Corporate Methodology的业务风险、适用波动表、前瞻核心与补充指标、锚点和逐步修正形成条件主体建议；六月十二个月流动性与管理治理分类分开，不能以年度模型现金替代实际来源。</t>
  </si>
  <si>
    <t>对CCI 4.000% March2027高级无抵押票据核义务人和顺位；投机级回收与投资级从属路径分别适用。塔设施资格、SPE匹配排除、同级及优先债权和法域未核时，计算足值边界而不填实际回收。</t>
  </si>
  <si>
    <t>单位</t>
  </si>
  <si>
    <t>Facts D=原始值，E=倍数，F=基础单位。Calculations D=基础单位，E=展示值。</t>
  </si>
  <si>
    <t>复算</t>
  </si>
  <si>
    <t>数值公式可编辑；修改主体、期间、币种、规则或资料后须重跑 export.py 复核口径。</t>
  </si>
  <si>
    <t>勾稽精度</t>
  </si>
  <si>
    <t>金额残差按本次Decimal输入/计算保留的小数位ROUND，消除Excel二进制尾差，不改变业务容差；提高输入小数精度后须重跑导出。</t>
  </si>
  <si>
    <t>缺口</t>
  </si>
  <si>
    <t>空值不是零。未执行程序、假设与已披露数据分别标识。</t>
  </si>
  <si>
    <t>限制</t>
  </si>
  <si>
    <t>研究于2026年10月整理更新；信息截止严格为2026-06-30。二季报及七月业绩虽涉及六月期末，因发表日晚于截止日排除。</t>
  </si>
  <si>
    <t>完整下载不等于逐页阅读。2025 年报已重点阅读审计意见、四表、政策/减值、终止经营、债务、税、现金及期后事项；2024 年报和新协议阅读范围见来源说明。</t>
  </si>
  <si>
    <t>未取得企业内部总账、估值模型、银行流水、合规证明、资金上划限制清单、最终交割结算及完整出售协议附件；不能形成审计保证或可支用现金/正式评级。</t>
  </si>
  <si>
    <t>2024 原报收入与 2025 年报重列比较收入差异，以及 2026 Q1 对 2025 Q1 待售准备回述差异尚未解释。</t>
  </si>
  <si>
    <t>现金流桥使用合并表内持续/终止组成项目，不能将其视为法律母公司单体现金流。</t>
  </si>
  <si>
    <t>US GAAP 条款编号来自 SEC 公司回复及公司政策，未将公司回复视为 SEC 批准，亦未声称已阅读全文 FASB Codification。</t>
  </si>
  <si>
    <t>公开备考BS假设2025-12-31完成、利润表假设2025-01-01完成，2026-05-01发表；其金额不属于2025已报实数或2026五月实际现金。出售协议后续修订未找到可识别文本，最初签署机制不能视为全部最终条款。</t>
  </si>
  <si>
    <t>已形成业务风险、standard财务风险、锚点、逐项修正及指定票据的条件研究链；June实际资金资格、专门M&amp;G分类、当前主权/T&amp;C及回收法域仍分别待核。主体情景和塔DAV足值边界不等于机构发表等级或已核实际回收。</t>
  </si>
  <si>
    <t>来源 SSEC, SFASB, S_SP_XBRL 未列单一正式公布日期；各报告期间的公开日、快照取得日或尚待核准事项见来源记录。历史时点结论须逐项依据实际公开时间。</t>
  </si>
  <si>
    <t>ID</t>
  </si>
  <si>
    <t>原始科目</t>
  </si>
  <si>
    <t>证据</t>
  </si>
  <si>
    <t>原始数值</t>
  </si>
  <si>
    <t>倍数</t>
  </si>
  <si>
    <t>基础单位数值</t>
  </si>
  <si>
    <t>量纲</t>
  </si>
  <si>
    <t>币种</t>
  </si>
  <si>
    <t>实体</t>
  </si>
  <si>
    <t>开始</t>
  </si>
  <si>
    <t>结束</t>
  </si>
  <si>
    <t>统计类型</t>
  </si>
  <si>
    <t>状态</t>
  </si>
  <si>
    <t>说明</t>
  </si>
  <si>
    <t>概念</t>
  </si>
  <si>
    <t>实物单位</t>
  </si>
  <si>
    <t>cash2025</t>
  </si>
  <si>
    <t>2025 持续经营非受限现金</t>
  </si>
  <si>
    <t>E25BS</t>
  </si>
  <si>
    <t>money</t>
  </si>
  <si>
    <t>USD</t>
  </si>
  <si>
    <t>Crown Castle Inc. and subsidiaries</t>
  </si>
  <si>
    <t>consolidated</t>
  </si>
  <si>
    <t>2025-12-31</t>
  </si>
  <si>
    <t>instant</t>
  </si>
  <si>
    <t>reported</t>
  </si>
  <si>
    <t>cash</t>
  </si>
  <si>
    <t>cash2024</t>
  </si>
  <si>
    <t>2024 持续经营非受限现金</t>
  </si>
  <si>
    <t>2024-12-31</t>
  </si>
  <si>
    <t>restated</t>
  </si>
  <si>
    <t>2024 列是终止经营展示重列，不表示会计差错更正。</t>
  </si>
  <si>
    <t>restrict2025</t>
  </si>
  <si>
    <t>2025 持续经营流动受限现金</t>
  </si>
  <si>
    <t>restrict</t>
  </si>
  <si>
    <t>restrict2024</t>
  </si>
  <si>
    <t>2024 持续经营流动受限现金</t>
  </si>
  <si>
    <t>recv2025</t>
  </si>
  <si>
    <t>2025 持续经营净应收款</t>
  </si>
  <si>
    <t>recv</t>
  </si>
  <si>
    <t>recv2024</t>
  </si>
  <si>
    <t>2024 持续经营净应收款</t>
  </si>
  <si>
    <t>prepaid2025</t>
  </si>
  <si>
    <t>2025 预付款</t>
  </si>
  <si>
    <t>prepaid</t>
  </si>
  <si>
    <t>prepaid2024</t>
  </si>
  <si>
    <t>2024 预付款</t>
  </si>
  <si>
    <t>rentcur2025</t>
  </si>
  <si>
    <t>2025 流动递延站点租金应收</t>
  </si>
  <si>
    <t>rentcur</t>
  </si>
  <si>
    <t>rentcur2024</t>
  </si>
  <si>
    <t>2024 流动递延站点租金应收</t>
  </si>
  <si>
    <t>otherca2025</t>
  </si>
  <si>
    <t>2025 其他流动资产</t>
  </si>
  <si>
    <t>otherca</t>
  </si>
  <si>
    <t>otherca2024</t>
  </si>
  <si>
    <t>2024 其他流动资产</t>
  </si>
  <si>
    <t>disc_ca2025</t>
  </si>
  <si>
    <t>2025 终止经营流动资产</t>
  </si>
  <si>
    <t>disc_ca</t>
  </si>
  <si>
    <t>disc_ca2024</t>
  </si>
  <si>
    <t>2024 终止经营流动资产</t>
  </si>
  <si>
    <t>ca2025</t>
  </si>
  <si>
    <t>2025 流动资产</t>
  </si>
  <si>
    <t>ca</t>
  </si>
  <si>
    <t>ca2024</t>
  </si>
  <si>
    <t>2024 流动资产</t>
  </si>
  <si>
    <t>rentnoncur2025</t>
  </si>
  <si>
    <t>2025 非流动递延站点租金应收</t>
  </si>
  <si>
    <t>rentnoncur</t>
  </si>
  <si>
    <t>rentnoncur2024</t>
  </si>
  <si>
    <t>2024 非流动递延站点租金应收</t>
  </si>
  <si>
    <t>ppe2025</t>
  </si>
  <si>
    <t>2025 持续经营净 PPE</t>
  </si>
  <si>
    <t>ppe</t>
  </si>
  <si>
    <t>ppe2024</t>
  </si>
  <si>
    <t>2024 持续经营净 PPE</t>
  </si>
  <si>
    <t>rou2025</t>
  </si>
  <si>
    <t>2025 持续经营经营租赁 ROU</t>
  </si>
  <si>
    <t>rou</t>
  </si>
  <si>
    <t>rou2024</t>
  </si>
  <si>
    <t>2024 持续经营经营租赁 ROU</t>
  </si>
  <si>
    <t>gw2025</t>
  </si>
  <si>
    <t>2025 持续经营商誉</t>
  </si>
  <si>
    <t>gw</t>
  </si>
  <si>
    <t>gw2024</t>
  </si>
  <si>
    <t>2024 持续经营商誉</t>
  </si>
  <si>
    <t>siteint2025</t>
  </si>
  <si>
    <t>2025 租约及租户关系净无形资产</t>
  </si>
  <si>
    <t>siteint</t>
  </si>
  <si>
    <t>siteint2024</t>
  </si>
  <si>
    <t>2024 租约及租户关系净无形资产</t>
  </si>
  <si>
    <t>otherint2025</t>
  </si>
  <si>
    <t>2025 其他净无形资产</t>
  </si>
  <si>
    <t>otherint</t>
  </si>
  <si>
    <t>otherint2024</t>
  </si>
  <si>
    <t>2024 其他净无形资产</t>
  </si>
  <si>
    <t>othera2025</t>
  </si>
  <si>
    <t>2025 其他净资产</t>
  </si>
  <si>
    <t>othera</t>
  </si>
  <si>
    <t>othera2024</t>
  </si>
  <si>
    <t>2024 其他净资产</t>
  </si>
  <si>
    <t>disc_nca2025</t>
  </si>
  <si>
    <t>2025 终止经营非流动资产</t>
  </si>
  <si>
    <t>disc_nca</t>
  </si>
  <si>
    <t>disc_nca2024</t>
  </si>
  <si>
    <t>2024 终止经营非流动资产</t>
  </si>
  <si>
    <t>assets2025</t>
  </si>
  <si>
    <t>2025 合并总资产</t>
  </si>
  <si>
    <t>assets</t>
  </si>
  <si>
    <t>assets2024</t>
  </si>
  <si>
    <t>2024 合并总资产</t>
  </si>
  <si>
    <t>ap2025</t>
  </si>
  <si>
    <t>2025 持续经营应付款</t>
  </si>
  <si>
    <t>ap</t>
  </si>
  <si>
    <t>ap2024</t>
  </si>
  <si>
    <t>2024 持续经营应付款</t>
  </si>
  <si>
    <t>intaccr2025</t>
  </si>
  <si>
    <t>2025 应计利息</t>
  </si>
  <si>
    <t>intaccr</t>
  </si>
  <si>
    <t>intaccr2024</t>
  </si>
  <si>
    <t>2024 应计利息</t>
  </si>
  <si>
    <t>defrev2025</t>
  </si>
  <si>
    <t>2025 流动递延收入</t>
  </si>
  <si>
    <t>defrev</t>
  </si>
  <si>
    <t>defrev2024</t>
  </si>
  <si>
    <t>2024 流动递延收入</t>
  </si>
  <si>
    <t>accr2025</t>
  </si>
  <si>
    <t>2025 其他应计负债</t>
  </si>
  <si>
    <t>accr</t>
  </si>
  <si>
    <t>accr2024</t>
  </si>
  <si>
    <t>2024 其他应计负债</t>
  </si>
  <si>
    <t>debtcur2025</t>
  </si>
  <si>
    <t>2025 持续经营流动债务及其他义务</t>
  </si>
  <si>
    <t>debtcur</t>
  </si>
  <si>
    <t>debtcur2024</t>
  </si>
  <si>
    <t>2024 持续经营流动债务及其他义务</t>
  </si>
  <si>
    <t>leasecur2025</t>
  </si>
  <si>
    <t>2025 持续经营流动经营租赁负债</t>
  </si>
  <si>
    <t>leasecur</t>
  </si>
  <si>
    <t>leasecur2024</t>
  </si>
  <si>
    <t>2024 持续经营流动经营租赁负债</t>
  </si>
  <si>
    <t>disc_cl2025</t>
  </si>
  <si>
    <t>2025 终止经营流动负债</t>
  </si>
  <si>
    <t>disc_cl</t>
  </si>
  <si>
    <t>disc_cl2024</t>
  </si>
  <si>
    <t>2024 终止经营流动负债</t>
  </si>
  <si>
    <t>cl2025</t>
  </si>
  <si>
    <t>2025 流动负债</t>
  </si>
  <si>
    <t>cl</t>
  </si>
  <si>
    <t>cl2024</t>
  </si>
  <si>
    <t>2024 流动负债</t>
  </si>
  <si>
    <t>debtlong2025</t>
  </si>
  <si>
    <t>2025 持续经营长期债务及其他义务</t>
  </si>
  <si>
    <t>debtlong</t>
  </si>
  <si>
    <t>debtlong2024</t>
  </si>
  <si>
    <t>2024 持续经营长期债务及其他义务</t>
  </si>
  <si>
    <t>leaselong2025</t>
  </si>
  <si>
    <t>2025 持续经营非流动经营租赁负债</t>
  </si>
  <si>
    <t>leaselong</t>
  </si>
  <si>
    <t>leaselong2024</t>
  </si>
  <si>
    <t>2024 持续经营非流动经营租赁负债</t>
  </si>
  <si>
    <t>otherl2025</t>
  </si>
  <si>
    <t>2025 其他长期负债</t>
  </si>
  <si>
    <t>otherl</t>
  </si>
  <si>
    <t>otherl2024</t>
  </si>
  <si>
    <t>2024 其他长期负债</t>
  </si>
  <si>
    <t>disc_ncl2025</t>
  </si>
  <si>
    <t>2025 终止经营非流动负债</t>
  </si>
  <si>
    <t>disc_ncl</t>
  </si>
  <si>
    <t>disc_ncl2024</t>
  </si>
  <si>
    <t>2024 终止经营非流动负债</t>
  </si>
  <si>
    <t>liabilities2025</t>
  </si>
  <si>
    <t>2025 合并总负债</t>
  </si>
  <si>
    <t>liabilities</t>
  </si>
  <si>
    <t>liabilities2024</t>
  </si>
  <si>
    <t>2024 合并总负债</t>
  </si>
  <si>
    <t>common2025</t>
  </si>
  <si>
    <t>2025 普通股股本</t>
  </si>
  <si>
    <t>common</t>
  </si>
  <si>
    <t>common2024</t>
  </si>
  <si>
    <t>2024 普通股股本</t>
  </si>
  <si>
    <t>apic2025</t>
  </si>
  <si>
    <t>2025 资本公积</t>
  </si>
  <si>
    <t>apic</t>
  </si>
  <si>
    <t>apic2024</t>
  </si>
  <si>
    <t>2024 资本公积</t>
  </si>
  <si>
    <t>aoci2025</t>
  </si>
  <si>
    <t>2025 累计 OCI</t>
  </si>
  <si>
    <t>aoci</t>
  </si>
  <si>
    <t>aoci2024</t>
  </si>
  <si>
    <t>2024 累计 OCI</t>
  </si>
  <si>
    <t>deficit2025</t>
  </si>
  <si>
    <t>2025 累计分配超过收益</t>
  </si>
  <si>
    <t>deficit</t>
  </si>
  <si>
    <t>deficit2024</t>
  </si>
  <si>
    <t>2024 累计分配超过收益</t>
  </si>
  <si>
    <t>equity2025</t>
  </si>
  <si>
    <t>2025 合并权益/亏绌</t>
  </si>
  <si>
    <t>equity</t>
  </si>
  <si>
    <t>equity2024</t>
  </si>
  <si>
    <t>2024 合并权益/亏绌</t>
  </si>
  <si>
    <t>siterent2025</t>
  </si>
  <si>
    <t>2025 持续经营站点租金收入</t>
  </si>
  <si>
    <t>E25PL</t>
  </si>
  <si>
    <t>2025-01-01</t>
  </si>
  <si>
    <t>flow</t>
  </si>
  <si>
    <t>siterent</t>
  </si>
  <si>
    <t>siterent2024</t>
  </si>
  <si>
    <t>2024 持续经营站点租金收入</t>
  </si>
  <si>
    <t>2024-01-01</t>
  </si>
  <si>
    <t>services2025</t>
  </si>
  <si>
    <t>2025 持续经营服务等收入</t>
  </si>
  <si>
    <t>services</t>
  </si>
  <si>
    <t>services2024</t>
  </si>
  <si>
    <t>2024 持续经营服务等收入</t>
  </si>
  <si>
    <t>revenue2025</t>
  </si>
  <si>
    <t>2025 持续经营收入</t>
  </si>
  <si>
    <t>revenue</t>
  </si>
  <si>
    <t>revenue2024</t>
  </si>
  <si>
    <t>2024 持续经营收入</t>
  </si>
  <si>
    <t>costrent2025</t>
  </si>
  <si>
    <t>2025 站点经营成本</t>
  </si>
  <si>
    <t>costrent</t>
  </si>
  <si>
    <t>costrent2024</t>
  </si>
  <si>
    <t>2024 站点经营成本</t>
  </si>
  <si>
    <t>costservice2025</t>
  </si>
  <si>
    <t>2025 服务经营成本</t>
  </si>
  <si>
    <t>costservice</t>
  </si>
  <si>
    <t>costservice2024</t>
  </si>
  <si>
    <t>2024 服务经营成本</t>
  </si>
  <si>
    <t>sga2025</t>
  </si>
  <si>
    <t>2025 持续经营 SG&amp;A</t>
  </si>
  <si>
    <t>sga</t>
  </si>
  <si>
    <t>sga2024</t>
  </si>
  <si>
    <t>2024 持续经营 SG&amp;A</t>
  </si>
  <si>
    <t>writedown2025</t>
  </si>
  <si>
    <t>2025 持续经营资产核销</t>
  </si>
  <si>
    <t>writedown</t>
  </si>
  <si>
    <t>writedown2024</t>
  </si>
  <si>
    <t>2024 持续经营资产核销</t>
  </si>
  <si>
    <t>acqexpense2025</t>
  </si>
  <si>
    <t>2025 并购整合费用</t>
  </si>
  <si>
    <t>acqexpense</t>
  </si>
  <si>
    <t>acqexpense2024</t>
  </si>
  <si>
    <t>2024 并购整合费用</t>
  </si>
  <si>
    <t>daa2025</t>
  </si>
  <si>
    <t>2025 持续经营折旧摊销摊增</t>
  </si>
  <si>
    <t>daa</t>
  </si>
  <si>
    <t>daa2024</t>
  </si>
  <si>
    <t>2024 持续经营折旧摊销摊增</t>
  </si>
  <si>
    <t>restruct2025</t>
  </si>
  <si>
    <t>2025 持续经营重组费</t>
  </si>
  <si>
    <t>restruct</t>
  </si>
  <si>
    <t>restruct2024</t>
  </si>
  <si>
    <t>2024 持续经营重组费</t>
  </si>
  <si>
    <t>opex2025</t>
  </si>
  <si>
    <t>2025 持续经营总经营费用</t>
  </si>
  <si>
    <t>opex</t>
  </si>
  <si>
    <t>opex2024</t>
  </si>
  <si>
    <t>2024 持续经营总经营费用</t>
  </si>
  <si>
    <t>opincome2025</t>
  </si>
  <si>
    <t>2025 持续经营营业利润</t>
  </si>
  <si>
    <t>opincome</t>
  </si>
  <si>
    <t>opincome2024</t>
  </si>
  <si>
    <t>2024 持续经营营业利润</t>
  </si>
  <si>
    <t>interest2025</t>
  </si>
  <si>
    <t>2025 持续经营利息及融资摊销净支出（带符号）</t>
  </si>
  <si>
    <t>interest</t>
  </si>
  <si>
    <t>interest2024</t>
  </si>
  <si>
    <t>2024 持续经营利息及融资摊销净支出（带符号）</t>
  </si>
  <si>
    <t>intincome2025</t>
  </si>
  <si>
    <t>2025 利息收入</t>
  </si>
  <si>
    <t>intincome</t>
  </si>
  <si>
    <t>intincome2024</t>
  </si>
  <si>
    <t>2024 利息收入</t>
  </si>
  <si>
    <t>otherincome2025</t>
  </si>
  <si>
    <t>2025 其他损益</t>
  </si>
  <si>
    <t>otherincome</t>
  </si>
  <si>
    <t>otherincome2024</t>
  </si>
  <si>
    <t>2024 其他损益</t>
  </si>
  <si>
    <t>contpbt2025</t>
  </si>
  <si>
    <t>2025 持续经营税前利润</t>
  </si>
  <si>
    <t>contpbt</t>
  </si>
  <si>
    <t>contpbt2024</t>
  </si>
  <si>
    <t>2024 持续经营税前利润</t>
  </si>
  <si>
    <t>conttax2025</t>
  </si>
  <si>
    <t>2025 持续经营税项（费用为负）</t>
  </si>
  <si>
    <t>conttax</t>
  </si>
  <si>
    <t>conttax2024</t>
  </si>
  <si>
    <t>2024 持续经营税项（费用为负）</t>
  </si>
  <si>
    <t>contni2025</t>
  </si>
  <si>
    <t>2025 持续经营净利润</t>
  </si>
  <si>
    <t>contni</t>
  </si>
  <si>
    <t>contni2024</t>
  </si>
  <si>
    <t>2024 持续经营净利润</t>
  </si>
  <si>
    <t>discpre2025</t>
  </si>
  <si>
    <t>2025 终止经营处置前净损益</t>
  </si>
  <si>
    <t>discpre</t>
  </si>
  <si>
    <t>discpre2024</t>
  </si>
  <si>
    <t>2024 终止经营处置前净损益</t>
  </si>
  <si>
    <t>saleloss2025</t>
  </si>
  <si>
    <t>2025 终止经营处置损失（费用正数）</t>
  </si>
  <si>
    <t>saleloss</t>
  </si>
  <si>
    <t>saleloss2024</t>
  </si>
  <si>
    <t>2024 终止经营处置损失（费用正数）</t>
  </si>
  <si>
    <t>discni2025</t>
  </si>
  <si>
    <t>2025 终止经营净损益</t>
  </si>
  <si>
    <t>discni</t>
  </si>
  <si>
    <t>discni2024</t>
  </si>
  <si>
    <t>2024 终止经营净损益</t>
  </si>
  <si>
    <t>netincome2025</t>
  </si>
  <si>
    <t>2025 合并净利润</t>
  </si>
  <si>
    <t>netincome</t>
  </si>
  <si>
    <t>netincome2024</t>
  </si>
  <si>
    <t>2024 合并净利润</t>
  </si>
  <si>
    <t>oci2025</t>
  </si>
  <si>
    <t>2025 本期 OCI</t>
  </si>
  <si>
    <t>oci</t>
  </si>
  <si>
    <t>oci2024</t>
  </si>
  <si>
    <t>2024 本期 OCI</t>
  </si>
  <si>
    <t>comprehensive2025</t>
  </si>
  <si>
    <t>2025 综合收益</t>
  </si>
  <si>
    <t>comprehensive</t>
  </si>
  <si>
    <t>comprehensive2024</t>
  </si>
  <si>
    <t>2024 综合收益</t>
  </si>
  <si>
    <t>finamort2025</t>
  </si>
  <si>
    <t>2025 非现金利息及融资费摊销现金流调整</t>
  </si>
  <si>
    <t>E25CF</t>
  </si>
  <si>
    <t>finamort</t>
  </si>
  <si>
    <t>finamort2024</t>
  </si>
  <si>
    <t>2024 非现金利息及融资费摊销现金流调整</t>
  </si>
  <si>
    <t>sbc2025</t>
  </si>
  <si>
    <t>2025 持续经营股份支付现金流调整</t>
  </si>
  <si>
    <t>sbc</t>
  </si>
  <si>
    <t>sbc2024</t>
  </si>
  <si>
    <t>2024 持续经营股份支付现金流调整</t>
  </si>
  <si>
    <t>deftaxcf2025</t>
  </si>
  <si>
    <t>2025 递延所得税现金流调整</t>
  </si>
  <si>
    <t>deftaxcf</t>
  </si>
  <si>
    <t>deftaxcf2024</t>
  </si>
  <si>
    <t>2024 递延所得税现金流调整</t>
  </si>
  <si>
    <t>noncashrestruct2025</t>
  </si>
  <si>
    <t>2025 非现金重组调整</t>
  </si>
  <si>
    <t>noncashrestruct</t>
  </si>
  <si>
    <t>noncashrestruct2024</t>
  </si>
  <si>
    <t>2024 非现金重组调整</t>
  </si>
  <si>
    <t>othernoncash2025</t>
  </si>
  <si>
    <t>2025 其他非现金调整</t>
  </si>
  <si>
    <t>othernoncash</t>
  </si>
  <si>
    <t>othernoncash2024</t>
  </si>
  <si>
    <t>2024 其他非现金调整</t>
  </si>
  <si>
    <t>disccfo2025</t>
  </si>
  <si>
    <t>2025 终止经营 CFO</t>
  </si>
  <si>
    <t>disccfo</t>
  </si>
  <si>
    <t>disccfo2024</t>
  </si>
  <si>
    <t>2024 终止经营 CFO</t>
  </si>
  <si>
    <t>wcint2025</t>
  </si>
  <si>
    <t>2025 应计利息现金流变化</t>
  </si>
  <si>
    <t>wcint</t>
  </si>
  <si>
    <t>wcint2024</t>
  </si>
  <si>
    <t>2024 应计利息现金流变化</t>
  </si>
  <si>
    <t>wcap2025</t>
  </si>
  <si>
    <t>2025 应付现金流变化</t>
  </si>
  <si>
    <t>wcap</t>
  </si>
  <si>
    <t>wcap2024</t>
  </si>
  <si>
    <t>2024 应付现金流变化</t>
  </si>
  <si>
    <t>wcl2025</t>
  </si>
  <si>
    <t>2025 其他负债现金流变化</t>
  </si>
  <si>
    <t>wcl</t>
  </si>
  <si>
    <t>wcl2024</t>
  </si>
  <si>
    <t>2024 其他负债现金流变化</t>
  </si>
  <si>
    <t>wcrecv2025</t>
  </si>
  <si>
    <t>2025 应收现金流变化</t>
  </si>
  <si>
    <t>wcrecv</t>
  </si>
  <si>
    <t>wcrecv2024</t>
  </si>
  <si>
    <t>2024 应收现金流变化</t>
  </si>
  <si>
    <t>wca2025</t>
  </si>
  <si>
    <t>2025 其他资产现金流变化</t>
  </si>
  <si>
    <t>wca</t>
  </si>
  <si>
    <t>wca2024</t>
  </si>
  <si>
    <t>2024 其他资产现金流变化</t>
  </si>
  <si>
    <t>cfo2025</t>
  </si>
  <si>
    <t>2025 合并 CFO</t>
  </si>
  <si>
    <t>cfo</t>
  </si>
  <si>
    <t>cfo2024</t>
  </si>
  <si>
    <t>2024 合并 CFO</t>
  </si>
  <si>
    <t>capex2025</t>
  </si>
  <si>
    <t>2025 持续经营资本支出（现金流符号）</t>
  </si>
  <si>
    <t>capex</t>
  </si>
  <si>
    <t>capex2024</t>
  </si>
  <si>
    <t>2024 持续经营资本支出（现金流符号）</t>
  </si>
  <si>
    <t>acqcf2025</t>
  </si>
  <si>
    <t>2025 收购现金流</t>
  </si>
  <si>
    <t>acqcf</t>
  </si>
  <si>
    <t>acqcf2024</t>
  </si>
  <si>
    <t>2024 收购现金流</t>
  </si>
  <si>
    <t>othercfi2025</t>
  </si>
  <si>
    <t>2025 其他投资现金流</t>
  </si>
  <si>
    <t>othercfi</t>
  </si>
  <si>
    <t>othercfi2024</t>
  </si>
  <si>
    <t>2024 其他投资现金流</t>
  </si>
  <si>
    <t>disccfi2025</t>
  </si>
  <si>
    <t>2025 终止经营 CFI</t>
  </si>
  <si>
    <t>disccfi</t>
  </si>
  <si>
    <t>disccfi2024</t>
  </si>
  <si>
    <t>2024 终止经营 CFI</t>
  </si>
  <si>
    <t>cfi2025</t>
  </si>
  <si>
    <t>2025 合并 CFI</t>
  </si>
  <si>
    <t>cfi</t>
  </si>
  <si>
    <t>cfi2024</t>
  </si>
  <si>
    <t>2024 合并 CFI</t>
  </si>
  <si>
    <t>issuecf2025</t>
  </si>
  <si>
    <t>2025 长期债发行现金流</t>
  </si>
  <si>
    <t>issuecf</t>
  </si>
  <si>
    <t>issuecf2024</t>
  </si>
  <si>
    <t>2024 长期债发行现金流</t>
  </si>
  <si>
    <t>principalcf2025</t>
  </si>
  <si>
    <t>2025 长期债本息中本金及义务支付</t>
  </si>
  <si>
    <t>principalcf</t>
  </si>
  <si>
    <t>principalcf2024</t>
  </si>
  <si>
    <t>2024 长期债本息中本金及义务支付</t>
  </si>
  <si>
    <t>redeemcf2025</t>
  </si>
  <si>
    <t>2025 长期债购买及赎回</t>
  </si>
  <si>
    <t>redeemcf</t>
  </si>
  <si>
    <t>redeemcf2024</t>
  </si>
  <si>
    <t>2024 长期债购买及赎回</t>
  </si>
  <si>
    <t>drawcf2025</t>
  </si>
  <si>
    <t>2025 循环借款提款</t>
  </si>
  <si>
    <t>drawcf</t>
  </si>
  <si>
    <t>drawcf2024</t>
  </si>
  <si>
    <t>2024 循环借款提款</t>
  </si>
  <si>
    <t>repaycf2025</t>
  </si>
  <si>
    <t>2025 循环借款还款</t>
  </si>
  <si>
    <t>repaycf</t>
  </si>
  <si>
    <t>repaycf2024</t>
  </si>
  <si>
    <t>2024 循环借款还款</t>
  </si>
  <si>
    <t>cpcf2025</t>
  </si>
  <si>
    <t>2025 CP 净发行</t>
  </si>
  <si>
    <t>cpcf</t>
  </si>
  <si>
    <t>cpcf2024</t>
  </si>
  <si>
    <t>2024 CP 净发行</t>
  </si>
  <si>
    <t>feecf2025</t>
  </si>
  <si>
    <t>2025 融资费用支付</t>
  </si>
  <si>
    <t>feecf</t>
  </si>
  <si>
    <t>feecf2024</t>
  </si>
  <si>
    <t>2024 融资费用支付</t>
  </si>
  <si>
    <t>buycf2025</t>
  </si>
  <si>
    <t>2025 股份购买现金流</t>
  </si>
  <si>
    <t>buycf</t>
  </si>
  <si>
    <t>buycf2024</t>
  </si>
  <si>
    <t>2024 股份购买现金流</t>
  </si>
  <si>
    <t>divcf2025</t>
  </si>
  <si>
    <t>2025 股利/分配支付</t>
  </si>
  <si>
    <t>divcf</t>
  </si>
  <si>
    <t>divcf2024</t>
  </si>
  <si>
    <t>2024 股利/分配支付</t>
  </si>
  <si>
    <t>cff2025</t>
  </si>
  <si>
    <t>2025 合并 CFF</t>
  </si>
  <si>
    <t>cff</t>
  </si>
  <si>
    <t>cff2024</t>
  </si>
  <si>
    <t>2024 合并 CFF</t>
  </si>
  <si>
    <t>cashdelta2025</t>
  </si>
  <si>
    <t>2025 合并现金及受限现金增减（汇率前）</t>
  </si>
  <si>
    <t>cashdelta</t>
  </si>
  <si>
    <t>cashdelta2024</t>
  </si>
  <si>
    <t>2024 合并现金及受限现金增减（汇率前）</t>
  </si>
  <si>
    <t>fxcash2025</t>
  </si>
  <si>
    <t>2025 现金汇率变动</t>
  </si>
  <si>
    <t>fxcash</t>
  </si>
  <si>
    <t>fxcash2024</t>
  </si>
  <si>
    <t>2024 现金汇率变动</t>
  </si>
  <si>
    <t>cashend2025</t>
  </si>
  <si>
    <t>2025 CF 期末全部现金及受限现金</t>
  </si>
  <si>
    <t>E25CF, E25CASH</t>
  </si>
  <si>
    <t>cashend</t>
  </si>
  <si>
    <t>cashend2024</t>
  </si>
  <si>
    <t>2024 CF 期末全部现金及受限现金</t>
  </si>
  <si>
    <t>eqopen2025</t>
  </si>
  <si>
    <t>2025 本期权益期初余额</t>
  </si>
  <si>
    <t>E25EQ</t>
  </si>
  <si>
    <t>eqopen</t>
  </si>
  <si>
    <t>eqopen2024</t>
  </si>
  <si>
    <t>2024 本期权益期初余额</t>
  </si>
  <si>
    <t>2023-12-31</t>
  </si>
  <si>
    <t>cashopen2025</t>
  </si>
  <si>
    <t>2025 年初合并现金及受限现金</t>
  </si>
  <si>
    <t>cashopen</t>
  </si>
  <si>
    <t>cashopen2024</t>
  </si>
  <si>
    <t>2024 年初合并现金及受限现金</t>
  </si>
  <si>
    <t>eqstock2025</t>
  </si>
  <si>
    <t>2025 权益表股份支付相关净额</t>
  </si>
  <si>
    <t>股份支付相关权益净额与现金流表持续经营股份支付费用不是同口径；宣告分配也不等于当期支付。</t>
  </si>
  <si>
    <t>eqstock</t>
  </si>
  <si>
    <t>eqstock2024</t>
  </si>
  <si>
    <t>2024 权益表股份支付相关净额</t>
  </si>
  <si>
    <t>股份支付相关权益净额与现金流表持续经营股份支付费用不是同口径；宣告分配也不等于当期支付。 2024 列是终止经营展示重列，不表示会计差错更正。</t>
  </si>
  <si>
    <t>eqbuy2025</t>
  </si>
  <si>
    <t>2025 权益表股份购买</t>
  </si>
  <si>
    <t>eqbuy</t>
  </si>
  <si>
    <t>eqbuy2024</t>
  </si>
  <si>
    <t>2024 权益表股份购买</t>
  </si>
  <si>
    <t>eqdiv2025</t>
  </si>
  <si>
    <t>2025 权益表宣告分配</t>
  </si>
  <si>
    <t>eqdiv</t>
  </si>
  <si>
    <t>eqdiv2024</t>
  </si>
  <si>
    <t>2024 权益表宣告分配</t>
  </si>
  <si>
    <t>discrevenue2025</t>
  </si>
  <si>
    <t>2025 终止经营收入</t>
  </si>
  <si>
    <t>E25HFS</t>
  </si>
  <si>
    <t>discrevenue</t>
  </si>
  <si>
    <t>discrevenue2024</t>
  </si>
  <si>
    <t>2024 终止经营收入</t>
  </si>
  <si>
    <t>discopex2025</t>
  </si>
  <si>
    <t>2025 终止经营经营费用（商誉另列）</t>
  </si>
  <si>
    <t>discopex</t>
  </si>
  <si>
    <t>discopex2024</t>
  </si>
  <si>
    <t>2024 终止经营经营费用（商誉另列）</t>
  </si>
  <si>
    <t>discgw2025</t>
  </si>
  <si>
    <t>2025 终止经营商誉减值费用</t>
  </si>
  <si>
    <t>discgw</t>
  </si>
  <si>
    <t>discgw2024</t>
  </si>
  <si>
    <t>2024 终止经营商誉减值费用</t>
  </si>
  <si>
    <t>discpbt2025</t>
  </si>
  <si>
    <t>2025 终止经营税前损益</t>
  </si>
  <si>
    <t>discpbt</t>
  </si>
  <si>
    <t>discpbt2024</t>
  </si>
  <si>
    <t>2024 终止经营税前损益</t>
  </si>
  <si>
    <t>disctax2025</t>
  </si>
  <si>
    <t>2025 终止经营税项（费用为负）</t>
  </si>
  <si>
    <t>disctax</t>
  </si>
  <si>
    <t>disctax2024</t>
  </si>
  <si>
    <t>2024 终止经营税项（费用为负）</t>
  </si>
  <si>
    <t>discrecv2025</t>
  </si>
  <si>
    <t>2025 终止经营应收</t>
  </si>
  <si>
    <t>discrecv</t>
  </si>
  <si>
    <t>discrecv2024</t>
  </si>
  <si>
    <t>2024 终止经营应收</t>
  </si>
  <si>
    <t>discotherca2025</t>
  </si>
  <si>
    <t>2025 终止经营其他流动资产</t>
  </si>
  <si>
    <t>discotherca</t>
  </si>
  <si>
    <t>discotherca2024</t>
  </si>
  <si>
    <t>2024 终止经营其他流动资产</t>
  </si>
  <si>
    <t>discppe2025</t>
  </si>
  <si>
    <t>2025 终止经营 PPE</t>
  </si>
  <si>
    <t>discppe</t>
  </si>
  <si>
    <t>discppe2024</t>
  </si>
  <si>
    <t>2024 终止经营 PPE</t>
  </si>
  <si>
    <t>discint2025</t>
  </si>
  <si>
    <t>2025 终止经营无形资产</t>
  </si>
  <si>
    <t>discint</t>
  </si>
  <si>
    <t>discint2024</t>
  </si>
  <si>
    <t>2024 终止经营无形资产</t>
  </si>
  <si>
    <t>discothernca2025</t>
  </si>
  <si>
    <t>2025 终止经营 ROU 及其他非流动资产</t>
  </si>
  <si>
    <t>discothernca</t>
  </si>
  <si>
    <t>discothernca2024</t>
  </si>
  <si>
    <t>2024 终止经营 ROU 及其他非流动资产</t>
  </si>
  <si>
    <t>hfsallow2025</t>
  </si>
  <si>
    <t>2025 待售资产准备（扣减额正数）</t>
  </si>
  <si>
    <t>hfsallow</t>
  </si>
  <si>
    <t>hfsallow2024</t>
  </si>
  <si>
    <t>2024 待售资产准备（扣减额正数）</t>
  </si>
  <si>
    <t>discassets2025</t>
  </si>
  <si>
    <t>2025 终止经营总资产</t>
  </si>
  <si>
    <t>discassets</t>
  </si>
  <si>
    <t>discassets2024</t>
  </si>
  <si>
    <t>2024 终止经营总资产</t>
  </si>
  <si>
    <t>discap2025</t>
  </si>
  <si>
    <t>2025 终止经营应付</t>
  </si>
  <si>
    <t>discap</t>
  </si>
  <si>
    <t>discap2024</t>
  </si>
  <si>
    <t>2024 终止经营应付</t>
  </si>
  <si>
    <t>discdefrev2025</t>
  </si>
  <si>
    <t>2025 终止经营流动递延收入</t>
  </si>
  <si>
    <t>discdefrev</t>
  </si>
  <si>
    <t>discdefrev2024</t>
  </si>
  <si>
    <t>2024 终止经营流动递延收入</t>
  </si>
  <si>
    <t>discleasaccr2025</t>
  </si>
  <si>
    <t>2025 终止经营流动租赁及其他应计</t>
  </si>
  <si>
    <t>discleasaccr</t>
  </si>
  <si>
    <t>discleasaccr2024</t>
  </si>
  <si>
    <t>2024 终止经营流动租赁及其他应计</t>
  </si>
  <si>
    <t>discdebtcur2025</t>
  </si>
  <si>
    <t>2025 终止经营流动债务</t>
  </si>
  <si>
    <t>discdebtcur</t>
  </si>
  <si>
    <t>discdebtcur2024</t>
  </si>
  <si>
    <t>2024 终止经营流动债务</t>
  </si>
  <si>
    <t>discdebtlong2025</t>
  </si>
  <si>
    <t>2025 终止经营长期债务</t>
  </si>
  <si>
    <t>discdebtlong</t>
  </si>
  <si>
    <t>discdebtlong2024</t>
  </si>
  <si>
    <t>2024 终止经营长期债务</t>
  </si>
  <si>
    <t>discleaselong2025</t>
  </si>
  <si>
    <t>2025 终止经营非流动经营租赁</t>
  </si>
  <si>
    <t>discleaselong</t>
  </si>
  <si>
    <t>discleaselong2024</t>
  </si>
  <si>
    <t>2024 终止经营非流动经营租赁</t>
  </si>
  <si>
    <t>discotherl2025</t>
  </si>
  <si>
    <t>2025 终止经营递延收入及其他长期负债</t>
  </si>
  <si>
    <t>discotherl</t>
  </si>
  <si>
    <t>discotherl2024</t>
  </si>
  <si>
    <t>2024 终止经营递延收入及其他长期负债</t>
  </si>
  <si>
    <t>discliab2025</t>
  </si>
  <si>
    <t>2025 终止经营总负债</t>
  </si>
  <si>
    <t>discliab</t>
  </si>
  <si>
    <t>discliab2024</t>
  </si>
  <si>
    <t>2024 终止经营总负债</t>
  </si>
  <si>
    <t>sellcost2025</t>
  </si>
  <si>
    <t>2025 已发生售出费用</t>
  </si>
  <si>
    <t>费用发生额，不等于本期现金支付。</t>
  </si>
  <si>
    <t>sellcost</t>
  </si>
  <si>
    <t>saletax2025</t>
  </si>
  <si>
    <t>2025 处置损失所得税利益</t>
  </si>
  <si>
    <t>saletax</t>
  </si>
  <si>
    <t>gwopen2024</t>
  </si>
  <si>
    <t>2024 年初合并商誉</t>
  </si>
  <si>
    <t>E24IMPAIR</t>
  </si>
  <si>
    <t>gwopen</t>
  </si>
  <si>
    <t>gwend2024original</t>
  </si>
  <si>
    <t>2024 年末合并商誉（原报；全部为Towers）</t>
  </si>
  <si>
    <t>oldrevenue2024</t>
  </si>
  <si>
    <t>2024 原报合并收入</t>
  </si>
  <si>
    <t>E24ORIG</t>
  </si>
  <si>
    <t>oldrevenue</t>
  </si>
  <si>
    <t>oldpbt2024</t>
  </si>
  <si>
    <t>2024 原报合并税前损益</t>
  </si>
  <si>
    <t>oldpbt</t>
  </si>
  <si>
    <t>oldtax2024</t>
  </si>
  <si>
    <t>2024 原报合并税项</t>
  </si>
  <si>
    <t>oldtax</t>
  </si>
  <si>
    <t>oldni2024</t>
  </si>
  <si>
    <t>2024 原报合并净利润</t>
  </si>
  <si>
    <t>oldni</t>
  </si>
  <si>
    <t>oldwrite2024</t>
  </si>
  <si>
    <t>2024 原报资产核销费用</t>
  </si>
  <si>
    <t>E24WRITE</t>
  </si>
  <si>
    <t>oldwrite</t>
  </si>
  <si>
    <t>cancelwrite2024</t>
  </si>
  <si>
    <t>2024 取消节点相关资产核销</t>
  </si>
  <si>
    <t>cancelwrite</t>
  </si>
  <si>
    <t>statutorytax2025</t>
  </si>
  <si>
    <t>2025 法定税率对应税额（费用负数）</t>
  </si>
  <si>
    <t>E25TAX</t>
  </si>
  <si>
    <t>statutorytax</t>
  </si>
  <si>
    <t>statutorytax2024</t>
  </si>
  <si>
    <t>2024 法定税率对应税额（费用负数）</t>
  </si>
  <si>
    <t>reittax2025</t>
  </si>
  <si>
    <t>2025 REIT 税额调节</t>
  </si>
  <si>
    <t>reittax</t>
  </si>
  <si>
    <t>reittax2024</t>
  </si>
  <si>
    <t>2024 REIT 税额调节</t>
  </si>
  <si>
    <t>vatax2025</t>
  </si>
  <si>
    <t>2025 估值准备税额调节</t>
  </si>
  <si>
    <t>vatax</t>
  </si>
  <si>
    <t>vatax2024</t>
  </si>
  <si>
    <t>2024 估值准备税额调节</t>
  </si>
  <si>
    <t>statetax2025</t>
  </si>
  <si>
    <t>2025 州税调节</t>
  </si>
  <si>
    <t>statetax</t>
  </si>
  <si>
    <t>statetax2024</t>
  </si>
  <si>
    <t>2024 州税调节</t>
  </si>
  <si>
    <t>foreigntax2025</t>
  </si>
  <si>
    <t>2025 外国税调节</t>
  </si>
  <si>
    <t>foreigntax</t>
  </si>
  <si>
    <t>foreigntax2024</t>
  </si>
  <si>
    <t>2024 外国税调节</t>
  </si>
  <si>
    <t>restrictnoncur2025</t>
  </si>
  <si>
    <t>2025 持续经营非流动受限现金</t>
  </si>
  <si>
    <t>E25CASH</t>
  </si>
  <si>
    <t>restrictnoncur</t>
  </si>
  <si>
    <t>restrictnoncur2024</t>
  </si>
  <si>
    <t>2024 持续经营非流动受限现金</t>
  </si>
  <si>
    <t>disccash2025</t>
  </si>
  <si>
    <t>2025 终止经营非受限现金</t>
  </si>
  <si>
    <t>disccash</t>
  </si>
  <si>
    <t>disccash2024</t>
  </si>
  <si>
    <t>2024 终止经营非受限现金</t>
  </si>
  <si>
    <t>discrestrict2025</t>
  </si>
  <si>
    <t>2025 终止经营受限现金</t>
  </si>
  <si>
    <t>discrestrict</t>
  </si>
  <si>
    <t>discrestrict2024</t>
  </si>
  <si>
    <t>2024 终止经营受限现金</t>
  </si>
  <si>
    <t>contcashall2025</t>
  </si>
  <si>
    <t>2025 持续经营全部现金（含受限）</t>
  </si>
  <si>
    <t>contcashall</t>
  </si>
  <si>
    <t>contcashall2024</t>
  </si>
  <si>
    <t>2024 持续经营全部现金（含受限）</t>
  </si>
  <si>
    <t>disccashall2025</t>
  </si>
  <si>
    <t>2025 终止经营全部现金（含受限）</t>
  </si>
  <si>
    <t>disccashall</t>
  </si>
  <si>
    <t>disccashall2024</t>
  </si>
  <si>
    <t>2024 终止经营全部现金（含受限）</t>
  </si>
  <si>
    <t>debt2025</t>
  </si>
  <si>
    <t>持续经营债务及其他义务账面值</t>
  </si>
  <si>
    <t>E25DEBT</t>
  </si>
  <si>
    <t>debt</t>
  </si>
  <si>
    <t>secured2025</t>
  </si>
  <si>
    <t>持续经营有担保债务账面值</t>
  </si>
  <si>
    <t>secured</t>
  </si>
  <si>
    <t>unsecured2025</t>
  </si>
  <si>
    <t>持续经营无担保债务账面值</t>
  </si>
  <si>
    <t>unsecured</t>
  </si>
  <si>
    <t>cp2025</t>
  </si>
  <si>
    <t>持续经营 CP 账面值</t>
  </si>
  <si>
    <t>cp</t>
  </si>
  <si>
    <t>revolver2025</t>
  </si>
  <si>
    <t>旧循环贷款账面值</t>
  </si>
  <si>
    <t>revolver</t>
  </si>
  <si>
    <t>term2025</t>
  </si>
  <si>
    <t>旧定期贷款账面值</t>
  </si>
  <si>
    <t>term</t>
  </si>
  <si>
    <t>undrawn2025</t>
  </si>
  <si>
    <t>旧循环额度未提用</t>
  </si>
  <si>
    <t>均为合并披露组成；债务表排除终止经营债务。未提用额度受协议限制并为 CP 提供备用支持。</t>
  </si>
  <si>
    <t>undrawn</t>
  </si>
  <si>
    <t>towerbook2025</t>
  </si>
  <si>
    <t>2018 塔票据账面值</t>
  </si>
  <si>
    <t>towerbook</t>
  </si>
  <si>
    <t>towerface2025</t>
  </si>
  <si>
    <t>2018 塔票据本金</t>
  </si>
  <si>
    <t>towerface</t>
  </si>
  <si>
    <t>speppe2025</t>
  </si>
  <si>
    <t>相关担保 PPE 账面值</t>
  </si>
  <si>
    <t>speppe</t>
  </si>
  <si>
    <t>leverage2025</t>
  </si>
  <si>
    <t>旧协议实际总净杠杆</t>
  </si>
  <si>
    <t>E25COV</t>
  </si>
  <si>
    <t>ratio</t>
  </si>
  <si>
    <t>borrower covenant group</t>
  </si>
  <si>
    <t>contractual covenant</t>
  </si>
  <si>
    <t>leverage</t>
  </si>
  <si>
    <t>times</t>
  </si>
  <si>
    <t>limit2025</t>
  </si>
  <si>
    <t>旧协议净杠杆上限</t>
  </si>
  <si>
    <t>E25COV, EOLDCREDIT</t>
  </si>
  <si>
    <t>limit</t>
  </si>
  <si>
    <t>securedratio2025</t>
  </si>
  <si>
    <t>旧协议实际高级担保杠杆</t>
  </si>
  <si>
    <t>securedratio</t>
  </si>
  <si>
    <t>securedlimit2025</t>
  </si>
  <si>
    <t>高级担保杠杆上限</t>
  </si>
  <si>
    <t>securedlimit</t>
  </si>
  <si>
    <t>q_allow</t>
  </si>
  <si>
    <t>Q1 2026 期末待售准备</t>
  </si>
  <si>
    <t>EQ126HFS</t>
  </si>
  <si>
    <t>2026-03-31</t>
  </si>
  <si>
    <t>q_discassets</t>
  </si>
  <si>
    <t>Q1 2026 终止经营资产</t>
  </si>
  <si>
    <t>q_discliab</t>
  </si>
  <si>
    <t>Q1 2026 终止经营负债</t>
  </si>
  <si>
    <t>q_cash</t>
  </si>
  <si>
    <t>Q1 持续经营现金</t>
  </si>
  <si>
    <t>EQ126CF</t>
  </si>
  <si>
    <t>q_restrict</t>
  </si>
  <si>
    <t>Q1 持续经营流动受限现金</t>
  </si>
  <si>
    <t>q_restrictnoncur</t>
  </si>
  <si>
    <t>Q1 非流动受限现金</t>
  </si>
  <si>
    <t>q_disccash</t>
  </si>
  <si>
    <t>Q1 终止经营现金</t>
  </si>
  <si>
    <t>q_discrestrict</t>
  </si>
  <si>
    <t>Q1 终止经营受限现金</t>
  </si>
  <si>
    <t>q_cashtotal</t>
  </si>
  <si>
    <t>Q1 现金及受限现金总计</t>
  </si>
  <si>
    <t>q_debt</t>
  </si>
  <si>
    <t>Q1 持续经营债务账面值</t>
  </si>
  <si>
    <t>q_debtcur</t>
  </si>
  <si>
    <t>Q1 持续经营流动债务</t>
  </si>
  <si>
    <t>q_debtlong</t>
  </si>
  <si>
    <t>Q1 持续经营长期债务</t>
  </si>
  <si>
    <t>q_cp</t>
  </si>
  <si>
    <t>Q1 CP 账面值</t>
  </si>
  <si>
    <t>q_undrawn</t>
  </si>
  <si>
    <t>Q1 旧额度未提用</t>
  </si>
  <si>
    <t>q_saleloss</t>
  </si>
  <si>
    <t>Q1 2026 处置损失</t>
  </si>
  <si>
    <t>2026-01-01</t>
  </si>
  <si>
    <t>q_sellcost</t>
  </si>
  <si>
    <t>Q1 2026 已发生出售费用</t>
  </si>
  <si>
    <t>q_discrev</t>
  </si>
  <si>
    <t>Q1 2026 终止经营收入</t>
  </si>
  <si>
    <t>q_discopex</t>
  </si>
  <si>
    <t>Q1 2026 终止经营费用</t>
  </si>
  <si>
    <t>q_discpbt</t>
  </si>
  <si>
    <t>Q1 2026 终止经营税前利润</t>
  </si>
  <si>
    <t>q_disctax</t>
  </si>
  <si>
    <t>Q1 2026 终止经营税项</t>
  </si>
  <si>
    <t>q_discpre</t>
  </si>
  <si>
    <t>Q1 2026 终止经营处置前净利润</t>
  </si>
  <si>
    <t>priorallow_original</t>
  </si>
  <si>
    <t>2025 Q1 原报待售准备</t>
  </si>
  <si>
    <t>EQ125, ESECSALE</t>
  </si>
  <si>
    <t>2025-03-31</t>
  </si>
  <si>
    <t>priorallow_recalled</t>
  </si>
  <si>
    <t>2026 Q1 脚注回述的 2025 Q1 待售准备</t>
  </si>
  <si>
    <t>原文如此；与上年原报及 SEC 回复不符。尚未解释，不视为获证实重述。</t>
  </si>
  <si>
    <t>prior_disposal</t>
  </si>
  <si>
    <t>2025 Q1 处置损失</t>
  </si>
  <si>
    <t>ESECSALE</t>
  </si>
  <si>
    <t>prior_cost</t>
  </si>
  <si>
    <t>2025 Q1 已发生出售费用</t>
  </si>
  <si>
    <t>grossprice</t>
  </si>
  <si>
    <t>合同总价</t>
  </si>
  <si>
    <t>EQ126SALE</t>
  </si>
  <si>
    <t>2026-05-01</t>
  </si>
  <si>
    <t>disclosed transaction cash</t>
  </si>
  <si>
    <t>交割价调尚待结算；74 和 3300 为公司约数，不当成逐美元精确银行流水。</t>
  </si>
  <si>
    <t>priceadjust</t>
  </si>
  <si>
    <t>初步交割价调扣款</t>
  </si>
  <si>
    <t>costpaid</t>
  </si>
  <si>
    <t>交割时支付此前已计提费用（约）</t>
  </si>
  <si>
    <t>debtrepaid</t>
  </si>
  <si>
    <t>五月一日实际还债（约）</t>
  </si>
  <si>
    <t>plan_cp</t>
  </si>
  <si>
    <t>计划随后随到期偿还 CP（约）</t>
  </si>
  <si>
    <t>已披露管理层计划，不是截至五月一日或六月三十日的执行实绩。</t>
  </si>
  <si>
    <t>plan_otherdebt</t>
  </si>
  <si>
    <t>计划 2026 其他还债（约）</t>
  </si>
  <si>
    <t>plan_buyback</t>
  </si>
  <si>
    <t>计划回购（约）</t>
  </si>
  <si>
    <t>newcommit</t>
  </si>
  <si>
    <t>新循环协议总承诺</t>
  </si>
  <si>
    <t>ECREDIT</t>
  </si>
  <si>
    <t>Crown Castle Inc. borrower</t>
  </si>
  <si>
    <t>contractual facility</t>
  </si>
  <si>
    <t>newlc</t>
  </si>
  <si>
    <t>新协议生效时信用证余额</t>
  </si>
  <si>
    <t>newlimit</t>
  </si>
  <si>
    <t>新协议总净杠杆上限</t>
  </si>
  <si>
    <t>maycp</t>
  </si>
  <si>
    <t>五月五日仍存 CP（公司约数）</t>
  </si>
  <si>
    <t>EQ126FAC</t>
  </si>
  <si>
    <t>2026-05-05</t>
  </si>
  <si>
    <t>dishrecorded</t>
  </si>
  <si>
    <t>DISH 年末应收净敞口约数</t>
  </si>
  <si>
    <t>EDISH</t>
  </si>
  <si>
    <t>公司约数；细项亦为约数，不能当成精确逐美元桥。</t>
  </si>
  <si>
    <t>missing_discount</t>
  </si>
  <si>
    <t>Fiber 商誉测试折现率</t>
  </si>
  <si>
    <t>missing</t>
  </si>
  <si>
    <t>已读原件未提供可独立重建估值的完整数值假设；不能以模型记忆补数。</t>
  </si>
  <si>
    <t>missing_recoverability</t>
  </si>
  <si>
    <t>Fiber 未折现现金流超额</t>
  </si>
  <si>
    <t>公司称通过测试，但预测、账面资产组调整及超额金额未公开充分披露。</t>
  </si>
  <si>
    <t>missing_parent_cash</t>
  </si>
  <si>
    <t>法律母公司可支用现金</t>
  </si>
  <si>
    <t>缺法律实体银行余额、受限/归属及上划约束；不得用合并现金替代。</t>
  </si>
  <si>
    <t>missing_final_sale</t>
  </si>
  <si>
    <t>六月截止可证实最终处置损益</t>
  </si>
  <si>
    <t>2026-04-01</t>
  </si>
  <si>
    <t>最终第二季度金额在已读截止日前公开原件未给出；不能用七月公布的结果倒填。</t>
  </si>
  <si>
    <t>missing_covenant_ebitda</t>
  </si>
  <si>
    <t>新协议经认可的备考 EBITDA</t>
  </si>
  <si>
    <t>已得新旧公开定义和公开会计备考；缺按定义逐项金额、出售/偿债备考与合规证书。公开净利1,188或公司非GAAP EBITDA不能替代。</t>
  </si>
  <si>
    <t>pf_price</t>
  </si>
  <si>
    <t>公开备考合同毛价</t>
  </si>
  <si>
    <t>EPROBS, EPROBASIS</t>
  </si>
  <si>
    <t>assumption</t>
  </si>
  <si>
    <t>Reg S-X Article 11 public pro forma (published 2026-05-01)</t>
  </si>
  <si>
    <t>2026-05-01公开备考；BS假设2025-12-31完成，损益假设2025-01-01完成。不是五月实际余额、最终结算或契约计算。</t>
  </si>
  <si>
    <t>pf_adjust</t>
  </si>
  <si>
    <t>公开备考初步价调</t>
  </si>
  <si>
    <t>pf_cost</t>
  </si>
  <si>
    <t>公开备考估计交易及留任成本</t>
  </si>
  <si>
    <t>pf_repay</t>
  </si>
  <si>
    <t>公开备考按2025年末本金假设偿债</t>
  </si>
  <si>
    <t>pf_cashadd</t>
  </si>
  <si>
    <t>公开备考剩余现金调整</t>
  </si>
  <si>
    <t>pf_cashbase</t>
  </si>
  <si>
    <t>备考表历史现金基数（2025已报）</t>
  </si>
  <si>
    <t>2026-05-01公开备考；BS假设2025-12-31完成，损益假设2025-01-01完成。不是五月实际余额、最终结算或契约计算。 此行原为历史列已报金额，仅作为本备考计算的明示输入；未回写原US GAAP实数。</t>
  </si>
  <si>
    <t>pf_cash</t>
  </si>
  <si>
    <t>公开备考现金余额</t>
  </si>
  <si>
    <t>pf_disc_ca</t>
  </si>
  <si>
    <t>公开备考移除终止经营流动资产</t>
  </si>
  <si>
    <t>pf_disc_nca</t>
  </si>
  <si>
    <t>公开备考移除终止经营非流动资产</t>
  </si>
  <si>
    <t>pf_assetdelta</t>
  </si>
  <si>
    <t>公开备考总资产调整</t>
  </si>
  <si>
    <t>pf_debtcurdelta</t>
  </si>
  <si>
    <t>公开备考流动债务调整</t>
  </si>
  <si>
    <t>pf_debtlongdelta</t>
  </si>
  <si>
    <t>公开备考长期债务调整</t>
  </si>
  <si>
    <t>pf_intaccrdelta</t>
  </si>
  <si>
    <t>公开备考应计利息调整</t>
  </si>
  <si>
    <t>pf_disc_cl</t>
  </si>
  <si>
    <t>公开备考移除终止经营流动负债</t>
  </si>
  <si>
    <t>pf_disc_ncl</t>
  </si>
  <si>
    <t>公开备考移除终止经营非流动负债</t>
  </si>
  <si>
    <t>pf_liabdelta</t>
  </si>
  <si>
    <t>公开备考总负债调整</t>
  </si>
  <si>
    <t>pf_equitydelta</t>
  </si>
  <si>
    <t>公开备考综合权益调整（非单独处置损失）</t>
  </si>
  <si>
    <t>pf_equitybase</t>
  </si>
  <si>
    <t>备考表历史权益基数（2025已报）</t>
  </si>
  <si>
    <t>pf_equity</t>
  </si>
  <si>
    <t>公开备考权益</t>
  </si>
  <si>
    <t>pf_contnibase</t>
  </si>
  <si>
    <t>备考表历史持续经营利润基数（2025已报）</t>
  </si>
  <si>
    <t>EPROPL, EPROBASIS</t>
  </si>
  <si>
    <t>pf_interestbase</t>
  </si>
  <si>
    <t>备考表历史利息及融资摊销带符号基数（2025已报）</t>
  </si>
  <si>
    <t>pf_interestdelta</t>
  </si>
  <si>
    <t>公开备考利息减少对利润影响</t>
  </si>
  <si>
    <t>pf_interest</t>
  </si>
  <si>
    <t>公开备考利息及融资摊销（带符号）</t>
  </si>
  <si>
    <t>pf_contni</t>
  </si>
  <si>
    <t>公开备考持续经营利润</t>
  </si>
  <si>
    <t>fiber_gwopen</t>
  </si>
  <si>
    <t>2024 Fiber年初商誉</t>
  </si>
  <si>
    <t>Fiber reporting unit</t>
  </si>
  <si>
    <t>2024原报note5/p75，不是2025重列推定。</t>
  </si>
  <si>
    <t>fiber_gwloss</t>
  </si>
  <si>
    <t>2024 Fiber商誉减值</t>
  </si>
  <si>
    <t>fiber_gwend</t>
  </si>
  <si>
    <t>2024 Fiber年末商誉</t>
  </si>
  <si>
    <t>towers_gwend</t>
  </si>
  <si>
    <t>2024 Towers年末商誉</t>
  </si>
  <si>
    <t>Towers reporting unit</t>
  </si>
  <si>
    <t>原报p75：剩余合并商誉全部属于Towers。</t>
  </si>
  <si>
    <t>spa_fiberbase</t>
  </si>
  <si>
    <t>签署协议Fiber基价</t>
  </si>
  <si>
    <t>ESPAPRICE</t>
  </si>
  <si>
    <t>2025-03-13</t>
  </si>
  <si>
    <t>signed sale contract base prices</t>
  </si>
  <si>
    <t>2025-03-13签署、2025-03-17公开；不含实际营运资本/净债务/费用/CapEx等调整。</t>
  </si>
  <si>
    <t>spa_smallbase</t>
  </si>
  <si>
    <t>签署协议Small Cell基价</t>
  </si>
  <si>
    <t>sp_rou_cost</t>
  </si>
  <si>
    <t>ROU经营租赁成本</t>
  </si>
  <si>
    <t>E_SP_LEASE</t>
  </si>
  <si>
    <t>sp_variable_lease</t>
  </si>
  <si>
    <t>可变租赁费用</t>
  </si>
  <si>
    <t>sp_lease_cash</t>
  </si>
  <si>
    <t>经营租赁实际付现</t>
  </si>
  <si>
    <t>E_SP_SCOPE</t>
  </si>
  <si>
    <t>sp_interest_incurred</t>
  </si>
  <si>
    <t>应计债务利息</t>
  </si>
  <si>
    <t>E_SP_CASH</t>
  </si>
  <si>
    <t>sp_finance_fee</t>
  </si>
  <si>
    <t>损益内融资费用摊销</t>
  </si>
  <si>
    <t>sp_capitalized_interest</t>
  </si>
  <si>
    <t>当期资本化利息发生额</t>
  </si>
  <si>
    <t>sp_interest_paid_net</t>
  </si>
  <si>
    <t>经营现金付息（排除资本化利息）</t>
  </si>
  <si>
    <t>E_SP_XBRL</t>
  </si>
  <si>
    <t>sp_cash_tax</t>
  </si>
  <si>
    <t>实际现金所得税</t>
  </si>
  <si>
    <t>sp_rsu</t>
  </si>
  <si>
    <t>直接证实以一股普通股结算的RSU费用</t>
  </si>
  <si>
    <t>E_SP_SBC</t>
  </si>
  <si>
    <t>sp_ppe_writeoff</t>
  </si>
  <si>
    <t>PP&amp;E放弃和核销总额</t>
  </si>
  <si>
    <t>sp_aro_accretion</t>
  </si>
  <si>
    <t>ARO折现增值</t>
  </si>
  <si>
    <t>E_SP_ARO</t>
  </si>
  <si>
    <t>sp_aro_settled</t>
  </si>
  <si>
    <t>ARO结算减少</t>
  </si>
  <si>
    <t>原表为Settlements，未独立证明全部属于现金支付。</t>
  </si>
  <si>
    <t>sp_depreciation</t>
  </si>
  <si>
    <t>折旧</t>
  </si>
  <si>
    <t>sp_amortization</t>
  </si>
  <si>
    <t>摊销</t>
  </si>
  <si>
    <t>sp_lease_rate</t>
  </si>
  <si>
    <t>期末经营租赁加权贴现率</t>
  </si>
  <si>
    <t>sp_aro_open</t>
  </si>
  <si>
    <t>期初ARO</t>
  </si>
  <si>
    <t>sp_aro_end</t>
  </si>
  <si>
    <t>期末ARO</t>
  </si>
  <si>
    <t>sp_capitalized_cash_estimate</t>
  </si>
  <si>
    <t>资本化现金付息估计</t>
  </si>
  <si>
    <t>依Ratios¶35/133，以已披露当期资本化发生额作最佳估计；尚未取得独立实付拆分。不把发生额标作现金事实，敏感性按逐单位变化解释。</t>
  </si>
  <si>
    <t>sp_q1_cfo_2026</t>
  </si>
  <si>
    <t>Q1合并CFO 2026</t>
  </si>
  <si>
    <t>E_SP_Q1CFO</t>
  </si>
  <si>
    <t>sp_q1_disc_2026</t>
  </si>
  <si>
    <t>Q1终止经营CFO 2026</t>
  </si>
  <si>
    <t>sp_q1_cfo_2025</t>
  </si>
  <si>
    <t>Q1合并CFO 2025</t>
  </si>
  <si>
    <t>sp_q1_disc_2025</t>
  </si>
  <si>
    <t>Q1终止经营CFO 2025</t>
  </si>
  <si>
    <t>sp_billings_prior</t>
  </si>
  <si>
    <t>上年同期站点billings</t>
  </si>
  <si>
    <t>E_SP_Q1BILL</t>
  </si>
  <si>
    <t>Company non-GAAP site rental billings</t>
  </si>
  <si>
    <t>sp_billings_organic</t>
  </si>
  <si>
    <t>剔DISH/Sprint后的增量</t>
  </si>
  <si>
    <t>sp_billings_dish</t>
  </si>
  <si>
    <t>DISH终止增量</t>
  </si>
  <si>
    <t>sp_billings_sprint</t>
  </si>
  <si>
    <t>Sprint不续约增量</t>
  </si>
  <si>
    <t>sp_renew_att</t>
  </si>
  <si>
    <t>2028续约组AT&amp;T年度化现金支付暴露</t>
  </si>
  <si>
    <t>E_SP_RENEW</t>
  </si>
  <si>
    <t>Company annualized renewal exposure as of 2025-12-31</t>
  </si>
  <si>
    <t>续约/延期假设下的年度化租金；不是2028实际收款或预计损失。</t>
  </si>
  <si>
    <t>sp_renew_total</t>
  </si>
  <si>
    <t>2028续约组全部年度化现金支付暴露</t>
  </si>
  <si>
    <t>sp_owned_towers</t>
  </si>
  <si>
    <t>自有地块塔数</t>
  </si>
  <si>
    <t>E_SP_LAND</t>
  </si>
  <si>
    <t>count</t>
  </si>
  <si>
    <t>Company tower portfolio</t>
  </si>
  <si>
    <t>towers</t>
  </si>
  <si>
    <t>sp_total_towers</t>
  </si>
  <si>
    <t>合计塔数</t>
  </si>
  <si>
    <t>sp_owned_margin</t>
  </si>
  <si>
    <t>自有地块末季年化毛现金利润</t>
  </si>
  <si>
    <t>2025-10-01</t>
  </si>
  <si>
    <t>Company Q4 2025 LQA site rental gross cash margin</t>
  </si>
  <si>
    <t>末季年化值，排除直线收入、预收租金摊销及直线费用；不是2025全年现金流。</t>
  </si>
  <si>
    <t>sp_total_margin</t>
  </si>
  <si>
    <t>全部地块末季年化毛现金利润</t>
  </si>
  <si>
    <t>sp_restruct26_expense</t>
  </si>
  <si>
    <t>2026重组计划Q1费用</t>
  </si>
  <si>
    <t>原件按重组计划分组，不能将2026新计划视作全部重组。</t>
  </si>
  <si>
    <t>sp_restruct26_payment</t>
  </si>
  <si>
    <t>2026重组计划Q1支付</t>
  </si>
  <si>
    <t>sp_restruct26_liability</t>
  </si>
  <si>
    <t>2026重组计划期末负债</t>
  </si>
  <si>
    <t>sp_restruct_old_payment</t>
  </si>
  <si>
    <t>2023/2024重组计划本期支付</t>
  </si>
  <si>
    <t>sp_restruct_old_liability</t>
  </si>
  <si>
    <t>2023/2024重组计划期末负债</t>
  </si>
  <si>
    <t>cg_sti_ebitda_narrative</t>
  </si>
  <si>
    <t>AIP p34文字Adjusted EBITDA</t>
  </si>
  <si>
    <t>E_PROXY_STI</t>
  </si>
  <si>
    <t>proxy_AIP_disclosure</t>
  </si>
  <si>
    <t>Proxy 2025 incentive disclosure</t>
  </si>
  <si>
    <t>AIP原文度量；未与持续经营B3范围/调整建立完整桥。</t>
  </si>
  <si>
    <t>cg_sti_ebitda_table</t>
  </si>
  <si>
    <t>AIP p45实际表Adjusted EBITDA</t>
  </si>
  <si>
    <t>cg_sti_ebitda_target</t>
  </si>
  <si>
    <t>AIP p45目标Adjusted EBITDA</t>
  </si>
  <si>
    <t>cg_sti_ebitda_weight</t>
  </si>
  <si>
    <t>AIP EBITDA权重</t>
  </si>
  <si>
    <t>按披露显示精度保存，不视为未经舍入完整计算输入。</t>
  </si>
  <si>
    <t>cg_sti_organic_weight</t>
  </si>
  <si>
    <t>AIP organic权重</t>
  </si>
  <si>
    <t>cg_sti_ebitda_achievement</t>
  </si>
  <si>
    <t>AIP EBITDA显示achievement</t>
  </si>
  <si>
    <t>cg_sti_ebitda_weighted</t>
  </si>
  <si>
    <t>AIP EBITDA显示weighted achievement</t>
  </si>
  <si>
    <t>cg_sti_organic_weighted</t>
  </si>
  <si>
    <t>AIP organic显示weighted achievement</t>
  </si>
  <si>
    <t>cg_sti_total_achievement</t>
  </si>
  <si>
    <t>AIP总显示achievement</t>
  </si>
  <si>
    <t>cg_sti_hill_target</t>
  </si>
  <si>
    <t>Hillabrant按就任期proration的目标奖金</t>
  </si>
  <si>
    <t>printed p46，美元；不反推未披露完整精度。</t>
  </si>
  <si>
    <t>cg_sti_hill_actual</t>
  </si>
  <si>
    <t>Hillabrant披露实际奖金</t>
  </si>
  <si>
    <t>printed p46，美元；披露额不是显示比例乘积的精确等式。</t>
  </si>
  <si>
    <t>cg_proxy_b3_ebitda</t>
  </si>
  <si>
    <t>Proxy B3列示历史Adjusted EBITDA</t>
  </si>
  <si>
    <t>E_CG_PROXY_B3</t>
  </si>
  <si>
    <t>proxy_historical_continuing_reconciliation</t>
  </si>
  <si>
    <t>Issuer non-GAAP historical disclosure</t>
  </si>
  <si>
    <t>保留剔除终止净损益的独立范围，不直接与AIP度量做同口径减法。</t>
  </si>
  <si>
    <t>cg_board_meetings</t>
  </si>
  <si>
    <t>2025 Board会议次数</t>
  </si>
  <si>
    <t>E_CG_GOV</t>
  </si>
  <si>
    <t>corporate_governance_disclosure</t>
  </si>
  <si>
    <t>Proxy governance disclosure</t>
  </si>
  <si>
    <t>次数只支持活动披露，不证明复核精度、独立性或运行有效。</t>
  </si>
  <si>
    <t>次</t>
  </si>
  <si>
    <t>cg_audit_meetings</t>
  </si>
  <si>
    <t>2025 Audit会议次数</t>
  </si>
  <si>
    <t>cg_finance_meetings</t>
  </si>
  <si>
    <t>2025 Finance会议次数</t>
  </si>
  <si>
    <t>fwd_ol_cur_q1</t>
  </si>
  <si>
    <t>Q1流动经营租赁负债</t>
  </si>
  <si>
    <t>E_FWD_Q1</t>
  </si>
  <si>
    <t>continuing_operations</t>
  </si>
  <si>
    <t>原始公开披露；原表范围和分析使用口径分别保留</t>
  </si>
  <si>
    <t>fwd_ol_long_q1</t>
  </si>
  <si>
    <t>Q1非流动经营租赁负债</t>
  </si>
  <si>
    <t>fwd_unamort_q1</t>
  </si>
  <si>
    <t>Q1未摊销债务调整净额</t>
  </si>
  <si>
    <t>E_FWD_CONTRACT</t>
  </si>
  <si>
    <t>fwd_face_q1</t>
  </si>
  <si>
    <t>Q1总债务面值</t>
  </si>
  <si>
    <t>fwd_cash_obligations_10q</t>
  </si>
  <si>
    <t>Q1 10Q Total Cash Obligations</t>
  </si>
  <si>
    <t>10Q note5物理14为24805/−123；supp物理28为24804/+122，两条原值均至24682账面，保留1差不定因。</t>
  </si>
  <si>
    <t>fwd_unamort_10q</t>
  </si>
  <si>
    <t>Q1 10Q未摊销调整绝对值</t>
  </si>
  <si>
    <t>fwd_capex_q1</t>
  </si>
  <si>
    <t>Q1资本支出现金流原行</t>
  </si>
  <si>
    <t>fwd_div_q1</t>
  </si>
  <si>
    <t>Q1普通股分配现金流原行</t>
  </si>
  <si>
    <t>fwd_buy_q1</t>
  </si>
  <si>
    <t>Q1回购现金流原行</t>
  </si>
  <si>
    <t>fwd_do_invest_q1</t>
  </si>
  <si>
    <t>Q1终止经营投资净现金流</t>
  </si>
  <si>
    <t>discontinued_operations</t>
  </si>
  <si>
    <t>fwd_interest_paid_net_q1</t>
  </si>
  <si>
    <t>Q1经营实付利息（排除资本化）</t>
  </si>
  <si>
    <t>E_FWD_Q1_XBRL</t>
  </si>
  <si>
    <t>fwd_gross_accrual_q1</t>
  </si>
  <si>
    <t>Q1债务应计利息费用</t>
  </si>
  <si>
    <t>fwd_cap_accrual_q1</t>
  </si>
  <si>
    <t>Q1应计资本化利息</t>
  </si>
  <si>
    <t>fwd_company_e_q1</t>
  </si>
  <si>
    <t>Q1公司Adjusted EBITDA</t>
  </si>
  <si>
    <t>Company non-GAAP Adjusted EBITDA, reconciled to US GAAP</t>
  </si>
  <si>
    <t>fwd_prepaid_amort_q1</t>
  </si>
  <si>
    <t>Q1预付租金摊销</t>
  </si>
  <si>
    <t>fwd_sl_rev_q1</t>
  </si>
  <si>
    <t>Q1直线收入</t>
  </si>
  <si>
    <t>fwd_sl_cost_q1</t>
  </si>
  <si>
    <t>Q1直线站点费用</t>
  </si>
  <si>
    <t>fwd_prepaid_add_q1</t>
  </si>
  <si>
    <t>Q1预付租金现金新增</t>
  </si>
  <si>
    <t>fwd_principal_q1</t>
  </si>
  <si>
    <t>Q1本金及其他长期义务支付金额</t>
  </si>
  <si>
    <t>consolidated_financing</t>
  </si>
  <si>
    <t>现金流融资原值32，未单列该行终止/持续归属；未来九个月96及年度128是全留存参照假设，不是已披露未来还本计划。</t>
  </si>
  <si>
    <t>fwd_amort_i_q1</t>
  </si>
  <si>
    <t>Q1融资成本/非现金利息摊销</t>
  </si>
  <si>
    <t>fwd_sga_q1</t>
  </si>
  <si>
    <t>Q1 SG&amp;A费用</t>
  </si>
  <si>
    <t>fwd_sbc_q1</t>
  </si>
  <si>
    <t>Q1股份支付现金流加回</t>
  </si>
  <si>
    <t>fwd_accrued_interest_begin</t>
  </si>
  <si>
    <t>Q1期初应计利息负债</t>
  </si>
  <si>
    <t>Public disclosure / explicit forward assumption</t>
  </si>
  <si>
    <t>fwd_accrued_interest_end</t>
  </si>
  <si>
    <t>Q1期末应计利息负债</t>
  </si>
  <si>
    <t>fwd_guide_e_low</t>
  </si>
  <si>
    <t>公司AEBITDA预测low</t>
  </si>
  <si>
    <t>E_FWD_GUIDANCE</t>
  </si>
  <si>
    <t>2026-12-31</t>
  </si>
  <si>
    <t>已公开的管理层未来区间；state reported仅表示区间确有披露，不表示未来实绩或现金</t>
  </si>
  <si>
    <t>fwd_guide_e_high</t>
  </si>
  <si>
    <t>公司AEBITDA预测high</t>
  </si>
  <si>
    <t>fwd_guide_gross_i_low</t>
  </si>
  <si>
    <t>公司总债务应计付息费用预测low</t>
  </si>
  <si>
    <t>fwd_guide_gross_i_high</t>
  </si>
  <si>
    <t>公司总债务应计付息费用预测high</t>
  </si>
  <si>
    <t>fwd_guide_amort_i_low</t>
  </si>
  <si>
    <t>公司融资成本摊销预测low</t>
  </si>
  <si>
    <t>fwd_guide_amort_i_high</t>
  </si>
  <si>
    <t>公司融资成本摊销预测high</t>
  </si>
  <si>
    <t>fwd_guide_cap_accrual_low</t>
  </si>
  <si>
    <t>公司资本化应计利息预测low</t>
  </si>
  <si>
    <t>fwd_guide_cap_accrual_high</t>
  </si>
  <si>
    <t>公司资本化应计利息预测high</t>
  </si>
  <si>
    <t>fwd_guide_net_i_low</t>
  </si>
  <si>
    <t>公司净利息费用预测low</t>
  </si>
  <si>
    <t>fwd_guide_net_i_high</t>
  </si>
  <si>
    <t>公司净利息费用预测high</t>
  </si>
  <si>
    <t>fwd_guide_dda_low</t>
  </si>
  <si>
    <t>公司DAA预测low</t>
  </si>
  <si>
    <t>fwd_guide_dda_high</t>
  </si>
  <si>
    <t>公司DAA预测high</t>
  </si>
  <si>
    <t>fwd_guide_sbc_low</t>
  </si>
  <si>
    <t>公司SBC预测low</t>
  </si>
  <si>
    <t>fwd_guide_sbc_high</t>
  </si>
  <si>
    <t>公司SBC预测high</t>
  </si>
  <si>
    <t>fwd_guide_imp_low</t>
  </si>
  <si>
    <t>公司资产减记预测low</t>
  </si>
  <si>
    <t>fwd_guide_imp_high</t>
  </si>
  <si>
    <t>公司资产减记预测high</t>
  </si>
  <si>
    <t>fwd_guide_ppa_low</t>
  </si>
  <si>
    <t>公司PPA摊销预测low</t>
  </si>
  <si>
    <t>fwd_guide_ppa_high</t>
  </si>
  <si>
    <t>公司PPA摊销预测high</t>
  </si>
  <si>
    <t>fwd_guide_restruct_low</t>
  </si>
  <si>
    <t>公司重组费用预测low</t>
  </si>
  <si>
    <t>fwd_guide_restruct_high</t>
  </si>
  <si>
    <t>公司重组费用预测high</t>
  </si>
  <si>
    <t>fwd_guide_tax_low</t>
  </si>
  <si>
    <t>公司税费用预测low</t>
  </si>
  <si>
    <t>fwd_guide_tax_high</t>
  </si>
  <si>
    <t>公司税费用预测high</t>
  </si>
  <si>
    <t>fwd_guide_other_low</t>
  </si>
  <si>
    <t>公司其他费用预测low</t>
  </si>
  <si>
    <t>fwd_guide_other_high</t>
  </si>
  <si>
    <t>公司其他费用预测high</t>
  </si>
  <si>
    <t>fwd_guide_cap_disc_low</t>
  </si>
  <si>
    <t>公司可选资本支出预测low</t>
  </si>
  <si>
    <t>fwd_guide_cap_disc_high</t>
  </si>
  <si>
    <t>公司可选资本支出预测high</t>
  </si>
  <si>
    <t>fwd_guide_cap_sustain_low</t>
  </si>
  <si>
    <t>公司维护资本支出预测low</t>
  </si>
  <si>
    <t>fwd_guide_cap_sustain_high</t>
  </si>
  <si>
    <t>公司维护资本支出预测high</t>
  </si>
  <si>
    <t>fwd_guide_prepaid_low</t>
  </si>
  <si>
    <t>公司新增预付租金预测low</t>
  </si>
  <si>
    <t>fwd_guide_prepaid_high</t>
  </si>
  <si>
    <t>公司新增预付租金预测high</t>
  </si>
  <si>
    <t>fwd_guide_sl_rev_low</t>
  </si>
  <si>
    <t>公司SL收入预测low</t>
  </si>
  <si>
    <t>fwd_guide_sl_rev_high</t>
  </si>
  <si>
    <t>公司SL收入预测high</t>
  </si>
  <si>
    <t>fwd_guide_sl_cost_low</t>
  </si>
  <si>
    <t>公司SL费用预测low</t>
  </si>
  <si>
    <t>fwd_guide_sl_cost_high</t>
  </si>
  <si>
    <t>公司SL费用预测high</t>
  </si>
  <si>
    <t>fwd_guide_prepaid_amort_low</t>
  </si>
  <si>
    <t>公司预付租金摊销预测low</t>
  </si>
  <si>
    <t>fwd_guide_prepaid_amort_high</t>
  </si>
  <si>
    <t>公司预付租金摊销预测high</t>
  </si>
  <si>
    <t>fwd_guide_ffo_low</t>
  </si>
  <si>
    <t>公司FFO预测low</t>
  </si>
  <si>
    <t>fwd_guide_ffo_high</t>
  </si>
  <si>
    <t>公司FFO预测high</t>
  </si>
  <si>
    <t>fwd_guide_affo_low</t>
  </si>
  <si>
    <t>公司AFFO预测low</t>
  </si>
  <si>
    <t>fwd_guide_affo_high</t>
  </si>
  <si>
    <t>公司AFFO预测high</t>
  </si>
  <si>
    <t>fwd_guide_site_rev_low</t>
  </si>
  <si>
    <t>公司站点收入预测low</t>
  </si>
  <si>
    <t>fwd_guide_site_rev_high</t>
  </si>
  <si>
    <t>公司站点收入预测high</t>
  </si>
  <si>
    <t>fwd_guide_service_margin_low</t>
  </si>
  <si>
    <t>公司服务毛利预测low</t>
  </si>
  <si>
    <t>fwd_guide_service_margin_high</t>
  </si>
  <si>
    <t>公司服务毛利预测high</t>
  </si>
  <si>
    <t>fwd_guide_ni_low</t>
  </si>
  <si>
    <t>公司合并净利润预测low</t>
  </si>
  <si>
    <t>fwd_guide_ni_high</t>
  </si>
  <si>
    <t>公司合并净利润预测high</t>
  </si>
  <si>
    <t>fwd_guide_do_low</t>
  </si>
  <si>
    <t>公司终止经营净损益预测low</t>
  </si>
  <si>
    <t>fwd_guide_do_high</t>
  </si>
  <si>
    <t>公司终止经营净损益预测high</t>
  </si>
  <si>
    <t>fwd_guide_interest_income</t>
  </si>
  <si>
    <t>公司2026利息收入预测</t>
  </si>
  <si>
    <t>fwd_guide_shares</t>
  </si>
  <si>
    <t>公司2026稀释加权股数预测（百万股）</t>
  </si>
  <si>
    <t>million_shares</t>
  </si>
  <si>
    <t>fwd_contract_bill_2026</t>
  </si>
  <si>
    <t>2026现有合同预测contract_bill</t>
  </si>
  <si>
    <t>2026为剩余九个月，非全年。现有合同披露假设全续约/no churn/CPI3%；ground为排除直线化的总地租费用，现金转换及fixed/variable拆分另有假设</t>
  </si>
  <si>
    <t>fwd_contract_prepaid_2026</t>
  </si>
  <si>
    <t>2026现有合同预测contract_prepaid</t>
  </si>
  <si>
    <t>fwd_contract_sl_2026</t>
  </si>
  <si>
    <t>2026现有合同预测contract_sl</t>
  </si>
  <si>
    <t>fwd_ground_cash_2026</t>
  </si>
  <si>
    <t>2026现有合同预测ground_cash</t>
  </si>
  <si>
    <t>fwd_ground_sl_2026</t>
  </si>
  <si>
    <t>2026现有合同预测ground_sl</t>
  </si>
  <si>
    <t>fwd_contract_bill_2027</t>
  </si>
  <si>
    <t>2027现有合同预测contract_bill</t>
  </si>
  <si>
    <t>2027-01-01</t>
  </si>
  <si>
    <t>2027-12-31</t>
  </si>
  <si>
    <t>现有合同披露假设全续约/no churn/CPI3%；ground为排除直线化的总地租费用，现金转换及fixed/variable拆分另有假设</t>
  </si>
  <si>
    <t>fwd_contract_prepaid_2027</t>
  </si>
  <si>
    <t>2027现有合同预测contract_prepaid</t>
  </si>
  <si>
    <t>fwd_contract_sl_2027</t>
  </si>
  <si>
    <t>2027现有合同预测contract_sl</t>
  </si>
  <si>
    <t>fwd_ground_cash_2027</t>
  </si>
  <si>
    <t>2027现有合同预测ground_cash</t>
  </si>
  <si>
    <t>fwd_ground_sl_2027</t>
  </si>
  <si>
    <t>2027现有合同预测ground_sl</t>
  </si>
  <si>
    <t>fwd_contract_bill_2028</t>
  </si>
  <si>
    <t>2028现有合同预测contract_bill</t>
  </si>
  <si>
    <t>2028-01-01</t>
  </si>
  <si>
    <t>2028-12-31</t>
  </si>
  <si>
    <t>fwd_contract_prepaid_2028</t>
  </si>
  <si>
    <t>2028现有合同预测contract_prepaid</t>
  </si>
  <si>
    <t>fwd_contract_sl_2028</t>
  </si>
  <si>
    <t>2028现有合同预测contract_sl</t>
  </si>
  <si>
    <t>fwd_ground_cash_2028</t>
  </si>
  <si>
    <t>2028现有合同预测ground_cash</t>
  </si>
  <si>
    <t>fwd_ground_sl_2028</t>
  </si>
  <si>
    <t>2028现有合同预测ground_sl</t>
  </si>
  <si>
    <t>fwd_att_2028</t>
  </si>
  <si>
    <t>Q1口径2028 ATT年度化续约暴露</t>
  </si>
  <si>
    <t>fwd_renew_2028</t>
  </si>
  <si>
    <t>Q1口径2028总年度化续约暴露</t>
  </si>
  <si>
    <t>fwd_fixed_maturity2027</t>
  </si>
  <si>
    <t>Q1固定债2027到期本金</t>
  </si>
  <si>
    <t>Q1 supplement PDF15/18；2250=750+500+1000，2600=1000+1000+600；750法律最终到期2048。尚未识别计划2100的逐券分配，未来保留这些本金为情景。</t>
  </si>
  <si>
    <t>fwd_fixed_maturity2028</t>
  </si>
  <si>
    <t>Q1固定债2028法律到期本金</t>
  </si>
  <si>
    <t>fwd_anticipated2028</t>
  </si>
  <si>
    <t>Q1 Series2018-2在July2028预期偿付本金</t>
  </si>
  <si>
    <t>fwd_maturity_H226</t>
  </si>
  <si>
    <t>Q1所列July2026固定债到期本金</t>
  </si>
  <si>
    <t>2026-07-01</t>
  </si>
  <si>
    <t>Q1 supplement PDF15；窗口本金是假设未被提前赎回后的日历义务，不证明June30实际余额。计划2100逐券分配未知。</t>
  </si>
  <si>
    <t>fwd_maturity_H127</t>
  </si>
  <si>
    <t>Q1所列March2027两券到期本金</t>
  </si>
  <si>
    <t>2027-06-30</t>
  </si>
  <si>
    <t>fwd_cap_cash</t>
  </si>
  <si>
    <t>2026资本化实付现金代理</t>
  </si>
  <si>
    <t>分析假设，原件不确定该未来现金/余额；用于情景并在输入快照保留。</t>
  </si>
  <si>
    <t>fwd_cap_cash_q1</t>
  </si>
  <si>
    <t>Q1资本化现金代理</t>
  </si>
  <si>
    <t>fwd_cash_i_delta26</t>
  </si>
  <si>
    <t>2026经营现金付息较经营应计的时差</t>
  </si>
  <si>
    <t>主情景明确参照假设为0，不是未知事实的零填补；另有命名未知参数/敏感性。</t>
  </si>
  <si>
    <t>fwd_cash_tax26</t>
  </si>
  <si>
    <t>2026现金所得税代理</t>
  </si>
  <si>
    <t>fwd_cash_tax_q1</t>
  </si>
  <si>
    <t>Q1持续经营净付退税现金参照（披露精度）</t>
  </si>
  <si>
    <t>E_FWD_CASH_TAX</t>
  </si>
  <si>
    <t>公司Q1 LQA净付退税列为横线，Adjusted EBITDA扣前后均2700，脚注排除Fiber；按该披露精度以LQA净额0除4作季度参照0。它不是未披露填零，不证明未舍入净额或毛支付/退税均为精确0。税费减递延税是应计代理，不能代替该现金披露。全年现金税15仍为独立假设，实际Q1 CFO296不变。</t>
  </si>
  <si>
    <t>fwd_cash_income_q1</t>
  </si>
  <si>
    <t>Q1现金利息收入代理</t>
  </si>
  <si>
    <t>fwd_restruct_cash26</t>
  </si>
  <si>
    <t>2026全年重组实付假设（新旧合计）</t>
  </si>
  <si>
    <t>fwd_other_conversion26</t>
  </si>
  <si>
    <t>余下2026其他现金转换净流出假设</t>
  </si>
  <si>
    <t>分析假设，原件不确定该未来现金/余额；用于情景并在输入快照保留。包含ARO实际结算及除已直扣税息/重组/预付外的其他非损益/营运资本变化，不再另扣ARO结算；不是完整WC事实。</t>
  </si>
  <si>
    <t>fwd_old_restruct_cash26</t>
  </si>
  <si>
    <t>2026旧办公室计划全年现金支付假设</t>
  </si>
  <si>
    <t>fwd_closing_extra_cost</t>
  </si>
  <si>
    <t>交割后未付成本现金假设</t>
  </si>
  <si>
    <t>分析假设，原件不确定该未来现金/余额；用于情景并在输入快照保留。53为备考127−已付74的示例，不是已知应付。</t>
  </si>
  <si>
    <t>fwd_april_net_finance</t>
  </si>
  <si>
    <t>四月及中间未公开净融资参照假设</t>
  </si>
  <si>
    <t>fwd_debt_writeoff26</t>
  </si>
  <si>
    <t>2026处置/偿债影响未摊销调整净额的参照假设</t>
  </si>
  <si>
    <t>fwd_cash_floor</t>
  </si>
  <si>
    <t>用于数学融资测试的现金阈值</t>
  </si>
  <si>
    <t>fwd_cp_reserve</t>
  </si>
  <si>
    <t>CP/共同备用占用参照假设</t>
  </si>
  <si>
    <t>fwd_ground_q1</t>
  </si>
  <si>
    <t>Q1总地租现金费用代理</t>
  </si>
  <si>
    <t>fwd_variable26</t>
  </si>
  <si>
    <t>2026可变地租/租赁费用代理</t>
  </si>
  <si>
    <t>fwd_corporate_lease</t>
  </si>
  <si>
    <t>年度其他固定租赁现金代理</t>
  </si>
  <si>
    <t>fwd_lease_add26</t>
  </si>
  <si>
    <t>Q1后新增/重估OL净额假设</t>
  </si>
  <si>
    <t>fwd_lease_add_future</t>
  </si>
  <si>
    <t>2027/28年度新增/重估OL净额假设</t>
  </si>
  <si>
    <t>分析假设，原件不确定该未来现金/余额；用于情景并在输入快照保留。 2027与2028每年分别采用152，不是两年合计152；context为参数适用区间而非合计流量。</t>
  </si>
  <si>
    <t>fwd_service_gp</t>
  </si>
  <si>
    <t>年度服务现金毛利假设</t>
  </si>
  <si>
    <t>fwd_service_revenue</t>
  </si>
  <si>
    <t>年度服务收入假设</t>
  </si>
  <si>
    <t>fwd_site_other</t>
  </si>
  <si>
    <t>年度其他站点收入假设</t>
  </si>
  <si>
    <t>fwd_non_ground_sl</t>
  </si>
  <si>
    <t>年度其他直线费用假设</t>
  </si>
  <si>
    <t>fwd_new_leasing</t>
  </si>
  <si>
    <t>年度新增租赁假设</t>
  </si>
  <si>
    <t>fwd_normal_churn</t>
  </si>
  <si>
    <t>年度正常billings流失假设</t>
  </si>
  <si>
    <t>fwd_aro_new26</t>
  </si>
  <si>
    <t>2026新增ARO假设（未披露增量参照）</t>
  </si>
  <si>
    <t>fwd_aro_net_offset</t>
  </si>
  <si>
    <t>ARO抵减敏感性参照（主值未抵减）</t>
  </si>
  <si>
    <t>fwd_credit_debt_delta</t>
  </si>
  <si>
    <t>其他信用债务调整敏感性参照</t>
  </si>
  <si>
    <t>fwd_refi2027</t>
  </si>
  <si>
    <t>2027已知面值到期/假设等额再融资</t>
  </si>
  <si>
    <t>fwd_refi2028</t>
  </si>
  <si>
    <t>2028有效到期/假设等额再融资（含750预期日）</t>
  </si>
  <si>
    <t>fwd_loss27</t>
  </si>
  <si>
    <t>压力2027经营现金及EBITDA损失</t>
  </si>
  <si>
    <t>fwd_loss28</t>
  </si>
  <si>
    <t>压力2028基础经营现金及EBITDA损失</t>
  </si>
  <si>
    <t>fwd_refi_exposure2027</t>
  </si>
  <si>
    <t>2027再融资首年本金计息暴露（百万美元年）</t>
  </si>
  <si>
    <t>分析假设，原件不确定该未来现金/余额；用于情景并在输入快照保留。按到期月末融资至年末：2027=(1250×9+1000×3)/12=1187.5；2028=(1000×11+1000×10+600×3+750×5)/12=2212.5。单位百万美元年；不是已公开实际计息或逐券债务管理计划。</t>
  </si>
  <si>
    <t>USD_year</t>
  </si>
  <si>
    <t>fwd_refi_exposure2028</t>
  </si>
  <si>
    <t>2028再融资首年本金计息暴露（百万美元年）</t>
  </si>
  <si>
    <t>fwd_growth</t>
  </si>
  <si>
    <t>非地租及可变费用年增长假设</t>
  </si>
  <si>
    <t>分析假设；不是实际余额、现金实付或机构指标</t>
  </si>
  <si>
    <t>fwd_escalator</t>
  </si>
  <si>
    <t>续年度新增合同增长假设</t>
  </si>
  <si>
    <t>fwd_new_draw_rate</t>
  </si>
  <si>
    <t>新增额度现金利率假设</t>
  </si>
  <si>
    <t>fwd_att_loss</t>
  </si>
  <si>
    <t>ATT压力费率损失假设</t>
  </si>
  <si>
    <t>fwd_att_fraction</t>
  </si>
  <si>
    <t>ATT压力全年覆盖份额假设</t>
  </si>
  <si>
    <t>fwd_spread27</t>
  </si>
  <si>
    <t>2027再融资额外利差压力</t>
  </si>
  <si>
    <t>fwd_spread28</t>
  </si>
  <si>
    <t>2028再融资额外利差压力</t>
  </si>
  <si>
    <t>fwd_legacy_rate2027</t>
  </si>
  <si>
    <t>2027留存金融本金平均应计利率假设</t>
  </si>
  <si>
    <t>fwd_legacy_rate2028</t>
  </si>
  <si>
    <t>2028留存金融本金平均应计利率假设</t>
  </si>
  <si>
    <t>fwd_old_restruct_lease_in_ol</t>
  </si>
  <si>
    <t>旧办公室重组付款在OL负债中的覆盖份额假设</t>
  </si>
  <si>
    <t>fwd_window_weight26</t>
  </si>
  <si>
    <t>Jul-Dec占Q1后九个月CFO及资本支出的均匀时序代理</t>
  </si>
  <si>
    <t>明确均匀现金时序代理，不是实际半年CFO，Q1显示的利息季节性不证明未来均匀</t>
  </si>
  <si>
    <t>fwd_window_weight27</t>
  </si>
  <si>
    <t>Jan-Jun占2027年度CFO及资本支出的时序代理</t>
  </si>
  <si>
    <t>明确均匀现金时序代理，不是实际半年CFO；只能以未知半年份额覆盖</t>
  </si>
  <si>
    <t>fwd_div_per_share</t>
  </si>
  <si>
    <t>未来每季每股现金分配假设</t>
  </si>
  <si>
    <t>每季1.0625作为公开分配安排的延续假设；未来现金支付仍受股数及批准/支付时点影响</t>
  </si>
  <si>
    <t>per_share</t>
  </si>
  <si>
    <t>fwd_amort_i2027</t>
  </si>
  <si>
    <t>未来融资成本摊销代理2027</t>
  </si>
  <si>
    <t>明确未来分析假设；0表示本主情景没有另计该项，不断言未来实际为0。费用与实付时差另立参数；其他现金转换包括ARO结算，不能再扣一次。</t>
  </si>
  <si>
    <t>fwd_cap_accrual2027</t>
  </si>
  <si>
    <t>未来应计资本化代理2027</t>
  </si>
  <si>
    <t>fwd_cap_cash2027</t>
  </si>
  <si>
    <t>未来资本化实付代理2027</t>
  </si>
  <si>
    <t>fwd_cash_i_delta2027</t>
  </si>
  <si>
    <t>未来经营现金付息时差参照2027</t>
  </si>
  <si>
    <t>fwd_cash_tax2027</t>
  </si>
  <si>
    <t>未来现金税代理2027</t>
  </si>
  <si>
    <t>fwd_gaap_tax2027</t>
  </si>
  <si>
    <t>未来GAAP税代理2027</t>
  </si>
  <si>
    <t>fwd_income_cash2027</t>
  </si>
  <si>
    <t>未来利息收入现金代理2027</t>
  </si>
  <si>
    <t>fwd_dda2027</t>
  </si>
  <si>
    <t>未来DAA代理2027</t>
  </si>
  <si>
    <t>fwd_sbc2027</t>
  </si>
  <si>
    <t>未来SBC代理2027</t>
  </si>
  <si>
    <t>fwd_imp2027</t>
  </si>
  <si>
    <t>未来减记代理2027</t>
  </si>
  <si>
    <t>fwd_ppa2027</t>
  </si>
  <si>
    <t>未来PPA摊销代理2027</t>
  </si>
  <si>
    <t>fwd_other_conversion2027</t>
  </si>
  <si>
    <t>未来其他现金转换净流出假设2027</t>
  </si>
  <si>
    <t>fwd_unamort_writeoff2027</t>
  </si>
  <si>
    <t>未来未摊销退出调整参照2027</t>
  </si>
  <si>
    <t>fwd_cash_restruct2027</t>
  </si>
  <si>
    <t>未来重组新旧负债现金结算合计假设2027</t>
  </si>
  <si>
    <t>fwd_new_restruct_expense2027</t>
  </si>
  <si>
    <t>未来新增重组费用参照2027</t>
  </si>
  <si>
    <t>fwd_other_pnl2027</t>
  </si>
  <si>
    <t>未来其他非经营损益参照2027</t>
  </si>
  <si>
    <t>fwd_buyback2027</t>
  </si>
  <si>
    <t>未来新增回购参照2027</t>
  </si>
  <si>
    <t>fwd_amort_i2028</t>
  </si>
  <si>
    <t>未来融资成本摊销代理2028</t>
  </si>
  <si>
    <t>fwd_cap_accrual2028</t>
  </si>
  <si>
    <t>未来应计资本化代理2028</t>
  </si>
  <si>
    <t>fwd_cap_cash2028</t>
  </si>
  <si>
    <t>未来资本化实付代理2028</t>
  </si>
  <si>
    <t>fwd_cash_i_delta2028</t>
  </si>
  <si>
    <t>未来经营现金付息时差参照2028</t>
  </si>
  <si>
    <t>fwd_cash_tax2028</t>
  </si>
  <si>
    <t>未来现金税代理2028</t>
  </si>
  <si>
    <t>fwd_gaap_tax2028</t>
  </si>
  <si>
    <t>未来GAAP税代理2028</t>
  </si>
  <si>
    <t>fwd_income_cash2028</t>
  </si>
  <si>
    <t>未来利息收入现金代理2028</t>
  </si>
  <si>
    <t>fwd_dda2028</t>
  </si>
  <si>
    <t>未来DAA代理2028</t>
  </si>
  <si>
    <t>fwd_sbc2028</t>
  </si>
  <si>
    <t>未来SBC代理2028</t>
  </si>
  <si>
    <t>fwd_imp2028</t>
  </si>
  <si>
    <t>未来减记代理2028</t>
  </si>
  <si>
    <t>fwd_ppa2028</t>
  </si>
  <si>
    <t>未来PPA摊销代理2028</t>
  </si>
  <si>
    <t>fwd_other_conversion2028</t>
  </si>
  <si>
    <t>未来其他现金转换净流出假设2028</t>
  </si>
  <si>
    <t>fwd_unamort_writeoff2028</t>
  </si>
  <si>
    <t>未来未摊销退出调整参照2028</t>
  </si>
  <si>
    <t>fwd_cash_restruct2028</t>
  </si>
  <si>
    <t>未来重组新旧负债现金结算合计假设2028</t>
  </si>
  <si>
    <t>fwd_new_restruct_expense2028</t>
  </si>
  <si>
    <t>未来新增重组费用参照2028</t>
  </si>
  <si>
    <t>fwd_other_pnl2028</t>
  </si>
  <si>
    <t>未来其他非经营损益参照2028</t>
  </si>
  <si>
    <t>fwd_buyback2028</t>
  </si>
  <si>
    <t>未来新增回购参照2028</t>
  </si>
  <si>
    <t>fwd_may_cash_actual</t>
  </si>
  <si>
    <t>May1交割动作完成后普通现金余额（实际未知）</t>
  </si>
  <si>
    <t>截止信息集不能确定；不填零。量化情景使用另列的明确参照/代理，并保留代数式与敏感性。 该日期是模型所需的观察接点；value=null并不证明已观察到该日余额或实际执行。</t>
  </si>
  <si>
    <t>fwd_june_cash_actual</t>
  </si>
  <si>
    <t>June30普通现金余额（实际未知）</t>
  </si>
  <si>
    <t>fwd_closing_cost_actual</t>
  </si>
  <si>
    <t>交割后剩余交易成本真实实付</t>
  </si>
  <si>
    <t>截止信息集不能确定；不填零。量化情景使用另列的明确参照/代理，并保留代数式与敏感性。 日期仅界定本预测窗口；真实结算日期与窗口外尾款仍未知，不把模型窗口当公司付款计划。</t>
  </si>
  <si>
    <t>fwd_fiber_cash_actual</t>
  </si>
  <si>
    <t>April Fiber向母公司可归属净现金（实际未知）</t>
  </si>
  <si>
    <t>discontinued_operations_parent_attribution</t>
  </si>
  <si>
    <t>2026-04-30</t>
  </si>
  <si>
    <t>截止信息集不能确定；不填零。量化情景使用另列的明确参照/代理，并保留代数式与敏感性。</t>
  </si>
  <si>
    <t>fwd_april_debt_actual</t>
  </si>
  <si>
    <t>四月未公开借还本金净额</t>
  </si>
  <si>
    <t>fwd_new_restruct_other_actual</t>
  </si>
  <si>
    <t>新计划办公室/IT未来责任及付款</t>
  </si>
  <si>
    <t>截止信息集不能确定；不填零。量化情景使用另列的明确参照/代理，并保留代数式与敏感性。 2026-12-31只界定本事实所需模型窗口，不能据此声称全部现金付款在2026结清；员工以外实际时间仍未知。</t>
  </si>
  <si>
    <t>fwd_old_restruct_retained_actual</t>
  </si>
  <si>
    <t>May1售后旧办公室责任留存/转移拆分（实际未知）</t>
  </si>
  <si>
    <t>fwd_june_cp_actual</t>
  </si>
  <si>
    <t>June30 CP未偿本金（实际未知）</t>
  </si>
  <si>
    <t>fwd_other_debt_paid_to_june_actual</t>
  </si>
  <si>
    <t>2100计划截至June30真实已偿份额</t>
  </si>
  <si>
    <t>fwd_buyback_paid_to_june_actual</t>
  </si>
  <si>
    <t>1000计划截至June30真实执行份额</t>
  </si>
  <si>
    <t>F_DEV_IR</t>
  </si>
  <si>
    <t>Digital infrastructure industry risk</t>
  </si>
  <si>
    <t>E_DEV_DI</t>
  </si>
  <si>
    <t>consolidated after Fiber disposal</t>
  </si>
  <si>
    <t>public-source analytical credit recommendation</t>
  </si>
  <si>
    <t>行业方法直接给2，按售后经营范围应用。</t>
  </si>
  <si>
    <t>industry risk category 1..6</t>
  </si>
  <si>
    <t>F_DEV_CR</t>
  </si>
  <si>
    <t>Main operating country risk</t>
  </si>
  <si>
    <t>E_DEV_COUNTRY, E_DEV_CORP</t>
  </si>
  <si>
    <t>美国1；Puerto Rico确切收入/资产分量未核，按已披露美国主经营建议。</t>
  </si>
  <si>
    <t>country risk category 1..6</t>
  </si>
  <si>
    <t>F_DEV_CICRA</t>
  </si>
  <si>
    <t>CICRA</t>
  </si>
  <si>
    <t>E_DEV_COUNTRY, E_DEV_CORP, E_DEV_DI</t>
  </si>
  <si>
    <t>Corporate Table1 IR2×CR1→2。</t>
  </si>
  <si>
    <t>CICRA category 1..6</t>
  </si>
  <si>
    <t>F_DEV_CA</t>
  </si>
  <si>
    <t>Competitive advantage factor</t>
  </si>
  <si>
    <t>E_DEV_CP, E_DEV_DI, E_DEV_CASH_CONTRACT</t>
  </si>
  <si>
    <t>专业选strong/adequate，最高档与adequate档理由见形成表。</t>
  </si>
  <si>
    <t>CP factor score 1..5</t>
  </si>
  <si>
    <t>F_DEV_SSD</t>
  </si>
  <si>
    <t>Scale scope diversity factor</t>
  </si>
  <si>
    <t>E_DEV_CP, E_DEV_DI</t>
  </si>
  <si>
    <t>专业选strong/adequate，不能当最终CP六档2。</t>
  </si>
  <si>
    <t>F_DEV_OE</t>
  </si>
  <si>
    <t>Operating efficiency factor</t>
  </si>
  <si>
    <t>专业选strong/adequate；现金维护低、成熟租户多，同时土地租赁限制最高档。</t>
  </si>
  <si>
    <t>F_DEV_PP</t>
  </si>
  <si>
    <t>Preliminary competitive position</t>
  </si>
  <si>
    <t>E_DEV_CORP, E_DEV_DI</t>
  </si>
  <si>
    <t>加权2.0位于(1.5,2.25]→2。</t>
  </si>
  <si>
    <t>competitive position category 1..6</t>
  </si>
  <si>
    <t>F_DEV_PROF</t>
  </si>
  <si>
    <t>Combined profitability</t>
  </si>
  <si>
    <t>E_DEV_CORP, E_DEV_CP</t>
  </si>
  <si>
    <t>平均盈利水平+volatility3专业代理→综合3；精确同业above/average当前不改变CP2，盈利4–6才改变。</t>
  </si>
  <si>
    <t>profitability category 1..6</t>
  </si>
  <si>
    <t>F_DEV_CP</t>
  </si>
  <si>
    <t>Final competitive position</t>
  </si>
  <si>
    <t>Table16初步2×盈利1..3→最终2/strong。</t>
  </si>
  <si>
    <t>F_DEV_BRP</t>
  </si>
  <si>
    <t>Business risk profile</t>
  </si>
  <si>
    <t>Corporate Table2 CICRA2×CP2→BRP2/strong。</t>
  </si>
  <si>
    <t>business risk category 1..6</t>
  </si>
  <si>
    <t>F_DEV_SERVICES_GM_LOW</t>
  </si>
  <si>
    <t>2026 services and other gross margin outlook low</t>
  </si>
  <si>
    <t>E_DEV_SALE</t>
  </si>
  <si>
    <t>continuing Towers operations</t>
  </si>
  <si>
    <t>company public disclosure; May1 outlook for forecast fields</t>
  </si>
  <si>
    <t>公司公开预测，不是已实现业绩或方法调整预测。</t>
  </si>
  <si>
    <t>F_DEV_SERVICES_GM_HIGH</t>
  </si>
  <si>
    <t>2026 services and other gross margin outlook high</t>
  </si>
  <si>
    <t>F_DEV_TENANT_TERM_Q1</t>
  </si>
  <si>
    <t>Weighted average tenant contract remaining life Q1</t>
  </si>
  <si>
    <t>E_DEV_CASH_CONTRACT</t>
  </si>
  <si>
    <t>Reported identity/operating statistic; not automatic rating input classification.</t>
  </si>
  <si>
    <t>years</t>
  </si>
  <si>
    <t>F_DEV_TOWER_COUNT_Q1</t>
  </si>
  <si>
    <t>Towers and rooftops Q1</t>
  </si>
  <si>
    <t>towers and rooftops</t>
  </si>
  <si>
    <t>F_DEV_NOTE_FACE</t>
  </si>
  <si>
    <t>CCI 4.000% March2027 note face principal</t>
  </si>
  <si>
    <t>E_DEV_FACE, E_DEV_NOTE, E_DEV_NOTE_GUAR</t>
  </si>
  <si>
    <t>Crown Castle Inc.</t>
  </si>
  <si>
    <t>issuer-specific debt</t>
  </si>
  <si>
    <t>F_DEV_CARRIER_RIGHTS_PCT</t>
  </si>
  <si>
    <t>AT&amp;T/T-Mobile master lease/sublease/managed towers share</t>
  </si>
  <si>
    <t>E_DEV_TOWER_RIGHTS</t>
  </si>
  <si>
    <t>company reported operating rights</t>
  </si>
  <si>
    <t>2025年末运营商塔设施权利比例；不是土地租赁比例，也不是已核non-SPE合格塔比例；用于2026塔数情景须显式权利组成不变假设。</t>
  </si>
  <si>
    <t>F_R109_W120_CURRENT</t>
  </si>
  <si>
    <t>¶120比率时序权重CURRENT</t>
  </si>
  <si>
    <t>E_R109_FRP_TABLE</t>
  </si>
  <si>
    <t>issuer_and_CCI_4pct_March2027_formation</t>
  </si>
  <si>
    <t>S&amp;P original methodology / explicit research choice</t>
  </si>
  <si>
    <t>F_R109_W120_NEXT</t>
  </si>
  <si>
    <t>¶120比率时序权重NEXT</t>
  </si>
  <si>
    <t>F_R109_W117_CURRENT</t>
  </si>
  <si>
    <t>¶117条件比率时序权重CURRENT</t>
  </si>
  <si>
    <t>F_R109_W117_NEXT</t>
  </si>
  <si>
    <t>¶117条件比率时序权重NEXT</t>
  </si>
  <si>
    <t>F_R109_W117_SECOND</t>
  </si>
  <si>
    <t>¶117条件比率时序权重SECOND</t>
  </si>
  <si>
    <t>F_R109_LIQ_AB</t>
  </si>
  <si>
    <t>Adequate A/B必要门槛</t>
  </si>
  <si>
    <t>E_R109_LIQ</t>
  </si>
  <si>
    <t>F_R109_COVERAGE_BOUNDARY</t>
  </si>
  <si>
    <t>标准EBITDA/interest significant下界</t>
  </si>
  <si>
    <t>F_R109_RATE_100BP</t>
  </si>
  <si>
    <t>¶151浮息基准上升100bp</t>
  </si>
  <si>
    <t>E_R109_MODIFIERS</t>
  </si>
  <si>
    <t>F_R109_NOTE_COUPON</t>
  </si>
  <si>
    <t>指定票据合同票息</t>
  </si>
  <si>
    <t>E_DEV_FACE, E_R109_NOTE_ID</t>
  </si>
  <si>
    <t>F_R109_NOTE_BOOK</t>
  </si>
  <si>
    <t>指定票据Q1账面值</t>
  </si>
  <si>
    <t>E_R109_NOTE_ID</t>
  </si>
  <si>
    <t>F_R109_DAV_TOWER</t>
  </si>
  <si>
    <t>合格标准多天线塔典型DAV</t>
  </si>
  <si>
    <t>E_R109_RECOVERY</t>
  </si>
  <si>
    <t>F_R109_ADMIN_COST</t>
  </si>
  <si>
    <t>回收一般行政成本率</t>
  </si>
  <si>
    <t>F_R109_PREINTEREST_YEARS</t>
  </si>
  <si>
    <t>预欠息期间</t>
  </si>
  <si>
    <t>F_R109_RECOVERY_30</t>
  </si>
  <si>
    <t>平均回收下界/同级边界</t>
  </si>
  <si>
    <t>F_R109_RECOVERY_10</t>
  </si>
  <si>
    <t>Modest回收下界/负一档边界</t>
  </si>
  <si>
    <t>F_R109_RCF_DEFAULT_DRAW</t>
  </si>
  <si>
    <t>假定违约时一般现金流RCF使用率</t>
  </si>
  <si>
    <t>F_R109_LIQ_STRESS</t>
  </si>
  <si>
    <t>Adequate EBITDA下降压力</t>
  </si>
  <si>
    <t>F_R109_LIQ_COV_TIGHT</t>
  </si>
  <si>
    <t>紧契约下降负面指示</t>
  </si>
  <si>
    <t>F_R109_LIQ_QUALITY_COUNT</t>
  </si>
  <si>
    <t>Adequate其余特征最低满足数</t>
  </si>
  <si>
    <t>supportive characteristics</t>
  </si>
  <si>
    <t>F_R109_LIQ_QUALITY_TOTAL</t>
  </si>
  <si>
    <t>Adequate其余特征总数</t>
  </si>
  <si>
    <t>F_R109_FFO_STD_BOUNDARY</t>
  </si>
  <si>
    <t>标准FFO/debt highly leveraged上界</t>
  </si>
  <si>
    <t>F_R109_LEV_STD_BOUNDARY</t>
  </si>
  <si>
    <t>标准Debt/EBITDA highly leveraged下界</t>
  </si>
  <si>
    <t>F_R109_LOW_PREDICTABLE</t>
  </si>
  <si>
    <t>Low合格经营CFO最低份额</t>
  </si>
  <si>
    <t>F_R109_FRP_PRIMARY</t>
  </si>
  <si>
    <t>主研究FRP选择</t>
  </si>
  <si>
    <t>E_R109_FRP_TABLE, E_R109_MODIFIERS</t>
  </si>
  <si>
    <t>标准两核心均6，DCF/未来净债及融资依赖更代表去杠杆能力；不是机械平均补充档。</t>
  </si>
  <si>
    <t>method categories / rating notches</t>
  </si>
  <si>
    <t>F_R109_FRP_ADJACENT</t>
  </si>
  <si>
    <t>有证据成立时补充改善相邻FRP</t>
  </si>
  <si>
    <t>只在分配/融资可持续性使FOCF/coverage更代表未来杠杆时改善一类；不直接从6到4。</t>
  </si>
  <si>
    <t>F_R109_NEUTRAL_NOTCH</t>
  </si>
  <si>
    <t>明确中性修正情景的级数</t>
  </si>
  <si>
    <t>修正资格按对应步骤判断；M&amp;G零仅情景，不能称已核专门分类。</t>
  </si>
  <si>
    <t>F_R109_ELIGIBLE_NON_SPE_TOWERS</t>
  </si>
  <si>
    <t>合格非SPE多天线塔/可转移设施权等价数量</t>
  </si>
  <si>
    <t>E_DEV_TOWER_RIGHTS, E_R109_RECOVERY</t>
  </si>
  <si>
    <t>未取得按SPE归属、设施权属/转移和标准格式形成的合格清单；55%carrier rights及土地所有权不能替代该数。</t>
  </si>
  <si>
    <t>qualified tower equivalents</t>
  </si>
  <si>
    <t>F_R109_PRIORITY_EAD</t>
  </si>
  <si>
    <t>特定回收范围内优先债权P</t>
  </si>
  <si>
    <t>E_DEV_NOTE_GUAR, E_R109_RECOVERY</t>
  </si>
  <si>
    <t>非担保子公司、担保财务债及特殊非债权利须同范围法律核；DAV已排除的SPE债权不再计P。</t>
  </si>
  <si>
    <t>F_R109_UNSECURED_EAD</t>
  </si>
  <si>
    <t>同级高级无抵押及适用非债claim池U</t>
  </si>
  <si>
    <t>须接通假定违约年再融资、例行摊还、85%RCF/CP备用一次、预欠息、lease rejection/ARO，未取得同范围完整池。</t>
  </si>
  <si>
    <t>F_R109_OTHER_ELIGIBLE_EV</t>
  </si>
  <si>
    <t>另行估值且不重复塔经营价值的合格EV</t>
  </si>
  <si>
    <t>未形成独立合格价值，不填零或与塔DAV重复算经营现金价值。</t>
  </si>
  <si>
    <t>F_R109_JUNE_RCF_DRAW</t>
  </si>
  <si>
    <t>June30实际RCF现金提款</t>
  </si>
  <si>
    <t>E_DEV_CREDIT</t>
  </si>
  <si>
    <t>May1名义承诺和LC不是June实际余额；须扣实际提款及LC变动。</t>
  </si>
  <si>
    <t>F_R109_FLOATING_EXPOSURE</t>
  </si>
  <si>
    <t>售后实际未匹配对冲的浮息本金</t>
  </si>
  <si>
    <t>E_DEV_FACE, E_DEV_CREDIT</t>
  </si>
  <si>
    <t>实际2100逐券执行/CP及新额度借还未核，不能单用Q1固定比例认证售后浮息风险。</t>
  </si>
  <si>
    <t>F_R109_FINANCIAL_WAM</t>
  </si>
  <si>
    <t>June法律金融债方法WAM</t>
  </si>
  <si>
    <t>E_DEV_FACE, E_R109_MODIFIERS</t>
  </si>
  <si>
    <t>近期债明细已读，但实际2100分配与June借还未核，不能把披露长债谱当实际加权年限；只保留WAM&lt;=2与近两年流动性/罕见集中风险条件。</t>
  </si>
  <si>
    <t>F_R109_WC_OUTFLOW_ALREADY_IN_CFO</t>
  </si>
  <si>
    <t>已从CFO扣除的负营运资金W</t>
  </si>
  <si>
    <t>E_R109_LIQ, E_FWD_GUIDANCE</t>
  </si>
  <si>
    <t>其他现金转换包含未归属现金差，不是已证营运资金。需将已从CFO扣除的W回添来源FFO并列用途，不重复新增支出。</t>
  </si>
  <si>
    <t>F_R109_COV_MAX_LEV</t>
  </si>
  <si>
    <t>新信用协议总净杠杆季度末常规上限</t>
  </si>
  <si>
    <t>Borrower and Restricted Subsidiaries under May2026 Credit Agreement</t>
  </si>
  <si>
    <t>May2026 Credit Agreement Section6.10(a)</t>
  </si>
  <si>
    <t>总净杠杆季度末常规最高7.00x；合格收购在约定有限窗口可为7.50x。实际分子为Total Indebtedness减Unrestricted Cash、分母为已交付最近四季度Consolidated EBITDA，按§1.04及出售备考处理；不以方法比率替代。</t>
  </si>
  <si>
    <t>contractual_total_net_leverage_limit</t>
  </si>
  <si>
    <t>F_R109_COV_MIN_COVER</t>
  </si>
  <si>
    <t>新信用协议总高级担保杠杆季度末上限</t>
  </si>
  <si>
    <t>May2026 Credit Agreement Section6.10(b)</t>
  </si>
  <si>
    <t>季度末Total Senior Secured Leverage Ratio不得超过3.50x，是担保杠杆最高限额，不是最低利息覆盖或股东支付覆盖条件。按协议定义的高级担保债务及最近四季Consolidated EBITDA另算；§6.11处理会计期间，§6.06另处理支付许可。</t>
  </si>
  <si>
    <t>contractual_total_senior_secured_leverage_limit</t>
  </si>
  <si>
    <t>F_R109_RECOVERY_70</t>
  </si>
  <si>
    <t>Substantial回收下界/一般GroupA B档cap2正一档边界</t>
  </si>
  <si>
    <t>Recovery Table1与Tables5/6：B+及以下一般GroupA unsecuredcap2允许该回收边界正一档；GroupB一般cap3不能同用。</t>
  </si>
  <si>
    <t>指标或桥</t>
  </si>
  <si>
    <t>基础单位公式</t>
  </si>
  <si>
    <t>基础单位结果</t>
  </si>
  <si>
    <t>展示结果</t>
  </si>
  <si>
    <t>不计算原因</t>
  </si>
  <si>
    <t>定义</t>
  </si>
  <si>
    <t>解释边界</t>
  </si>
  <si>
    <t>展示单位</t>
  </si>
  <si>
    <t>C_ca_2025</t>
  </si>
  <si>
    <t>2025 流动资产分项合计</t>
  </si>
  <si>
    <t>calculated</t>
  </si>
  <si>
    <t>(1 × cash2025) + (1 × restrict2025) + (1 × recv2025) + (1 × prepaid2025) + (1 × rentcur2025) + (1 × otherca2025) + (1 × disc_ca2025)</t>
  </si>
  <si>
    <t>在披露精度内复算；不是新增管理层披露或审计保证。</t>
  </si>
  <si>
    <t>百万USD</t>
  </si>
  <si>
    <t>C_assets_2025</t>
  </si>
  <si>
    <t>2025 总资产分项合计</t>
  </si>
  <si>
    <t>(1 × ca2025) + (1 × rentnoncur2025) + (1 × ppe2025) + (1 × rou2025) + (1 × gw2025) + (1 × siteint2025) + (1 × otherint2025) + (1 × othera2025) + (1 × disc_nca2025)</t>
  </si>
  <si>
    <t>C_cl_2025</t>
  </si>
  <si>
    <t>2025 流动负债分项合计</t>
  </si>
  <si>
    <t>(1 × ap2025) + (1 × intaccr2025) + (1 × defrev2025) + (1 × accr2025) + (1 × debtcur2025) + (1 × leasecur2025) + (1 × disc_cl2025)</t>
  </si>
  <si>
    <t>C_liab_2025</t>
  </si>
  <si>
    <t>2025 总负债分项合计</t>
  </si>
  <si>
    <t>(1 × cl2025) + (1 × debtlong2025) + (1 × leaselong2025) + (1 × otherl2025) + (1 × disc_ncl2025)</t>
  </si>
  <si>
    <t>C_eqparts_2025</t>
  </si>
  <si>
    <t>2025 权益组成</t>
  </si>
  <si>
    <t>(1 × common2025) + (1 × apic2025) + (1 × aoci2025) + (1 × deficit2025)</t>
  </si>
  <si>
    <t>C_bs_2025</t>
  </si>
  <si>
    <t>2025 资产负债恒等式</t>
  </si>
  <si>
    <t>(1 × liabilities2025) + (1 × equity2025)</t>
  </si>
  <si>
    <t>C_rev_2025</t>
  </si>
  <si>
    <t>2025 持续收入组成</t>
  </si>
  <si>
    <t>(1 × siterent2025) + (1 × services2025)</t>
  </si>
  <si>
    <t>C_opex_2025</t>
  </si>
  <si>
    <t>2025 持续费用组成</t>
  </si>
  <si>
    <t>(1 × costrent2025) + (1 × costservice2025) + (1 × sga2025) + (1 × writedown2025) + (1 × acqexpense2025) + (1 × daa2025) + (1 × restruct2025)</t>
  </si>
  <si>
    <t>C_pbt_2025</t>
  </si>
  <si>
    <t>2025 持续税前利润桥</t>
  </si>
  <si>
    <t>(1 × opincome2025) + (1 × interest2025) + (1 × intincome2025) + (1 × otherincome2025)</t>
  </si>
  <si>
    <t>C_contni_2025</t>
  </si>
  <si>
    <t>2025 持续净利润桥</t>
  </si>
  <si>
    <t>(1 × contpbt2025) + (1 × conttax2025)</t>
  </si>
  <si>
    <t>C_net_2025</t>
  </si>
  <si>
    <t>2025 持续加终止净利润</t>
  </si>
  <si>
    <t>(1 × contni2025) + (1 × discni2025)</t>
  </si>
  <si>
    <t>C_comp_2025</t>
  </si>
  <si>
    <t>2025 综合收益桥</t>
  </si>
  <si>
    <t>(1 × netincome2025) + (1 × oci2025)</t>
  </si>
  <si>
    <t>C_cfi_2025</t>
  </si>
  <si>
    <t>2025 投资现金流组成</t>
  </si>
  <si>
    <t>(1 × capex2025) + (1 × acqcf2025) + (1 × othercfi2025) + (1 × disccfi2025)</t>
  </si>
  <si>
    <t>C_cff_2025</t>
  </si>
  <si>
    <t>2025 融资现金流组成</t>
  </si>
  <si>
    <t>(1 × issuecf2025) + (1 × principalcf2025) + (1 × redeemcf2025) + (1 × drawcf2025) + (1 × repaycf2025) + (1 × cpcf2025) + (1 × feecf2025) + (1 × buycf2025) + (1 × divcf2025)</t>
  </si>
  <si>
    <t>C_cashdelta_2025</t>
  </si>
  <si>
    <t>2025 三类现金流合计</t>
  </si>
  <si>
    <t>(1 × cfo2025) + (1 × cfi2025) + (1 × cff2025)</t>
  </si>
  <si>
    <t>C_discassets_2025</t>
  </si>
  <si>
    <t>2025 终止资产分项</t>
  </si>
  <si>
    <t>(1 × disc_ca2025) + (1 × discppe2025) + (1 × discint2025) + (1 × discothernca2025) + (-1 × hfsallow2025)</t>
  </si>
  <si>
    <t>C_discliab_2025</t>
  </si>
  <si>
    <t>2025 终止负债分项</t>
  </si>
  <si>
    <t>(1 × disc_cl2025) + (1 × discdebtlong2025) + (1 × discleaselong2025) + (1 × discotherl2025)</t>
  </si>
  <si>
    <t>C_discpbt_2025</t>
  </si>
  <si>
    <t>2025 终止税前利润桥</t>
  </si>
  <si>
    <t>(1 × discrevenue2025) + (-1 × discopex2025) + (-1 × discgw2025)</t>
  </si>
  <si>
    <t>C_discpre_2025</t>
  </si>
  <si>
    <t>2025 终止处置前净利润桥</t>
  </si>
  <si>
    <t>(1 × discpbt2025) + (1 × disctax2025)</t>
  </si>
  <si>
    <t>C_tax_2025</t>
  </si>
  <si>
    <t>2025 持续税额调节</t>
  </si>
  <si>
    <t>(1 × statutorytax2025) + (1 × reittax2025) + (1 × vatax2025) + (1 × statetax2025) + (1 × foreigntax2025)</t>
  </si>
  <si>
    <t>C_contcash_2025</t>
  </si>
  <si>
    <t>2025 持续现金分层</t>
  </si>
  <si>
    <t>(1 × cash2025) + (1 × restrict2025) + (1 × restrictnoncur2025)</t>
  </si>
  <si>
    <t>C_disccash_2025</t>
  </si>
  <si>
    <t>2025 终止现金分层</t>
  </si>
  <si>
    <t>(1 × disccash2025) + (1 × discrestrict2025)</t>
  </si>
  <si>
    <t>C_cashall_2025</t>
  </si>
  <si>
    <t>2025 全部现金分层</t>
  </si>
  <si>
    <t>(1 × contcashall2025) + (1 × disccashall2025)</t>
  </si>
  <si>
    <t>C_op_2025</t>
  </si>
  <si>
    <t>2025 持续营业利润</t>
  </si>
  <si>
    <t>(1 × revenue2025) + (-1 × opex2025)</t>
  </si>
  <si>
    <t>C_discni_2025</t>
  </si>
  <si>
    <t>2025 终止净损益</t>
  </si>
  <si>
    <t>(1 × discpre2025) + (-1 × saleloss2025)</t>
  </si>
  <si>
    <t>C_cfo_2025</t>
  </si>
  <si>
    <t>2025 从合并净利润到 CFO</t>
  </si>
  <si>
    <t>(1 × netincome2025) + (-1 × discpre2025) + (1 × saleloss2025) + (1 × daa2025) + (1 × finamort2025) + (1 × sbc2025) + (1 × writedown2025) + (1 × deftaxcf2025) + (1 × noncashrestruct2025) + (1 × othernoncash2025) + (1 × disccfo2025) + (1 × wcint2025) + (1 × wcap2025) + (1 × wcl2025) + (1 × wcrecv2025) + (1 × wca2025)</t>
  </si>
  <si>
    <t>C_cashroll_2025</t>
  </si>
  <si>
    <t>2025 现金期初至期末</t>
  </si>
  <si>
    <t>(1 × cashopen2025) + (1 × cashdelta2025) + (1 × fxcash2025)</t>
  </si>
  <si>
    <t>C_eqroll_2025</t>
  </si>
  <si>
    <t>2025 权益期初至期末</t>
  </si>
  <si>
    <t>(1 × eqopen2025) + (1 × eqstock2025) + (1 × eqbuy2025) + (1 × eqdiv2025) + (1 × netincome2025) + (1 × oci2025)</t>
  </si>
  <si>
    <t>C_contcfo_2025</t>
  </si>
  <si>
    <t>2025 持续经营 CFO</t>
  </si>
  <si>
    <t>(1 × cfo2025) + (-1 × disccfo2025)</t>
  </si>
  <si>
    <t>C_cashcapex_2025</t>
  </si>
  <si>
    <t>2025 持续 CFO 减持续资本支出</t>
  </si>
  <si>
    <t>(1 × C_contcfo_2025) + (1 × capex2025)</t>
  </si>
  <si>
    <t>简单现金覆盖观察，未称 AFFO、FCF 或契约 EBITDA。</t>
  </si>
  <si>
    <t>C_cashdiv_2025</t>
  </si>
  <si>
    <t>2025 持续 CFO 减持续资本支出及集团已付分配</t>
  </si>
  <si>
    <t>(1 × C_cashcapex_2025) + (1 × divcf2025)</t>
  </si>
  <si>
    <t>反事实覆盖观察：持续业务内部生成现金相对集团分配的缺口；并非母公司现金流或已归属的持续业务股利。</t>
  </si>
  <si>
    <t>C_disccashflow_2025</t>
  </si>
  <si>
    <t>2025 终止 CFO 加 CFI</t>
  </si>
  <si>
    <t>(1 × disccfo2025) + (1 × disccfi2025)</t>
  </si>
  <si>
    <t>只含终止经营披露的经营与投资净现金，不假定终止融资现金为零。</t>
  </si>
  <si>
    <t>C_ca_2024</t>
  </si>
  <si>
    <t>2024 流动资产分项合计</t>
  </si>
  <si>
    <t>(1 × cash2024) + (1 × restrict2024) + (1 × recv2024) + (1 × prepaid2024) + (1 × rentcur2024) + (1 × otherca2024) + (1 × disc_ca2024)</t>
  </si>
  <si>
    <t>C_assets_2024</t>
  </si>
  <si>
    <t>2024 总资产分项合计</t>
  </si>
  <si>
    <t>(1 × ca2024) + (1 × rentnoncur2024) + (1 × ppe2024) + (1 × rou2024) + (1 × gw2024) + (1 × siteint2024) + (1 × otherint2024) + (1 × othera2024) + (1 × disc_nca2024)</t>
  </si>
  <si>
    <t>C_cl_2024</t>
  </si>
  <si>
    <t>2024 流动负债分项合计</t>
  </si>
  <si>
    <t>(1 × ap2024) + (1 × intaccr2024) + (1 × defrev2024) + (1 × accr2024) + (1 × debtcur2024) + (1 × leasecur2024) + (1 × disc_cl2024)</t>
  </si>
  <si>
    <t>C_liab_2024</t>
  </si>
  <si>
    <t>2024 总负债分项合计</t>
  </si>
  <si>
    <t>(1 × cl2024) + (1 × debtlong2024) + (1 × leaselong2024) + (1 × otherl2024) + (1 × disc_ncl2024)</t>
  </si>
  <si>
    <t>C_eqparts_2024</t>
  </si>
  <si>
    <t>2024 权益组成</t>
  </si>
  <si>
    <t>(1 × common2024) + (1 × apic2024) + (1 × aoci2024) + (1 × deficit2024)</t>
  </si>
  <si>
    <t>C_bs_2024</t>
  </si>
  <si>
    <t>2024 资产负债恒等式</t>
  </si>
  <si>
    <t>(1 × liabilities2024) + (1 × equity2024)</t>
  </si>
  <si>
    <t>C_rev_2024</t>
  </si>
  <si>
    <t>2024 持续收入组成</t>
  </si>
  <si>
    <t>(1 × siterent2024) + (1 × services2024)</t>
  </si>
  <si>
    <t>C_opex_2024</t>
  </si>
  <si>
    <t>2024 持续费用组成</t>
  </si>
  <si>
    <t>(1 × costrent2024) + (1 × costservice2024) + (1 × sga2024) + (1 × writedown2024) + (1 × acqexpense2024) + (1 × daa2024) + (1 × restruct2024)</t>
  </si>
  <si>
    <t>C_pbt_2024</t>
  </si>
  <si>
    <t>2024 持续税前利润桥</t>
  </si>
  <si>
    <t>(1 × opincome2024) + (1 × interest2024) + (1 × intincome2024) + (1 × otherincome2024)</t>
  </si>
  <si>
    <t>C_contni_2024</t>
  </si>
  <si>
    <t>2024 持续净利润桥</t>
  </si>
  <si>
    <t>(1 × contpbt2024) + (1 × conttax2024)</t>
  </si>
  <si>
    <t>C_net_2024</t>
  </si>
  <si>
    <t>2024 持续加终止净利润</t>
  </si>
  <si>
    <t>(1 × contni2024) + (1 × discni2024)</t>
  </si>
  <si>
    <t>C_comp_2024</t>
  </si>
  <si>
    <t>2024 综合收益桥</t>
  </si>
  <si>
    <t>(1 × netincome2024) + (1 × oci2024)</t>
  </si>
  <si>
    <t>C_cfi_2024</t>
  </si>
  <si>
    <t>2024 投资现金流组成</t>
  </si>
  <si>
    <t>(1 × capex2024) + (1 × acqcf2024) + (1 × othercfi2024) + (1 × disccfi2024)</t>
  </si>
  <si>
    <t>C_cff_2024</t>
  </si>
  <si>
    <t>2024 融资现金流组成</t>
  </si>
  <si>
    <t>(1 × issuecf2024) + (1 × principalcf2024) + (1 × redeemcf2024) + (1 × drawcf2024) + (1 × repaycf2024) + (1 × cpcf2024) + (1 × feecf2024) + (1 × buycf2024) + (1 × divcf2024)</t>
  </si>
  <si>
    <t>C_cashdelta_2024</t>
  </si>
  <si>
    <t>2024 三类现金流合计</t>
  </si>
  <si>
    <t>(1 × cfo2024) + (1 × cfi2024) + (1 × cff2024)</t>
  </si>
  <si>
    <t>C_discassets_2024</t>
  </si>
  <si>
    <t>2024 终止资产分项</t>
  </si>
  <si>
    <t>(1 × disc_ca2024) + (1 × discppe2024) + (1 × discint2024) + (1 × discothernca2024) + (-1 × hfsallow2024)</t>
  </si>
  <si>
    <t>C_discliab_2024</t>
  </si>
  <si>
    <t>2024 终止负债分项</t>
  </si>
  <si>
    <t>(1 × disc_cl2024) + (1 × discdebtlong2024) + (1 × discleaselong2024) + (1 × discotherl2024)</t>
  </si>
  <si>
    <t>C_discpbt_2024</t>
  </si>
  <si>
    <t>2024 终止税前利润桥</t>
  </si>
  <si>
    <t>(1 × discrevenue2024) + (-1 × discopex2024) + (-1 × discgw2024)</t>
  </si>
  <si>
    <t>C_discpre_2024</t>
  </si>
  <si>
    <t>2024 终止处置前净利润桥</t>
  </si>
  <si>
    <t>(1 × discpbt2024) + (1 × disctax2024)</t>
  </si>
  <si>
    <t>C_tax_2024</t>
  </si>
  <si>
    <t>2024 持续税额调节</t>
  </si>
  <si>
    <t>(1 × statutorytax2024) + (1 × reittax2024) + (1 × vatax2024) + (1 × statetax2024) + (1 × foreigntax2024)</t>
  </si>
  <si>
    <t>C_contcash_2024</t>
  </si>
  <si>
    <t>2024 持续现金分层</t>
  </si>
  <si>
    <t>(1 × cash2024) + (1 × restrict2024) + (1 × restrictnoncur2024)</t>
  </si>
  <si>
    <t>C_disccash_2024</t>
  </si>
  <si>
    <t>2024 终止现金分层</t>
  </si>
  <si>
    <t>(1 × disccash2024) + (1 × discrestrict2024)</t>
  </si>
  <si>
    <t>C_cashall_2024</t>
  </si>
  <si>
    <t>2024 全部现金分层</t>
  </si>
  <si>
    <t>(1 × contcashall2024) + (1 × disccashall2024)</t>
  </si>
  <si>
    <t>C_op_2024</t>
  </si>
  <si>
    <t>2024 持续营业利润</t>
  </si>
  <si>
    <t>(1 × revenue2024) + (-1 × opex2024)</t>
  </si>
  <si>
    <t>C_discni_2024</t>
  </si>
  <si>
    <t>2024 终止净损益</t>
  </si>
  <si>
    <t>(1 × discpre2024) + (-1 × saleloss2024)</t>
  </si>
  <si>
    <t>C_cfo_2024</t>
  </si>
  <si>
    <t>2024 从合并净利润到 CFO</t>
  </si>
  <si>
    <t>(1 × netincome2024) + (-1 × discpre2024) + (1 × saleloss2024) + (1 × daa2024) + (1 × finamort2024) + (1 × sbc2024) + (1 × writedown2024) + (1 × deftaxcf2024) + (1 × noncashrestruct2024) + (1 × othernoncash2024) + (1 × disccfo2024) + (1 × wcint2024) + (1 × wcap2024) + (1 × wcl2024) + (1 × wcrecv2024) + (1 × wca2024)</t>
  </si>
  <si>
    <t>C_cashroll_2024</t>
  </si>
  <si>
    <t>2024 现金期初至期末</t>
  </si>
  <si>
    <t>(1 × cashopen2024) + (1 × cashdelta2024) + (1 × fxcash2024)</t>
  </si>
  <si>
    <t>C_eqroll_2024</t>
  </si>
  <si>
    <t>2024 权益期初至期末</t>
  </si>
  <si>
    <t>(1 × eqopen2024) + (1 × eqstock2024) + (1 × eqbuy2024) + (1 × eqdiv2024) + (1 × netincome2024) + (1 × oci2024)</t>
  </si>
  <si>
    <t>C_contcfo_2024</t>
  </si>
  <si>
    <t>2024 持续经营 CFO</t>
  </si>
  <si>
    <t>(1 × cfo2024) + (-1 × disccfo2024)</t>
  </si>
  <si>
    <t>C_cashcapex_2024</t>
  </si>
  <si>
    <t>2024 持续 CFO 减持续资本支出</t>
  </si>
  <si>
    <t>(1 × C_contcfo_2024) + (1 × capex2024)</t>
  </si>
  <si>
    <t>C_cashdiv_2024</t>
  </si>
  <si>
    <t>2024 持续 CFO 减持续资本支出及集团已付分配</t>
  </si>
  <si>
    <t>(1 × C_cashcapex_2024) + (1 × divcf2024)</t>
  </si>
  <si>
    <t>C_disccashflow_2024</t>
  </si>
  <si>
    <t>2024 终止 CFO 加 CFI</t>
  </si>
  <si>
    <t>(1 × disccfo2024) + (1 × disccfi2024)</t>
  </si>
  <si>
    <t>C_sale2025</t>
  </si>
  <si>
    <t>2025 处置损失组成</t>
  </si>
  <si>
    <t>(1 × hfsallow2025) + (1 × sellcost2025)</t>
  </si>
  <si>
    <t>C_gw2024</t>
  </si>
  <si>
    <t>2024 合并商誉滚动</t>
  </si>
  <si>
    <t>(1 × gwopen2024) + (-1 × discgw2024)</t>
  </si>
  <si>
    <t>合并10,085减Fiber商誉费用4,958至5,127；Fiber本身已全额减至0，剩余全部为Towers。</t>
  </si>
  <si>
    <t>C_recastrev2024</t>
  </si>
  <si>
    <t>2024 重列后持续加终止收入</t>
  </si>
  <si>
    <t>(1 × revenue2024) + (1 × discrevenue2024)</t>
  </si>
  <si>
    <t>C_recast_pbt</t>
  </si>
  <si>
    <t>2024 原报至重列 pbt 合计</t>
  </si>
  <si>
    <t>(1 × contpbt2024) + (1 × discpbt2024)</t>
  </si>
  <si>
    <t>C_recast_tax</t>
  </si>
  <si>
    <t>2024 原报至重列 tax 合计</t>
  </si>
  <si>
    <t>(1 × conttax2024) + (1 × disctax2024)</t>
  </si>
  <si>
    <t>C_recast_ni</t>
  </si>
  <si>
    <t>2024 原报至重列 ni 合计</t>
  </si>
  <si>
    <t>C_preallow_netassets</t>
  </si>
  <si>
    <t>2025 准备前终止净资产</t>
  </si>
  <si>
    <t>(1 × discassets2025) + (1 × hfsallow2025) + (-1 × discliab2025)</t>
  </si>
  <si>
    <t>C_postallow_netassets</t>
  </si>
  <si>
    <t>2025 准备后终止净资产</t>
  </si>
  <si>
    <t>(1 × discassets2025) + (-1 × discliab2025)</t>
  </si>
  <si>
    <t>C_debt2025</t>
  </si>
  <si>
    <t>持续债务流动加长期</t>
  </si>
  <si>
    <t>(1 × debtcur2025) + (1 × debtlong2025)</t>
  </si>
  <si>
    <t>C_debtsec2025</t>
  </si>
  <si>
    <t>有担保加无担保债务</t>
  </si>
  <si>
    <t>(1 × secured2025) + (1 × unsecured2025)</t>
  </si>
  <si>
    <t>C_oldnetavailability</t>
  </si>
  <si>
    <t>年末未提额度扣 CP 备用占用观察</t>
  </si>
  <si>
    <t>(1 × undrawn2025) + (-1 × cp2025)</t>
  </si>
  <si>
    <t>仅避免双算 CP 备用支持；不是已确认法律母公司可支用现金，仍需条款/信用证及合规核实。</t>
  </si>
  <si>
    <t>C_qnetavailability</t>
  </si>
  <si>
    <t>三月未提额度扣 CP 备用占用观察</t>
  </si>
  <si>
    <t>(1 × q_undrawn) + (-1 × q_cp)</t>
  </si>
  <si>
    <t>仅在相同三月时点作备用额度观察，五月新协议替代后不可再与新额度相加。</t>
  </si>
  <si>
    <t>C_headroom2025</t>
  </si>
  <si>
    <t>旧协议净杠杆比率余量</t>
  </si>
  <si>
    <t>(1 × limit2025) + (-1 × leverage2025)</t>
  </si>
  <si>
    <t>比率差额，不是可借美元金额；需契约 EBITDA 才能换算。</t>
  </si>
  <si>
    <t>倍</t>
  </si>
  <si>
    <t>C_qallow</t>
  </si>
  <si>
    <t>待售准备自年末到三月滚动</t>
  </si>
  <si>
    <t>(1 × hfsallow2025) + (1 × q_saleloss) + (-1 × q_sellcost)</t>
  </si>
  <si>
    <t>C_qpbt</t>
  </si>
  <si>
    <t>Q1 终止税前利润</t>
  </si>
  <si>
    <t>(1 × q_discrev) + (-1 × q_discopex)</t>
  </si>
  <si>
    <t>C_qdiscpre</t>
  </si>
  <si>
    <t>Q1 终止处置前净利润</t>
  </si>
  <si>
    <t>(1 × q_discpbt) + (1 × q_disctax)</t>
  </si>
  <si>
    <t>C_qcash</t>
  </si>
  <si>
    <t>Q1 现金分层总计</t>
  </si>
  <si>
    <t>(1 × q_cash) + (1 × q_restrict) + (1 × q_restrictnoncur) + (1 × q_disccash) + (1 × q_discrestrict)</t>
  </si>
  <si>
    <t>C_qdebt</t>
  </si>
  <si>
    <t>Q1 债务流动加长期</t>
  </si>
  <si>
    <t>(1 × q_debtcur) + (1 × q_debtlong)</t>
  </si>
  <si>
    <t>C_priorallow</t>
  </si>
  <si>
    <t>2025 Q1 处置损失扣售出成本</t>
  </si>
  <si>
    <t>(1 × prior_disposal) + (-1 × prior_cost)</t>
  </si>
  <si>
    <t>C_saleproceeds</t>
  </si>
  <si>
    <t>交割初步实际价款桥</t>
  </si>
  <si>
    <t>(1 × grossprice) + (-1 × priceadjust)</t>
  </si>
  <si>
    <t>以披露的百万美元精度复算，对应公司约 84 亿美元实收叙述；不是最终交割结算。</t>
  </si>
  <si>
    <t>C_salecashcost</t>
  </si>
  <si>
    <t>交割价款扣当时支付成本</t>
  </si>
  <si>
    <t>(1 × C_saleproceeds) + (-1 × costpaid)</t>
  </si>
  <si>
    <t>含约数及初步价调的现金观察；74 已预提，不重复计第二季度损益；非公司期末银行余额。</t>
  </si>
  <si>
    <t>C_newnetLC</t>
  </si>
  <si>
    <t>新承诺扣生效时信用证</t>
  </si>
  <si>
    <t>(1 × newcommit) + (-1 × newlc)</t>
  </si>
  <si>
    <t>扣信用证后的名义承诺；尚未扣同日 CP 备用占用及合规制约，不是自由现金，不与旧协议叠加。</t>
  </si>
  <si>
    <t>C_nimove</t>
  </si>
  <si>
    <t>合并净利润变化</t>
  </si>
  <si>
    <t>(1 × netincome2025) + (-1 × netincome2024)</t>
  </si>
  <si>
    <t>C_contnimove</t>
  </si>
  <si>
    <t>持续净利润变化</t>
  </si>
  <si>
    <t>(1 × contni2025) + (-1 × contni2024)</t>
  </si>
  <si>
    <t>C_discnimove</t>
  </si>
  <si>
    <t>终止净损益变化</t>
  </si>
  <si>
    <t>(1 × discni2025) + (-1 × discni2024)</t>
  </si>
  <si>
    <t>C_nimove_parts</t>
  </si>
  <si>
    <t>持续与终止变化合计</t>
  </si>
  <si>
    <t>(1 × C_contnimove) + (1 × C_discnimove)</t>
  </si>
  <si>
    <t>C_pf_cashadd</t>
  </si>
  <si>
    <t>公开备考价格—费用—偿债—剩余现金</t>
  </si>
  <si>
    <t>(1 × pf_price) + (-1 × pf_adjust) + (-1 × pf_cost) + (-1 × pf_repay)</t>
  </si>
  <si>
    <t>C_pf_cash</t>
  </si>
  <si>
    <t>公开备考现金基数加交易调整</t>
  </si>
  <si>
    <t>(1 × pf_cashbase) + (1 × pf_cashadd)</t>
  </si>
  <si>
    <t>C_pf_assetdelta</t>
  </si>
  <si>
    <t>公开备考资产调整</t>
  </si>
  <si>
    <t>(1 × pf_cashadd) + (-1 × pf_disc_ca) + (-1 × pf_disc_nca)</t>
  </si>
  <si>
    <t>C_pf_liabdelta</t>
  </si>
  <si>
    <t>公开备考负债调整</t>
  </si>
  <si>
    <t>(1 × pf_debtcurdelta) + (1 × pf_debtlongdelta) + (1 × pf_intaccrdelta) + (-1 × pf_disc_cl) + (-1 × pf_disc_ncl)</t>
  </si>
  <si>
    <t>C_pf_equitydelta</t>
  </si>
  <si>
    <t>公开备考资产/负债调整接权益</t>
  </si>
  <si>
    <t>(1 × pf_assetdelta) + (-1 × pf_liabdelta)</t>
  </si>
  <si>
    <t>C_pf_equity</t>
  </si>
  <si>
    <t>公开备考历史权益加综合调整</t>
  </si>
  <si>
    <t>(1 × pf_equitybase) + (1 × pf_equitydelta)</t>
  </si>
  <si>
    <t>C_pf_interest</t>
  </si>
  <si>
    <t>公开备考利息行</t>
  </si>
  <si>
    <t>(1 × pf_interestbase) + (1 × pf_interestdelta)</t>
  </si>
  <si>
    <t>C_pf_contni</t>
  </si>
  <si>
    <t>(1 × pf_contnibase) + (1 × pf_interestdelta)</t>
  </si>
  <si>
    <t>C_fibergw</t>
  </si>
  <si>
    <t>2024 Fiber商誉全额减至零</t>
  </si>
  <si>
    <t>(1 × fiber_gwopen) + (-1 × fiber_gwloss)</t>
  </si>
  <si>
    <t>分部滚动与集团合并滚动分开；不证明估值模型正确。</t>
  </si>
  <si>
    <t>C_spabase</t>
  </si>
  <si>
    <t>签署出售协议两业务基价合计</t>
  </si>
  <si>
    <t>(1 × spa_fiberbase) + (1 × spa_smallbase)</t>
  </si>
  <si>
    <t>仅合计基础价格；不等于最终应付或实收。</t>
  </si>
  <si>
    <t>C_sp_lease_open</t>
  </si>
  <si>
    <t>经营租赁负债合计 2024</t>
  </si>
  <si>
    <t>sum: leasecur2024 × 1, leaselong2024 × 1</t>
  </si>
  <si>
    <t>按输入原值及所列期间复算，范围不扩展至法律母公司或评级机构已发表指标。</t>
  </si>
  <si>
    <t>C_sp_lease_end</t>
  </si>
  <si>
    <t>经营租赁负债合计 2025</t>
  </si>
  <si>
    <t>sum: leasecur2025 × 1, leaselong2025 × 1</t>
  </si>
  <si>
    <t>C_sp_lease_average</t>
  </si>
  <si>
    <t>真实期初期末经营租赁负债均值</t>
  </si>
  <si>
    <t>average_balance: C_sp_lease_open × 1, C_sp_lease_end × 1</t>
  </si>
  <si>
    <t>C_sp_sbc_residual</t>
  </si>
  <si>
    <t>股份支付总额与直接证实RSU的差额</t>
  </si>
  <si>
    <t>difference: sbc2025 × 1, sp_rsu × 1</t>
  </si>
  <si>
    <t>C_sp_writeoff_difference</t>
  </si>
  <si>
    <t>PP&amp;E核销与损益净行差额</t>
  </si>
  <si>
    <t>difference: sp_ppe_writeoff × 1, writedown2025 × 1</t>
  </si>
  <si>
    <t>该差额未被解释，不能擅称减值转回。</t>
  </si>
  <si>
    <t>C_sp_interest</t>
  </si>
  <si>
    <t>带符号利息费用桥</t>
  </si>
  <si>
    <t>sum: sp_interest_incurred × -1, sp_finance_fee × -1, sp_capitalized_interest × 1</t>
  </si>
  <si>
    <t>C_sp_dda</t>
  </si>
  <si>
    <t>折旧摊销及ARO增值桥</t>
  </si>
  <si>
    <t>sum: sp_depreciation × 1, sp_amortization × 1, sp_aro_accretion × 1</t>
  </si>
  <si>
    <t>C_sp_aro</t>
  </si>
  <si>
    <t>ARO滚动</t>
  </si>
  <si>
    <t>sum: sp_aro_open × 1, sp_aro_accretion × 1, sp_aro_settled × -1</t>
  </si>
  <si>
    <t>C_sp_q1_cfo_2026</t>
  </si>
  <si>
    <t>持续经营Q1 CFO 2026</t>
  </si>
  <si>
    <t>difference: sp_q1_cfo_2026 × 1, sp_q1_disc_2026 × 1</t>
  </si>
  <si>
    <t>C_sp_q1_cfo_2025</t>
  </si>
  <si>
    <t>持续经营Q1 CFO 2025</t>
  </si>
  <si>
    <t>difference: sp_q1_cfo_2025 × 1, sp_q1_disc_2025 × 1</t>
  </si>
  <si>
    <t>C_sp_q1_cfo_change</t>
  </si>
  <si>
    <t>持续经营Q1 CFO同比</t>
  </si>
  <si>
    <t>growth: C_sp_q1_cfo_2026 × 1, C_sp_q1_cfo_2025 × 1</t>
  </si>
  <si>
    <t>%</t>
  </si>
  <si>
    <t>C_sp_bill_change</t>
  </si>
  <si>
    <t>Q1站点billings变动</t>
  </si>
  <si>
    <t>sum: sp_billings_organic × 1, sp_billings_dish × 1, sp_billings_sprint × 1</t>
  </si>
  <si>
    <t>C_sp_bill_current</t>
  </si>
  <si>
    <t>Q1站点billings桥后金额</t>
  </si>
  <si>
    <t>sum: C_sp_bill_change × 1, sp_billings_prior × 1</t>
  </si>
  <si>
    <t>C_sp_renew_share</t>
  </si>
  <si>
    <t>2028续约组AT&amp;T暴露占比</t>
  </si>
  <si>
    <t>ratio: sp_renew_att × 1, sp_renew_total × 1</t>
  </si>
  <si>
    <t>C_sp_owned_share</t>
  </si>
  <si>
    <t>自有地块塔数占比</t>
  </si>
  <si>
    <t>ratio: sp_owned_towers × 1, sp_total_towers × 1</t>
  </si>
  <si>
    <t>C_sp_owned_margin_share</t>
  </si>
  <si>
    <t>自有地块末季年化毛现金利润占比</t>
  </si>
  <si>
    <t>ratio: sp_owned_margin × 1, sp_total_margin × 1</t>
  </si>
  <si>
    <t>cg_sti_ebitda_display_difference</t>
  </si>
  <si>
    <t>AIP文字与实际表显示差额</t>
  </si>
  <si>
    <t>4044−4004；两处AIP原文的显示数差额</t>
  </si>
  <si>
    <t>是原文一致性待核40百万美元，不判定哪处正确，也不认定计量错报。</t>
  </si>
  <si>
    <t>cg_sti_weighted_display_sum</t>
  </si>
  <si>
    <t>AIP两项显示weighted achievement之和</t>
  </si>
  <si>
    <t>86.70%+52.50%</t>
  </si>
  <si>
    <t>显示组件139.20%，不同于披露总139.16%；精确原始规则和舍入未取得。</t>
  </si>
  <si>
    <t>cg_sti_weighted_display_gap</t>
  </si>
  <si>
    <t>AIP组件显示和与披露总的差额</t>
  </si>
  <si>
    <t>显示组件和减显示总比例</t>
  </si>
  <si>
    <t>0.04个百分点；不自动归因错误、舞弊或精确计算政策。</t>
  </si>
  <si>
    <t>个百分点</t>
  </si>
  <si>
    <t>cg_sti_hill_display_product</t>
  </si>
  <si>
    <t>Hillabrant显示目标乘显示achievement</t>
  </si>
  <si>
    <t>591780×139.16%</t>
  </si>
  <si>
    <t>823521.048美元只是显示数算术，不等于披露823522，不能冒称精确复现。</t>
  </si>
  <si>
    <t>cg_sti_hill_display_gap</t>
  </si>
  <si>
    <t>Hillabrant披露奖金减显示数乘积</t>
  </si>
  <si>
    <t>823522−显示数乘积</t>
  </si>
  <si>
    <t>0.952美元；目标/比例/分摊显示精度可能解释，未经精确输入不判薪酬错报。</t>
  </si>
  <si>
    <t>C_fwd_ol_q1</t>
  </si>
  <si>
    <t>Q1经营租赁负债合计</t>
  </si>
  <si>
    <t>258+4939</t>
  </si>
  <si>
    <t>由真实期末当前/非当前组成，作为前瞻起点</t>
  </si>
  <si>
    <t>C_DEV_CPGP</t>
  </si>
  <si>
    <t>Tower competitive position weighted factor</t>
  </si>
  <si>
    <t>2×50%+2×30%+2×20%=2.0; Sector61 tower 50/30/20</t>
  </si>
  <si>
    <t>仅加权算式；后续Table14/15/16等级形成仍有明确专业叶子，非自建评级引擎。</t>
  </si>
  <si>
    <t>=(('Facts'!F2*1)+('Facts'!F4*1)+('Facts'!F6*1)+('Facts'!F8*1)+('Facts'!F10*1)+('Facts'!F12*1)+('Facts'!F14*1))*1</t>
  </si>
  <si>
    <t>=(('Facts'!F16*1)+('Facts'!F18*1)+('Facts'!F20*1)+('Facts'!F22*1)+('Facts'!F24*1)+('Facts'!F26*1)+('Facts'!F28*1)+('Facts'!F30*1)+('Facts'!F32*1))*1</t>
  </si>
  <si>
    <t>=(('Facts'!F36*1)+('Facts'!F38*1)+('Facts'!F40*1)+('Facts'!F42*1)+('Facts'!F44*1)+('Facts'!F46*1)+('Facts'!F48*1))*1</t>
  </si>
  <si>
    <t>=(('Facts'!F50*1)+('Facts'!F52*1)+('Facts'!F54*1)+('Facts'!F56*1)+('Facts'!F58*1))*1</t>
  </si>
  <si>
    <t>=(('Facts'!F62*1)+('Facts'!F64*1)+('Facts'!F66*1)+('Facts'!F68*1))*1</t>
  </si>
  <si>
    <t>=(('Facts'!F60*1)+('Facts'!F70*1))*1</t>
  </si>
  <si>
    <t>=(('Facts'!F72*1)+('Facts'!F74*1))*1</t>
  </si>
  <si>
    <t>=(('Facts'!F78*1)+('Facts'!F80*1)+('Facts'!F82*1)+('Facts'!F84*1)+('Facts'!F86*1)+('Facts'!F88*1)+('Facts'!F90*1))*1</t>
  </si>
  <si>
    <t>=(('Facts'!F94*1)+('Facts'!F96*1)+('Facts'!F98*1)+('Facts'!F100*1))*1</t>
  </si>
  <si>
    <t>=(('Facts'!F102*1)+('Facts'!F104*1))*1</t>
  </si>
  <si>
    <t>=(('Facts'!F106*1)+('Facts'!F112*1))*1</t>
  </si>
  <si>
    <t>=(('Facts'!F114*1)+('Facts'!F116*1))*1</t>
  </si>
  <si>
    <t>=(('Facts'!F144*1)+('Facts'!F146*1)+('Facts'!F148*1)+('Facts'!F150*1))*1</t>
  </si>
  <si>
    <t>=(('Facts'!F154*1)+('Facts'!F156*1)+('Facts'!F158*1)+('Facts'!F160*1)+('Facts'!F162*1)+('Facts'!F164*1)+('Facts'!F166*1)+('Facts'!F168*1)+('Facts'!F170*1))*1</t>
  </si>
  <si>
    <t>=(('Facts'!F142*1)+('Facts'!F152*1)+('Facts'!F172*1))*1</t>
  </si>
  <si>
    <t>=(('Facts'!F14*1)+('Facts'!F204*1)+('Facts'!F206*1)+('Facts'!F208*1)+('Facts'!F210*-1))*1</t>
  </si>
  <si>
    <t>=(('Facts'!F48*1)+('Facts'!F222*1)+('Facts'!F224*1)+('Facts'!F226*1))*1</t>
  </si>
  <si>
    <t>=(('Facts'!F190*1)+('Facts'!F192*-1)+('Facts'!F194*-1))*1</t>
  </si>
  <si>
    <t>=(('Facts'!F196*1)+('Facts'!F198*1))*1</t>
  </si>
  <si>
    <t>=(('Facts'!F240*1)+('Facts'!F242*1)+('Facts'!F244*1)+('Facts'!F246*1)+('Facts'!F248*1))*1</t>
  </si>
  <si>
    <t>=(('Facts'!F2*1)+('Facts'!F4*1)+('Facts'!F250*1))*1</t>
  </si>
  <si>
    <t>=(('Facts'!F252*1)+('Facts'!F254*1))*1</t>
  </si>
  <si>
    <t>=(('Facts'!F256*1)+('Facts'!F258*1))*1</t>
  </si>
  <si>
    <t>=(('Facts'!F76*1)+('Facts'!F92*-1))*1</t>
  </si>
  <si>
    <t>=(('Facts'!F108*1)+('Facts'!F110*-1))*1</t>
  </si>
  <si>
    <t>=(('Facts'!F114*1)+('Facts'!F108*-1)+('Facts'!F110*1)+('Facts'!F88*1)+('Facts'!F120*1)+('Facts'!F122*1)+('Facts'!F84*1)+('Facts'!F124*1)+('Facts'!F126*1)+('Facts'!F128*1)+('Facts'!F130*1)+('Facts'!F132*1)+('Facts'!F134*1)+('Facts'!F136*1)+('Facts'!F138*1)+('Facts'!F140*1))*1</t>
  </si>
  <si>
    <t>=(('Facts'!F182*1)+('Facts'!F174*1)+('Facts'!F176*1))*1</t>
  </si>
  <si>
    <t>=(('Facts'!F180*1)+('Facts'!F184*1)+('Facts'!F186*1)+('Facts'!F188*1)+('Facts'!F114*1)+('Facts'!F116*1))*1</t>
  </si>
  <si>
    <t>=(('Facts'!F142*1)+('Facts'!F130*-1))*1</t>
  </si>
  <si>
    <t>=(('Calculations'!D30*1)+('Facts'!F144*1))*1</t>
  </si>
  <si>
    <t>=(('Calculations'!D31*1)+('Facts'!F170*1))*1</t>
  </si>
  <si>
    <t>=(('Facts'!F130*1)+('Facts'!F150*1))*1</t>
  </si>
  <si>
    <t>=(('Facts'!F3*1)+('Facts'!F5*1)+('Facts'!F7*1)+('Facts'!F9*1)+('Facts'!F11*1)+('Facts'!F13*1)+('Facts'!F15*1))*1</t>
  </si>
  <si>
    <t>=(('Facts'!F17*1)+('Facts'!F19*1)+('Facts'!F21*1)+('Facts'!F23*1)+('Facts'!F25*1)+('Facts'!F27*1)+('Facts'!F29*1)+('Facts'!F31*1)+('Facts'!F33*1))*1</t>
  </si>
  <si>
    <t>=(('Facts'!F37*1)+('Facts'!F39*1)+('Facts'!F41*1)+('Facts'!F43*1)+('Facts'!F45*1)+('Facts'!F47*1)+('Facts'!F49*1))*1</t>
  </si>
  <si>
    <t>=(('Facts'!F51*1)+('Facts'!F53*1)+('Facts'!F55*1)+('Facts'!F57*1)+('Facts'!F59*1))*1</t>
  </si>
  <si>
    <t>=(('Facts'!F63*1)+('Facts'!F65*1)+('Facts'!F67*1)+('Facts'!F69*1))*1</t>
  </si>
  <si>
    <t>=(('Facts'!F61*1)+('Facts'!F71*1))*1</t>
  </si>
  <si>
    <t>=(('Facts'!F73*1)+('Facts'!F75*1))*1</t>
  </si>
  <si>
    <t>=(('Facts'!F79*1)+('Facts'!F81*1)+('Facts'!F83*1)+('Facts'!F85*1)+('Facts'!F87*1)+('Facts'!F89*1)+('Facts'!F91*1))*1</t>
  </si>
  <si>
    <t>=(('Facts'!F95*1)+('Facts'!F97*1)+('Facts'!F99*1)+('Facts'!F101*1))*1</t>
  </si>
  <si>
    <t>=(('Facts'!F103*1)+('Facts'!F105*1))*1</t>
  </si>
  <si>
    <t>=(('Facts'!F107*1)+('Facts'!F113*1))*1</t>
  </si>
  <si>
    <t>=(('Facts'!F115*1)+('Facts'!F117*1))*1</t>
  </si>
  <si>
    <t>=(('Facts'!F145*1)+('Facts'!F147*1)+('Facts'!F149*1)+('Facts'!F151*1))*1</t>
  </si>
  <si>
    <t>=(('Facts'!F155*1)+('Facts'!F157*1)+('Facts'!F159*1)+('Facts'!F161*1)+('Facts'!F163*1)+('Facts'!F165*1)+('Facts'!F167*1)+('Facts'!F169*1)+('Facts'!F171*1))*1</t>
  </si>
  <si>
    <t>=(('Facts'!F143*1)+('Facts'!F153*1)+('Facts'!F173*1))*1</t>
  </si>
  <si>
    <t>=(('Facts'!F15*1)+('Facts'!F205*1)+('Facts'!F207*1)+('Facts'!F209*1)+('Facts'!F211*-1))*1</t>
  </si>
  <si>
    <t>=(('Facts'!F49*1)+('Facts'!F223*1)+('Facts'!F225*1)+('Facts'!F227*1))*1</t>
  </si>
  <si>
    <t>=(('Facts'!F191*1)+('Facts'!F193*-1)+('Facts'!F195*-1))*1</t>
  </si>
  <si>
    <t>=(('Facts'!F197*1)+('Facts'!F199*1))*1</t>
  </si>
  <si>
    <t>=(('Facts'!F241*1)+('Facts'!F243*1)+('Facts'!F245*1)+('Facts'!F247*1)+('Facts'!F249*1))*1</t>
  </si>
  <si>
    <t>=(('Facts'!F3*1)+('Facts'!F5*1)+('Facts'!F251*1))*1</t>
  </si>
  <si>
    <t>=(('Facts'!F253*1)+('Facts'!F255*1))*1</t>
  </si>
  <si>
    <t>=(('Facts'!F257*1)+('Facts'!F259*1))*1</t>
  </si>
  <si>
    <t>=(('Facts'!F77*1)+('Facts'!F93*-1))*1</t>
  </si>
  <si>
    <t>=(('Facts'!F109*1)+('Facts'!F111*-1))*1</t>
  </si>
  <si>
    <t>=(('Facts'!F115*1)+('Facts'!F109*-1)+('Facts'!F111*1)+('Facts'!F89*1)+('Facts'!F121*1)+('Facts'!F123*1)+('Facts'!F85*1)+('Facts'!F125*1)+('Facts'!F127*1)+('Facts'!F129*1)+('Facts'!F131*1)+('Facts'!F133*1)+('Facts'!F135*1)+('Facts'!F137*1)+('Facts'!F139*1)+('Facts'!F141*1))*1</t>
  </si>
  <si>
    <t>=(('Facts'!F183*1)+('Facts'!F175*1)+('Facts'!F177*1))*1</t>
  </si>
  <si>
    <t>=(('Facts'!F181*1)+('Facts'!F185*1)+('Facts'!F187*1)+('Facts'!F189*1)+('Facts'!F115*1)+('Facts'!F117*1))*1</t>
  </si>
  <si>
    <t>=(('Facts'!F143*1)+('Facts'!F131*-1))*1</t>
  </si>
  <si>
    <t>=(('Calculations'!D62*1)+('Facts'!F145*1))*1</t>
  </si>
  <si>
    <t>=(('Calculations'!D63*1)+('Facts'!F171*1))*1</t>
  </si>
  <si>
    <t>=(('Facts'!F131*1)+('Facts'!F151*1))*1</t>
  </si>
  <si>
    <t>=(('Facts'!F210*1)+('Facts'!F230*1))*1</t>
  </si>
  <si>
    <t>=(('Facts'!F232*1)+('Facts'!F195*-1))*1</t>
  </si>
  <si>
    <t>=(('Facts'!F77*1)+('Facts'!F191*1))*1</t>
  </si>
  <si>
    <t>=(('Facts'!F103*1)+('Facts'!F197*1))*1</t>
  </si>
  <si>
    <t>=(('Facts'!F105*1)+('Facts'!F199*1))*1</t>
  </si>
  <si>
    <t>=(('Facts'!F212*1)+('Facts'!F210*1)+('Facts'!F228*-1))*1</t>
  </si>
  <si>
    <t>=(('Facts'!F212*1)+('Facts'!F228*-1))*1</t>
  </si>
  <si>
    <t>=(('Facts'!F44*1)+('Facts'!F52*1))*1</t>
  </si>
  <si>
    <t>=(('Facts'!F261*1)+('Facts'!F262*1))*1</t>
  </si>
  <si>
    <t>=(('Facts'!F266*1)+('Facts'!F263*-1))*1</t>
  </si>
  <si>
    <t>=(('Facts'!F287*1)+('Facts'!F286*-1))*1</t>
  </si>
  <si>
    <t>=(('Facts'!F271*1)+('Facts'!F270*-1))*1</t>
  </si>
  <si>
    <t>=(('Facts'!F210*1)+('Facts'!F288*1)+('Facts'!F289*-1))*1</t>
  </si>
  <si>
    <t>=(('Facts'!F290*1)+('Facts'!F291*-1))*1</t>
  </si>
  <si>
    <t>=(('Facts'!F292*1)+('Facts'!F293*1))*1</t>
  </si>
  <si>
    <t>=(('Facts'!F277*1)+('Facts'!F278*1)+('Facts'!F279*1)+('Facts'!F280*1)+('Facts'!F281*1))*1</t>
  </si>
  <si>
    <t>=(('Facts'!F284*1)+('Facts'!F285*1))*1</t>
  </si>
  <si>
    <t>=(('Facts'!F297*1)+('Facts'!F298*-1))*1</t>
  </si>
  <si>
    <t>=(('Facts'!F299*1)+('Facts'!F300*-1))*1</t>
  </si>
  <si>
    <t>=(('Calculations'!D85*1)+('Facts'!F301*-1))*1</t>
  </si>
  <si>
    <t>=(('Facts'!F306*1)+('Facts'!F307*-1))*1</t>
  </si>
  <si>
    <t>=(('Facts'!F114*1)+('Facts'!F115*-1))*1</t>
  </si>
  <si>
    <t>=(('Facts'!F106*1)+('Facts'!F107*-1))*1</t>
  </si>
  <si>
    <t>=(('Facts'!F112*1)+('Facts'!F113*-1))*1</t>
  </si>
  <si>
    <t>=(('Calculations'!D89*1)+('Calculations'!D90*1))*1</t>
  </si>
  <si>
    <t>=(('Facts'!F316*1)+('Facts'!F317*-1)+('Facts'!F318*-1)+('Facts'!F319*-1))*1</t>
  </si>
  <si>
    <t>=(('Facts'!F321*1)+('Facts'!F320*1))*1</t>
  </si>
  <si>
    <t>=(('Facts'!F320*1)+('Facts'!F323*-1)+('Facts'!F324*-1))*1</t>
  </si>
  <si>
    <t>=(('Facts'!F326*1)+('Facts'!F327*1)+('Facts'!F328*1)+('Facts'!F329*-1)+('Facts'!F330*-1))*1</t>
  </si>
  <si>
    <t>=(('Facts'!F325*1)+('Facts'!F331*-1))*1</t>
  </si>
  <si>
    <t>=(('Facts'!F333*1)+('Facts'!F332*1))*1</t>
  </si>
  <si>
    <t>=(('Facts'!F336*1)+('Facts'!F337*1))*1</t>
  </si>
  <si>
    <t>=(('Facts'!F335*1)+('Facts'!F337*1))*1</t>
  </si>
  <si>
    <t>=(('Facts'!F340*1)+('Facts'!F341*-1))*1</t>
  </si>
  <si>
    <t>=(('Facts'!F344*1)+('Facts'!F345*1))*1</t>
  </si>
  <si>
    <t>=(('Facts'!F47*1)+('Facts'!F55*1))*1</t>
  </si>
  <si>
    <t>=(('Facts'!F46*1)+('Facts'!F54*1))*1</t>
  </si>
  <si>
    <t>=(AVERAGE('Calculations'!D102,'Calculations'!D103))*1</t>
  </si>
  <si>
    <t>=(('Facts'!F122-'Facts'!F354))*1</t>
  </si>
  <si>
    <t>=(('Facts'!F355-'Facts'!F84))*1</t>
  </si>
  <si>
    <t>=(('Facts'!F349*-1)+('Facts'!F350*-1)+('Facts'!F351*1))*1</t>
  </si>
  <si>
    <t>=(('Facts'!F358*1)+('Facts'!F359*1)+('Facts'!F356*1))*1</t>
  </si>
  <si>
    <t>=(('Facts'!F361*1)+('Facts'!F356*1)+('Facts'!F357*-1))*1</t>
  </si>
  <si>
    <t>=(('Facts'!F364-'Facts'!F365))*1</t>
  </si>
  <si>
    <t>=(('Facts'!F366-'Facts'!F367))*1</t>
  </si>
  <si>
    <t>=IF(OR('Calculations'!D111&lt;=0,'Calculations'!D110&lt;0),NA(),((('Calculations'!D110-'Calculations'!D111)/'Calculations'!D111))*1)</t>
  </si>
  <si>
    <t>=(('Facts'!F369*1)+('Facts'!F370*1)+('Facts'!F371*1))*1</t>
  </si>
  <si>
    <t>=(('Calculations'!D113*1)+('Facts'!F368*1))*1</t>
  </si>
  <si>
    <t>=IF('Facts'!F373&lt;=0,NA(),(('Facts'!F372/'Facts'!F373))*1)</t>
  </si>
  <si>
    <t>=IF('Facts'!F375&lt;=0,NA(),(('Facts'!F374/'Facts'!F375))*1)</t>
  </si>
  <si>
    <t>=IF('Facts'!F377&lt;=0,NA(),(('Facts'!F376/'Facts'!F377))*1)</t>
  </si>
  <si>
    <t>=(('Facts'!F383-'Facts'!F384))*1</t>
  </si>
  <si>
    <t>=(('Facts'!F389*1)+('Facts'!F390*1))*1</t>
  </si>
  <si>
    <t>=(('Calculations'!D119-'Facts'!F391))*1</t>
  </si>
  <si>
    <t>=(('Facts'!F392*'Facts'!F391))*1</t>
  </si>
  <si>
    <t>=(('Facts'!F393-'Calculations'!D121))*1</t>
  </si>
  <si>
    <t>=(('Facts'!F398*1)+('Facts'!F399*1))*1</t>
  </si>
  <si>
    <t>=(('Facts'!F588*0.5)+('Facts'!F589*0.3)+('Facts'!F590*0.2))*1</t>
  </si>
  <si>
    <t>勾稽</t>
  </si>
  <si>
    <t>实际</t>
  </si>
  <si>
    <t>目标</t>
  </si>
  <si>
    <t>残差 基础单位</t>
  </si>
  <si>
    <t>容差 基础单位</t>
  </si>
  <si>
    <t>容差依据</t>
  </si>
  <si>
    <t>未测试原因</t>
  </si>
  <si>
    <t>金额残差小数位</t>
  </si>
  <si>
    <t>R_ca_2025</t>
  </si>
  <si>
    <t>within_input_tolerance</t>
  </si>
  <si>
    <t>原表百万美元列示精度，检验可直接复算桥；阈值以美元计。</t>
  </si>
  <si>
    <t>R_assets_2025</t>
  </si>
  <si>
    <t>R_cl_2025</t>
  </si>
  <si>
    <t>R_liab_2025</t>
  </si>
  <si>
    <t>R_eqparts_2025</t>
  </si>
  <si>
    <t>R_bs_2025</t>
  </si>
  <si>
    <t>R_rev_2025</t>
  </si>
  <si>
    <t>R_opex_2025</t>
  </si>
  <si>
    <t>R_pbt_2025</t>
  </si>
  <si>
    <t>R_contni_2025</t>
  </si>
  <si>
    <t>R_net_2025</t>
  </si>
  <si>
    <t>R_comp_2025</t>
  </si>
  <si>
    <t>R_cfi_2025</t>
  </si>
  <si>
    <t>R_cff_2025</t>
  </si>
  <si>
    <t>R_cashdelta_2025</t>
  </si>
  <si>
    <t>R_discassets_2025</t>
  </si>
  <si>
    <t>R_discliab_2025</t>
  </si>
  <si>
    <t>R_discpbt_2025</t>
  </si>
  <si>
    <t>R_discpre_2025</t>
  </si>
  <si>
    <t>R_tax_2025</t>
  </si>
  <si>
    <t>R_contcash_2025</t>
  </si>
  <si>
    <t>R_disccash_2025</t>
  </si>
  <si>
    <t>R_cashall_2025</t>
  </si>
  <si>
    <t>R_op_2025</t>
  </si>
  <si>
    <t>R_discni_2025</t>
  </si>
  <si>
    <t>R_cfo_2025</t>
  </si>
  <si>
    <t>2025 CFO 全桥</t>
  </si>
  <si>
    <t>R_cashroll_2025</t>
  </si>
  <si>
    <t>2025 现金滚动</t>
  </si>
  <si>
    <t>R_eqroll_2025</t>
  </si>
  <si>
    <t>2025 权益滚动</t>
  </si>
  <si>
    <t>R_ca_2024</t>
  </si>
  <si>
    <t>R_assets_2024</t>
  </si>
  <si>
    <t>R_cl_2024</t>
  </si>
  <si>
    <t>R_liab_2024</t>
  </si>
  <si>
    <t>R_eqparts_2024</t>
  </si>
  <si>
    <t>R_bs_2024</t>
  </si>
  <si>
    <t>R_rev_2024</t>
  </si>
  <si>
    <t>R_opex_2024</t>
  </si>
  <si>
    <t>R_pbt_2024</t>
  </si>
  <si>
    <t>R_contni_2024</t>
  </si>
  <si>
    <t>R_net_2024</t>
  </si>
  <si>
    <t>R_comp_2024</t>
  </si>
  <si>
    <t>R_cfi_2024</t>
  </si>
  <si>
    <t>R_cff_2024</t>
  </si>
  <si>
    <t>R_cashdelta_2024</t>
  </si>
  <si>
    <t>R_discassets_2024</t>
  </si>
  <si>
    <t>R_discliab_2024</t>
  </si>
  <si>
    <t>R_discpbt_2024</t>
  </si>
  <si>
    <t>R_discpre_2024</t>
  </si>
  <si>
    <t>R_tax_2024</t>
  </si>
  <si>
    <t>R_contcash_2024</t>
  </si>
  <si>
    <t>R_disccash_2024</t>
  </si>
  <si>
    <t>R_cashall_2024</t>
  </si>
  <si>
    <t>R_op_2024</t>
  </si>
  <si>
    <t>R_discni_2024</t>
  </si>
  <si>
    <t>R_cfo_2024</t>
  </si>
  <si>
    <t>2024 CFO 全桥</t>
  </si>
  <si>
    <t>R_cashroll_2024</t>
  </si>
  <si>
    <t>2024 现金滚动</t>
  </si>
  <si>
    <t>R_eqroll_2024</t>
  </si>
  <si>
    <t>2024 权益滚动</t>
  </si>
  <si>
    <t>R_sale2025</t>
  </si>
  <si>
    <t>2025 准备与已发生费用至处置损失</t>
  </si>
  <si>
    <t>R_gw2024</t>
  </si>
  <si>
    <t>合并商誉减值至期末余额</t>
  </si>
  <si>
    <t>R_original_revenue</t>
  </si>
  <si>
    <t>2024 原报与重列收入版本桥</t>
  </si>
  <si>
    <t>unexplained_difference</t>
  </si>
  <si>
    <t>原报及重列皆原件实际读；2 百万美元差异未披露完整重列明细，零阈值保留差异，不作错报结论。</t>
  </si>
  <si>
    <t>R_recast_pbt</t>
  </si>
  <si>
    <t>2024 原报至重列 pbt</t>
  </si>
  <si>
    <t>R_recast_tax</t>
  </si>
  <si>
    <t>2024 原报至重列 tax</t>
  </si>
  <si>
    <t>R_recast_ni</t>
  </si>
  <si>
    <t>2024 原报至重列 ni</t>
  </si>
  <si>
    <t>R_debt2025</t>
  </si>
  <si>
    <t>债务附注至资产负债表</t>
  </si>
  <si>
    <t>R_debtsec2025</t>
  </si>
  <si>
    <t>债务分类桥</t>
  </si>
  <si>
    <t>R_qallow</t>
  </si>
  <si>
    <t>准备跨年滚动</t>
  </si>
  <si>
    <t>R_qpbt</t>
  </si>
  <si>
    <t>R_qdiscpre</t>
  </si>
  <si>
    <t>Q1 终止处置前税后利润</t>
  </si>
  <si>
    <t>R_qcash</t>
  </si>
  <si>
    <t>Q1 现金分层</t>
  </si>
  <si>
    <t>R_qdebt</t>
  </si>
  <si>
    <t>Q1 债务桥</t>
  </si>
  <si>
    <t>R_priorallow_original</t>
  </si>
  <si>
    <t>2025 Q1 原报准备与 SEC 回复</t>
  </si>
  <si>
    <t>R_priorallow_recalled</t>
  </si>
  <si>
    <t>2026 Q1 对上年准备回述与原报桥</t>
  </si>
  <si>
    <t>同日同项跨版本比较；差额 11 百万美元保留，未知是否笔误、口径变化或其他更正。</t>
  </si>
  <si>
    <t>R_nimove</t>
  </si>
  <si>
    <t>利润变化分解</t>
  </si>
  <si>
    <t>R_pf_cashadd</t>
  </si>
  <si>
    <t>仅复算官方公开表所列百万美元精度；零阈值不代表审计门槛，残差单位美元。</t>
  </si>
  <si>
    <t>R_pf_cash</t>
  </si>
  <si>
    <t>R_pf_assetdelta</t>
  </si>
  <si>
    <t>R_pf_liabdelta</t>
  </si>
  <si>
    <t>R_pf_equitydelta</t>
  </si>
  <si>
    <t>R_pf_equity</t>
  </si>
  <si>
    <t>R_pf_interest</t>
  </si>
  <si>
    <t>R_pf_contni</t>
  </si>
  <si>
    <t>R_fibergw</t>
  </si>
  <si>
    <t>Fiber报告单元商誉滚动</t>
  </si>
  <si>
    <t>R_sp_interest</t>
  </si>
  <si>
    <t>S&amp;P输入原报interest勾稽</t>
  </si>
  <si>
    <t>同一百万美元原表可直接复算，未扩大容差。</t>
  </si>
  <si>
    <t>R_sp_dda</t>
  </si>
  <si>
    <t>S&amp;P输入原报dda勾稽</t>
  </si>
  <si>
    <t>R_sp_aro</t>
  </si>
  <si>
    <t>S&amp;P输入原报aro勾稽</t>
  </si>
  <si>
    <t>文件</t>
  </si>
  <si>
    <t>链接</t>
  </si>
  <si>
    <t>公布日期</t>
  </si>
  <si>
    <t>SHA256</t>
  </si>
  <si>
    <t>时间证据与限制</t>
  </si>
  <si>
    <t>S25</t>
  </si>
  <si>
    <t>Crown Castle 2025 Form 10-K</t>
  </si>
  <si>
    <t>https://investor.crowncastle.com/static-files/68fb84e1-1dac-440d-96b4-55b9603e10dd</t>
  </si>
  <si>
    <t>2026-02-23</t>
  </si>
  <si>
    <t>56243c10e5fe5d02b60178eb88aff4ad5f4de6e3220b3060c2b1b3a9f70eb803</t>
  </si>
  <si>
    <t>官方 IR 原件；SEC accession 0001051470-26-000016。重点实际读印刷/物理页 40、45、56–61、65–72、75–81、87–90；数字表 p45/58/59/60/61/72/88 视觉复核。其余只用于检索定位，不称全页审阅。 核对note8/p75–79、note18/p89及Exhibit Index p101–102。</t>
  </si>
  <si>
    <t>S24</t>
  </si>
  <si>
    <t>Crown Castle 2024 Form 10-K（原报）</t>
  </si>
  <si>
    <t>https://investor.crowncastle.com/static-files/baed4489-6578-4e32-81e6-a084eea66a02</t>
  </si>
  <si>
    <t>2025-03-14</t>
  </si>
  <si>
    <t>2c228ec3bcecba25d66882f47bd38f6016b3932981e716b70c88b8fd2223993d</t>
  </si>
  <si>
    <t>官方IR原件；accession 0001051470-25-000089。承接原读p39、48–50、61、89；实际读取note5/p75和note14/p88–89，p75图像核对Fiber/Towers/合并商誉三列。</t>
  </si>
  <si>
    <t>SSEC</t>
  </si>
  <si>
    <t>Crown Castle 2025-06-04 SEC comment-response letter</t>
  </si>
  <si>
    <t>https://www.sec.gov/Archives/edgar/data/1051470/000105147025000154/filename1.htm</t>
  </si>
  <si>
    <t>未列单一日期</t>
  </si>
  <si>
    <t>实际在线阅读完整公司回复；信函日期 2025-06-04、accession 为 2025 年；首次公开日期未独立核准，故 published=null。用于事后理解截至截止日已公开的会计解释，不是当时市场首次获悉日研究。 在线核对comments1–2；ASC360实际引用35-17，税及830/819差额均在comment2。</t>
  </si>
  <si>
    <t>SQ125</t>
  </si>
  <si>
    <t>Crown Castle Q1 2025 Form 10-Q 原报</t>
  </si>
  <si>
    <t>https://www.sec.gov/Archives/edgar/data/1051470/000105147025000141/cci-20250331.htm</t>
  </si>
  <si>
    <t>2025-05-09</t>
  </si>
  <si>
    <t>实际在线读 note 3 待售资产负债及准备；未本地保存全文。日期经公司 IR filing index 核对。</t>
  </si>
  <si>
    <t>SQ126</t>
  </si>
  <si>
    <t>Crown Castle Q1 2026 Form 10-Q</t>
  </si>
  <si>
    <t>https://investor.crowncastle.com/static-files/de60fca2-89d5-499d-899b-8e0a23030617</t>
  </si>
  <si>
    <t>2026-05-07</t>
  </si>
  <si>
    <t>f00ac5617bb5713a00240c46c0bf1915f161b658c26e815bb6a78984219c8f5b</t>
  </si>
  <si>
    <t>accession 0001051470-26-000059；印刷页比物理 PDF 页少 1。实际读四表相关行、note 3/p9、债务 p12、现金 p18、期后 p19–20、流动性 p28；物理 p10/19/20/21 视觉复核。未经审计中期报表。 另读Item6 Exhibit Index印刷p38/PDF p39，用于公开协议版本核查。</t>
  </si>
  <si>
    <t>SSALE</t>
  </si>
  <si>
    <t>Crown Castle announces completion of fiber and small cell sale</t>
  </si>
  <si>
    <t>https://investor.crowncastle.com/node/29086</t>
  </si>
  <si>
    <t>3fa9331057186a54cd18bdc580ed723fe6164a9f7de14980a769bf3918e31fff</t>
  </si>
  <si>
    <t>实际阅读公司 2026-05-01 09:19 EDT 新闻稿；区分已完成交割与预计未来偿债/回购。</t>
  </si>
  <si>
    <t>SCREDIT</t>
  </si>
  <si>
    <t>Crown Castle May 1 2026 Form 8-K and Exhibit 10.1 credit agreement</t>
  </si>
  <si>
    <t>https://investor.crowncastle.com/static-files/dd7712df-51aa-4a29-b6a5-67becf7b2234</t>
  </si>
  <si>
    <t>50bc26bcb8f671d133d1c36756a99d769d3780fcf2fdcdd4c598fc53a22d5d68</t>
  </si>
  <si>
    <t>accession 0001051470-26-000055；已读 8-K 概要、协议 §1.01 EBITDA/债务/现金定义、§1.04、§1.05、§4.02、§6.10；协议印刷页 43/44/93/108 对应 PDF 物理页 53/54/103/118。未声称检查所有附件。 核对8-K Item1.02及新协议Net Income印刷p12–13/PDF p22–23，与旧协议分别比较，不追溯使用新本金/租赁文字。</t>
  </si>
  <si>
    <t>SFASB</t>
  </si>
  <si>
    <t>FASB ASU 2017-04 — Simplifying the Test for Goodwill Impairment</t>
  </si>
  <si>
    <t>https://storage.fasb.org/ASU2017-04.pdf</t>
  </si>
  <si>
    <t>e2ee3d7f5672615190b8e14719576e110e4ad77f40fec4043b03fe387177f648</t>
  </si>
  <si>
    <t>封面 January 2017，未核定日级发表日期。实际读封面权威性说明、摘要、印刷 p8/PDF p14 与印刷 p12/PDF p18，后两页图像复核下划线新增和删除线。ASU 说明 Codification 变更，本身并非权威 Codification；未称已核对所有后续修订。</t>
  </si>
  <si>
    <t>SPROFORMA</t>
  </si>
  <si>
    <t>2026-05-01 出售8-K及Exhibit99.2公开未经审计备考</t>
  </si>
  <si>
    <t>https://investor.crowncastle.com/static-files/f4ff727f-0f13-4f18-affa-1ff461698ccf</t>
  </si>
  <si>
    <t>8027c9c3885a4c41f6b2a30687dedee25f084b96d06d8d8275ea1736f107c6c3</t>
  </si>
  <si>
    <t>官方21页PDF；实际读物理p2–3正文/索引、p5/p10公告及p18–21 Exhibit99.2，特别Note2(A)–(E)。完整下载和提取不等于全文审阅；BS假设2025-12-31、利润表假设2025-01-01完成。</t>
  </si>
  <si>
    <t>SSPA</t>
  </si>
  <si>
    <t>2025-03-13签署出售协议（2025-03-17提交8-K Exhibit2.1）</t>
  </si>
  <si>
    <t>https://investor.crowncastle.com/static-files/3b910737-4f3d-4197-a8b4-893f83855c9f</t>
  </si>
  <si>
    <t>2025-03-17</t>
  </si>
  <si>
    <t>47073f1af131b85356eb749a4ed8703ee22f5593fbd1cb01f06bbf75b6667c69</t>
  </si>
  <si>
    <t>官方169页PDF；SEC对应原件https://www.sec.gov/Archives/edgar/data/1051470/000095014225000762/eh250603725_ex0201.htm亦在线读。实际读§2.2–2.7（协议p35–44/PDF p45–54）、§1.1相关定义PDF p16/20/23/34–37/40和§12.9 PDF p160。附表/部分内容按Reg S-K省略；未把最初协议称作完整最终修订版。</t>
  </si>
  <si>
    <t>SOLDCREDIT</t>
  </si>
  <si>
    <t>2022-07-08 Amendment No.7及附后旧信用协议</t>
  </si>
  <si>
    <t>https://investor.crowncastle.com/static-files/d735da3e-9136-43ce-ad76-3a96bcb686cf</t>
  </si>
  <si>
    <t>2022-07-08</t>
  </si>
  <si>
    <t>8fcc0400dc2335a91feed8c83e4eb821b9750fa8fe86fca14b93918d23766333</t>
  </si>
  <si>
    <t>官方196页PDF，SEC对应https://www.sec.gov/Archives/edgar/data/1051470/000119312522190527/d536644dex101.htm。实际读指定定义PDF p42–43/45–46/56–57/69/73/79–81、§1.04/1.05 PDF p84–85（印刷p55–56）、§6.09/6.10 PDF p158（印刷p129）；SEC在线区分删除线。未全读所有附件。</t>
  </si>
  <si>
    <t>S_SP_Q4</t>
  </si>
  <si>
    <t>Crown Castle Q4 2025 Supplemental Information</t>
  </si>
  <si>
    <t>https://investor.crowncastle.com/static-files/bea23792-6649-4b95-9395-aa837e68396c</t>
  </si>
  <si>
    <t>2026-02-04</t>
  </si>
  <si>
    <t>9f02eedff49239618fc0454339d80c8b8edbfc13f3e0a166e93fad313b86854b</t>
  </si>
  <si>
    <t>官方原件；S&amp;P日期为当前所用重发版，原发日期与阅读范围见对应证据；公司补充资料页码为PDF物理页。</t>
  </si>
  <si>
    <t>S_SP_Q1</t>
  </si>
  <si>
    <t>Crown Castle Q1 2026 Supplemental Information</t>
  </si>
  <si>
    <t>https://investor.crowncastle.com/static-files/38f6a584-60a8-452d-bfd2-a44103aeec82</t>
  </si>
  <si>
    <t>2026-04-22</t>
  </si>
  <si>
    <t>cb5cd5c2bc971628c318e0d4c63014e036364c1044381af9885bfcc808684572</t>
  </si>
  <si>
    <t>S_SP_RATIOS</t>
  </si>
  <si>
    <t>S&amp;P Corporate Methodology: Ratios And Adjustments</t>
  </si>
  <si>
    <t>https://www.maalot.co.il/Publications/MT20251223092257.pdf</t>
  </si>
  <si>
    <t>2025-12-17</t>
  </si>
  <si>
    <t>0e97e341f6cc5f5662c76b021da898c243f10d32a89d13d3b233613d2b7619f3</t>
  </si>
  <si>
    <t>S_SP_SECTORS</t>
  </si>
  <si>
    <t>S&amp;P Sector-Specific Corporate Methodology — Digital Infrastructure</t>
  </si>
  <si>
    <t>https://www.maalot.co.il/Publications/MT20251012123218.pdf</t>
  </si>
  <si>
    <t>2025-09-26</t>
  </si>
  <si>
    <t>31a53f0162f26153a279644fe954a064efdb35dfc549accfe2e4b601e0be5474</t>
  </si>
  <si>
    <t>S_SP_XBRL</t>
  </si>
  <si>
    <t>SEC Companyfacts：Crown Castle 2025年度及2026Q1原申报事实</t>
  </si>
  <si>
    <t>https://data.sec.gov/api/xbrl/companyfacts/CIK0001051470.json</t>
  </si>
  <si>
    <t>26332892a4dcd974308249d90b2fd21a8a0a454f86190fc157c66b1699b57196</t>
  </si>
  <si>
    <t>API响应取得于2026-10-04；动态合并响应没有单一公开日，published留空。年度事实选accession 0001051470-26-000016、filed 2026-02-23、2025-01-01至2025-12-31及该申报比较期间；季度事实选accession 0001051470-26-000059、filed 2026-05-07、2026-01-01至2026-03-31及该申报比较期间。只使用信息截止日前原申报选择；申报公开日与API快照取得日分开。InterestPaidNet标签原定义排除资本化利息，不能仅凭10-Q表中cash paid for interest行标题推定此属性。</t>
  </si>
  <si>
    <t>S_PROXY26</t>
  </si>
  <si>
    <t>Crown Castle 2026 DEF14A（2026年股东会；完整传输HTML）</t>
  </si>
  <si>
    <t>https://investor.crowncastle.com/node/29011/html</t>
  </si>
  <si>
    <t>2026-04-06</t>
  </si>
  <si>
    <t>2843da913476d0c2eadb4f3c50049453b516ee7060564a536606a43e1bf95e0c</t>
  </si>
  <si>
    <t>SEC accession0001051470-26-000039，2026-04-06公开；所列官网完整正文HTML为1647367字节，其SHA256与来源记录一致。人工读printed p18–23/26–30/33–34/44–46/52–53及B3相关段落/表；不称全部页阅读。128个外链图片引用未取得/未查看，图文PDF未取得；HTML表格正文与图形覆盖分别记录。p34、p45、p46及B3目标行本次单独重读，非只取关键词。</t>
  </si>
  <si>
    <t>S_DEV_CORP</t>
  </si>
  <si>
    <t>Corporate Methodology</t>
  </si>
  <si>
    <t>https://www.maalot.co.il/Publications/MT20250709153825.pdf</t>
  </si>
  <si>
    <t>2025-07-07</t>
  </si>
  <si>
    <t>641c89f41dac7f914dbda629b4c81da95986574ce51f51538524fcd53d0276ce</t>
  </si>
  <si>
    <t>2024-01-07发布，2025-07-07非重大重发，日期由PDF1确认。已取得79页原件；实际引用见证据定位及分析结果，未称全部条款逐页专业核读。</t>
  </si>
  <si>
    <t>S_DEV_LIQ</t>
  </si>
  <si>
    <t>Methodology And Assumptions: Liquidity Descriptors For Global Corporate Issuers</t>
  </si>
  <si>
    <t>urn:sha256:76cf8f47d56b21e8fe60597490f873d1af5dd4ff1326b9a4fa2577c022a534d4</t>
  </si>
  <si>
    <t>2024-11-19</t>
  </si>
  <si>
    <t>76cf8f47d56b21e8fe60597490f873d1af5dd4ff1326b9a4fa2577c022a534d4</t>
  </si>
  <si>
    <t>完整本地原件25页，2014-12-16首发、2024-11-19非重大重发；取得网址未独立核实，采用原件SHA身份。本次核PDF7–14适用条款，其他读取见来源阅读记录。</t>
  </si>
  <si>
    <t>S_DEV_REC</t>
  </si>
  <si>
    <t>Recovery Rating Criteria For Corporate Issuers</t>
  </si>
  <si>
    <t>https://www.maalot.co.il/Publications/MT20260405084138.pdf</t>
  </si>
  <si>
    <t>5e5d3176fd7f13344e286a95fc7406cd133018c1b2231d7e0030401a3a8671f5</t>
  </si>
  <si>
    <t>完整原件47页，2026-03-31发布。适用回收范围、六步、DAV/SPE排除、RCF/预欠息、回收区间及一般无抵押上限已核；美国当期法域分组未核。</t>
  </si>
  <si>
    <t>S_DEV_COUNTRY</t>
  </si>
  <si>
    <t>Country Risk Assessments Update: June 2026</t>
  </si>
  <si>
    <t>https://spratings.spglobal.com/ratings/en/regulatory/article/-/view/type/HTML/id/3582048</t>
  </si>
  <si>
    <t>2026-06-17</t>
  </si>
  <si>
    <t>0d345153c41f644e143c4054859c1204780196cc04adcc1c8e957f695586960c</t>
  </si>
  <si>
    <t>完整官方HTML内嵌2026-06-17文章，核六列表头及美国风险1行；不代表主权或T&amp;C评级，其他国家及SVG未全面审阅。</t>
  </si>
  <si>
    <t>S_DEV_SUB</t>
  </si>
  <si>
    <t>Reflecting Subordination Risk In Corporate Issue Ratings</t>
  </si>
  <si>
    <t>https://spratings.spglobal.com/ratings/en/regulatory/article/-/view/sourceId/10486915</t>
  </si>
  <si>
    <t>fd48104a99b711ae867fd13e69a5e218aefaf3fb54a939d301eceeb40cd01ba4</t>
  </si>
  <si>
    <t>完整官方HTML内嵌2026-03-31非重大重发文章；核scope、六步及债务定义。2024本地PDF不替代当前版本；特殊行业附录未全面审阅。</t>
  </si>
  <si>
    <t>来源</t>
  </si>
  <si>
    <t>定位</t>
  </si>
  <si>
    <t>观察</t>
  </si>
  <si>
    <t>可靠性与限制</t>
  </si>
  <si>
    <t>印刷及 PDF p58，Consolidated Balance Sheet，2025/2024 两列</t>
  </si>
  <si>
    <t>资产、负债及权益四表组成行；比较列已按终止经营重列。</t>
  </si>
  <si>
    <t>官方原件披露；阅读与复算不构成审计保证</t>
  </si>
  <si>
    <t>印刷及 PDF p59，Consolidated Statement of Operations and Comprehensive Income</t>
  </si>
  <si>
    <t>持续、终止、处置损失及合并损益分别列示。</t>
  </si>
  <si>
    <t>印刷及 PDF p60，Consolidated Statement of Cash Flows</t>
  </si>
  <si>
    <t>现金流始于合并净利润，先去除终止经营损益及处置损失，再并入终止经营 CFO；期末现金含受限及终止经营。</t>
  </si>
  <si>
    <t>印刷及 PDF p61，Consolidated Statement of Equity (Deficit)</t>
  </si>
  <si>
    <t>权益年初、股份支付相关净额、库存股/回购、综合收益和宣告分配桥。</t>
  </si>
  <si>
    <t>note 3，印刷及 PDF p71–72，尤其 p72 资产负债、损益及脚注 (b)(c)</t>
  </si>
  <si>
    <t>Fiber Business 出售构成重大策略转变；持有待售后停止折旧摊销；处置损失包括准备与已发生售出费用，REIT 未确认对应税益。</t>
  </si>
  <si>
    <t>p48–50 Critical Accounting Policies；note 5，印刷/PDF p75 goodwill rollforward</t>
  </si>
  <si>
    <t>长期资产用未折现现金流先测试可收回性；Fiber 商誉估值受 small cells 需求、扩张计划、长期现金流及估值假设影响；年末尚未满足持有待售。 p75分部表：Fiber商誉4,958全额减值至0；Towers5,127未变；集团合并10,085减至5,127，剩余全属Towers。</t>
  </si>
  <si>
    <t>MD&amp;A p39，Asset write-down charges</t>
  </si>
  <si>
    <t>当年取消约七千 greenfield nodes 有独立资产核销；不能把未触发 ASC360 资产组减值泛化为没有任何资产核销。</t>
  </si>
  <si>
    <t>ESECSEQ</t>
  </si>
  <si>
    <t>公司回复 Staff comment 1；引用 ASC350-20-35-31 和 ASC360-10-35-17</t>
  </si>
  <si>
    <t>公司明确先测长期资产再测商誉。Fiber segment 同时是最低独立现金流资产组及商誉报告单元；同一预算模型以未折现和折现两个计量基础形成不同结论。CBSA 分析为辅助，非主要测试单元。</t>
  </si>
  <si>
    <t>SEC 托管公司正式回复；非 SEC 接受结论或审计程序执行证据</t>
  </si>
  <si>
    <t>公司回复 comment 2；ASC205-20-45-3A、税项及830损失/819准备/11售出费用</t>
  </si>
  <si>
    <t>公司区分当季处置损失与持有待售准备，差额系已支付或应计售出成本；终止业务税额与处置税额不是同一事项。</t>
  </si>
  <si>
    <t>公司回复；未把其承诺的披露修订等同会计差错更正</t>
  </si>
  <si>
    <t>原报 p61 合并损益；note 14/p88–89 segment results，分部表p89</t>
  </si>
  <si>
    <t>保留原报合并收入及原 Tower/Fiber 分部收入，与次年重列版本独立比较。</t>
  </si>
  <si>
    <t>note 10，印刷及 PDF p80，所得税组成及法定税率金额调节</t>
  </si>
  <si>
    <t>持续经营税项以法定金额、REIT、州及外国税因素调节；REIT 不代表全部业务免税。</t>
  </si>
  <si>
    <t>note 16，印刷及 PDF p88，cash reconciliation table</t>
  </si>
  <si>
    <t>现金按持续/终止及受限/非受限分层；受限现金多为债务服务托管资金。</t>
  </si>
  <si>
    <t>note 8，p75–79 债务表、2018 Tower Revenue Notes、CP Program；MD&amp;A p40/p45</t>
  </si>
  <si>
    <t>账面债务含债务费用折抵；CP 虽呈长期仍属短票，备用承诺与 CP 不能相加；塔票据预期还款日与最终到期日不同。</t>
  </si>
  <si>
    <t>MD&amp;A p45 covenant table 及脚注</t>
  </si>
  <si>
    <t>旧协议报告合规比率；条件式利息保障只在两家指定评级触发时适用；报告比率不能直接由 GAAP 总债/管理层 EBITDA 替代。</t>
  </si>
  <si>
    <t>E25SPE</t>
  </si>
  <si>
    <t>note 8/p77–78，2018 Tower Revenue Notes 及 2009 Securitized Notes</t>
  </si>
  <si>
    <t>SPE 债项、现金流、担保品和非义务主体存在区别；某些 Verizon 相关实体分配可入偿债来源，但其资产不是担保物。</t>
  </si>
  <si>
    <t>E25AUDIT</t>
  </si>
  <si>
    <t>p56–57，PwC auditor report，2026-02-23</t>
  </si>
  <si>
    <t>PwC 对财务报表及内控发表意见；Fiber 处置列为 CAM。审计师所列合同检查/账簿勾稽并非本研究已完成程序。</t>
  </si>
  <si>
    <t>EQ125</t>
  </si>
  <si>
    <t>note 3，2025-03-31 held-for-sale table</t>
  </si>
  <si>
    <t>原报待售准备与 SEC 回复一致；保留为原始比较版本。</t>
  </si>
  <si>
    <t>note 3 印刷 p9/PDF p10，2026/2025 比较损益、准备表、脚注 (c)</t>
  </si>
  <si>
    <t>本期准备可按处置损失减售出费用滚动；脚注回述上年准备金额与上年原报不同，未见此处附解释。</t>
  </si>
  <si>
    <t>印刷 p18/PDF p19 现金调节；note 5/p12 债务；MD&amp;A/p28 流动性</t>
  </si>
  <si>
    <t>三月现金、债务和旧额度是出售前余额，不能减去五月偿还后仍称三月实际数。</t>
  </si>
  <si>
    <t>note 14 印刷 p19/PDF p20，Completion of Strategic Fiber Transaction</t>
  </si>
  <si>
    <t>五月实收为合同总价扣初步价调；交割成本此前已入账；实际已还贷与预计后续还贷分别披露；三月报表未因五月完成而调整。</t>
  </si>
  <si>
    <t>note 14 印刷 p20/PDF p21；MD&amp;A/p28 May 5 balances</t>
  </si>
  <si>
    <t>新额度替代旧协议，净杠杆门槛上调并移除利息保障条款；五月初 CP 尚未全部偿清。</t>
  </si>
  <si>
    <t>ESALE</t>
  </si>
  <si>
    <t>2026-05-01 官方 completion 公告开头、Use of proceeds</t>
  </si>
  <si>
    <t>确认交割已发生；后续还款和回购是管理层计划而非全额已执行。</t>
  </si>
  <si>
    <t>8-K Item 1.01；协议 §1.01、§1.04/p43、§1.05/p44、§4.02/p93、§6.10/p108；Total Indebtedness印刷39/PDF49，§1.04印刷43/PDF53</t>
  </si>
  <si>
    <t>新额度的法律借款人、承诺、信用证、指标定义及提款条件；总债按本金而非融资费用净额，租赁遵约按约定旧会计定义，出售要求备考调整 EBITDA。 新Net Income同样保留待售尚未处置例外。新§1.04全本金与2015-12-31租赁基础不得追溯旧版；Item1.02确认五月一日旧贷款已全还，不给出等同备考2,002的实际金额。</t>
  </si>
  <si>
    <t>note 18/p89，Subsequent Events—DISH Wireless</t>
  </si>
  <si>
    <t>DISH 违约争议后公司仍认为已有应收可收回；未来合同主张不是现金或无争议已实现资产。</t>
  </si>
  <si>
    <t>EFASB</t>
  </si>
  <si>
    <t>印刷 p12/PDF p18：350-20-35-31/32；印刷 p8/PDF p14：350-20-35-4/8 修订标记</t>
  </si>
  <si>
    <t>同日测试其他资产/资产组先于商誉；取消旧商誉 Step 2 后，报告单元账面超过公允价值的费用受分配商誉上限约束，适用时考虑可税扣商誉税影响。实际查看删除线，未误用被删除段落。</t>
  </si>
  <si>
    <t>FASB 官方准则变更原件；本身不是权威 Codification，结合公司当期政策和 SEC 回复使用</t>
  </si>
  <si>
    <t>EPROBASIS</t>
  </si>
  <si>
    <t>Ex99.2 PDF p18编制基础；p21 Note1</t>
  </si>
  <si>
    <t>BS假设2025-12-31交割；全年损益假设2025-01-01交割，2026-05-01发表。Article11说明性备考非预测或五月实际报表，未纳入其他非直接相关事项。</t>
  </si>
  <si>
    <t>官方公开原件；选定原文阅读与复算，不构成审计保证</t>
  </si>
  <si>
    <t>EPROBS</t>
  </si>
  <si>
    <t>Ex99.2 PDF p19资产负债表；p21 Note2(A)–(D)</t>
  </si>
  <si>
    <t>8,500−124初步价调−127估计交易及留任成本−2,002按2025年末本金假设偿债=6,247剩余现金，历史现金99至备考6,346；资产减少4,478、负债减少4,317，权益变化−161至−1,796。Note2(A)把124称作2025历史报表尚未反映的增量处置损失，仍为备考处理，非最终第二季度实绩。834行原件重复标Deferred site rental receivables，而2025年报p58称site rental contracts and tenant relationships；原标签差异保留，未据此改历史事实。</t>
  </si>
  <si>
    <t>EPROPL</t>
  </si>
  <si>
    <t>Ex99.2 PDF p20损益；p21 Note2(E)</t>
  </si>
  <si>
    <t>2025历史持续经营净利1,103加备考利息减少85至1,188；利息行−972+85=−887，税费16不变。85源自2025实际发生的旧额度及其融资偿债利息测算，非以2,002乘臆测利率，也非契约EBITDA。</t>
  </si>
  <si>
    <t>§2.2–2.3，PDF p45–48；§1.1定义PDF p16/20/23/34–37/40</t>
  </si>
  <si>
    <t>最初签署协议Fiber/Small Cell基价各4,250；按营运资本差、净债务、未付交易费用、分拆费用、CapEx及特定支付调整。相关定义有指定范围和防双计，不能用GAAP总流动项替代。定义/机制已公开，但不能由此拆出124初步调整或2025年末8,500与净资产8,411的89差额。</t>
  </si>
  <si>
    <t>ESPASETTLE</t>
  </si>
  <si>
    <t>§2.4–2.7，PDF p48–54；§12.9 PDF p160</t>
  </si>
  <si>
    <t>估计表、交割后买方初步表、卖方异议/会计师裁决及最终补款/退款机制已公开；Specified Payments等有例外。实际估计/最终表、附件分摊及可能未公开修订未取得，不能用期限经过推定结算完成。</t>
  </si>
  <si>
    <t>ESALEVERSION</t>
  </si>
  <si>
    <t>8-K PDF p2 Item2.01、p3 Exhibit Index；Ex99.1 p10 Fiber Business定义</t>
  </si>
  <si>
    <t>公司确认五月完成和约8.4bn实收；初步价格调整仍待交割后结算。正文未列可识别修订日期/条款；仅概括修订措辞不能证明某项已改或从未改。</t>
  </si>
  <si>
    <t>EQ126INDEX</t>
  </si>
  <si>
    <t>Item6 Exhibit Index，印刷p38/PDF p39</t>
  </si>
  <si>
    <t>Ex2.1仍指向2025-03-17出售协议；Ex10.3指向2026-05-01新信贷协议。未找到单独出售修订文本，无法证明初始机制所有细节均沿用至交割。</t>
  </si>
  <si>
    <t>EOLDCREDIT</t>
  </si>
  <si>
    <t>§1.01定义：印刷p13–17/27–28/40/44/50–52；§1.04/1.05 p55–56；§6.09/6.10 p129</t>
  </si>
  <si>
    <t>旧Net Income保留待售尚未处置组成部分；EBITDA按Borrower/Restricted Subsidiaries及列明调整。债务、Unrestricted Cash和Restricted定义及历史租赁冻结已读；旧§1.04并无2026新增全本金文字。§1.05含重大出售/偿债备考；旧常规净杠杆6.50、担保3.50及评级触发保障2.50，符合收购条件可有限期7.00。金额调整与合规证书尚缺。</t>
  </si>
  <si>
    <t>EOLDVERSION</t>
  </si>
  <si>
    <t>Exhibit Index p101–102，Ex10.49–10.55，尤其2022 Amendment7</t>
  </si>
  <si>
    <t>截至2025年报官方索引最后列明旧信贷2022-07-08 Amendment7；结合2026Q1索引和新信贷8-K终止披露、截止前官方定向搜索，所读范围未发现后续改变选定旧定义/门槛的提交文本。不能推定不存在未公开豁免。</t>
  </si>
  <si>
    <t>E_SP_RATIOS</t>
  </si>
  <si>
    <t>原发2019-04-01，2025-12-17重发，PDF7 ¶31–35；17–25 ¶86–137；44–45 ¶223–225</t>
  </si>
  <si>
    <t>例行调整资料不完整时允许有依据的最佳估计；经营租赁同步调整债、EBITDA、利息和现金流；资本化现金利息重分类不改变FOCF；内部使用软件通常不反转。现金抵债不普遍扣最低运营预算，特殊受限现金按实际目的判断。</t>
  </si>
  <si>
    <t>官方原件；按所列范围取证，估计及方法适用判断另标，不构成审计保证。</t>
  </si>
  <si>
    <t>note1/PDF及印刷p62；p60、p87–88</t>
  </si>
  <si>
    <t>附注除特别说明外采用持续经营范围。合并CFO含终止经营，需剥离；补充现金付息、现金税和租赁支付按该附注范围解释。现金总计308不能全部作为可抵债现金。</t>
  </si>
  <si>
    <t>PDF/印刷p58、p64、p75、p85、p87；note14</t>
  </si>
  <si>
    <t>经营租赁成本599对应ROU，另有可变147，经营租赁实际付现519；期末经营租赁负债5229，贴现率5.2%。融资租赁折旧185已含690，融资租赁负债5已含金融债务；不能重复加回。</t>
  </si>
  <si>
    <t>PDF/印刷p68利息表；p87补充现金流</t>
  </si>
  <si>
    <t>应计利息956、融资费摊销31、资本化15，净列费用972。现金付息965、现金税15，不能把所得税费用16或全部非现金利息当现金。资本化现金实付未单列，另作分析估计。</t>
  </si>
  <si>
    <t>PDF/印刷p59、p65、p83–84</t>
  </si>
  <si>
    <t>持续经营股份支付73，其中每RSU对应一股普通股的费用61。PP&amp;E放弃和核销12、损益净减记行11，差1未解释；不得将权益变动157代替费用73。</t>
  </si>
  <si>
    <t>PDF/印刷p65、p73–74；p80–82税务</t>
  </si>
  <si>
    <t>ARO301加增值25减结算4至322；折旧488、摊销177及ARO增值25合为690。未识别逐项税益/专款抵减，REIT身份不证明所有税益为零，也不能机械用21%。</t>
  </si>
  <si>
    <t>facts/us-gaap/InterestPaidNet、InterestCostsCapitalized、AllocatedShareBasedCompensationExpense、ShareBasedCompensation；指定原申报accession</t>
  </si>
  <si>
    <t>InterestPaidNet的2025值965百万美元，标签定义明确排除资本化利息且列经营活动。资本化利息15为发生额而非独立现金金额；73同时标为股份支付费用及非现金股份支付费用。</t>
  </si>
  <si>
    <t>PDF6/印刷p5，2026Q1/2025Q1现金流表；PDF19–20/印刷p18–19，note13重组事项</t>
  </si>
  <si>
    <t>合并CFO509/641，终止经营CFO213/270；比较期间均按同一持续经营范围剥离。2026重组计划费用14、已付12、未付2；2023/2024计划本季另付4、未付12。不能因公司非GAAP加回就从方法经营费用全部剔除。</t>
  </si>
  <si>
    <t>PDF10/印刷p9：2026Q1列，Components of changes in site rental revenues</t>
  </si>
  <si>
    <t>上年同期billings964；剔DISH及Sprint后的本期增量30，DISH终止影响−49、Sprint不续约−5，合为−24。该非GAAP经营桥不是现金回款或IFRS/CAS收入。</t>
  </si>
  <si>
    <t>PDF13/印刷p12；TENANT OVERVIEW及脚注(a)–(f)</t>
  </si>
  <si>
    <t>客户合同平均剩余6年，AT&amp;T3年；2028续约组年度化现金租金861，其中AT&amp;T775。该表假设续约/延期，排除DISH，不是2028确定损失或当年现金到期额。</t>
  </si>
  <si>
    <t>PDF14/印刷p13：GROUND INTEREST OVERVIEW及脚注(e)–(i)</t>
  </si>
  <si>
    <t>自有土地塔12045/39804，自有地块贡献末季年化站点租金毛现金利润1280/2999。租地加权剩余35年含续约选择权，与账内租赁15年、客户当前6年不可等同。</t>
  </si>
  <si>
    <t>E_SP_SECTORS</t>
  </si>
  <si>
    <t>2025-07-07原发、2025-09-26重发；PDF61–78数字基础设施章，尤其68–71及77</t>
  </si>
  <si>
    <t>塔资产提供方与移动运营商付塔费不同。先检验low，再在low不成立时检验medial，均不成立才用standard。low要求CICRA为1或2、竞争地位至少strong、至少90%可预测CFO；medial要求CICRA为1至3、竞争地位至少satisfactory、至少2/3可预测CFO。两档分别核合同或支持性监管/合同/法律框架条件，low的框架还须已建立，并均要求其他活动不被视为高风险或具有波动性；收入占比不能替代CFO归属。</t>
  </si>
  <si>
    <t>E_CG_AUDIT</t>
  </si>
  <si>
    <t>2025 10-K印刷/PDF p56–57完整PwC报告</t>
  </si>
  <si>
    <t>PwC对2025/2024年末合并BS、截至2025年末三年损益/综合收益、权益及现金流、相关附注及所列财务附表给出无保留US GAAP意见；按PCAOB审计。ICFR意见按COSO2013、仅基准日2025-12-31有效；签署2026-02-23，PwC称自2011服务。两项CAM为site rental revenues4049百万美元与Fiber出售终止经营；CAM不提供单项意见。收入CAM所列工作为控制测试、抽查合同条款及金额；Fiber CAM为控制、协议、损失计算、历史账簿及披露工作。</t>
  </si>
  <si>
    <t>正式外部合理保证报告的存在/覆盖及意见原文；本次只阅读报告，没有实施或复做PwC程序。意见不扩展至2026全年、治理全部活动或无舞弊证明。</t>
  </si>
  <si>
    <t>E_CG_RENT</t>
  </si>
  <si>
    <t>note2印刷/PDF p63、p66–67；p57收入CAM；note18 p89</t>
  </si>
  <si>
    <t>按控制identified asset判断租赁；多人共享且无一方控制者不按租赁并转适用其他指引如ASC606。塔接入通常为单一持续履约；固定非可取消期间直线确认，固定升幅、预付和免租会改变现金节奏，租户续约权不自动并入现有固定期。无条件应收、递延租金应收及预收递延收入分列；服务多履约义务另按完成及独立售价分配。DISH约50贸易应收+150递延租金−34递延收入，公司约报净165且12月末未设相关准备；索赔超过3500不是现金。</t>
  </si>
  <si>
    <t>公司政策、余额及期后判断原文；约数不机械加总成精确净额；合同总体、收款及法律回收未独立验证。</t>
  </si>
  <si>
    <t>E_CG_Q1_CTRL</t>
  </si>
  <si>
    <t>2026 Q1 10-Q印刷p10/PDF11 note4；印刷p36/PDF37 Item4</t>
  </si>
  <si>
    <t>Q1重复塔接入、固定期间直线确认及服务完成时点政策。CEO/CFO称2026-03-31披露控制有效，并称季度内没有已重大影响或合理可能重大影响ICFR的变化。</t>
  </si>
  <si>
    <t>未经审计中期及管理层评价；不等于PwC对2026-03-31 ICFR出具新意见，更不等于本次控制测试。</t>
  </si>
  <si>
    <t>printed p18–23 Board leadership/Risk oversight/Committees；p29–30 Audit Committee report</t>
  </si>
  <si>
    <t>Board2025开12次（4定期/8特别）；主席与CEO长期分任但非不可变政策。Audit Committee开8次，负责财报、内审/外审、内控/网络风险及外审任免/服务；Board认定现任成员独立且财务合格，Jones/Motlagh为财务专家。Finance Committee开3次并监督分红回购、投资/处置/融资且授权债务操作；Fiber Review开7次。VP Audit and Security一般季度、CISO一般半年向Audit报告。Audit报告称已与管理层/PwC讨论财报、独立性并建议纳入10-K。</t>
  </si>
  <si>
    <t>公司及委员会披露的职责/程序与已声称活动；没有读取外链charter全文或会议纪要/运行证据；不能由独立人数、会议次数认定实际控制有效。</t>
  </si>
  <si>
    <t>E_CG_RPT</t>
  </si>
  <si>
    <t>printed p26–27 Review of transactions with related persons；p28–30 auditor services/report</t>
  </si>
  <si>
    <t>关联事项由N&amp;G评估材料条款、关联利益与独立性/判断影响，关联成员不参与表决；事前报告法务/秘书及年度问卷为识别机制。Audit有服务预批/授权及定期回报安排。p28服务费列有限保证sustainability metrics服务，但未附其报告、指标范围和结论。</t>
  </si>
  <si>
    <t>政策设计与公司披露；无关联交易不是这些政策的推论，收费也不证明整个可持续报告受保证。</t>
  </si>
  <si>
    <t>E_CG_LEADERSHIP</t>
  </si>
  <si>
    <t>printed p33–34 Executive leadership changes；p52–53 recovery/antihedging/antipledging</t>
  </si>
  <si>
    <t>公司自2023称三次CEO交替、两次临时CEO任命及一次CFO变化；2025 CFO由Schlanger于3月底退出，Patel4月1日就任，Hillabrant9月15日接任CEO、Schlanger转CTRO。2023 mandatory recovery针对因财报重大不合规导致的重述及过额激励，另有legacy misconduct recoupment；董事/员工禁对冲、董事/高管禁质押。</t>
  </si>
  <si>
    <t>正式披露的人员及规则，未实测交接、权限撤销、恢复执行或核全部后续修订。</t>
  </si>
  <si>
    <t>printed p34 Alignment/AIP；p44–45结构、两张业绩表及404要求；p46 Hillabrant奖金表及脚注(a)</t>
  </si>
  <si>
    <t>p34文字2025 Adjusted EBITDA4044百万美元；p45目标3968、实际表4004、实际payout124%，另一表weight70%/weighted86.70%，organic weight30%/achievement175%/weighted52.50%，总achievement139.16%。p46 Hillabrant目标591780美元、实额823522美元，均为其9月15日就任后的proration。404 material weakness可能减少/取消负责者乃至全部高管奖金。已读AIP条文没有核定用于STI的完整插值/精度规则；相对TSR LTI另节出现线性插值，不能移植至STI。</t>
  </si>
  <si>
    <t>原HTML正文/表格逐行重读；保留原值与显示精度。跨表差异待核，不以假定线性插值认定错报或自行选择4044/4004。</t>
  </si>
  <si>
    <t>Appendix B printed B3 Historical Adjusted EBITDA reconciliation完整相关表；B1定义及B2 Fiber定义</t>
  </si>
  <si>
    <t>B3 2025净利444、终止净损失加回659、资产减记11、DDA690、预付租赁购价调整摊销15、利息及递延融资费摊销净额972、利息收入−13、其他收入−3、税16、股份支付73，列Adjusted EBITDA2863（totals may not sum due to rounding）。B2定义Fiber Business及出售仍待完成。该表剔除终止净损益后与持续业务度量相关，不能未经完整范围/调整桥直接替换AIP4044/4004。</t>
  </si>
  <si>
    <t>正文非GAAP定义与所列调节，不是外审对非GAAP度量的单独意见；AIP与B3的完整范围、调整及精确数仍未解释。</t>
  </si>
  <si>
    <t>E_CG_RP</t>
  </si>
  <si>
    <t>新协议§1.01 Restricted Payment/Restricted Subsidiary PDF45；§6.06印刷105–106/PDF115–116</t>
  </si>
  <si>
    <t>Restricted Payment包括股权分红/分配与股权购买、赎回等支付。6.06总禁令有(a)子公司按股权比例分配、(b)股票股利、(c)董事会或其委员会批准薪酬/福利计划、(d)REIT转换、(e)连续4季不超过维持REIT或避免所得/消费税所需额、(f)不存在持续或由支付引发的Default/Event of Default等例外。(e)在Borrower或Restricted子公司为REIT期间适用，未附(f)无违约条件。</t>
  </si>
  <si>
    <t>只核公开条款及例外，不是法律意见或实际支付合法性/合规证书测试；州法、其他契约/未公开豁免、税额和同日现金仍需与实际支付匹配。</t>
  </si>
  <si>
    <t>E_CG_DRAW</t>
  </si>
  <si>
    <t>新8-K PDF2；§1.01 Borrower PDF19、Default PDF24、Unrestricted PDF51；§4.02印刷93/PDF103；§6.10印刷108/PDF118；ArticleVII(d)/(e)印刷109/PDF119；(g)印刷110/PDF120</t>
  </si>
  <si>
    <t>Borrower为Crown Castle Inc.；Restricted为非Unrestricted，后者有Schedule1.02/指定及无对Borrower/Restricted追索等条件。每次提款须申请、指定陈述按其重大性/明确旧日条件真实且当时/提款后无Default，subject to2.20；循环提款明确排除3.04(d)及3.06(a)(i)陈述，不笼统称所有陈述。6.10季度末总净杠杆7.00，合格收购有限期7.50、担保3.50。ArticleVI违反在VII(d)，不是(e)通用30/60日补救；SPE依约ARD/摊还本身在VII(g)(iii)加速交叉触发例外。</t>
  </si>
  <si>
    <t>公开协议适用文字；未核Schedule完整实体/证书、实际提款及所有陈述。EBITDA压力本身不证明已Default；需按契约范围/测试日/定义、通知和具体事实判断。</t>
  </si>
  <si>
    <t>E_CG_RESOURCE</t>
  </si>
  <si>
    <t>note2印刷/PDF63受限现金；note8 p77–78完整Securitized Debt及Senior Notes段；note16 p88</t>
  </si>
  <si>
    <t>塔SPE债只能由其相关塔现金偿付；Crown Atlantic/Crown GT分配可服务塔债，但不是债务人、其现金流/资产不作该票据担保。剩余现金先付本息、储备、费用及管理费才按indenture分给公司；DSCR触发现金陷阱、恢复需连续两季，进一步触发可预付。母公司高级无担保债对子公司债务结构从属且子公司无担保。受限现金为trustee按本息、地租、税、保险等用途持有，非全不可用亦非自由上划。</t>
  </si>
  <si>
    <t>年报摘要证实法律/现金不同边界；不替代全部SPE indenture、银行/受托人确认及当期DSCR证书，PPE账面不能作回收估值。</t>
  </si>
  <si>
    <t>E_CG_TRANSFER</t>
  </si>
  <si>
    <t>§6.08印刷107–108/PDF117–118完整公开条款</t>
  </si>
  <si>
    <t>限制对Restricted子公司向上分配/借还款的约束有法律、非全资JV、出售、Securitization Document、日常客户、既有/符合条件债务、Schedule6.08、tower租赁、SPE破产隔离等大量例外；部分依Borrower/CFO判断不重大损害贷款偿付。</t>
  </si>
  <si>
    <t>债权保护条款不等于所有子公司必须/可以无条件上划；缺实体、金额与释放条件只限制相应现金可达及额度，不能否定其他已核资源。</t>
  </si>
  <si>
    <t>PDF4–6/印刷3–5；note5 PDF14/印刷13；note13–14 PDF19–20</t>
  </si>
  <si>
    <t>Q1 OL258+4939；NI220，非现金172/7/18/3/1/1，应付利息−79及其他WC1/−48/−12/12；capex−57/dividends−473/buyback−25，DO investing−256。note5 Total Cash Obligations24805−123=24682。真实已报组成，不把资本化应计当已付现金。</t>
  </si>
  <si>
    <t>完整原件，实际读取所列页；公开分析不构成审计保证</t>
  </si>
  <si>
    <t>InterestPaidNet / InterestCostsCapitalized；accn0001051470-26-000059，2026Q1，filed2026-05-07</t>
  </si>
  <si>
    <t>318为不含资本化的经营现金付息；4为应计资本化发生额。原始API选择另有已保存证据。</t>
  </si>
  <si>
    <t>官方原始事实；仅指定原申报/期间；现金资本化未单列</t>
  </si>
  <si>
    <t>PDF9/11/13–16/18/28，印刷8/10/12–15/17/27</t>
  </si>
  <si>
    <t>现有合同预测排除Fiber/DISH，全部license假定续约/no churn；Q1billings940、prepaid摊销21、SL−3、地租SL14、预付新增14；2027/28billings3926/4044，预付66/45，SL−171/−236，ground699/718+SL35/24；ATT2028为773/860。Face24804=carrying24682+unamort122。2027固定债750+500+1000=2250；2028固定债1000+1000+600=2600，另750预期偿付日July2028（法律最终2048）。</t>
  </si>
  <si>
    <t>完整原件实际读表及脚注；合同预测不是已保证收入、实际付租或fixed ROU成本</t>
  </si>
  <si>
    <t>完整May1 8-K的Ex99.1 PDF6、11、13、15–16（印刷2、7、9、11–12）</t>
  </si>
  <si>
    <t>当前公司AEBITDA2665–2715，FFO1690–1720，AFFO1945–1995；gross debt interest expense775–815，amort25–35，capitalized accrual5–15，net expense792–837；DAA627–722/SBC88–92/impairment10–20/PPA14–16/restruct25–35；capex discretionary150–250+sustain25–45/new prepaid30–50。</t>
  </si>
  <si>
    <t>2026-05-01公开管理层预测，不是实际现金或S&amp;P指标</t>
  </si>
  <si>
    <t>E_FWD_DEBT_MEASURE</t>
  </si>
  <si>
    <t>PDF27/印刷27，Appendix2 Initial measurement / debt at fair value</t>
  </si>
  <si>
    <t>S&amp;P原则偏好发行后按摊余成本衡量债务；特殊初始计量/公允价值可另调整。现金还本仍用本金，不能把本金和账面逐期机械等同。</t>
  </si>
  <si>
    <t>合法已取得完整方法原件，实际读该页</t>
  </si>
  <si>
    <t>E_FWD_CREDIT_CONDITIONS</t>
  </si>
  <si>
    <t>完整协议PDF2、49、51、103、118；协议印刷39、41、93、108；§4.02/§6.10</t>
  </si>
  <si>
    <t>新4500额度扣May1 LC39.4；契约TotalNetLeverage=(TotalIndebtedness−UnrestrictedCash)/过去四季ConsolidatedEBITDA，季度末7x、senior secured3.5x；每次借款须无持续Default。借款先增加同额普通现金再偿旧债，本金净债原则不变；不能由S&amp;P债务/EBITDA或名义额度推定可提。</t>
  </si>
  <si>
    <t>合法已取得完整协议实际读选页；未核证具体财务证明或季度遵约，定义仍需逐项应用</t>
  </si>
  <si>
    <t>E_FWD_RESTRUCT_CLASS</t>
  </si>
  <si>
    <t>2025 10K PDF89/印刷89；Q1更新已由E_FWD_Q1 note13–14支持</t>
  </si>
  <si>
    <t>2024旧办公室责任14列Other accrued liabilities/Other long-term liabilities，旧计划合计16由Q1付款4至12，计划支付至2033。文字ongoing lease obligations不证明另包含OL5197；全留存及付款节奏仍为主情景。2026新计划仅员工减员付款明确预计2027完成。</t>
  </si>
  <si>
    <t>实际读完整原件指定页；α0是报表分类一致的参照，不证明现金和ROU完全没有重叠</t>
  </si>
  <si>
    <t>Q1 supplement PDF12/印刷11完整Consolidated ROIC表及(a)–(f)脚注；PDF23/印刷22 Non-GAAP Measures定义</t>
  </si>
  <si>
    <t>Q1 2026 LQA Adjusted EBITDA2700；现金税净付退为横线，扣前后2700。对照Q1 2025 LQA为退税2且扣后2890。脚注(b)排除Fiber；LQA为最近季度乘4的公司年化口径。该净额披露不等于毛税款或未舍入金额精确为0，季度净额0仅作原披露精度参照。</t>
  </si>
  <si>
    <t>完整原表表头、列、加总和脚注已文本及原页图像核对；公司非GAAP列报与现金口径分开。</t>
  </si>
  <si>
    <t>PDF61–63、68–71、73、76–77</t>
  </si>
  <si>
    <t>行业2、塔50/30/20权重、竞争位置因素与现金表四条件；low→medial→standard，CICRA方向1/2与1..3。</t>
  </si>
  <si>
    <t>官方原件/已核方法；专业选择与未核分支另列，不构成机构评级或审计保证。</t>
  </si>
  <si>
    <t>E_DEV_CORP</t>
  </si>
  <si>
    <t>PDF4–12、21–22、24–28、30–44、47–50；Tables1/2/3/5/14–19/21–25及¶40–50/91–92/112–125/136–191</t>
  </si>
  <si>
    <t>因子五档到CP六档、Table14–16、BRP/anchor及先后修正；前瞻核心/补充比率专业判断，不能简单分数平均。</t>
  </si>
  <si>
    <t>E_DEV_COUNTRY</t>
  </si>
  <si>
    <t>内嵌文章元数据June17及Table1表头/美国行</t>
  </si>
  <si>
    <t>美国在Very low risk(1)列；仅此适用国家行及方法应用完成，不称全体国家评估。</t>
  </si>
  <si>
    <t>E_DEV_SERVICE_VOL</t>
  </si>
  <si>
    <t>PDF/印刷7、18–19，另PDF47/67服务期限相关句</t>
  </si>
  <si>
    <t>服务单独议价、非经常性、通常一年或以内；需求历史显著波动，2023停止installation后仍提供site development。售后2026服务毛利另见E_DEV_SALE/SPROFORMA PDF6；小体量并非方法第四条件自动豁免。</t>
  </si>
  <si>
    <t>E_DEV_CP</t>
  </si>
  <si>
    <t>PDF4–8、17–19、36–38；Q1 supplement另见E_DEV_CASH_CONTRACT</t>
  </si>
  <si>
    <t>站点稀缺/切换成本/主要市场规模和低维护支出支持因子2；客户集中、地权租赁、DISH/Sprint及合同期限反证最高档。</t>
  </si>
  <si>
    <t>PDF13–14</t>
  </si>
  <si>
    <t>租户余期5年，TMO/ATT/Verizon42/28/23%；2028到期现金773/860；地面租赁36年包含公司选择权，不能替代租户期。</t>
  </si>
  <si>
    <t>E_DEV_NOTE</t>
  </si>
  <si>
    <t>2026Q1 10Q PDF13–14，Debt and Other Obligations</t>
  </si>
  <si>
    <t>February2017原发行4.000% Senior Notes dueMarch2027账面499；本金现金/账面/方法债务为不同度量。</t>
  </si>
  <si>
    <t>PDF11、22–24、40–41、49、51、103、118及公开8K摘要</t>
  </si>
  <si>
    <t>covenant EBITDA/Total Indebtedness/无Default提款条件/7.00和3.50倍测试，不把名义RCF或方法EBITDA冒充可提取额度。 UnrestrictedCash无公开金额cap；匹配借款存款/再融资与消费现金用途，不机械用期初净债空间封顶全部到期再融资。 ProFormaBasis明确重大资产出售与偿债按期初备考；成本节约仅按GAAP/RegS-X或符合证实/期限条件加入，不能自行用全部宣称节约放大契约EBITDA。</t>
  </si>
  <si>
    <t>E_DEV_LIQ</t>
  </si>
  <si>
    <t>PDF7–12/¶37–73；adequate、less than adequate、source/use与12个月窗口</t>
  </si>
  <si>
    <t>adequate A/B≥1.2并满足其他六项中至少四项；¶40另有10% EBITDA下降可能触发实质契约违约的负面条件。真实现金FFO扣全租赁；未取得/全额承销拟发债不能作来源；2026-06-30起未来12个月与年度末预算分别保存，不重复RCF与拟再融资。</t>
  </si>
  <si>
    <t>E_DEV_PROXY</t>
  </si>
  <si>
    <t>完整HTML提取行1706–1732、1882–1907、2091–2112、4909–5008；印18–27/75–76相应部分</t>
  </si>
  <si>
    <t>独立主席、风控/内审、CEO变更、持股与冲突程序为公开治理事实，不替代未核专门M&amp;G分类。</t>
  </si>
  <si>
    <t>E_DEV_SUB</t>
  </si>
  <si>
    <t>scope¶1–11、steps¶12–25、Appendix10定义</t>
  </si>
  <si>
    <t>IG无抵押六步；secured/priority&gt;50%及例外；债务口径明确排除租赁、其他nondebt调整及未用信用额度。</t>
  </si>
  <si>
    <t>E_DEV_REC</t>
  </si>
  <si>
    <t>PDF1–23、36–40、43–44；¶25–44/55–99及Appendix4/G</t>
  </si>
  <si>
    <t>回收六步及A/B、unsecured cap；tower23/39交易价值DAV、securitization claim/资产排除；RCF85%、prepetition6mo、lease claims；EBITDA6倍telecom仅alternative。</t>
  </si>
  <si>
    <t>PDF2/5–9；已读相关备考章节</t>
  </si>
  <si>
    <t>May1完成8.5bn gross/8.4bn preliminary net；规划&gt;7bn偿债和1bn回购是计划与新量化预测输入，非全部截止日实际已支出。 May1 retained-services gross-margin guidance90–120。</t>
  </si>
  <si>
    <t>E_DEV_NOTE_GUAR</t>
  </si>
  <si>
    <t>PDF75、77–79，Senior Notes/Securitized Debt</t>
  </si>
  <si>
    <t>本票据母公司senior unsecured、同级其他高级无抵押债，结构从属子公司且子公司不担保。SPE债由专项塔现金支付，有证券化资产和cash-trap结构。</t>
  </si>
  <si>
    <t>官方完整年报相关原文；未逐页重读2017indenture。</t>
  </si>
  <si>
    <t>E_DEV_FACE</t>
  </si>
  <si>
    <t>PDF15/印14，Capitalization Overview，Face Value</t>
  </si>
  <si>
    <t>4.000% Senior Notes 500，Fixed4.0%，Mar2027；face金融债1,036+23,768=24,804，不冒充账面24,682。</t>
  </si>
  <si>
    <t>官方完整Q1supplement本金明细。</t>
  </si>
  <si>
    <t>PDF4、7、17–18及77–79</t>
  </si>
  <si>
    <t>塔口径含owned/leased/managed及roof tops；55%塔为AT&amp;T/T-Mobile主租赁或运营管理权，选择权非购买义务；地面租赁/设施权属不同。SPE债仅由相关塔现金支持，DAV须同范围排除资产/索赔；Crown Atlantic/GT虽向SPE分配但非其债务义务人/抵押现金流。披露未给合格non-SPE标准多天线塔清单，不能倒算610 PPE为塔数，也不能按30%自有土地限塔数。</t>
  </si>
  <si>
    <t>官方完整10K相关文本已实际核；逐站资产/租约及2018完整indenture不据此视为已核。</t>
  </si>
  <si>
    <t>PDF29–36/¶105、108、110、116–125/Tables17–19</t>
  </si>
  <si>
    <t>标准核心12%/5x、coverage优先于较弱初档，资本密集性/DCF弱项、转型双年比率均值和负DCF恶化条件的30/40/30；补充最多一类，现金波动另评。</t>
  </si>
  <si>
    <t>已核合法原件适用条款；定性专业选择、数值代理及未核分支分别注明。</t>
  </si>
  <si>
    <t>PDF8/Table5脚注4–7；PDF38–43/Tables21–23；PDF49–50/¶186–191</t>
  </si>
  <si>
    <t>每步以更新后的等级范围查下一栏；BB+至BB−的less than adequate扣一档，只有因cap形成BB+豁免重复扣；b+及以下零。Tier2单独不使Table21负面；CRA不突破流动性上限。</t>
  </si>
  <si>
    <t>PDF4–5/¶22–32；PDF7–14/¶37–50、64、73–90</t>
  </si>
  <si>
    <t>前瞻12个月no-refinancing，现金FFO扣全租赁，资本化现金/CAP配对，CP及匹配备用一次计入；adequate比率1.2和其余六特征至少四；15%压力、10%紧契约及物质缺口分流。</t>
  </si>
  <si>
    <t>PDF1、4、10–14、16–17、23、39、44/¶3、21–28、55–83、90–99/Appendix4/G</t>
  </si>
  <si>
    <t>特定无抵押票据按回收适用范围分流；标准多天线塔360k，DAV排除同范围SPE资产和claim；85%RCF、CPbackup一次、六个月预欠息、5%行政费。30%/10%区间及一般BB unsecured cap3，REIT标签不证明较宽例外。</t>
  </si>
  <si>
    <t>PDF13–14；另S25 PDF75/78与S_SP_Q1 PDF15交叉核</t>
  </si>
  <si>
    <t>February2017发行4.000% Senior Notes，March2027到期，Q1账面499；另面值500及母公司senior unsecured/无子公司担保已由E_DEV_FACE/E_DEV_NOTE_GUAR核。</t>
  </si>
  <si>
    <t>E_R109_METHOD_LIMIT</t>
  </si>
  <si>
    <t>PDF49/¶186；未核法域适用性关联另见E_R109_RECOVERY</t>
  </si>
  <si>
    <t>适用Management And Governance专门细则及本公司方法分类未核；当期美国Jurisdiction Ranking正式行未核。公司公开治理事实和美国country-risk分类均不能代替这两个专门分类。</t>
  </si>
  <si>
    <t>总方法转引已核；专门分类及法域行未核。限制说明不构成专门方法的实证分类。</t>
  </si>
  <si>
    <t>问题</t>
  </si>
  <si>
    <t>结论</t>
  </si>
  <si>
    <t>机制</t>
  </si>
  <si>
    <t>依据</t>
  </si>
  <si>
    <t>反证</t>
  </si>
  <si>
    <t>其他解释</t>
  </si>
  <si>
    <t>改变结论条件</t>
  </si>
  <si>
    <t>FF_R109_ISSUER</t>
  </si>
  <si>
    <t>目前能支持何种主体研究结论？</t>
  </si>
  <si>
    <t>在BRP strong、standard FRP highly leveraged、资本结构/policy/CRA中性及无支持/国别额外影响下，主锚点bb：adequate→主体BB；less than adequate→BB−；weak→SACP最高B−。FRP aggressive相邻条件则锚bb+：adequate→BB+；less than adequate→BB。上述是专门M&amp;G中性情景下可复核的研究候选，不是唯一最终评级或机构已发布等级。</t>
  </si>
  <si>
    <t>Table5每步以新等级范围决定下一栏；天然bb+至bb−的less adequate均减一档，不能因bb+字样套cap豁免。只有由高锚流动性cap形成bb+才不重复扣。专门M&amp;G分类未核，公开独立主席、委员会/内审及领导交替/资本分配争议仅支持事实评价，不能宣布方法分类neutral已确认。M&amp;G若moderately negative须按当步BB/B栏判断零或负一；negative至少负一，再评CRA的同档位置及未充分捕获因素，CRA不越cap。没有政府或控制母公司额外支持机制证据，不加支持；美国经营country1不同于当前sovereign/T&amp;C，若较低约束触发须接其专门方法。</t>
  </si>
  <si>
    <t>conditional</t>
  </si>
  <si>
    <t>E_DEV_CORP, E_R109_MODIFIERS, E_DEV_PROXY, E_DEV_COUNTRY, r109_base_standard_FFO_debt_category</t>
  </si>
  <si>
    <t>E_R109_METHOD_LIMIT, fwd_june_cash_actual</t>
  </si>
  <si>
    <t>BRP转satisfactory：标准FRP6原Table3锚b+；须以b+新的Table5列继续，less adequate本步为零、weak仍B−cap，不能沿用BB栏扣档。
当前BBB不能用于上调CRA或倒推未核因素。</t>
  </si>
  <si>
    <t>真实流动性资格、业务/盈利下行、持续去杠杆或已核治理类别/当前国别约束改变时重查链；暂不凭未校准概率附正式展望。</t>
  </si>
  <si>
    <t>FF_FORWARD_CASH</t>
  </si>
  <si>
    <t>出售后现金生成是否足以支撑保留债务和股东分配？</t>
  </si>
  <si>
    <t>实际2026Q1持续CFO为296.00 百万USD。以五月更新指引及明示成本、付息和融资条件为参照，2026全年CFO为1,799.98 百万USD；将资本化现金利息转入经营分类后为1,789.98 百万USD。2026至2028仍分别需要新增融资97.79 百万USD、116.14 百万USD和19.73 百万USD，不能仅由出售收入认定资本分配已获持续现金支持。</t>
  </si>
  <si>
    <t>先保留Q1实际现金及已交割价款、费用和约定偿债，再将剩余经营现金、投资、股利、回购及本金接到期末债务。年度gross利息指引是应计费用；经营现金付息须扣应计资本化并另列付款时差，资本化实付另作代理。方法CFO的租赁折旧加回只改变分析分类，不进入真实可支付现金。五月及六月实际余额仍缺，年度模型期末现金50.00 百万USD是明确的数学储备条件，不能冒称观察值或六月流动性来源。</t>
  </si>
  <si>
    <t>E_FWD_Q1, E_FWD_Q1_XBRL, E_FWD_GUIDANCE, E_FWD_CONTRACT, EQ126SALE, fwd_base_CFO_2026, fwd_base_new_draw_2026</t>
  </si>
  <si>
    <t>fwd_may_cash_actual, fwd_june_cash_actual, missing_parent_cash</t>
  </si>
  <si>
    <t>逐券提前偿债、实际现金转换优于参照或减缓可选股东支付，可能减少融资；额外结算成本、融资条件不成立或租赁现金归属变化则可能增加缺口。</t>
  </si>
  <si>
    <t>取得April现金归属、逐笔计划执行、费用结算及定义口径后，先更新对应输入并重跑现金、债务和利息；再重建付款日资金覆盖，不以年度余额关闭期内缺口。</t>
  </si>
  <si>
    <t>F05</t>
  </si>
  <si>
    <t>June30来源用途能否达到adequate？</t>
  </si>
  <si>
    <t>Jul2026–Jun2027参照CFO2,037.71 百万USD、CAP236.17 百万USD、分红1,823.25 百万USD及未提前偿还固定到期/例行本金形成用途小计4,437.42 百万USD。记真实六月普通现金J、合格未提额度V、净额外用途U：A/B达到1.20 倍需要J+V至少3,287.19 百万USD加1.20 倍×U及20.00%×W（W为已从CFO扣除的负营运资金）；下降压力下正A−B需要J+V大于2,887.49 百万USD再加U及额外付息。没有唯一已证A/B或adequate描述符。</t>
  </si>
  <si>
    <t>现金FFO扣全租赁；提供的CFO是净现金参照，须把已扣的负WC回添来源FFO并同时列用途W。由此A=J+CFO+W+V，B=B0+U+W；未在CFO出现的峰值资金另外入U，已净入的现金转换不重复。WC正流若已入CFO不再加一次。显示CFO与全部CAP是同一现金分类参照，资本化付息改经济分类时必须同额减CAP。六月普通cash/CP/提款、计划其他债2,100.00 百万USD逐券执行与回购1,000.00 百万USD已执行份额未知。U逐笔扣已提前偿固定债、只加尚未包含的可选偿债/回购/未付费用；不能把整份计划再加一遍固定到期。名义May1池4,460.60 百万USD扣六月提款与LC变化，并核每笔NoDefault、陈述/申请、真实TotalIndebtedness/UnrestrictedCash及LTM契约EBITDA；无承销市场refi不作合格A。CP到期与对应qualified backup一次计入。adequate另需其余6.00 supportive characteristics项至少4.00 supportive characteristics项，不能只看算术。</t>
  </si>
  <si>
    <t>E_R109_LIQ, E_DEV_CREDIT, E_DEV_SALE, fwd_base_window_CFO_rolling12m, r109_window_B0, r109_window_JV_for_adequate, r109_window_JV_for_positive_stress</t>
  </si>
  <si>
    <t>fwd_june_cash_actual, fwd_june_cp_actual, fwd_other_debt_paid_to_june_actual, fwd_buyback_paid_to_june_actual, F_R109_JUNE_RCF_DRAW, F_R109_WC_OUTFLOW_ALREADY_IN_CFO</t>
  </si>
  <si>
    <t>已签多年syndicated RCF支持sound banks；近期无抵押借款与历史发行支持generally satisfactory市场地位的有限代理，未观察每周价格不称high standing。低维护/可裁减回购支持冲击吸收，但REIT所需分红及实际时序不能假定全免。资本分拆/提前偿债支持预见性管理，战略反复是反证。
前瞻契约分母须分别满足实际净债/(7.00 倍)、实际净债/(7.00 倍×(1−10.00%))及实际净债/(7.00 倍×(1−15.00%))条件；较低headroom本身不必自动less adequate，须结合其他特征及实际可提款。提款暂存现金或偿等额旧债不机械改变净债，费用/消费才改变。</t>
  </si>
  <si>
    <t>June实际现金与来源资格、峰值CP、逐券支付及契约分母取得后重跑；BB锚不得默认使用六个月例外。</t>
  </si>
  <si>
    <t>F01</t>
  </si>
  <si>
    <t>US GAAP 顺序、计量基础与测试单元是否被混为一谈？</t>
  </si>
  <si>
    <t>公司先测长期资产未折现可收回性，再测商誉。Fiber商誉4,958.00 百万USD全额减至0.00 百万USD；合并商誉由10,085.00 百万USD减至5,127.00 百万USD，剩余5,127.00 百万USD全部属于Towers。长期资产通过与Fiber商誉全额减值可同时成立。</t>
  </si>
  <si>
    <t>资产组及报告单元均为 Fiber segment；未折现现金流门槛与报告单元公允价值测试不是同一计量。取消节点另有 106.00 百万USD 核销，故‘未触发资产组减值’不能表述为无核销。估值数值重做仍缺预测、资产组账面调整、折现/退出假设与敏感性。</t>
  </si>
  <si>
    <t>supported</t>
  </si>
  <si>
    <t>ESECSEQ, E24IMPAIR, E24WRITE, EFASB, C_gw2024, C_fibergw</t>
  </si>
  <si>
    <t>missing_discount, missing_recoverability</t>
  </si>
  <si>
    <t>估值顺序披露一致，并不证明管理层预测可实现；未折现余量大小尚不明。</t>
  </si>
  <si>
    <t>取得模型后若测试单元、顺序、现金流或计量调整不符，应重做减值及税/权益影响，不能只改商誉一个数字。</t>
  </si>
  <si>
    <t>F02</t>
  </si>
  <si>
    <t>出售分类与损失是否按时点区分？</t>
  </si>
  <si>
    <t>原年末仍未达到持有待售；次年签约后列终止经营并重列比较列。2025 处置损失 1,575.00 百万USD = 准备 1,507.00 百万USD + 已发生售出成本 68.00 百万USD，处置税益 0.00 百万USD。</t>
  </si>
  <si>
    <t>已发生费用不同于支付现金；持有待售后停止折旧摊销，使终止业务跨年营业表现不可直接解读为经营改善。净资产准备前 9,918.00 百万USD、准备后 8,411.00 百万USD 均可复算，但总价与净资产差额缺估计售出成本/价调逐项表，不能臆认其性质。
已取得最初签署协议§2.2–2.7价格调整及结算机制（两业务基价合计8,500.00 百万USD），也取得2026五月发表的公开备考；它们未解释2025年末上述89差额，不以五月初步124或备考127倒填年末计量。</t>
  </si>
  <si>
    <t>E25HFS, E24IMPAIR, ESECSALE, C_sale2025, C_preallow_netassets, C_postallow_netassets, ESPAPRICE, ESPASETTLE, EPROBS, EQ126INDEX</t>
  </si>
  <si>
    <t>总价和净资产的剩余差可能涉及预计售出成本或交易调整；未取得明细前不定性。</t>
  </si>
  <si>
    <t>取得分类日内部备忘录、未公开附表及估计净售价逐项测算，核对公开签署版本后实际适用的修订；解释2025年末89差额后再更新计量判断。</t>
  </si>
  <si>
    <t>F03</t>
  </si>
  <si>
    <t>扭亏是否代表持续经营现金创造改善？</t>
  </si>
  <si>
    <t>合并净利润从 -3,903.00 百万USD 至 444.00 百万USD，变化 4,347.00 百万USD；持续净利润却变化 -59.00 百万USD，终止净损益变化 4,406.00 百万USD。权益由 -133.00 百万USD 经本期损益、股份及分配滚动至 -1,635.00 百万USD。</t>
  </si>
  <si>
    <t>商誉减值、处置减值和停折旧影响利润，现金流表另作去除及调整。权益亏绌由累计结果和分配共同形成；不能从负权益直接宣布无偿债能力，也不能用非现金损失解释掉实际股利与资本支出。</t>
  </si>
  <si>
    <t>C_nimove, C_contnimove, C_discnimove, C_eqroll_2025, C_eqroll_2024, E25CF</t>
  </si>
  <si>
    <t>持续净利润仍受融资成本及非现金会计项目影响；需正常化业务现金与未来债务服务才形成信用判断。</t>
  </si>
  <si>
    <t>若分配合法性、可持续 CFO 或售后业务现金预测恶化，主体流动性判断可能转弱。</t>
  </si>
  <si>
    <t>F04</t>
  </si>
  <si>
    <t>合并净利、综合收益、权益、现金及资产负债表是否串接？</t>
  </si>
  <si>
    <t>2025 合并 CFO 3,057.00 百万USD、CFI -1,158.00 百万USD、CFF -1,886.00 百万USD 合计 13.00 百万USD，年初现金 295.00 百万USD 至年末 308.00 百万USD。税调节复算持续税费 -16.00 百万USD，REIT 不等于所有主体免税。</t>
  </si>
  <si>
    <t>四表主要加总、净利润接现金流、净利润/OCI接权益、资产=负债+权益均已复算。股份支付权益净额与持续经营股份支付现金流调整属于不同口径；上年宣告分配和实付差额不能擅自认作应付股利增减。</t>
  </si>
  <si>
    <t>E25BS, E25PL, E25CF, E25EQ, E25TAX, C_cfo_2025, C_tax_2025, C_bs_2025</t>
  </si>
  <si>
    <t>算术通过只证明所列公开数字一致，不能验证交易发生、计价或完整性。</t>
  </si>
  <si>
    <t>取得相反的正式更正或企业底稿后重新评估。</t>
  </si>
  <si>
    <t>F06</t>
  </si>
  <si>
    <t>主体风险能否直接转成每一债项评级？</t>
  </si>
  <si>
    <t>持续经营债务 24,337.00 百万USD 与流动/长期及担保/无担保分类勾稽。塔票据账面 748.00 百万USD 与本金 750.00 百万USD 不同；担保 PPE 账面 610.00 百万USD 不能当作回收价值。</t>
  </si>
  <si>
    <t>CP 实际短期限与长期报表分类须分开；塔票据预期还款日后的现金清扫/加息条款早于最终到期日。SPE 债务偿还来源、担保物与可贡献分配的非义务主体并非一组。主体能力→法律义务人→担保/优先顺位→现金隔离与契约→回收及债项调整，历史账面分类本身不足以确定债项级别；指定高级无抵押票据的条件形成另见债项研究，实际回收仍缺资产与债权资格。 已取得新旧主信贷原文；两版Total Indebtedness及§1.04分别核对；新版先确定Borrower/Restricted及GAAP合并纳入范围，再按§1.04采用纳入债务的full stated principal，排除ASC825/470-20及ASU2015-03降低计量的效果。GAAP合并口径不许可继续扣融资费用；原报账面值保留并另作契约调整桥，不追溯套新条款。票据/SPE原始契约全量核查尚未完成，后续应先取官方公开原件，仅把无法公开取得的补充条款/证书/估值列为内部请求。</t>
  </si>
  <si>
    <t>E25DEBT, E25SPE, C_debt2025, C_debtsec2025, EOLDCREDIT, ECREDIT</t>
  </si>
  <si>
    <t>即使发行人经营风险相同，母公司无担保票据与隔离塔资产票据仍可能面临不同损失路径。</t>
  </si>
  <si>
    <t>按具体票据先补读已公开契约，再取得未公开补充担保/隔离结构、DSCR/现金陷阱证书与回收估值；不把公开可取得协议泛称内部缺口。</t>
  </si>
  <si>
    <t>F07</t>
  </si>
  <si>
    <t>报告比率、限制和可借美元金额的界线在哪里？</t>
  </si>
  <si>
    <t>旧协议净杠杆 5.90 倍 对限额 6.50 倍，比率余量 0.60 倍；高级担保杠杆 0.20 倍 对 3.50 倍。</t>
  </si>
  <si>
    <t>旧§1.01/1.04/1.05/6.09/6.10及EBITDA、净利、债务和现金定义已实际补读。净利定义保留待售但尚未处置组成部分，因此GAAP终止经营并不证明交割前Fiber已经剔除。历史租赁冻结、指定评级触发的保障要求、重大出售及偿债备考均有原文；缺的是定义调整的逐项数值和已签合规证书，0.6倍不能直接变成借款美元。</t>
  </si>
  <si>
    <t>E25COV, C_headroom2025, EOLDCREDIT, EOLDVERSION, EQ126INDEX</t>
  </si>
  <si>
    <t>本案只复核公开报告及原条款，不独立确认公司所有遵约指标。</t>
  </si>
  <si>
    <t>取得签署合规证书、定义逐项调整及同日债务/现金明细后重算。</t>
  </si>
  <si>
    <t>F08</t>
  </si>
  <si>
    <t>截至六月可知的实际事项与计划如何区分？</t>
  </si>
  <si>
    <t>五月实际交割：合同总价 8,500.00 百万USD 减初步价调 124.00 百万USD，复算价款 8,376.00 百万USD；另付约 74.00 百万USD 先前已计提费用。实际还债约 3,300.00 百万USD；随后 CP 1,800.00 百万USD、其他还债 2,100.00 百万USD、回购 1,000.00 百万USD 为计划。
另有公开备考：8,500.00 百万USD−124.00 百万USD−127.00 百万USD−2,002.00 百万USD=6,247.00 百万USD，连历史现金99.00 百万USD至6,346.00 百万USD；这是假设2025年末已出售的表，不是五月实际期末现金。</t>
  </si>
  <si>
    <t>三月待售准备 1,836.00 百万USD = 年末 1,507.00 百万USD + 当季损失 345.00 百万USD − 当季费用 16.00 百万USD。五月完成未调整三月报表；交割现金与确认费用时间不同。七月公布的第二季度实绩不在截止信息集中，最终处置损益仍为待核。
2026-05-01发表的备考以2025-12-31为BS假设日、2025-01-01为损益假设日：权益-1,635.00 百万USD经综合调整-161.00 百万USD至-1,796.00 百万USD，持续经营利润1,103.00 百万USD+85.00 百万USD=1,188.00 百万USD。−161不是单独处置损失；2,002为年末本金假设偿债，127为估计交易及留任成本，均不得替代五月实际3,300还款或约74已计提成本支付。</t>
  </si>
  <si>
    <t>EQ126SALE, ESALE, C_saleproceeds, C_salecashcost, C_qallow, EPROBASIS, EPROBS, EPROPL, ESALEVERSION, ESPASETTLE, C_pf_cashadd, C_pf_equity, C_pf_contni</t>
  </si>
  <si>
    <t>maycp, missing_final_sale</t>
  </si>
  <si>
    <t>五月初仍有 CP 余额佐证后续偿债计划未在交割当日全部实现。</t>
  </si>
  <si>
    <t>取得截止前已公开的还款确认或最终结算原件可补充事实；后于截止的披露只能作为另一期验证。</t>
  </si>
  <si>
    <t>F09</t>
  </si>
  <si>
    <t>出售后资源改善能否直接得出杠杆/评级改善？</t>
  </si>
  <si>
    <t>五月新循环承诺 4,500.00 百万USD 替代旧协议；扣生效时信用证 39.40 百万USD 后名义余额 4,460.60 百万USD，并非自由现金。总净杠杆限额改为 7.00 倍，旧利息保障条款移除。</t>
  </si>
  <si>
    <t>新协议Total Indebtedness先确定适用债务及GAAP合并范围，§1.04再要求纳入债务按full stated principal计量、排除融资费等降低计量效果；原报净账面金额另列调整桥。租赁遵循约定历史会计基础，出售要求备考调整；既要减还债，也要剔除出售业务 EBITDA。提款仍需真实性陈述、无违约和申请。额度价格挂钩外部高级无担保评级，未替代本研究的独立主体/债项论证。 两版Net Income均保留尚未处置的待售组成部分例外；新协议生效后须按实际处置和偿债重建备考。公开Article11利润1,188及85节息不是契约EBITDA或独立遵约结果。有限公开版本检查未发现后续旧信贷定义修订，五月一日明确由新协议替代。</t>
  </si>
  <si>
    <t>ECREDIT, EQ126FAC, C_newnetLC, EOLDCREDIT, EOLDVERSION, EQ126INDEX, EPROPL</t>
  </si>
  <si>
    <t>放宽契约可能增加财务灵活性，但不自动代表经济杠杆较低或评级改善。</t>
  </si>
  <si>
    <t>以新协议定义取得持续业务备考 EBITDA、限制性付款及担保债务明细、CP 同日余额，再重算提款余量和偿债覆盖。</t>
  </si>
  <si>
    <t>F10</t>
  </si>
  <si>
    <t>比较期间是否真的同口径？</t>
  </si>
  <si>
    <t>2024 原报合并收入 6,568.00 百万USD，次年重列持续加终止为 6,570.00 百万USD；税前损益、税项及净利润仍精确勾稽。上年一季准备原报 819.00 百万USD，后年脚注回述 830.00 百万USD，但 SEC 桥支持前者。</t>
  </si>
  <si>
    <t>原 Tower segment 不应无解释地当作重列持续业务；收入差异可能源于范围/抵销重分类。上年准备回述也可能是标签或文字错误，但没有原件证明前不选定原因。两项在计算结果中保留未解释差异。</t>
  </si>
  <si>
    <t>unresolved</t>
  </si>
  <si>
    <t>E24ORIG, E25PL, E25HFS, EQ125, ESECSALE, EQ126HFS, C_recastrev2024, C_priorallow</t>
  </si>
  <si>
    <t>收入范围与抵销重分类
比较脚注笔误或未解释口径变化</t>
  </si>
  <si>
    <t>取得正式更正或管理层原报→重列逐项桥及上年准备滚动表后，才消除差异。</t>
  </si>
  <si>
    <t>F11</t>
  </si>
  <si>
    <t>已有应收是否可以无条件当作未来现金？</t>
  </si>
  <si>
    <t>年末 DISH 应收净敞口公司约报 165.00 百万USD；公司未因期后违约争议计提相关准备，并暂停后续相关收入确认。</t>
  </si>
  <si>
    <t>管理层认为可收回是一项判断；争议中的未来合同请求不是已到手现金。已签租约、直线确认的应收与现金收取节奏不同，是现金质量及预测的风险入口。按E_CG_RENT，将DISH接入租赁/服务性质、终止前后认收、贸易/递延应收及预收范围；cg_rent_details仍待实际合同/实收与法律证据，保留原P07公开核对结果。</t>
  </si>
  <si>
    <t>最终法律回收、和解及抵销金额可能不同于公司当前主张。</t>
  </si>
  <si>
    <t>取得法律意见、债务人能力与期后收款/和解证据，再重估应收损失、收入预测与信用压力。</t>
  </si>
  <si>
    <t>F12</t>
  </si>
  <si>
    <t>本 workpaper 证据能证明什么？</t>
  </si>
  <si>
    <t>已完成官方原件取得、选定页阅读/视觉复核和四表复算；未声称执行银行函证、内部控制测试、合同全量测试或估值重建。</t>
  </si>
  <si>
    <t>PwC 已将 Fiber 出售作为关键审计事项并列明其工作；本研究可引用其报告存在，不能将审计师工作复制成自己已执行程序。来源可证实公司披露，内部测算与最终评级决定链仍需实证补足。新增E_CG_AUDIT明确PwC财报/ICFR的期间、基准日及两项CAM；cg_audit_public是本次公开阅读，cg_rent_details是未执行计划。不得把年末ICFR意见扩成2026全年或复制原审计师程序。</t>
  </si>
  <si>
    <t>E25AUDIT, E25BS, E25HFS</t>
  </si>
  <si>
    <t>算术一致与披露齐备仍不能替代存在性、计价和完整性审计证据。</t>
  </si>
  <si>
    <t>F13</t>
  </si>
  <si>
    <t>ROU成本、实际支付和方法代理是否被混用？</t>
  </si>
  <si>
    <t>期末经营租赁负债5,229.00 百万USD，真实期初期末均值5,277.50 百万USD。按披露贴现率计算利息代理274.43 百万USD及CFO加回代理324.57 百万USD；实际经营租赁付现519.00 百万USD另列。该分类不增加可支用现金。</t>
  </si>
  <si>
    <t>ROU成本599.00 百万USD与可变费用147.00 百万USD分开；可变费用没有进入对应租赁负债，继续留经营成本。融资租赁折旧已在DDA内、融资租赁负债已在金融债内；预付租赁PPA和直线租赁成本不能再叠加到ROU成本。Crown为塔资产提供方，不直接套移动运营商MSA付塔费分支。</t>
  </si>
  <si>
    <t>E_SP_RATIOS, E_SP_SCOPE, E_SP_LEASE, sp_lease_interest, sp_lease_principal_proxy</t>
  </si>
  <si>
    <t>期末披露贴现率是方法要求的年度利息代理；实际租赁现金仍可能因预付、确认节奏和新增合同不同于该代理。</t>
  </si>
  <si>
    <t>未来续租、可变租金、地块迁移或合同范围改变时重做债务与现金路径；不把租赁CFO加回当新增偿债来源。</t>
  </si>
  <si>
    <t>F14</t>
  </si>
  <si>
    <t>哪些金额已证实，哪些只需有限敏感性？</t>
  </si>
  <si>
    <t>SEC原申报确认现金付息965.00 百万USD排除资本化利息。以资本化现金付息15.00 百万USD估计，EBITDA为3,448.00 百万USD、FFO为2,178.57 百万USD、CFO为2,181.57 百万USD、FOCF为2,014.57 百万USD。这些为方法分析估计，不是机构已发表指标；FOCF尚非支付全部租赁本金后的自由现金。</t>
  </si>
  <si>
    <t>现金税采用15.00 百万USD而非费用16；ARO非现金增值只接应计利息，不再当现金。股份支付73.00 百万USD中RSU61.00 百万USD已直接证实，差额12.00 百万USD另作敏感性：只加回RSU时EBITDA3,436.00 百万USD、FFO2,166.57 百万USD。净减记行与PP&amp;E核销差1.00 百万USD未解释，采用总额敏感性EBITDA3,449.00 百万USD。现有业务没有外售软件触发，适用内部使用软件不反转分支；不把未披露IT投入全额费用化。资本化现金估计每增加一单位，FFO/CFO各下降一单位，capex也下降一单位，FOCF不变。</t>
  </si>
  <si>
    <t>E_SP_RATIOS, E_SP_CASH, E_SP_SBC, E_SP_ARO, E_SP_XBRL, sp_ebitda, sp_ffo, sp_focf</t>
  </si>
  <si>
    <t>C_sp_sbc_residual, C_sp_writeoff_difference</t>
  </si>
  <si>
    <t>非RSU差额可能仍符合权益结算条件，不能把仅加回RSU的敏感性当已证实主值；净减记与PP&amp;E总额差异也不能未经证据命名为转回。</t>
  </si>
  <si>
    <t>取得资本化现金结算、股份支付差额分类或减记差额后更新相关项及聚合影响；接近财务分档临界值时提高精确取证程度，不暂停已可完成的分析。</t>
  </si>
  <si>
    <t>F15</t>
  </si>
  <si>
    <t>转型后数字怎样形成FRP及锚点？</t>
  </si>
  <si>
    <t>主用¶120当前/备考当前与下一年逐年比率等权。FFO/债务9.71%低于12.00%，债务/EBITDA7.03 倍高于5.00 倍，两核心均6.00 method category 1..6/highly leveraged。主研究FRP6.00 method categories / rating notches；BRP2.00 business risk category 1..6与原Table3形成bb锚点。</t>
  </si>
  <si>
    <t>FFO现金付息覆盖3.19 倍、EBITDA付息覆盖3.04 倍及FOCF/债务8.84%支持相邻改善反方。¶105要求较弱初档重视coverage，¶108允许资产资本密集性增重FOCF；但DCF/债务-1.41%更弱，2026 DCF-979.31 百万USD、2027/2028虽转正为331.57 百万USD/439.63 百万USD仍不足明显去杠杆且依赖新增额度与市场再融资。¶110要求审查分配及融资混合。保留FRP6是针对未来杠杆的判断，不是忽略有利覆盖。一次回购后的负DCF不机械触发¶117；若现金负值导致指标恶化，当前/随后两年原权重敏感性为9.89%/6.96 倍，核心仍highly leveraged。</t>
  </si>
  <si>
    <t>E_R109_FRP_TABLE, E_DEV_DI, r109_base_FFO_debt_120, r109_base_debt_EBITDA_120, r109_base_FFO_cash_interest_coverage_120, r109_base_FOCF_debt_120, r109_base_DCF_debt_120</t>
  </si>
  <si>
    <t>r109_base_DCF_2026, r109_joint_stress_FFO_debt_120, r109_joint_stress_debt_EBITDA_120</t>
  </si>
  <si>
    <t>若持续分配可裁减、无需增加杠杆的到期融资和实际现金桥使FOCF/coverage更能代表未来杠杆，重要补充最多改善一类至FRP5.00 method categories / rating notches，BRP strong对应bb+。不能直接跨至significant/bbb。
服务条款导致standard选表，不自动等于整个公司现金volatile；实际联合压力核心仍同档，暂无再加波动扣档理由。</t>
  </si>
  <si>
    <t>年度转型债务/租赁/现金桥、资本分配及后续净债真实改善，或新压力显著改变补充代表性时重跑原节点。</t>
  </si>
  <si>
    <t>F16</t>
  </si>
  <si>
    <t>持续租赁业务的可预测性是否经得起实际变化？</t>
  </si>
  <si>
    <t>同口径持续经营Q1 CFO由371.00 百万USD降至296.00 百万USD，同比-20.22%。剔DISH/Sprint后的billings增量30.00 百万USD，被DISH-49.00 百万USD及Sprint-5.00 百万USD抵销，净变动-24.00 百万USD。现金降幅不能全归因DISH；需继续分解营运资本、支付节奏和重组。</t>
  </si>
  <si>
    <t>公司Q1的2026重组计划费用14.00 百万USD、支付12.00 百万USD和余额2.00 百万USD；2023/2024计划另有本期支付4.00 百万USD、余额12.00 百万USD。经营性重组不能跟随公司非GAAP任意全部加回。DISH索赔不是现金，管理层应收可回收判断也不是确定回款。当前实际证据支持压力已经发生，同时说明剔除两个事件的业务仍有增长，不能只给单方向故事。</t>
  </si>
  <si>
    <t>E_SP_Q1CFO, E_SP_Q1BILL, EDISH, C_sp_q1_cfo_change, C_sp_bill_change</t>
  </si>
  <si>
    <t>应付结算、计息支付及重组付款可令季度CFO变化大于经常盈利变化；DISH实际损失不排除其他客户仍有新增租赁及合同提价。</t>
  </si>
  <si>
    <t>取得Q1现金变化逐项归因、DISH实收及后续续约后更新现金预测；对持续增长和特定客户损失分别建情景。</t>
  </si>
  <si>
    <t>F17</t>
  </si>
  <si>
    <t>保留塔业务能否直接用较宽阈值？</t>
  </si>
  <si>
    <t>主研究选standard。售后仍预计服务毛利90.00 百万USD至120.00 百万USD，原件明确服务非经常性、独立议价且需求历史显著波动；将其纳入other activities有业务依据，因而共同第四条件不满足。已完成行业、国家和竞争位置形成，不再把这些节点记作尚未开展。</t>
  </si>
  <si>
    <t>先核low全部资格，不满足再核medial。租赁经营CFO归属参照97.95%、97.83%是明确成本分摊/现金归属代理，合同可预测性另核；不是租金收入或毛利比例。low至少90.00%可预测CFO，租户余期5.00 years不满足通常长期合同路径但不排除支持性框架OR分支。medial三分之二现金及有限续约风险/框架条件也不能豁免volatile其他活动。</t>
  </si>
  <si>
    <t>E_DEV_DI, E_DEV_SERVICE_VOL, E_DEV_SALE, E_DEV_CASH_CONTRACT, fwd_base_rental_share_reference_2026, fwd_base_rental_share_reference_2027</t>
  </si>
  <si>
    <t>E_DEV_CP, E_DEV_CORP</t>
  </si>
  <si>
    <t>服务属于塔开发不可分环节而非other activities，或保留服务已实质不再波动，是需要具体原件与经济机制支持的强反方。第四条件若成立，仍逐项核low，再核medial；不按较有利阈值倒选表。</t>
  </si>
  <si>
    <t>服务范围/波动性适用解释，合格可预测经营CFO现金归属及合同/法律框架证据改变。</t>
  </si>
  <si>
    <t>cg_rental_audit</t>
  </si>
  <si>
    <t>哪些认定由披露核对支持，哪些仍待实际审计证据？</t>
  </si>
  <si>
    <t>PwC对2025财报和年末ICFR给出无保留意见，收入与Fiber出售均为CAM；本次只核公开报告。塔接入直线确认与实际回款必须分开，DISH已有净敞口165.00 百万USD仍属公司可收回判断。</t>
  </si>
  <si>
    <t>合同名称不决定ASC842/606，先核identified asset及控制、服务义务与租期，再复核固定升幅、变更/终止、免租/预付、无条件应收和递延租金。错认固定期或继续按已终止合同确认可高估收入/应收；取消与修改也可能只调整未来，并非自动前年错报。PwC合理保证及COSO2013覆盖基准日，不是2026控制运行或整份治理报告的保证；Q1有效/无变化为管理层声明。</t>
  </si>
  <si>
    <t>E_CG_AUDIT, E_CG_RENT, E_CG_Q1_CTRL, EDISH</t>
  </si>
  <si>
    <t>E_CG_AUDIT, E_CG_Q1_CTRL</t>
  </si>
  <si>
    <t>合同续约经济性及最终回收可能缓释风险；公司未设准备和外审无保留均不能独立证明DISH款项全收。</t>
  </si>
  <si>
    <t>按cg_rent_details计划验证原始合同/变更、租金子账总体、账务及实收、DISH法律/债务人能力；实际证据解释异常并完成计量/重要性评价后，才关闭相关认定。</t>
  </si>
  <si>
    <t>cg_governance</t>
  </si>
  <si>
    <t>制度和激励如何影响未来现金及信息可靠性？</t>
  </si>
  <si>
    <t>已披露Board12.00 次、Audit8.00 次、Finance3.00 次及专业/独立性安排；这些支持监督机制存在。人员多次转换、股东分配和激励指标仍须结合执行证据与现金预测，不直接认定治理强或弱。</t>
  </si>
  <si>
    <t>Audit财报/网络风险监督、Finance资本配置、N&amp;G关联审批与回避、mandatory recovery及反对冲/质押是正面机制。管理更迭及分拆/重组可改变权限、接口和复核责任；AIP转向70.00% EBITDA/30.00%organic且404缺陷可降奖金，存在业绩/控制双重激励。若实际分配、未调查指标差异或关键控制失效消耗偿债资源/损害信息，则影响预测、财务政策与治理；先计入现金影响，再评未计的治理影响，避免重复扣级。未取得治理专门方法决定表时不给评级子级或外部等级结论。</t>
  </si>
  <si>
    <t>E_CG_GOV, E_CG_RPT, E_CG_LEADERSHIP, E_PROXY_STI, E_CG_RP, C_cashdiv_2025, EQ126SALE</t>
  </si>
  <si>
    <t>E_CG_GOV, E_CG_RPT, E_CG_LEADERSHIP, EQ126SALE</t>
  </si>
  <si>
    <t>分拆与领导更新可能改善执行；股价回报为负、次数多或机构持股本身不证明舞弊/控制失败；政策存在也不证明实际运作。</t>
  </si>
  <si>
    <t>先用公开目标/实际还债及分配更新现金；针对分拆交接、关联审批、异常指标复核和已识别控制例外取得实证，若有实际现金抽离/重大未纠正缺陷再调整相应因素。</t>
  </si>
  <si>
    <t>cg_sti_difference</t>
  </si>
  <si>
    <t>STI基数及显示数是否可精确复现？</t>
  </si>
  <si>
    <t>p34 EBITDA4,044.00 百万USD与p45表4,004.00 百万USD差40.00 百万USD，B3另列2,863.00 百万USD。显示weighted相加为139.20%，与披露总差0.04 个百分点；Hillabrant显示乘积823,521.05 USD与披露实额差0.95 USD。均保留，不将显示比例乘积称精确相等。</t>
  </si>
  <si>
    <t>AIP与B3有未解释范围/调整，不能用4004−2863或4044−2863自行命名Fiber贡献，也不能用假定STI线性插值挑选正确值。原文称objective formula并列threshold/target/max，不足以证明已取得完整插值/舍入规则；相对TSR的LTI线性条款另属一项。大额基数差影响激励依据与信息一致性，小于1美元显示差本身不能证明多付。治理评级是否受影响取决于正式解释、重复性和执行后果，不从差额自动扣级。</t>
  </si>
  <si>
    <t>E_PROXY_STI, E_CG_PROXY_B3, cg_sti_ebitda_display_difference, cg_sti_weighted_display_gap, cg_sti_hill_display_gap</t>
  </si>
  <si>
    <t>文字/表格笔误、完整精度/分摊及范围调整可能解释；未取得正式依据前均不选作已证原因。</t>
  </si>
  <si>
    <t>取得公开正式更正/现有AIP完整规则与范围桥，必要时只索精确目标/achievement/舍入/就任分摊及相关批准；解释40百万与B3桥，重跑显示和精确输入分层后关闭。</t>
  </si>
  <si>
    <t>cg_payment_rights</t>
  </si>
  <si>
    <t>是否可将承诺额度或默认禁令视为强制保留偿债资金？</t>
  </si>
  <si>
    <t>无Default条件下§6.06(f)允许股东支付，故新承诺4,500.00 百万USD不是约束所有分红回购的固定现金护栏。Default时一般路径受限，但REIT必要额及其他例外须分别核；不能概称全停付，也不能概称REIT分配无条件可付。</t>
  </si>
  <si>
    <t>每次循环提款须申请、约定陈述依适用重大性/旧日条件真实及当时/提款后无Default，subject to2.20；循环提款明列两项陈述排除。季度末契约按真实Borrower/Restricted范围、契约债务纳入范围及§1.04全额本金（不扣ASU2015-03融资费）、出售备考及合格现金重建，EBITDA压力不自动等于Default或拒绝提款；ArticleVI违反属于VII(d)，不得套通用30日补救。银行满足条款须放款的义务与公司有可支用现金不同。6.06(e)在相关实体为REIT期间，必要REIT/免税额限连续4季且未附(f)无Default要求，(a)–(d)另有例外；许可不是支付义务或州法/其他契约合法性保证。</t>
  </si>
  <si>
    <t>E_CG_RP, E_CG_DRAW, ECREDIT, C_newnetLC</t>
  </si>
  <si>
    <t>压力尚未触发具体Default且条件满足时承诺可提供支持；即使名义余额充足，已违约、其他陈述/请求不满足或SPE现金不可达会削弱支持。</t>
  </si>
  <si>
    <t>在实际提款/分配日按现有Q05证书、同日CP/LC/债务现金、具体Default及6.06适用路径重建正常/压力来源用途；未决只扣或分支相应资源，不等待所有内部资料才分析公开改善。</t>
  </si>
  <si>
    <t>cg_cash_spe</t>
  </si>
  <si>
    <t>合并盈利及子公司分配能否直接服务母公司债？</t>
  </si>
  <si>
    <t>Borrower是Crown Castle Inc.；塔SPE先服务自身债及储备，余款按indenture才可上划。受托现金可支付指定本息/地租等，不能全列普通现金或永久全排除。§6.08例外不能证明集团现金无条件可转移。</t>
  </si>
  <si>
    <t>Crown Atlantic/GT可贡献分配但不是塔票据债务人、资产/现金不作该票据担保；母公司无担保债对子公司结构从属且无子公司保证。DSCR陷阱/恢复连续季度、ARD清扫及加息可能减少母公司可达流；VII(g)(iii)对依约ARD/摊还有交叉加速例外，不自动宣布母公司违约。实际身份、受限用途/到期对应及释放时点才决定可用上限。</t>
  </si>
  <si>
    <t>E_CG_RESOURCE, E_CG_TRANSFER, E_CG_DRAW, E25SPE, E25CASH</t>
  </si>
  <si>
    <t>正常DSCR、足够超额现金及可执行释放可能支持上划；现金陷阱在母公司未Default时也可先收紧来源。</t>
  </si>
  <si>
    <t>沿已有Q03/Q04按实体及具体indenture获取当期DSCR、储备/释放及补充限制；对子公司对应债可支付的现金与母公司可上划分别计入，判断时间缺口和受影响债项。</t>
  </si>
  <si>
    <t>FF_R109_BRP</t>
  </si>
  <si>
    <t>公开经营证据如何形成CP和BRP？</t>
  </si>
  <si>
    <t>行业2.00 industry risk category 1..6、美国经营国家1.00 country risk category 1..6→CICRA2.00 CICRA category 1..6；竞争优势2.00 CP factor score 1..5、规模/范围/多样性2.00 CP factor score 1..5、运营效率2.00 CP factor score 1..5按塔行业原权重得2.00 CP factor score 1..5，初步CP2.00 competitive position category 1..6。平均盈利与行业相当波动的研究选择形成综合盈利3.00 profitability category 1..6，最终CP2.00 competitive position category 1..6→BRP2.00 business risk category 1..6/strong。</t>
  </si>
  <si>
    <t>因子是五档中的strong/adequate，经原Tables14–16才形成六档strong。站点稀缺、切换成本、top100覆盖、低维护支出和租户利用率支持强于一般；三MNO集中、DISH/Sprint、租约期限与运营商设施/地权限制最高档。盈利代理仍是历史/行业证据支持的判断，未统一同业系列不自动称above average。Table2对应格位于PDF4。</t>
  </si>
  <si>
    <t>E_DEV_DI, E_DEV_CORP, E_DEV_CP, E_DEV_CASH_CONTRACT, E_DEV_COUNTRY, C_DEV_CPGP</t>
  </si>
  <si>
    <t>E_DEV_SERVICE_VOL, E_DEV_TOWER_RIGHTS</t>
  </si>
  <si>
    <t>竞争优势恶化至adequate或盈利综合劣于本研究选择，会将最终CP降至satisfactory并重查BRP/anchor；不把客户集中机械当预设评级cap。</t>
  </si>
  <si>
    <t>经营权稳定性、客户质量/续约、费用传递、统一盈利和行业波动证据实质改变因素选择。</t>
  </si>
  <si>
    <t>FF_R109_MODIFIERS</t>
  </si>
  <si>
    <t>锚点怎样过每一个修正？</t>
  </si>
  <si>
    <t>多样化中性：保留塔和相关服务不形成不相关业务组合对冲。资本结构主中性情景、财务政策中性研究判断各为0.00 method categories / rating notches。资本结构币种匹配和新长期RCF支持该情景，实际WAM及浮息暴露仍未核；不把已计入出售、偿债、回购再用作正向investment或policy。</t>
  </si>
  <si>
    <t>Table21：无负面Tier1时初始中性；WAM短与近两年流动性不足合并、或罕见重大集中才使期限Tier1负面。浮息加息1.00%两年同额浮息暴露情景触及逐年coverage算术均值界限的本金参照为1,399.52 百万USD；完整相对加息条件须用真实基准率，单独Tier2负面并不自动将Table21降档。财务政策只评估未充分进入基准的额外冒险，现公开分配和偿债已进入预测。CRA主中性情景：尚无同档相对位置的充分证据支持持续强端或弱端判断。¶187–191允许依据已评子项的同档位置作正/负一档微调，并不只限新增风险；未充分捕获因素亦可影响。强经营与弱杠杆不能仅凭其标签自动上调或重复下调，DISH/续约已进入因子；任何正向CRA不得抬过流动性cap。</t>
  </si>
  <si>
    <t>E_R109_MODIFIERS, E_DEV_FACE, E_DEV_CREDIT, E_DEV_SALE, r109_float_at100bp_coverage_boundary</t>
  </si>
  <si>
    <t>F_R109_FINANCIAL_WAM, F_R109_FLOATING_EXPOSURE</t>
  </si>
  <si>
    <t>若期限Tier1确负面且Tier2中性，资本结构negative；二者均负面按Table21 very negative，再按当前等级列查Table5。若额外股东回报/收购超基准且缺及时修复，policy另负面。</t>
  </si>
  <si>
    <t>实际逐券偿还、期限、浮息/对冲和未进入预测的资本配置或独立CRA风险发生改变。</t>
  </si>
  <si>
    <t>FF_R109_NOTE</t>
  </si>
  <si>
    <t>4.000% March2027票据怎样形成债项建议？</t>
  </si>
  <si>
    <t>对象是CCI母公司票息4.00%、March2027到期的Senior Notes，面值500.00 百万USD、Q1账面499.00 百万USD；同级senior unsecured，结构从属子公司且无其保证。主主体BB范围候选在投机级，若当前美国A/B法域及回收范围核准，则按tower DAV和同范围waterfall：一般unsecuredcap3下回收至少30.00%债项同主体；介于10.00%与该边界负一档；低于10.00%负两档。一般BB unsecured cap3阻止较高回收直接加档。</t>
  </si>
  <si>
    <t>合格标准多天线塔采用每塔0.36 百万USD；先排除SPE相关资产及对应claim，扣5.00%行政成本和合法优先P，余值在U同级claim池分配。N是已核自有设施及可保留/转移运营商权利的非SPE等价数量；carrier设施权益55.00%不是土地所有权，更不是全部合格资产。RCF通常85.00%、CPbackup只一次，预欠息0.50 years；未来amortization、bullet rollover及lease rejection/ARO须按条件。原券/同票息替代情景claim510.00 百万USD，至少同級边界分配153.00 百万USD，负两档边界分配51.00 百万USD。同级数量条件N=(30.00%×U+P−(1−5.00%)×EVother)/(0.36 百万USD×(1−5.00%))；负两档边界以10.00%替代回收系数。其他输入固定时，U每增加1000百万所需N增量分别877.19 qualified tower equivalents/292.40 qualified tower equivalents，P每增加1百万则追加2.92 qualified tower equivalents合格等价塔。N/U/P未核，实际回收保持未计算。</t>
  </si>
  <si>
    <t>E_R109_NOTE_ID, E_DEV_FACE, E_DEV_NOTE_GUAR, E_DEV_TOWER_RIGHTS, E_R109_RECOVERY, r109_note_same_coupon_claim, r109_note_30pct_distribution, r109_note_10pct_distribution</t>
  </si>
  <si>
    <t>F_R109_ELIGIBLE_NON_SPE_TOWERS, F_R109_PRIORITY_EAD, F_R109_UNSECURED_EAD, E_R109_METHOD_LIMIT</t>
  </si>
  <si>
    <t>若法域为C/unranked或不适用回收，走已核六步subordination。若有证据导致主体投资级，也走投资级无抵押六步：无合同从属、无担保、FRP不为minimal/modest，再核法律金融债secured/priority超过50%的阈值和30%母公司/合格guarantor缓释；所有租赁/非债调整和未提额度排除。结构从属措辞不自动等于负一档。
本案客户集中及运营商设施控制未证明资产/客户分散与压力流动性例外；税务REIT标签不能直接使用cap2。
若后续修正使最终ICR到B+或以下，必须换该范围及法域的cap：一般GroupA unsecuredcap2下回收至少70.00%可正一档；30.00%至该界限同主体，更低负一/负两档按原边界。一般GroupB该范围仍cap3，至少30.00%仍同主体。较宽资产例外未证明，不沿用BB分支为所有投机级的唯一规则。</t>
  </si>
  <si>
    <t>合格nonSPE设施/运营权清单、同范围违约年claim及美国正式法域行核准后形成实际回收档；回收跨30%/10%即改变本券级差。</t>
  </si>
  <si>
    <t>FF_FORWARD_STRESS</t>
  </si>
  <si>
    <t>经营和融资同时变弱时，售后债务能否持续下降？</t>
  </si>
  <si>
    <t>联合压力下，2028CFO为1,801.00 百万USD，新增融资385.25 百万USD；方法FFO/债务为8.41%，债务/EBITDA为7.55 倍。这是客户及融资条件共同作用的研究情景，不能将其解释为实际违约概率或公司预算。</t>
  </si>
  <si>
    <t>现有合同预测包含续约及无流失假设，先另列新增租赁、正常流失和成本变化。2028客户压力只对当年AT&amp;T年度化续约暴露773.00 百万USD施加明确损失份额和半年作用期，不能扣完整年度暴露。再融资加点按具体到期月后的暴露及上年融资全年续息计算；新提款现金与后续利息同时反馈债务，不把假设的市场融资列为已经落实的流动性来源。</t>
  </si>
  <si>
    <t>E_FWD_CONTRACT, E_FWD_CREDIT_CONDITIONS, fwd_att_2028, fwd_joint_stress_CFO_2028, fwd_joint_stress_FFO_debt_2028, fwd_joint_stress_debt_EBITDA_2028</t>
  </si>
  <si>
    <t>E_SP_LAND, E_SP_RENEW</t>
  </si>
  <si>
    <t>核心站点迁移成本、可执行续约、价格传导及压缩可选支付可能缓释现金损失；合同对手财务能力、租地约束或融资池共用可能使压力更早出现。</t>
  </si>
  <si>
    <t>取得真实续约费率、客户法律与付款进展以及承诺再融资后替换相应分支；若资金未及时落实，按实际支付日分析资金失败，不能仅沿用等额再融资参照。</t>
  </si>
  <si>
    <t>FF_FORWARD_FUNDING</t>
  </si>
  <si>
    <t>名义授信和可选回购如何改变现金缺口判断？</t>
  </si>
  <si>
    <t>不使用新增额度的参照在2026出现支付缺口45.77 百万USD，后续债务余额和信用比率不再形成。额外成本、现金归属和付款时差不利的联合条件下，2026新增融资升至590.62 百万USD。这些结果依赖明确用途和时间安排；回购授权并不强制足额执行，不能直接据假设支付缺口宣布违约。</t>
  </si>
  <si>
    <t>承诺额度扣信用证是名义池，实际可提还取决于已有提款、CP备用、定义口径及无违约条件。CP备援与到期偿付必须在同一来源用途表只计一次。借款先暂存现金再还既有金融本金，在同口径条件下不直接增加契约净债；经营耗用、利息和账面计量差异分别处理。July2026至June2027窗口采用明示时序代理，June实际普通现金和计划执行仍未知，不能用模型年度现金阈值填补。</t>
  </si>
  <si>
    <t>E_FWD_CREDIT_CONDITIONS, E_CG_DRAW, E_CG_RP, fwd_no_new_facility_cash_payment_deficit_2026, fwd_cash_unknowns_adverse_new_draw_2026</t>
  </si>
  <si>
    <t>fwd_june_cash_actual, fwd_june_cp_actual, fwd_other_debt_paid_to_june_actual, fwd_buyback_paid_to_june_actual</t>
  </si>
  <si>
    <t>及时推迟可选股东支付、真实现金优于代理或取得独立且可及时提款的承诺资金，可以避免预算缺口；这些缓释须与法定义务、提款条件及具体到期相匹配。</t>
  </si>
  <si>
    <t>将实际June现金、债务、CP和额度占用及逐笔支付放入十二个月窗口，并核每一来源资格；确认最早支付缺口及缓释到位日后更新流动性结论。</t>
  </si>
  <si>
    <t>事项</t>
  </si>
  <si>
    <t>目的与认定</t>
  </si>
  <si>
    <t>总体</t>
  </si>
  <si>
    <t>选取</t>
  </si>
  <si>
    <t>步骤</t>
  </si>
  <si>
    <t>实际结果</t>
  </si>
  <si>
    <t>执行者日期</t>
  </si>
  <si>
    <t>P01</t>
  </si>
  <si>
    <t>核实减值先后及测试单元 / 披露一致性, 计算准确性, 期间及范围</t>
  </si>
  <si>
    <t>上述来源已明确定位的公开页面与表格，非企业交易总体</t>
  </si>
  <si>
    <t>围绕交易、四表及资金债务的针对性选取；不是统计审计抽样</t>
  </si>
  <si>
    <t>读 2024 年报政策、商誉滚动和资产核销段落
读 SEC 问询回复关于测试顺序、资产组、CBSA 及计量基础的说明
读 FASB ASU 2017-04 选定条款并视觉区分增删标记，不把 ASU 称权威 Codification
复算商誉期初减费用至期末
重新读note5/p75并核图像：Fiber4,958至0、Towers5,127不变；更正合并标签并复算分部桥</t>
  </si>
  <si>
    <t>performed</t>
  </si>
  <si>
    <t>公开披露顺序与算术支持；未取得模型，未重新执行估值。</t>
  </si>
  <si>
    <t>E24IMPAIR, E24WRITE, ESECSEQ, EFASB, C_gw2024, C_fibergw</t>
  </si>
  <si>
    <t>Codex 公开原件研究复算（非审计） 2026-10-03</t>
  </si>
  <si>
    <t>P02</t>
  </si>
  <si>
    <t>验证持有待售损失组成 / 披露一致性, 计算准确性, 期间及范围</t>
  </si>
  <si>
    <t>读年报 note 3 及脚注，逐页图像核对金额与列头
把准备与售出费用同表损失勾稽；分别保留税、现金及范围
实际补读最初签署协议§2.2–2.7及所用定义，区分公开机制、未公开附表和实际结算
读取五月公开备考，明确不能倒填2025年末89差额；检查已读官方索引的修订信息</t>
  </si>
  <si>
    <t>分类与2025损失桥保留；公开价格/结算机制及备考已取得，年末89差额、实际结算和未识别修订影响仍未解释。</t>
  </si>
  <si>
    <t>E25HFS, ESECSALE, C_sale2025, ESPAPRICE, ESPASETTLE, EPROBS, EQ126INDEX</t>
  </si>
  <si>
    <t>P03</t>
  </si>
  <si>
    <t>复算四表及税现金桥 / 披露一致性, 计算准确性, 期间及范围</t>
  </si>
  <si>
    <t>读取并视觉核对年报四表和现金调节表
用现有 calculate.evaluate 复算加总、损益—现金—权益及资产负债恒等式
检验现金单位/期初期末/终止范围，保留输出差额</t>
  </si>
  <si>
    <t>四表列示加总和滚动复算；算术结果另存 results.json，非审计意见。</t>
  </si>
  <si>
    <t>E25BS, E25PL, E25CF, E25EQ, E25TAX, E25CASH</t>
  </si>
  <si>
    <t>P04</t>
  </si>
  <si>
    <t>核验原报与重列版本 / 披露一致性, 计算准确性, 期间及范围</t>
  </si>
  <si>
    <t>读原 2024 年报损益及分部表，并视觉复核
对比 2025 年报 2024 持续和终止列；分别核验收入、税前利润、税、净利润
读 2025 Q1 原 note 3、SEC 回复和 2026 Q1 脚注，保持来源版本</t>
  </si>
  <si>
    <t>两处版本差异保留并请求解释，没有替换原文数字。</t>
  </si>
  <si>
    <t>E24ORIG, EQ125, ESECSALE, EQ126HFS, C_recastrev2024, C_priorallow</t>
  </si>
  <si>
    <t>P05</t>
  </si>
  <si>
    <t>验证出售与偿债时间界线 / 披露一致性, 计算准确性, 期间及范围</t>
  </si>
  <si>
    <t>读五月一日完成公告和五月七日 Q1 报告期后附注
将三月准备滚动、交割价调、已预提成本支付、实际及计划偿债分开
排除七月及之后发表的 Q2 结果
实际读出售8-K Ex99.2 p18–21及Note2(A)–(E)，将发表日、BS/损益假设日、五月实际/计划逐层区分
复算公开备考现金、资产/负债调整接权益、利息和持续经营利润；保留834行原始标签差异</t>
  </si>
  <si>
    <t>实际约数和备考均各有来源：备考现金调整6,247、现金6,346、权益−1,796、持续利润1,188闭合；未将其认作五月实际现金、最终处置损益或契约EBITDA。</t>
  </si>
  <si>
    <t>ESALE, EQ126SALE, C_qallow, C_saleproceeds, EPROBASIS, EPROBS, EPROPL, ESALEVERSION, C_pf_cashadd, C_pf_equity, C_pf_contni</t>
  </si>
  <si>
    <t>P06</t>
  </si>
  <si>
    <t>阅读新旧融资资源与定义 / 披露一致性, 计算准确性, 期间及范围</t>
  </si>
  <si>
    <t>阅读年报债务表、契约报告和隔离实体说明
读新协议 §1.01、1.04、1.05、4.02、6.10，复核替代关系及提款约束
分开账面值、本金、旧未提额度、CP 备用占用及新信用证
补读2022 Amendment7附后旧协议指定定义及§1.04/1.05/6.09/6.10，与新原文分别核对
读2025年报和2026Q1附件索引、五月新8-K终止条款，有限检索截止前后续版本；无证据不推定不存在未公开修订</t>
  </si>
  <si>
    <t>旧新主信贷选定条款链现已补齐；旧待售例外和租赁/债务口径分别标明。内部缺口限数值调整、合规证明及非公开条款，未声称检查所有SPE票据契约。</t>
  </si>
  <si>
    <t>E25DEBT, E25COV, E25SPE, ECREDIT, C_oldnetavailability, C_newnetLC, EOLDCREDIT, EOLDVERSION, EQ126INDEX</t>
  </si>
  <si>
    <t>P07</t>
  </si>
  <si>
    <t>寻找不利证据 / 披露一致性, 计算准确性, 期间及范围</t>
  </si>
  <si>
    <t>读 DISH 期后披露及现金/收入确认含义
将公司可收回判断与独立收款证据区分</t>
  </si>
  <si>
    <t>将应收收回风险作为反证；未进行法律或收款函证。</t>
  </si>
  <si>
    <t>P_SP</t>
  </si>
  <si>
    <t>复核持续经营范围及跨会计和信用方法的调整桥 / 完整性, 分类, 计算准确性, 期间及范围</t>
  </si>
  <si>
    <t>所列官方年报、Q1披露、SEC原申报标签与S&amp;P相关条文</t>
  </si>
  <si>
    <t>按实际租赁、付息、股份支付、减记、ARO及客户事件取证，不是企业交易统计审计抽样</t>
  </si>
  <si>
    <t>核对原报附注默认持续经营范围及现金流剥离
核原SEC accession和InterestPaidNet定义，分别记录应计与现金资本化利息
阅读租赁/ARO/股份支付/软件及最佳估计条款并建立无重复加回的桥
从同一底稿执行确定性计算及案例专用方法桥，保留局部敏感性
核对Q1实际变化、续约表头及土地指标定义</t>
  </si>
  <si>
    <t>原报利息、DDA和ARO滚动勾稽，资本化现金与分类残余保留估计；不构成完整主体或债项评级。</t>
  </si>
  <si>
    <t>E_SP_RATIOS, E_SP_XBRL, E_SP_Q1CFO, E_SP_RENEW, E_SP_LAND, sp_ffo, C_sp_aro</t>
  </si>
  <si>
    <t>公开资料研究复算（非审计） 2026-10-03</t>
  </si>
  <si>
    <t>cg_audit_public</t>
  </si>
  <si>
    <t>记录PwC意见、CAM及政策覆盖 / 披露一致性, 覆盖/期间, 分类</t>
  </si>
  <si>
    <t>10-K p56–57完整报告、p63/66–67政策、p89DISH与Q1 PDF11/37公开段落，非交易总体</t>
  </si>
  <si>
    <t>按收入、控制及期后影响定向全读指定段落，非审计抽样</t>
  </si>
  <si>
    <t>逐段提取FS/ICFR范围、COSO/PCAOB、日期和两项CAM；分清PwC程序与本次阅读
接读政策至同级项目，分控制识别、租金与服务、应收与预收；对照Q1管理控制声明</t>
  </si>
  <si>
    <t>已核原文及范围；没有函证、rent-roll对账、合同/控制样本或计量重做。</t>
  </si>
  <si>
    <t>E_CG_AUDIT, E_CG_RENT, E_CG_Q1_CTRL</t>
  </si>
  <si>
    <t>Codex公开资料核对及复算（非审计保证） 2026-10-06</t>
  </si>
  <si>
    <t>cg_rent_details</t>
  </si>
  <si>
    <t>执行重要收入及应收认定的追加检查 / 发生, 完整性, 准确性, 截止, 计价</t>
  </si>
  <si>
    <t>拟取2025全部租约及变更/终止清单、租金子账/总账、服务履约及期后收款；现仅公开合计，交易总体未验证</t>
  </si>
  <si>
    <t>先对总体至总账；特定选DISH/重大变更、异常升幅、免租预付及期末前后事件；剩余总体依实际风险与项目重要性决定，不设虚构样本数</t>
  </si>
  <si>
    <t>拟按控制identified asset先分ASC842/606，租约重做固定期及条款现金/直线认收，查已终止或取消合同与期末截止
拟从新增/修改/终止源清单追子账/总账完整性；从入账收入追原合同/变更发生准确性；服务另核完成与价格分配
拟核DISH实收至原债权/付款来源、律师及债务人能力，与贸易/递延应收/预收避免重复净额；重做适用准备及披露
若计划依赖控制，另穿行并测试相关期间的复核精度、权限/变更/接口及偏差；仅PwC意见和管理层声明不关闭运行测试</t>
  </si>
  <si>
    <t>awaiting_data</t>
  </si>
  <si>
    <t>纯追加计划：尚无可靠交易总体、样本或结果；不凭金额勾稽支持收入发生/完整性和DISH计价已通过。</t>
  </si>
  <si>
    <t>E_CG_RENT, E_CG_AUDIT, EDISH</t>
  </si>
  <si>
    <t xml:space="preserve"> </t>
  </si>
  <si>
    <t>cg_governance_public</t>
  </si>
  <si>
    <t>公开治理与激励一致性核对 / 披露一致性, 范围/期间, 计算准确性</t>
  </si>
  <si>
    <t>Proxy指定正文p18–23/26–30/33–34/44–46/52–53/B3；缺外链图片/完整charter与会议执行材料</t>
  </si>
  <si>
    <t>定向重大治理、财务监督及AIP度量；不是委员活动总体或控制抽样</t>
  </si>
  <si>
    <t>分开委员会设计、公司所称实际活动、外审保证与本次执行
逐表保留4044/4004/2863、权重及显示比例、Hillabrant目标/实付/分摊；按基础计算记录复算显示数差额
仅核披露完整相关AIP段落；未找到可验证的STI完整插值/精度规则，不把另项TSR线性条款嫁接</t>
  </si>
  <si>
    <t>制度与人员披露已核；显示差额保留，不能选定哪处正确。未测试委员会复核、关联审批总体、支付凭证或薪酬完整模型。</t>
  </si>
  <si>
    <t>E_CG_GOV, E_CG_RPT, E_CG_LEADERSHIP, E_PROXY_STI, E_CG_PROXY_B3, cg_sti_ebitda_display_difference, cg_sti_weighted_display_gap, cg_sti_hill_display_gap</t>
  </si>
  <si>
    <t>cg_credit_public</t>
  </si>
  <si>
    <t>核正常/压力提款、股东支付与上划路径 / 权利和义务, 分类, 范围/期间</t>
  </si>
  <si>
    <t>新协议指定完整定义、4.02/6.06/6.08/6.10/VII(d)(e)(g)及年报SPE全文段；非全部债项合同总体</t>
  </si>
  <si>
    <t>按Borrower、股东支付、现金转移和Default触发定向条款选择，未验证实际证书/所有附表</t>
  </si>
  <si>
    <t>读6.06总禁令及(a)–(f)各例外，不漏默认时期的REIT/薪酬/子公司等路径
读每次循环提款所用陈述排除、申请及无Default；季度测试与ArticleVI违反对应VII(d)，ARD例外对应VII(g)(iii)
读6.08全部公开例外及SPE分配/担保边界，不把合并数改成母公司可上划资源</t>
  </si>
  <si>
    <t>公开机制已核；无实际提款/分配/DSCR合规证书测试，无律师结论或全债项回收。</t>
  </si>
  <si>
    <t>E_CG_RP, E_CG_DRAW, E_CG_TRANSFER, E_CG_RESOURCE</t>
  </si>
  <si>
    <t>cg_credit_actual</t>
  </si>
  <si>
    <t>对实际提款和分配作有限追加验证 / 权利和义务, 完整性, 准确性, 截止</t>
  </si>
  <si>
    <t>拟取截止内提款/LC/CP/分配申请及明细、季度契约合规证书、REIT税额、特定SPE释放；现未取得企业完整总体</t>
  </si>
  <si>
    <t>按实际重大提款/分配、临界测试日和现金陷阱作特定选择；验证总体后再考虑剩余范围，不声称全查</t>
  </si>
  <si>
    <t>拟按合同有效版本和具体测试日重建Borrower/Restricted债务、现金与EBITDA，查Default及有效豁免
拟对正常支付6.06(f)与压力下(e)/(a)–(d)逐项核实际资格、4季税额/上限、批准及其他法律/债务限制
拟对提款检查4.02真实适用陈述、请求、同日CP/LC占用和放款；不只凭预测杠杆下降宣布无法提款
拟将SPE可付对应债现金及母公司可上划分开排到付款前；核受托人释放/DSCR和ARD例外及其余违约，不重复计融资来源</t>
  </si>
  <si>
    <t>未执行细节检查；公开已偿债和可用承诺仍可支持条件分析，缺口仅影响具体金额、窗口或债项。</t>
  </si>
  <si>
    <t>E_CG_RP, E_CG_DRAW, E_CG_RESOURCE, E_CG_TRANSFER</t>
  </si>
  <si>
    <t>P_R109_CHAIN</t>
  </si>
  <si>
    <t>核实际来源及数值到评级节点的可复核连接 / 方法适用性, 逐年比率时序, 查表及前后节点一致, 具体债项身份/顺位</t>
  </si>
  <si>
    <t>已取得的Crown原件及适用正式S&amp;P方法；固定Q_crown_forward</t>
  </si>
  <si>
    <t>决定主路径的CP/BRP/standard/FRP/anchor/Table5节点与指定票据，不推广为全部来源或最终评级验收</t>
  </si>
  <si>
    <t>核原件SHA和当前方法版本/指定读取范围。
复核standard其他活动条件及CP因素、盈利代理与Tables14–16/1–3。
读取原Q行/字段/上下文，执行双年比率均值、条件30/40/30及原NumericBand查档。
逐步列当前等级、流动性cap脚注、M&amp;G未核情景、CRA不重复及支持/国别条件。
核指定票据而非Tower Revenue Notes；执行tower DAV必要足值算术，实际N/U/P缺口保留。</t>
  </si>
  <si>
    <t>已形成标准主FRP6及相邻FRP5条件、BB锚点和对应流动性分支；运行记录及残差/查档见Q_r109_crown_rating。M&amp;G、June实际流动性与实际回收均未冒记为已核。</t>
  </si>
  <si>
    <t>E_R109_FRP_TABLE, E_R109_MODIFIERS, E_R109_LIQ, E_R109_RECOVERY, r109_base_FFO_debt_120, r109_window_JV_for_adequate</t>
  </si>
  <si>
    <t>source-based case research 2026-10-06</t>
  </si>
  <si>
    <t>所需资料</t>
  </si>
  <si>
    <t>影响</t>
  </si>
  <si>
    <t>责任角色</t>
  </si>
  <si>
    <t>关闭条件</t>
  </si>
  <si>
    <t>Q01</t>
  </si>
  <si>
    <t>资产组/报告单元组织图、长期资产账面基数、未折现预测、商誉 DCF/市场法、税属性及敏感性</t>
  </si>
  <si>
    <t>不能从公司结论独立重做可收回性或公允价值</t>
  </si>
  <si>
    <t>财务估值/业务预算负责人</t>
  </si>
  <si>
    <t>取得可追溯模型、董事会预算及实际回测，按正确顺序重做并解释余量</t>
  </si>
  <si>
    <t>Q02</t>
  </si>
  <si>
    <t>分类日内部会计备忘录、公开原件省略的ScheduleII/VI等附表及出售估值/费用明细、准备滚动；实际适用但未在已取得的公开原件找到的签署修订</t>
  </si>
  <si>
    <t>最初签署协议及§2.2–2.7机制已读；公开备考不能解释2025年末89差额或证明所有初始/后续计量</t>
  </si>
  <si>
    <t>交易会计/法务</t>
  </si>
  <si>
    <t>按2025分类/年末各日期逐项连接净资产、估计售价、费用与准备；说明89差额及实际适用修订，避免五月信息倒填</t>
  </si>
  <si>
    <t>Q03</t>
  </si>
  <si>
    <t>June30普通现金/法律母公司可上划限制、实际CP及峰值、RCF提款/LC变动、其他债2,100.00 百万USD逐券支付、回购1,000.00 百万USD已执行份额、Jul2026–Jun2027逐月收付及未付交易费用；仅核实际可支用范围。</t>
  </si>
  <si>
    <t>年度末50.00 百万USD是模型阈值，May1已知动作小计和未来市场refi不能代替六月实际来源；防止固定到期/计划/CP备用重复。</t>
  </si>
  <si>
    <t>司库/融资法务</t>
  </si>
  <si>
    <t>逐笔原始证据接通J/V/U与真实季度契约条件，形成全租赁现金FFO/WC来源用途及至少四项adequate支持特征；对SPE用途与母公司上划分别核。</t>
  </si>
  <si>
    <t>Q04</t>
  </si>
  <si>
    <t>指定CCI4.000%March2027当前适用修订/担保变化、nonSPE标准多天线塔及设施/运营权可转移资格清单、SPE匹配资产/债权、假定违约年同级/优先claim和lease rejection/ARO；核已记录未取得的美国正式Jurisdiction Ranking行。</t>
  </si>
  <si>
    <t>债项法人/面值/账面及高级无抵押顺位已经有公开证据；真正限制回收的是N/U/P资格与法域，不能由土地所有权或55.00%carrier rights倒算。</t>
  </si>
  <si>
    <t>融资法务/资产管理/研究来源维护</t>
  </si>
  <si>
    <t>同范围塔DAV、85.00%RCF/CP一次、摊还/rollover/预欠息/费用waterfall完成并把本券30.00%/10.00%足值条件换成实证回收；先前公开已取得方法无需重复索取。</t>
  </si>
  <si>
    <t>Q05</t>
  </si>
  <si>
    <t>新协议Borrower/Restricted范围合规证书，TotalIndebtedness/UnrestrictedCash/LTMConsolidatedEBITDA逐项数值与出售/偿债ProFormaBasis，提款当日§4.02陈述/申请/NoDefault；真实股东支付§6.06及必要REIT分配金额。</t>
  </si>
  <si>
    <t>7.00 倍/3.50 倍定义与公开条件已核；缺真实分子分母及压力时提款资格，方法EBITDA和简单金融本金净现金参照不能认证遵约。</t>
  </si>
  <si>
    <t>司库/贷款代理行</t>
  </si>
  <si>
    <t>分别验证实际与15.00%/10.00%下降后的契约和可提款轨迹；等额存款再融资与消费现金分开，已实际Default与条件压力分开。</t>
  </si>
  <si>
    <t>Q06</t>
  </si>
  <si>
    <t>未公开的交割前估计表、实际124价调组成、最终结算表及尾款、银行收款/还款凭证、127备考估计与实际费用/留任支付及74已应计费用支付桥、四月新增投资</t>
  </si>
  <si>
    <t>公开8,500−124−127−2,002=6,247备考已取得；它不证明最终现金、实际还债时间或最终损益；最初合同机制不提供未公开结算数</t>
  </si>
  <si>
    <t>交易财务/司库</t>
  </si>
  <si>
    <t>从实际交割凭证逐项连接最终价格、费用应计/支付及每笔偿债；确定后续修订影响。截止后材料另列验证层，不回填截止事实</t>
  </si>
  <si>
    <t>Q07</t>
  </si>
  <si>
    <t>原 2024 分部到重列持续/终止收入的逐项抵销与范围桥；2025 Q1 准备脚注差异正式解释</t>
  </si>
  <si>
    <t>两处公开版本算术不能无解释合并</t>
  </si>
  <si>
    <t>财务报告负责人</t>
  </si>
  <si>
    <t>正式桥或更正分别解释两项差异，不将猜测写成事实</t>
  </si>
  <si>
    <t>Q08</t>
  </si>
  <si>
    <t>DISH 合同争议法律意见、期后收款、和解及对手方能力证据</t>
  </si>
  <si>
    <t>管理层可收回判断需要独立反证与收款支持</t>
  </si>
  <si>
    <t>法务/信用控制</t>
  </si>
  <si>
    <t>按公开信息截止和法律实体区分已收、争议、预计收回及计量调整</t>
  </si>
  <si>
    <t>Q_SP</t>
  </si>
  <si>
    <t>资本化现金利息的结算拆分、股份支付非RSU差额的结算分类、PP&amp;E核销与净减记差额说明；ARO可用税益及专款抵减</t>
  </si>
  <si>
    <t>收窄实际存在的估计差额和评级临界性；965付息gross/net以及RSU已知部分无需重复索取</t>
  </si>
  <si>
    <t>资金、财务及税务负责人</t>
  </si>
  <si>
    <t>逐项解释已识别差额，重新执行同一方法桥并评价聚合影响；不要求无关的全量内部资料才提供已有分析</t>
  </si>
  <si>
    <t>cg_rent_request</t>
  </si>
  <si>
    <t>提供2025合同/修改终止与租金子账到总账完整对账、有关免租升幅及收入/应收拆分，DISH实收和法律回收证据；仅对拟依赖控制提供相关期间运行记录。 服务收入另取独立于收入账的开通/履约完成总体及期末前后完成证据，核完整性与截止。</t>
  </si>
  <si>
    <t>执行cg_rent_details的实际认定检查；已取得PwC报告及公开政策，不再索其存在性。</t>
  </si>
  <si>
    <t>收入会计/信用控制/法务；审计项目负责人</t>
  </si>
  <si>
    <t>验证总体、按实际选取逐项重算与例外量化；计量差异更正或完成重要性评价，控制偏差影响依赖决定。不能仅凭算术正常关闭。</t>
  </si>
  <si>
    <t>cg_sti_request</t>
  </si>
  <si>
    <t>先查公开正式更正及AIP完整规则；只对尚缺的4044/4004文字表差、AIP到B3范围/调整桥、完整精度/舍入及Hillabrant就任分摊索正式依据和批准计算。</t>
  </si>
  <si>
    <t>缩小原文不一致，避免假定线性插值或把不足1美元显示差当错报；不要求全公司薪酬资料才分析。</t>
  </si>
  <si>
    <t>财务报告/薪酬及CHC秘书</t>
  </si>
  <si>
    <t>逐项解释40百万差额和非GAAP范围；按已证完整规则/输入复算，显示数与精确数分层，判断披露及实际支付影响后关闭。</t>
  </si>
  <si>
    <t>cg_gov_execution_request</t>
  </si>
  <si>
    <t>对已识别分拆/重组及领导交接取责任/权限撤销和关键财报接口复核；对AIP差异、资本分配及实际关联事项取必要委员会决策/跟进记录。</t>
  </si>
  <si>
    <t>验证监督运行及新增信用后果，不泛索全部会议或把制度存在当运行有效。</t>
  </si>
  <si>
    <t>财务/内审/公司秘书</t>
  </si>
  <si>
    <t>明确哪些实际控制/决策有独立执行证据、例外如何关闭及现金/信息影响；已进入预测影响与治理因素不重复，缺证据保持相应条件判断。</t>
  </si>
  <si>
    <t>Q_R109_MG</t>
  </si>
  <si>
    <t>在合法取得的正式版本核Management And Governance专门细则、子项及聚合，并只补核影响本公司类别的治理/监督执行证据；当前美国sovereign/T&amp;C如可能约束研究结果则核相应正式行。</t>
  </si>
  <si>
    <t>缺适用管理与治理专门分类原件及本公司相关执行证据；公开治理事实不能代替专门方法分类，neutral仅为明示情景。</t>
  </si>
  <si>
    <t>评级研究/治理研究来源维护</t>
  </si>
  <si>
    <t>核适用方法和本公司叶子后，以流动性后的当前等级列确定M&amp;G影响及独立CRA/国别处理；撤回或更新中性情景。</t>
  </si>
  <si>
    <t>scenario</t>
  </si>
  <si>
    <t>year</t>
  </si>
  <si>
    <t>metric</t>
  </si>
  <si>
    <t>result</t>
  </si>
  <si>
    <t>status</t>
  </si>
  <si>
    <t>formula</t>
  </si>
  <si>
    <t>base</t>
  </si>
  <si>
    <t>2026</t>
  </si>
  <si>
    <t>CFO</t>
  </si>
  <si>
    <t>1799.983128589661774090619017</t>
  </si>
  <si>
    <t>conditional_analysis</t>
  </si>
  <si>
    <t>See executable crown_forward.run and artifact full path; same-ID input snapshot retained</t>
  </si>
  <si>
    <t>economic_CFO_after_all_cash_interest</t>
  </si>
  <si>
    <t>1789.983128589661774090619017</t>
  </si>
  <si>
    <t>50.00000000000000000000000000</t>
  </si>
  <si>
    <t>financial_principal</t>
  </si>
  <si>
    <t>17605.78770474367155924271432</t>
  </si>
  <si>
    <t>financial_carrying_proxy</t>
  </si>
  <si>
    <t>17506.78770474367155924271432</t>
  </si>
  <si>
    <t>operating_lease</t>
  </si>
  <si>
    <t>5115.085670576236613972463029</t>
  </si>
  <si>
    <t>EBITDA</t>
  </si>
  <si>
    <t>3235</t>
  </si>
  <si>
    <t>NI_cont_proxy</t>
  </si>
  <si>
    <t>1053.983128589661774090619017</t>
  </si>
  <si>
    <t>FFO</t>
  </si>
  <si>
    <t>2154.128458013425160118155988</t>
  </si>
  <si>
    <t>FOCF</t>
  </si>
  <si>
    <t>1886.128458013425160118155988</t>
  </si>
  <si>
    <t>DCF</t>
  </si>
  <si>
    <t>-979.309041986574839881844012</t>
  </si>
  <si>
    <t>new_draw</t>
  </si>
  <si>
    <t>97.78770474367155924271431576</t>
  </si>
  <si>
    <t>finance_shortfall</t>
  </si>
  <si>
    <t>0E-32</t>
  </si>
  <si>
    <t>cash_payment_deficit</t>
  </si>
  <si>
    <t>0</t>
  </si>
  <si>
    <t>FFO_debt</t>
  </si>
  <si>
    <t>0.09400568891353744920730952861</t>
  </si>
  <si>
    <t>debt_EBITDA</t>
  </si>
  <si>
    <t>7.083422990825319373482280479</t>
  </si>
  <si>
    <t>simple_principal_cash_required_EBITDA_at7x</t>
  </si>
  <si>
    <t>2507.969672106238794177530617</t>
  </si>
  <si>
    <t>simple_principal_cash_EBITDA_to_survive_10pct_decline</t>
  </si>
  <si>
    <t>2786.632969006931993530589575</t>
  </si>
  <si>
    <t>simple_principal_cash_EBITDA_to_survive_15pct_decline</t>
  </si>
  <si>
    <t>2950.552555419104463738271314</t>
  </si>
  <si>
    <t>2027</t>
  </si>
  <si>
    <t>2070.105194076193382253625412</t>
  </si>
  <si>
    <t>2060.105194076193382253625412</t>
  </si>
  <si>
    <t>50.00000000000000000000000002</t>
  </si>
  <si>
    <t>17593.93251066747817698908891</t>
  </si>
  <si>
    <t>17524.93251066747817698908891</t>
  </si>
  <si>
    <t>4982.369505144988466053128407</t>
  </si>
  <si>
    <t>3268.6875</t>
  </si>
  <si>
    <t>1195.105194076193382253625412</t>
  </si>
  <si>
    <t>2284.821359507441530172960035</t>
  </si>
  <si>
    <t>2154.821359507441530172960035</t>
  </si>
  <si>
    <t>331.571359507441530172960035</t>
  </si>
  <si>
    <t>116.1448059238066177463745882</t>
  </si>
  <si>
    <t>0E-29</t>
  </si>
  <si>
    <t>0.1001179230669805873173082996</t>
  </si>
  <si>
    <t>6.981793767624609768612697702</t>
  </si>
  <si>
    <t>2506.276072952496882427012701</t>
  </si>
  <si>
    <t>2784.751192169440980474458557</t>
  </si>
  <si>
    <t>2948.560085826466920502367884</t>
  </si>
  <si>
    <t>2028</t>
  </si>
  <si>
    <t>2166.517505823433110812956411</t>
  </si>
  <si>
    <t>2156.517505823433110812956411</t>
  </si>
  <si>
    <t>17485.66500484404506617613250</t>
  </si>
  <si>
    <t>17446.66500484404506617613250</t>
  </si>
  <si>
    <t>4827.007045460737336930708158</t>
  </si>
  <si>
    <t>3319.5046875</t>
  </si>
  <si>
    <t>1213.517505823433110812956411</t>
  </si>
  <si>
    <t>2309.879965507684239935376660</t>
  </si>
  <si>
    <t>2262.879965507684239935376660</t>
  </si>
  <si>
    <t>439.629965507684239935376660</t>
  </si>
  <si>
    <t>19.73249417656688918704358869</t>
  </si>
  <si>
    <t>0E-30</t>
  </si>
  <si>
    <t>0.1021678743611368041258872439</t>
  </si>
  <si>
    <t>6.810857094264845017817689302</t>
  </si>
  <si>
    <t>2490.809286406292152310876071</t>
  </si>
  <si>
    <t>2767.565873784769058123195635</t>
  </si>
  <si>
    <t>2930.363866360343708601030672</t>
  </si>
  <si>
    <t>rolling12m</t>
  </si>
  <si>
    <t>window_CFO</t>
  </si>
  <si>
    <t>2037.708016097871207187225384</t>
  </si>
  <si>
    <t>conditional_timing_reference</t>
  </si>
  <si>
    <t>CFO_window=(CFO26−actualQ1CFO296)×h26+CFO27×h27. h26/h27 are unverified timing shares; reference2/3,1/2. June ordinary cash J is unknown.</t>
  </si>
  <si>
    <t>window_capex</t>
  </si>
  <si>
    <t>236.1666666666666666666666667</t>
  </si>
  <si>
    <t>window_economic_CFO</t>
  </si>
  <si>
    <t>2028.708016097871207187225384</t>
  </si>
  <si>
    <t>window_economic_capex</t>
  </si>
  <si>
    <t>227.1666666666666666666666667</t>
  </si>
  <si>
    <t>window_dividends</t>
  </si>
  <si>
    <t>1823.2500</t>
  </si>
  <si>
    <t>fixed_maturities_if_not_prepaid</t>
  </si>
  <si>
    <t>2250</t>
  </si>
  <si>
    <t>routine_principal_proxy</t>
  </si>
  <si>
    <t>128</t>
  </si>
  <si>
    <t>cash_loss_if_weighted_method_EBITDA_declines_15pct</t>
  </si>
  <si>
    <t>487.7765625</t>
  </si>
  <si>
    <t>services_attributable_CFO_reference</t>
  </si>
  <si>
    <t>36.73720385449590721040073302</t>
  </si>
  <si>
    <t>conditional_cash_attribution_reference</t>
  </si>
  <si>
    <t>Services CFO = service cash GP105 + unknown services cash delta −lambda(shared cashSGA+cash tax+total financial cash interest+other cash conversion+restructcash−interest received); rental CFO=economic total−services. Economic total deducts capitalized cash interest but never adds lease principal; CAP is reduced by the same interest classification transfer. Reference lambda=services revenue/total revenue; lambda and unknown cash attribution are unverified.</t>
  </si>
  <si>
    <t>rental_attributable_CFO_reference</t>
  </si>
  <si>
    <t>1753.245924735165866880218284</t>
  </si>
  <si>
    <t>rental_share_reference</t>
  </si>
  <si>
    <t>0.9794762289835427856715491092</t>
  </si>
  <si>
    <t>44.68782515198302226736680289</t>
  </si>
  <si>
    <t>2015.417368924210359986258609</t>
  </si>
  <si>
    <t>0.9783079886985954395111199730</t>
  </si>
  <si>
    <t>joint_stress</t>
  </si>
  <si>
    <t>1932.573060400100837266478882</t>
  </si>
  <si>
    <t>1922.573060400100837266478882</t>
  </si>
  <si>
    <t>49.99999999999999999999999996</t>
  </si>
  <si>
    <t>17731.46464434357072197623544</t>
  </si>
  <si>
    <t>17662.46464434357072197623544</t>
  </si>
  <si>
    <t>3158.6875</t>
  </si>
  <si>
    <t>1057.573060400100837266478882</t>
  </si>
  <si>
    <t>2147.289225831348985185813505</t>
  </si>
  <si>
    <t>2017.289225831348985185813505</t>
  </si>
  <si>
    <t>194.039225831348985185813505</t>
  </si>
  <si>
    <t>253.6769395998991627335211177</t>
  </si>
  <si>
    <t>0.09352779900974122062087294683</t>
  </si>
  <si>
    <t>7.268472791147766022447413316</t>
  </si>
  <si>
    <t>2525.923520620510103139462206</t>
  </si>
  <si>
    <t>2806.581689578344559043846895</t>
  </si>
  <si>
    <t>2971.674730141776591928779066</t>
  </si>
  <si>
    <t>1801.001549677227362767410849</t>
  </si>
  <si>
    <t>1791.001549677227362767410849</t>
  </si>
  <si>
    <t>17988.71309466634335920882459</t>
  </si>
  <si>
    <t>17949.71309466634335920882459</t>
  </si>
  <si>
    <t>3060.8546875</t>
  </si>
  <si>
    <t>848.0015496772273627674108492</t>
  </si>
  <si>
    <t>1944.364009361478491889831098</t>
  </si>
  <si>
    <t>1897.364009361478491889831098</t>
  </si>
  <si>
    <t>74.114009361478491889831098</t>
  </si>
  <si>
    <t>385.2484503227726372325891506</t>
  </si>
  <si>
    <t>0.08412891803694137888692134771</t>
  </si>
  <si>
    <t>7.550740724318387197575687836</t>
  </si>
  <si>
    <t>2562.67329923804905131554637</t>
  </si>
  <si>
    <t>2847.4147769311656125728293</t>
  </si>
  <si>
    <t>3014.909763809469472135936906</t>
  </si>
  <si>
    <t>1968.941949259824934693652119</t>
  </si>
  <si>
    <t>1959.941949259824934693652119</t>
  </si>
  <si>
    <t>479.5265625</t>
  </si>
  <si>
    <t>cash_unknowns_adverse</t>
  </si>
  <si>
    <t>1539.818482769623484365028717</t>
  </si>
  <si>
    <t>1529.818482769623484365028717</t>
  </si>
  <si>
    <t>49.99999999999999999999999999</t>
  </si>
  <si>
    <t>18098.61901723037651563497128</t>
  </si>
  <si>
    <t>17999.61901723037651563497128</t>
  </si>
  <si>
    <t>1043.818482769623484365028717</t>
  </si>
  <si>
    <t>2043.963812193386870392565688</t>
  </si>
  <si>
    <t>1625.963812193386870392565688</t>
  </si>
  <si>
    <t>-1239.473687806613129607434312</t>
  </si>
  <si>
    <t>590.6190172303765156349712827</t>
  </si>
  <si>
    <t>0E-31</t>
  </si>
  <si>
    <t>0.08732012982281492105866541711</t>
  </si>
  <si>
    <t>7.235766518641920596478341363</t>
  </si>
  <si>
    <t>2578.374145318625216519281611</t>
  </si>
  <si>
    <t>2864.860161465139129465868457</t>
  </si>
  <si>
    <t>3033.381347433676725316801896</t>
  </si>
  <si>
    <t>2042.232986172060968267430930</t>
  </si>
  <si>
    <t>2032.232986172060968267430930</t>
  </si>
  <si>
    <t>18114.63603105831554736754035</t>
  </si>
  <si>
    <t>18045.63603105831554736754035</t>
  </si>
  <si>
    <t>1167.232986172060968267430930</t>
  </si>
  <si>
    <t>2256.949151603309116186765553</t>
  </si>
  <si>
    <t>2126.949151603309116186765553</t>
  </si>
  <si>
    <t>303.699151603309116186765553</t>
  </si>
  <si>
    <t>144.0170138279390317325690704</t>
  </si>
  <si>
    <t>0.09669045567240549036296365350</t>
  </si>
  <si>
    <t>7.141094257619703325393041935</t>
  </si>
  <si>
    <t>2580.66229015118793533822005</t>
  </si>
  <si>
    <t>2867.402544612431039264688944</t>
  </si>
  <si>
    <t>3036.073282530809335692023588</t>
  </si>
  <si>
    <t>2137.068977677935881639882037</t>
  </si>
  <si>
    <t>2127.068977677935881639882037</t>
  </si>
  <si>
    <t>18035.81705338037966572765831</t>
  </si>
  <si>
    <t>17996.81705338037966572765831</t>
  </si>
  <si>
    <t>1184.068977677935881639882037</t>
  </si>
  <si>
    <t>2280.431437362187010762302286</t>
  </si>
  <si>
    <t>2233.431437362187010762302286</t>
  </si>
  <si>
    <t>410.181437362187010762302286</t>
  </si>
  <si>
    <t>49.18102232206411836011796298</t>
  </si>
  <si>
    <t>0.09846922398258991570289403217</t>
  </si>
  <si>
    <t>6.976590268436280677087721832</t>
  </si>
  <si>
    <t>2569.402436197197095103951187</t>
  </si>
  <si>
    <t>2854.891595774663439004390208</t>
  </si>
  <si>
    <t>3022.826395526114229534060220</t>
  </si>
  <si>
    <t>capitalized_cash15</t>
  </si>
  <si>
    <t>1784.983128589661774090619017</t>
  </si>
  <si>
    <t>2149.128458013425160118155988</t>
  </si>
  <si>
    <t>0.09378749002070022459878406827</t>
  </si>
  <si>
    <t>no_new_facility</t>
  </si>
  <si>
    <t>1802.000000</t>
  </si>
  <si>
    <t>unfunded_budget_not_projected</t>
  </si>
  <si>
    <t>1792.000000</t>
  </si>
  <si>
    <t>1056.000000</t>
  </si>
  <si>
    <t>95.77083333333333333333333300</t>
  </si>
  <si>
    <t>45.770833333333333333333333</t>
  </si>
  <si>
    <t>old_restruct_lease_mapping1</t>
  </si>
  <si>
    <t>OL_balance_mapping_sensitivity_method_not_formed</t>
  </si>
  <si>
    <t>4976.209340873941238127050378</t>
  </si>
  <si>
    <t>4818.464613692673213879213232</t>
  </si>
  <si>
    <t>field</t>
  </si>
  <si>
    <t>value</t>
  </si>
  <si>
    <t>id</t>
  </si>
  <si>
    <t>Q_crown_forward</t>
  </si>
  <si>
    <t>method</t>
  </si>
  <si>
    <t>crown_post_sale_forward_cash_credit_v1</t>
  </si>
  <si>
    <t>as_of</t>
  </si>
  <si>
    <t>evidence</t>
  </si>
  <si>
    <t>E_FWD_Q1, E_FWD_Q1_XBRL, E_FWD_CONTRACT, E_FWD_GUIDANCE, E_FWD_DEBT_MEASURE, E_FWD_CREDIT_CONDITIONS, E_FWD_RESTRUCT_CLASS, E_FWD_CASH_TAX, EQ126SALE, EQ126FAC, E_SP_RATIOS, E_SP_SCOPE, E_SP_ARO</t>
  </si>
  <si>
    <t>input references</t>
  </si>
  <si>
    <t>C_fwd_ol_q1, C_newnetLC, C_saleproceeds, C_sp_lease_end, C_sp_q1_cfo_2026, costpaid, debtrepaid, fwd_accrued_interest_begin, fwd_accrued_interest_end, fwd_amort_i2027, fwd_amort_i2028, fwd_amort_i_q1, fwd_anticipated2028, fwd_april_debt_actual, fwd_april_net_finance, fwd_aro_net_offset, fwd_aro_new26, fwd_att_2028, fwd_att_fraction, fwd_att_loss, fwd_buy_q1, fwd_buyback2027, fwd_buyback2028, fwd_buyback_paid_to_june_actual, fwd_cap_accrual2027, fwd_cap_accrual2028, fwd_cap_accrual_q1, fwd_cap_cash, fwd_cap_cash2027, fwd_cap_cash2028, fwd_cap_cash_q1, fwd_capex_q1, fwd_cash_floor, fwd_cash_i_delta2027, fwd_cash_i_delta2028, fwd_cash_i_delta26, fwd_cash_income_q1, fwd_cash_obligations_10q, fwd_cash_restruct2027, fwd_cash_restruct2028, fwd_cash_tax2027, fwd_cash_tax2028, fwd_cash_tax26, fwd_cash_tax_q1, fwd_closing_cost_actual, fwd_closing_extra_cost, fwd_company_e_q1, fwd_contract_bill_2026, fwd_contract_bill_2027, fwd_contract_bill_2028, fwd_contract_prepaid_2026, fwd_contract_prepaid_2027, fwd_contract_prepaid_2028, fwd_contract_sl_2026, fwd_contract_sl_2027, fwd_contract_sl_2028, fwd_corporate_lease, fwd_cp_reserve, fwd_credit_debt_delta, fwd_dda2027, fwd_dda2028, fwd_debt_writeoff26, fwd_div_per_share, fwd_div_q1, fwd_do_invest_q1, fwd_escalator, fwd_face_q1, fwd_fiber_cash_actual, fwd_fixed_maturity2027, fwd_fixed_maturity2028, fwd_gaap_tax2027, fwd_gaap_tax2028, fwd_gross_accrual_q1, fwd_ground_cash_2026, fwd_ground_cash_2027, fwd_ground_cash_2028, fwd_ground_q1, fwd_ground_sl_2026, fwd_ground_sl_2027, fwd_ground_sl_2028, fwd_growth, fwd_guide_affo_high, fwd_guide_affo_low, fwd_guide_amort_i_high, fwd_guide_amort_i_low, fwd_guide_cap_accrual_high, fwd_guide_cap_accrual_low, fwd_guide_cap_disc_high, fwd_guide_cap_disc_low, fwd_guide_cap_sustain_high, fwd_guide_cap_sustain_low, fwd_guide_dda_high, fwd_guide_dda_low, fwd_guide_do_high, fwd_guide_do_low, fwd_guide_e_high, fwd_guide_e_low, fwd_guide_ffo_high, fwd_guide_ffo_low, fwd_guide_gross_i_high, fwd_guide_gross_i_low, fwd_guide_imp_high, fwd_guide_imp_low, fwd_guide_interest_income, fwd_guide_net_i_high, fwd_guide_net_i_low, fwd_guide_ni_high, fwd_guide_ni_low, fwd_guide_other_high, fwd_guide_other_low, fwd_guide_ppa_high, fwd_guide_ppa_low, fwd_guide_prepaid_amort_high, fwd_guide_prepaid_amort_low, fwd_guide_prepaid_high, fwd_guide_prepaid_low, fwd_guide_restruct_high, fwd_guide_restruct_low, fwd_guide_sbc_high, fwd_guide_sbc_low, fwd_guide_service_margin_high, fwd_guide_service_margin_low, fwd_guide_shares, fwd_guide_site_rev_high, fwd_guide_site_rev_low, fwd_guide_sl_cost_high, fwd_guide_sl_cost_low, fwd_guide_sl_rev_high, fwd_guide_sl_rev_low, fwd_guide_tax_high, fwd_guide_tax_low, fwd_imp2027, fwd_imp2028, fwd_income_cash2027, fwd_income_cash2028, fwd_interest_paid_net_q1, fwd_june_cash_actual, fwd_june_cp_actual, fwd_lease_add26, fwd_lease_add_future, fwd_legacy_rate2027, fwd_legacy_rate2028, fwd_loss27, fwd_loss28, fwd_maturity_H127, fwd_maturity_H226, fwd_may_cash_actual, fwd_new_draw_rate, fwd_new_leasing, fwd_new_restruct_expense2027, fwd_new_restruct_expense2028, fwd_new_restruct_other_actual, fwd_non_ground_sl, fwd_normal_churn, fwd_old_restruct_cash26, fwd_old_restruct_lease_in_ol, fwd_old_restruct_retained_actual, fwd_other_conversion2027, fwd_other_conversion2028, fwd_other_conversion26, fwd_other_debt_paid_to_june_actual, fwd_other_pnl2027, fwd_other_pnl2028, fwd_ppa2027, fwd_ppa2028, fwd_prepaid_add_q1, fwd_prepaid_amort_q1, fwd_principal_q1, fwd_refi2027, fwd_refi2028, fwd_refi_exposure2027, fwd_refi_exposure2028, fwd_renew_2028, fwd_restruct_cash26, fwd_sbc2027, fwd_sbc2028, fwd_sbc_q1, fwd_service_gp, fwd_service_revenue, fwd_sga_q1, fwd_site_other, fwd_sl_cost_q1, fwd_sl_rev_q1, fwd_spread27, fwd_spread28, fwd_unamort_10q, fwd_unamort_q1, fwd_unamort_writeoff2027, fwd_unamort_writeoff2028, fwd_variable26, fwd_window_weight26, fwd_window_weight27, newlimit, plan_buyback, plan_cp, plan_otherdebt, q_cash, sp_aro_accretion, sp_aro_end, sp_aro_settled, sp_lease_rate, sp_q1_disc_2026, sp_restruct26_expense, sp_restruct26_liability, sp_restruct26_payment, sp_restruct_old_liability, sp_restruct_old_payment</t>
  </si>
  <si>
    <t>assumptions</t>
  </si>
  <si>
    <t>公司区间取中点只是研究输入；gross应计到operating现金及capitalized现金分别转换。
Q1现金税采用公司LQA净付退税横线所对应披露精度0的季度参照，不证明毛额或未舍入值为零；全年现金税15仍为独立假设，剩余期税款及季度转换残差分别重算。
2026其他现金转换净流出100、未来100、53追加交易费、退出Fiber季度净流量月均代理是明确情景，不是已知付款或真实June余额。
计划1800/2100/1000在2026执行；2027/28到期分别等额融资。新额度可用、CP占用100及50现金数学阈值都是条件；未独立核合规证书。
留存本金利息由期初金融本金扣累计新增额度及年度例行本金平均还款，乘2027/28组合利率4%/4.2%；组合和逐券计划未知。再融资压力为额外200bp：按到期月末至年末暴露1187.5/2212.5及前期2250全年续息，不是公司利息指引。
未来普通股支付按1.0625每季、429百万股代理；未来新融资利息按5.5%，平均新增余额计；cash资本化改变时保持operating现金独立以免分类创造现金。
公司新重组expense30与总cash30分别处理：FY26新付26/旧付4，FY27新4/旧6，FY28旧2，旧余额4留至2029–2033。新计划2027结清仅为建模假设，原文只明确员工减员付款；旧12全留存也是假设。旧闭店付款排除普通corporate租金2。旧付款是否减少OL采用报表分类一致的覆盖份额0参照及1余额端点；端点租赁费用/方法CFO未配套，不发布其方法FFO/比率，现金不再扣一次。
未来其他P&amp;L费用和新增回购参照为0，不断言实际为0；现金转换残差与ARO结算在CFO中不重复。</t>
  </si>
  <si>
    <t>limitations</t>
  </si>
  <si>
    <t>公开信息及明确假设形成的研究情景，不是公司预算或S&amp;P已发表指标。
May1、June实际余额未知，以null和代数式保留；年度现金不覆盖月中缺口。
租赁固定/可变拆分、新增和现金时差均有假设；ARO仍采用未抵减主情景，不证明税益或专款为0。
未摊销退出调整、会计/本金及契约范围需继续核数；7x所需EBITDA仅参数界限，不是遵约比率。
12%与5.0x作为standard条件主界限；9%/5.5x仅为medial条件辅助。low表分界不同，未形成其完整路径。同定义指标界限不是PD、等级或完整FRP；核心指标冲突及转型权重另形成。</t>
  </si>
  <si>
    <t>reproduction</t>
  </si>
  <si>
    <t>See quantitative-Q_crown_forward.json input_snapshot and method version</t>
  </si>
  <si>
    <t>execution</t>
  </si>
  <si>
    <t>已运行专门结果快照；本次导出未重新计算或校验。输入或方法改变后须重跑专门脚本并重新导出。</t>
  </si>
  <si>
    <t>fwd_base_CFO_2026</t>
  </si>
  <si>
    <t>base 2026 CFO；artifact.rows[0].result；{"entity":"Crown Castle Inc. and subsidiaries","scope":"post_sale_towers_analysis","start":"2026-01-01","end":"2026-12-31","aggregation":"flow","basis":"Explicit Crown forward US GAAP / S&amp;P-method analytical bridge","measure":"money","currency":"USD","scale":"1000000","physical_unit":null}</t>
  </si>
  <si>
    <t>fwd_base_economic_CFO_after_all_cash_interest_2026</t>
  </si>
  <si>
    <t>base 2026 economic_CFO_after_all_cash_interest；artifact.rows[1].result；{"entity":"Crown Castle Inc. and subsidiaries","scope":"post_sale_towers_analysis","start":"2026-01-01","end":"2026-12-31","aggregation":"flow","basis":"Explicit Crown forward US GAAP / S&amp;P-method analytical bridge","measure":"money","currency":"USD","scale":"1000000","physical_unit":null}</t>
  </si>
  <si>
    <t>fwd_base_cash_2026</t>
  </si>
  <si>
    <t>base 2026 cash；artifact.rows[2].result；{"entity":"Crown Castle Inc. and subsidiaries","scope":"post_sale_towers_analysis","start":null,"end":"2026-12-31","aggregation":"instant","basis":"Explicit Crown forward US GAAP / S&amp;P-method analytical bridge","measure":"money","currency":"USD","scale":"1000000","physical_unit":null}</t>
  </si>
  <si>
    <t>fwd_base_financial_principal_2026</t>
  </si>
  <si>
    <t>base 2026 financial_principal；artifact.rows[3].result；{"entity":"Crown Castle Inc. and subsidiaries","scope":"post_sale_towers_analysis","start":null,"end":"2026-12-31","aggregation":"instant","basis":"Explicit Crown forward US GAAP / S&amp;P-method analytical bridge","measure":"money","currency":"USD","scale":"1000000","physical_unit":null}</t>
  </si>
  <si>
    <t>fwd_base_financial_carrying_proxy_2026</t>
  </si>
  <si>
    <t>base 2026 financial_carrying_proxy；artifact.rows[4].result；{"entity":"Crown Castle Inc. and subsidiaries","scope":"post_sale_towers_analysis","start":null,"end":"2026-12-31","aggregation":"instant","basis":"Explicit Crown forward US GAAP / S&amp;P-method analytical bridge","measure":"money","currency":"USD","scale":"1000000","physical_unit":null}</t>
  </si>
  <si>
    <t>fwd_base_operating_lease_2026</t>
  </si>
  <si>
    <t>base 2026 operating_lease；artifact.rows[5].result；{"entity":"Crown Castle Inc. and subsidiaries","scope":"post_sale_towers_analysis","start":null,"end":"2026-12-31","aggregation":"instant","basis":"Explicit Crown forward US GAAP / S&amp;P-method analytical bridge","measure":"money","currency":"USD","scale":"1000000","physical_unit":null}</t>
  </si>
  <si>
    <t>fwd_base_EBITDA_2026</t>
  </si>
  <si>
    <t>base 2026 EBITDA；artifact.rows[6].result；{"entity":"Crown Castle Inc. and subsidiaries","scope":"post_sale_towers_analysis","start":"2026-01-01","end":"2026-12-31","aggregation":"flow","basis":"Explicit Crown forward US GAAP / S&amp;P-method analytical bridge","measure":"money","currency":"USD","scale":"1000000","physical_unit":null}</t>
  </si>
  <si>
    <t>fwd_base_FFO_2026</t>
  </si>
  <si>
    <t>base 2026 FFO；artifact.rows[8].result；{"entity":"Crown Castle Inc. and subsidiaries","scope":"post_sale_towers_analysis","start":"2026-01-01","end":"2026-12-31","aggregation":"flow","basis":"Explicit Crown forward US GAAP / S&amp;P-method analytical bridge","measure":"money","currency":"USD","scale":"1000000","physical_unit":null}</t>
  </si>
  <si>
    <t>fwd_base_new_draw_2026</t>
  </si>
  <si>
    <t>base 2026 new_draw；artifact.rows[11].result；{"entity":"Crown Castle Inc. and subsidiaries","scope":"post_sale_towers_analysis","start":"2026-01-01","end":"2026-12-31","aggregation":"flow","basis":"Explicit Crown forward US GAAP / S&amp;P-method analytical bridge","measure":"money","currency":"USD","scale":"1000000","physical_unit":null}</t>
  </si>
  <si>
    <t>fwd_base_FFO_debt_2026</t>
  </si>
  <si>
    <t>base 2026 FFO_debt；artifact.rows[14].result；{"entity":"Crown Castle Inc. and subsidiaries","scope":"post_sale_towers_analysis","start":"2026-01-01","end":"2026-12-31","aggregation":"ratio","basis":"Explicit Crown forward US GAAP / S&amp;P-method analytical bridge","measure":"ratio","currency":null,"scale":"1","physical_unit":null}</t>
  </si>
  <si>
    <t>fwd_base_debt_EBITDA_2026</t>
  </si>
  <si>
    <t>base 2026 debt_EBITDA；artifact.rows[15].result；{"entity":"Crown Castle Inc. and subsidiaries","scope":"post_sale_towers_analysis","start":"2026-01-01","end":"2026-12-31","aggregation":"ratio","basis":"Explicit Crown forward US GAAP / S&amp;P-method analytical bridge","measure":"ratio","currency":null,"scale":"1","physical_unit":"times"}</t>
  </si>
  <si>
    <t>fwd_base_simple_principal_cash_required_EBITDA_at7x_2026</t>
  </si>
  <si>
    <t>base 2026 simple_principal_cash_required_EBITDA_at7x；artifact.rows[16].result；{"entity":"Crown Castle Inc. and subsidiaries","scope":"post_sale_towers_analysis","start":"2026-01-01","end":"2026-12-31","aggregation":"flow","basis":"Explicit Crown forward US GAAP / S&amp;P-method analytical bridge","measure":"money","currency":"USD","scale":"1000000","physical_unit":null}</t>
  </si>
  <si>
    <t>fwd_base_simple_principal_cash_EBITDA_to_survive_10pct_decline_2026</t>
  </si>
  <si>
    <t>base 2026 simple_principal_cash_EBITDA_to_survive_10pct_decline；artifact.rows[17].result；{"entity":"Crown Castle Inc. and subsidiaries","scope":"post_sale_towers_analysis","start":"2026-01-01","end":"2026-12-31","aggregation":"flow","basis":"Explicit Crown forward US GAAP / S&amp;P-method analytical bridge","measure":"money","currency":"USD","scale":"1000000","physical_unit":null}</t>
  </si>
  <si>
    <t>fwd_base_simple_principal_cash_EBITDA_to_survive_15pct_decline_2026</t>
  </si>
  <si>
    <t>base 2026 simple_principal_cash_EBITDA_to_survive_15pct_decline；artifact.rows[18].result；{"entity":"Crown Castle Inc. and subsidiaries","scope":"post_sale_towers_analysis","start":"2026-01-01","end":"2026-12-31","aggregation":"flow","basis":"Explicit Crown forward US GAAP / S&amp;P-method analytical bridge","measure":"money","currency":"USD","scale":"1000000","physical_unit":null}</t>
  </si>
  <si>
    <t>fwd_base_CFO_2027</t>
  </si>
  <si>
    <t>base 2027 CFO；artifact.rows[19].result；{"entity":"Crown Castle Inc. and subsidiaries","scope":"post_sale_towers_analysis","start":"2027-01-01","end":"2027-12-31","aggregation":"flow","basis":"Explicit Crown forward US GAAP / S&amp;P-method analytical bridge","measure":"money","currency":"USD","scale":"1000000","physical_unit":null}</t>
  </si>
  <si>
    <t>fwd_base_economic_CFO_after_all_cash_interest_2027</t>
  </si>
  <si>
    <t>base 2027 economic_CFO_after_all_cash_interest；artifact.rows[20].result；{"entity":"Crown Castle Inc. and subsidiaries","scope":"post_sale_towers_analysis","start":"2027-01-01","end":"2027-12-31","aggregation":"flow","basis":"Explicit Crown forward US GAAP / S&amp;P-method analytical bridge","measure":"money","currency":"USD","scale":"1000000","physical_unit":null}</t>
  </si>
  <si>
    <t>fwd_base_cash_2027</t>
  </si>
  <si>
    <t>base 2027 cash；artifact.rows[21].result；{"entity":"Crown Castle Inc. and subsidiaries","scope":"post_sale_towers_analysis","start":null,"end":"2027-12-31","aggregation":"instant","basis":"Explicit Crown forward US GAAP / S&amp;P-method analytical bridge","measure":"money","currency":"USD","scale":"1000000","physical_unit":null}</t>
  </si>
  <si>
    <t>fwd_base_financial_principal_2027</t>
  </si>
  <si>
    <t>base 2027 financial_principal；artifact.rows[22].result；{"entity":"Crown Castle Inc. and subsidiaries","scope":"post_sale_towers_analysis","start":null,"end":"2027-12-31","aggregation":"instant","basis":"Explicit Crown forward US GAAP / S&amp;P-method analytical bridge","measure":"money","currency":"USD","scale":"1000000","physical_unit":null}</t>
  </si>
  <si>
    <t>fwd_base_financial_carrying_proxy_2027</t>
  </si>
  <si>
    <t>base 2027 financial_carrying_proxy；artifact.rows[23].result；{"entity":"Crown Castle Inc. and subsidiaries","scope":"post_sale_towers_analysis","start":null,"end":"2027-12-31","aggregation":"instant","basis":"Explicit Crown forward US GAAP / S&amp;P-method analytical bridge","measure":"money","currency":"USD","scale":"1000000","physical_unit":null}</t>
  </si>
  <si>
    <t>fwd_base_operating_lease_2027</t>
  </si>
  <si>
    <t>base 2027 operating_lease；artifact.rows[24].result；{"entity":"Crown Castle Inc. and subsidiaries","scope":"post_sale_towers_analysis","start":null,"end":"2027-12-31","aggregation":"instant","basis":"Explicit Crown forward US GAAP / S&amp;P-method analytical bridge","measure":"money","currency":"USD","scale":"1000000","physical_unit":null}</t>
  </si>
  <si>
    <t>fwd_base_EBITDA_2027</t>
  </si>
  <si>
    <t>base 2027 EBITDA；artifact.rows[25].result；{"entity":"Crown Castle Inc. and subsidiaries","scope":"post_sale_towers_analysis","start":"2027-01-01","end":"2027-12-31","aggregation":"flow","basis":"Explicit Crown forward US GAAP / S&amp;P-method analytical bridge","measure":"money","currency":"USD","scale":"1000000","physical_unit":null}</t>
  </si>
  <si>
    <t>fwd_base_FFO_2027</t>
  </si>
  <si>
    <t>base 2027 FFO；artifact.rows[27].result；{"entity":"Crown Castle Inc. and subsidiaries","scope":"post_sale_towers_analysis","start":"2027-01-01","end":"2027-12-31","aggregation":"flow","basis":"Explicit Crown forward US GAAP / S&amp;P-method analytical bridge","measure":"money","currency":"USD","scale":"1000000","physical_unit":null}</t>
  </si>
  <si>
    <t>fwd_base_new_draw_2027</t>
  </si>
  <si>
    <t>base 2027 new_draw；artifact.rows[30].result；{"entity":"Crown Castle Inc. and subsidiaries","scope":"post_sale_towers_analysis","start":"2027-01-01","end":"2027-12-31","aggregation":"flow","basis":"Explicit Crown forward US GAAP / S&amp;P-method analytical bridge","measure":"money","currency":"USD","scale":"1000000","physical_unit":null}</t>
  </si>
  <si>
    <t>fwd_base_FFO_debt_2027</t>
  </si>
  <si>
    <t>base 2027 FFO_debt；artifact.rows[33].result；{"entity":"Crown Castle Inc. and subsidiaries","scope":"post_sale_towers_analysis","start":"2027-01-01","end":"2027-12-31","aggregation":"ratio","basis":"Explicit Crown forward US GAAP / S&amp;P-method analytical bridge","measure":"ratio","currency":null,"scale":"1","physical_unit":null}</t>
  </si>
  <si>
    <t>fwd_base_debt_EBITDA_2027</t>
  </si>
  <si>
    <t>base 2027 debt_EBITDA；artifact.rows[34].result；{"entity":"Crown Castle Inc. and subsidiaries","scope":"post_sale_towers_analysis","start":"2027-01-01","end":"2027-12-31","aggregation":"ratio","basis":"Explicit Crown forward US GAAP / S&amp;P-method analytical bridge","measure":"ratio","currency":null,"scale":"1","physical_unit":"times"}</t>
  </si>
  <si>
    <t>fwd_base_simple_principal_cash_required_EBITDA_at7x_2027</t>
  </si>
  <si>
    <t>base 2027 simple_principal_cash_required_EBITDA_at7x；artifact.rows[35].result；{"entity":"Crown Castle Inc. and subsidiaries","scope":"post_sale_towers_analysis","start":"2027-01-01","end":"2027-12-31","aggregation":"flow","basis":"Explicit Crown forward US GAAP / S&amp;P-method analytical bridge","measure":"money","currency":"USD","scale":"1000000","physical_unit":null}</t>
  </si>
  <si>
    <t>fwd_base_simple_principal_cash_EBITDA_to_survive_10pct_decline_2027</t>
  </si>
  <si>
    <t>base 2027 simple_principal_cash_EBITDA_to_survive_10pct_decline；artifact.rows[36].result；{"entity":"Crown Castle Inc. and subsidiaries","scope":"post_sale_towers_analysis","start":"2027-01-01","end":"2027-12-31","aggregation":"flow","basis":"Explicit Crown forward US GAAP / S&amp;P-method analytical bridge","measure":"money","currency":"USD","scale":"1000000","physical_unit":null}</t>
  </si>
  <si>
    <t>fwd_base_simple_principal_cash_EBITDA_to_survive_15pct_decline_2027</t>
  </si>
  <si>
    <t>base 2027 simple_principal_cash_EBITDA_to_survive_15pct_decline；artifact.rows[37].result；{"entity":"Crown Castle Inc. and subsidiaries","scope":"post_sale_towers_analysis","start":"2027-01-01","end":"2027-12-31","aggregation":"flow","basis":"Explicit Crown forward US GAAP / S&amp;P-method analytical bridge","measure":"money","currency":"USD","scale":"1000000","physical_unit":null}</t>
  </si>
  <si>
    <t>fwd_base_CFO_2028</t>
  </si>
  <si>
    <t>base 2028 CFO；artifact.rows[38].result；{"entity":"Crown Castle Inc. and subsidiaries","scope":"post_sale_towers_analysis","start":"2028-01-01","end":"2028-12-31","aggregation":"flow","basis":"Explicit Crown forward US GAAP / S&amp;P-method analytical bridge","measure":"money","currency":"USD","scale":"1000000","physical_unit":null}</t>
  </si>
  <si>
    <t>fwd_base_economic_CFO_after_all_cash_interest_2028</t>
  </si>
  <si>
    <t>base 2028 economic_CFO_after_all_cash_interest；artifact.rows[39].result；{"entity":"Crown Castle Inc. and subsidiaries","scope":"post_sale_towers_analysis","start":"2028-01-01","end":"2028-12-31","aggregation":"flow","basis":"Explicit Crown forward US GAAP / S&amp;P-method analytical bridge","measure":"money","currency":"USD","scale":"1000000","physical_unit":null}</t>
  </si>
  <si>
    <t>fwd_base_cash_2028</t>
  </si>
  <si>
    <t>base 2028 cash；artifact.rows[40].result；{"entity":"Crown Castle Inc. and subsidiaries","scope":"post_sale_towers_analysis","start":null,"end":"2028-12-31","aggregation":"instant","basis":"Explicit Crown forward US GAAP / S&amp;P-method analytical bridge","measure":"money","currency":"USD","scale":"1000000","physical_unit":null}</t>
  </si>
  <si>
    <t>fwd_base_financial_principal_2028</t>
  </si>
  <si>
    <t>base 2028 financial_principal；artifact.rows[41].result；{"entity":"Crown Castle Inc. and subsidiaries","scope":"post_sale_towers_analysis","start":null,"end":"2028-12-31","aggregation":"instant","basis":"Explicit Crown forward US GAAP / S&amp;P-method analytical bridge","measure":"money","currency":"USD","scale":"1000000","physical_unit":null}</t>
  </si>
  <si>
    <t>fwd_base_financial_carrying_proxy_2028</t>
  </si>
  <si>
    <t>base 2028 financial_carrying_proxy；artifact.rows[42].result；{"entity":"Crown Castle Inc. and subsidiaries","scope":"post_sale_towers_analysis","start":null,"end":"2028-12-31","aggregation":"instant","basis":"Explicit Crown forward US GAAP / S&amp;P-method analytical bridge","measure":"money","currency":"USD","scale":"1000000","physical_unit":null}</t>
  </si>
  <si>
    <t>fwd_base_operating_lease_2028</t>
  </si>
  <si>
    <t>base 2028 operating_lease；artifact.rows[43].result；{"entity":"Crown Castle Inc. and subsidiaries","scope":"post_sale_towers_analysis","start":null,"end":"2028-12-31","aggregation":"instant","basis":"Explicit Crown forward US GAAP / S&amp;P-method analytical bridge","measure":"money","currency":"USD","scale":"1000000","physical_unit":null}</t>
  </si>
  <si>
    <t>fwd_base_EBITDA_2028</t>
  </si>
  <si>
    <t>base 2028 EBITDA；artifact.rows[44].result；{"entity":"Crown Castle Inc. and subsidiaries","scope":"post_sale_towers_analysis","start":"2028-01-01","end":"2028-12-31","aggregation":"flow","basis":"Explicit Crown forward US GAAP / S&amp;P-method analytical bridge","measure":"money","currency":"USD","scale":"1000000","physical_unit":null}</t>
  </si>
  <si>
    <t>fwd_base_FFO_2028</t>
  </si>
  <si>
    <t>base 2028 FFO；artifact.rows[46].result；{"entity":"Crown Castle Inc. and subsidiaries","scope":"post_sale_towers_analysis","start":"2028-01-01","end":"2028-12-31","aggregation":"flow","basis":"Explicit Crown forward US GAAP / S&amp;P-method analytical bridge","measure":"money","currency":"USD","scale":"1000000","physical_unit":null}</t>
  </si>
  <si>
    <t>fwd_base_new_draw_2028</t>
  </si>
  <si>
    <t>base 2028 new_draw；artifact.rows[49].result；{"entity":"Crown Castle Inc. and subsidiaries","scope":"post_sale_towers_analysis","start":"2028-01-01","end":"2028-12-31","aggregation":"flow","basis":"Explicit Crown forward US GAAP / S&amp;P-method analytical bridge","measure":"money","currency":"USD","scale":"1000000","physical_unit":null}</t>
  </si>
  <si>
    <t>fwd_base_FFO_debt_2028</t>
  </si>
  <si>
    <t>base 2028 FFO_debt；artifact.rows[52].result；{"entity":"Crown Castle Inc. and subsidiaries","scope":"post_sale_towers_analysis","start":"2028-01-01","end":"2028-12-31","aggregation":"ratio","basis":"Explicit Crown forward US GAAP / S&amp;P-method analytical bridge","measure":"ratio","currency":null,"scale":"1","physical_unit":null}</t>
  </si>
  <si>
    <t>fwd_base_debt_EBITDA_2028</t>
  </si>
  <si>
    <t>base 2028 debt_EBITDA；artifact.rows[53].result；{"entity":"Crown Castle Inc. and subsidiaries","scope":"post_sale_towers_analysis","start":"2028-01-01","end":"2028-12-31","aggregation":"ratio","basis":"Explicit Crown forward US GAAP / S&amp;P-method analytical bridge","measure":"ratio","currency":null,"scale":"1","physical_unit":"times"}</t>
  </si>
  <si>
    <t>fwd_base_simple_principal_cash_required_EBITDA_at7x_2028</t>
  </si>
  <si>
    <t>base 2028 simple_principal_cash_required_EBITDA_at7x；artifact.rows[54].result；{"entity":"Crown Castle Inc. and subsidiaries","scope":"post_sale_towers_analysis","start":"2028-01-01","end":"2028-12-31","aggregation":"flow","basis":"Explicit Crown forward US GAAP / S&amp;P-method analytical bridge","measure":"money","currency":"USD","scale":"1000000","physical_unit":null}</t>
  </si>
  <si>
    <t>fwd_base_simple_principal_cash_EBITDA_to_survive_10pct_decline_2028</t>
  </si>
  <si>
    <t>base 2028 simple_principal_cash_EBITDA_to_survive_10pct_decline；artifact.rows[55].result；{"entity":"Crown Castle Inc. and subsidiaries","scope":"post_sale_towers_analysis","start":"2028-01-01","end":"2028-12-31","aggregation":"flow","basis":"Explicit Crown forward US GAAP / S&amp;P-method analytical bridge","measure":"money","currency":"USD","scale":"1000000","physical_unit":null}</t>
  </si>
  <si>
    <t>fwd_base_simple_principal_cash_EBITDA_to_survive_15pct_decline_2028</t>
  </si>
  <si>
    <t>base 2028 simple_principal_cash_EBITDA_to_survive_15pct_decline；artifact.rows[56].result；{"entity":"Crown Castle Inc. and subsidiaries","scope":"post_sale_towers_analysis","start":"2028-01-01","end":"2028-12-31","aggregation":"flow","basis":"Explicit Crown forward US GAAP / S&amp;P-method analytical bridge","measure":"money","currency":"USD","scale":"1000000","physical_unit":null}</t>
  </si>
  <si>
    <t>fwd_base_window_CFO_rolling12m</t>
  </si>
  <si>
    <t>base Jul2026-Jun2027 window_CFO；artifact.rows[57].result；{"entity":"Crown Castle Inc. and subsidiaries","scope":"post_sale_towers_analysis","start":"2026-07-01","end":"2027-06-30","aggregation":"flow","basis":"Explicit unknown-June-cash and uniform-cash-timing reference","measure":"money","currency":"USD","scale":"1000000","physical_unit":null}</t>
  </si>
  <si>
    <t>fwd_base_window_capex_rolling12m</t>
  </si>
  <si>
    <t>base Jul2026-Jun2027 window_capex；artifact.rows[58].result；{"entity":"Crown Castle Inc. and subsidiaries","scope":"post_sale_towers_analysis","start":"2026-07-01","end":"2027-06-30","aggregation":"flow","basis":"Explicit unknown-June-cash and uniform-cash-timing reference","measure":"money","currency":"USD","scale":"1000000","physical_unit":null}</t>
  </si>
  <si>
    <t>fwd_base_window_economic_CFO_rolling12m</t>
  </si>
  <si>
    <t>base Jul2026-Jun2027 window_economic_CFO；artifact.rows[59].result；{"entity":"Crown Castle Inc. and subsidiaries","scope":"post_sale_towers_analysis","start":"2026-07-01","end":"2027-06-30","aggregation":"flow","basis":"Explicit unknown-June-cash and uniform-cash-timing reference","measure":"money","currency":"USD","scale":"1000000","physical_unit":null}</t>
  </si>
  <si>
    <t>fwd_base_window_economic_capex_rolling12m</t>
  </si>
  <si>
    <t>base Jul2026-Jun2027 window_economic_capex；artifact.rows[60].result；{"entity":"Crown Castle Inc. and subsidiaries","scope":"post_sale_towers_analysis","start":"2026-07-01","end":"2027-06-30","aggregation":"flow","basis":"Explicit unknown-June-cash and uniform-cash-timing reference","measure":"money","currency":"USD","scale":"1000000","physical_unit":null}</t>
  </si>
  <si>
    <t>fwd_base_window_dividends_rolling12m</t>
  </si>
  <si>
    <t>base Jul2026-Jun2027 window_dividends；artifact.rows[61].result；{"entity":"Crown Castle Inc. and subsidiaries","scope":"post_sale_towers_analysis","start":"2026-07-01","end":"2027-06-30","aggregation":"flow","basis":"Explicit unknown-June-cash and uniform-cash-timing reference","measure":"money","currency":"USD","scale":"1000000","physical_unit":null}</t>
  </si>
  <si>
    <t>fwd_base_fixed_maturities_if_not_prepaid_rolling12m</t>
  </si>
  <si>
    <t>base Jul2026-Jun2027 fixed_maturities_if_not_prepaid；artifact.rows[62].result；{"entity":"Crown Castle Inc. and subsidiaries","scope":"post_sale_towers_analysis","start":"2026-07-01","end":"2027-06-30","aggregation":"flow","basis":"Explicit unknown-June-cash and uniform-cash-timing reference","measure":"money","currency":"USD","scale":"1000000","physical_unit":null}</t>
  </si>
  <si>
    <t>fwd_base_routine_principal_proxy_rolling12m</t>
  </si>
  <si>
    <t>base Jul2026-Jun2027 routine_principal_proxy；artifact.rows[63].result；{"entity":"Crown Castle Inc. and subsidiaries","scope":"post_sale_towers_analysis","start":"2026-07-01","end":"2027-06-30","aggregation":"flow","basis":"Explicit unknown-June-cash and uniform-cash-timing reference","measure":"money","currency":"USD","scale":"1000000","physical_unit":null}</t>
  </si>
  <si>
    <t>fwd_base_cash_loss_if_weighted_method_EBITDA_declines_15pct_rolling12m</t>
  </si>
  <si>
    <t>base Jul2026-Jun2027 cash_loss_if_weighted_method_EBITDA_declines_15pct；artifact.rows[64].result；{"entity":"Crown Castle Inc. and subsidiaries","scope":"post_sale_towers_analysis","start":"2026-07-01","end":"2027-06-30","aggregation":"flow","basis":"Explicit unknown-June-cash and uniform-cash-timing reference","measure":"money","currency":"USD","scale":"1000000","physical_unit":null}</t>
  </si>
  <si>
    <t>fwd_base_services_attributable_CFO_reference_2026</t>
  </si>
  <si>
    <t>2026 services_attributable_CFO_reference；artifact.rows[65].result；{"entity":"Crown Castle Inc. and subsidiaries","scope":"post_sale_towers_analysis","start":"2026-01-01","end":"2026-12-31","aggregation":"flow","basis":"Economic operating CFO; unknown cash attribution and explicit shared cost allocation","measure":"money","currency":"USD","scale":"1000000","physical_unit":null}</t>
  </si>
  <si>
    <t>fwd_base_rental_attributable_CFO_reference_2026</t>
  </si>
  <si>
    <t>2026 rental_attributable_CFO_reference；artifact.rows[66].result；{"entity":"Crown Castle Inc. and subsidiaries","scope":"post_sale_towers_analysis","start":"2026-01-01","end":"2026-12-31","aggregation":"flow","basis":"Economic operating CFO; unknown cash attribution and explicit shared cost allocation","measure":"money","currency":"USD","scale":"1000000","physical_unit":null}</t>
  </si>
  <si>
    <t>fwd_base_rental_share_reference_2026</t>
  </si>
  <si>
    <t>2026 rental_share_reference；artifact.rows[67].result；{"entity":"Crown Castle Inc. and subsidiaries","scope":"post_sale_towers_analysis","start":"2026-01-01","end":"2026-12-31","aggregation":"ratio","basis":"Economic operating CFO; unknown cash attribution and explicit shared cost allocation","measure":"ratio","currency":null,"scale":"1","physical_unit":null}</t>
  </si>
  <si>
    <t>fwd_base_services_attributable_CFO_reference_2027</t>
  </si>
  <si>
    <t>2027 services_attributable_CFO_reference；artifact.rows[68].result；{"entity":"Crown Castle Inc. and subsidiaries","scope":"post_sale_towers_analysis","start":"2027-01-01","end":"2027-12-31","aggregation":"flow","basis":"Economic operating CFO; unknown cash attribution and explicit shared cost allocation","measure":"money","currency":"USD","scale":"1000000","physical_unit":null}</t>
  </si>
  <si>
    <t>fwd_base_rental_attributable_CFO_reference_2027</t>
  </si>
  <si>
    <t>2027 rental_attributable_CFO_reference；artifact.rows[69].result；{"entity":"Crown Castle Inc. and subsidiaries","scope":"post_sale_towers_analysis","start":"2027-01-01","end":"2027-12-31","aggregation":"flow","basis":"Economic operating CFO; unknown cash attribution and explicit shared cost allocation","measure":"money","currency":"USD","scale":"1000000","physical_unit":null}</t>
  </si>
  <si>
    <t>fwd_base_rental_share_reference_2027</t>
  </si>
  <si>
    <t>2027 rental_share_reference；artifact.rows[70].result；{"entity":"Crown Castle Inc. and subsidiaries","scope":"post_sale_towers_analysis","start":"2027-01-01","end":"2027-12-31","aggregation":"ratio","basis":"Economic operating CFO; unknown cash attribution and explicit shared cost allocation","measure":"ratio","currency":null,"scale":"1","physical_unit":null}</t>
  </si>
  <si>
    <t>fwd_joint_stress_CFO_2026</t>
  </si>
  <si>
    <t>joint_stress 2026 CFO；artifact.rows[71].result；{"entity":"Crown Castle Inc. and subsidiaries","scope":"post_sale_towers_analysis","start":"2026-01-01","end":"2026-12-31","aggregation":"flow","basis":"Explicit Crown forward US GAAP / S&amp;P-method analytical bridge","measure":"money","currency":"USD","scale":"1000000","physical_unit":null}</t>
  </si>
  <si>
    <t>fwd_joint_stress_economic_CFO_after_all_cash_interest_2026</t>
  </si>
  <si>
    <t>joint_stress 2026 economic_CFO_after_all_cash_interest；artifact.rows[72].result；{"entity":"Crown Castle Inc. and subsidiaries","scope":"post_sale_towers_analysis","start":"2026-01-01","end":"2026-12-31","aggregation":"flow","basis":"Explicit Crown forward US GAAP / S&amp;P-method analytical bridge","measure":"money","currency":"USD","scale":"1000000","physical_unit":null}</t>
  </si>
  <si>
    <t>fwd_joint_stress_cash_2026</t>
  </si>
  <si>
    <t>joint_stress 2026 cash；artifact.rows[73].result；{"entity":"Crown Castle Inc. and subsidiaries","scope":"post_sale_towers_analysis","start":null,"end":"2026-12-31","aggregation":"instant","basis":"Explicit Crown forward US GAAP / S&amp;P-method analytical bridge","measure":"money","currency":"USD","scale":"1000000","physical_unit":null}</t>
  </si>
  <si>
    <t>fwd_joint_stress_financial_principal_2026</t>
  </si>
  <si>
    <t>joint_stress 2026 financial_principal；artifact.rows[74].result；{"entity":"Crown Castle Inc. and subsidiaries","scope":"post_sale_towers_analysis","start":null,"end":"2026-12-31","aggregation":"instant","basis":"Explicit Crown forward US GAAP / S&amp;P-method analytical bridge","measure":"money","currency":"USD","scale":"1000000","physical_unit":null}</t>
  </si>
  <si>
    <t>fwd_joint_stress_financial_carrying_proxy_2026</t>
  </si>
  <si>
    <t>joint_stress 2026 financial_carrying_proxy；artifact.rows[75].result；{"entity":"Crown Castle Inc. and subsidiaries","scope":"post_sale_towers_analysis","start":null,"end":"2026-12-31","aggregation":"instant","basis":"Explicit Crown forward US GAAP / S&amp;P-method analytical bridge","measure":"money","currency":"USD","scale":"1000000","physical_unit":null}</t>
  </si>
  <si>
    <t>fwd_joint_stress_operating_lease_2026</t>
  </si>
  <si>
    <t>joint_stress 2026 operating_lease；artifact.rows[76].result；{"entity":"Crown Castle Inc. and subsidiaries","scope":"post_sale_towers_analysis","start":null,"end":"2026-12-31","aggregation":"instant","basis":"Explicit Crown forward US GAAP / S&amp;P-method analytical bridge","measure":"money","currency":"USD","scale":"1000000","physical_unit":null}</t>
  </si>
  <si>
    <t>fwd_joint_stress_EBITDA_2026</t>
  </si>
  <si>
    <t>joint_stress 2026 EBITDA；artifact.rows[77].result；{"entity":"Crown Castle Inc. and subsidiaries","scope":"post_sale_towers_analysis","start":"2026-01-01","end":"2026-12-31","aggregation":"flow","basis":"Explicit Crown forward US GAAP / S&amp;P-method analytical bridge","measure":"money","currency":"USD","scale":"1000000","physical_unit":null}</t>
  </si>
  <si>
    <t>fwd_joint_stress_FFO_2026</t>
  </si>
  <si>
    <t>joint_stress 2026 FFO；artifact.rows[79].result；{"entity":"Crown Castle Inc. and subsidiaries","scope":"post_sale_towers_analysis","start":"2026-01-01","end":"2026-12-31","aggregation":"flow","basis":"Explicit Crown forward US GAAP / S&amp;P-method analytical bridge","measure":"money","currency":"USD","scale":"1000000","physical_unit":null}</t>
  </si>
  <si>
    <t>fwd_joint_stress_new_draw_2026</t>
  </si>
  <si>
    <t>joint_stress 2026 new_draw；artifact.rows[82].result；{"entity":"Crown Castle Inc. and subsidiaries","scope":"post_sale_towers_analysis","start":"2026-01-01","end":"2026-12-31","aggregation":"flow","basis":"Explicit Crown forward US GAAP / S&amp;P-method analytical bridge","measure":"money","currency":"USD","scale":"1000000","physical_unit":null}</t>
  </si>
  <si>
    <t>fwd_joint_stress_FFO_debt_2026</t>
  </si>
  <si>
    <t>joint_stress 2026 FFO_debt；artifact.rows[85].result；{"entity":"Crown Castle Inc. and subsidiaries","scope":"post_sale_towers_analysis","start":"2026-01-01","end":"2026-12-31","aggregation":"ratio","basis":"Explicit Crown forward US GAAP / S&amp;P-method analytical bridge","measure":"ratio","currency":null,"scale":"1","physical_unit":null}</t>
  </si>
  <si>
    <t>fwd_joint_stress_debt_EBITDA_2026</t>
  </si>
  <si>
    <t>joint_stress 2026 debt_EBITDA；artifact.rows[86].result；{"entity":"Crown Castle Inc. and subsidiaries","scope":"post_sale_towers_analysis","start":"2026-01-01","end":"2026-12-31","aggregation":"ratio","basis":"Explicit Crown forward US GAAP / S&amp;P-method analytical bridge","measure":"ratio","currency":null,"scale":"1","physical_unit":"times"}</t>
  </si>
  <si>
    <t>fwd_joint_stress_CFO_2027</t>
  </si>
  <si>
    <t>joint_stress 2027 CFO；artifact.rows[90].result；{"entity":"Crown Castle Inc. and subsidiaries","scope":"post_sale_towers_analysis","start":"2027-01-01","end":"2027-12-31","aggregation":"flow","basis":"Explicit Crown forward US GAAP / S&amp;P-method analytical bridge","measure":"money","currency":"USD","scale":"1000000","physical_unit":null}</t>
  </si>
  <si>
    <t>fwd_joint_stress_economic_CFO_after_all_cash_interest_2027</t>
  </si>
  <si>
    <t>joint_stress 2027 economic_CFO_after_all_cash_interest；artifact.rows[91].result；{"entity":"Crown Castle Inc. and subsidiaries","scope":"post_sale_towers_analysis","start":"2027-01-01","end":"2027-12-31","aggregation":"flow","basis":"Explicit Crown forward US GAAP / S&amp;P-method analytical bridge","measure":"money","currency":"USD","scale":"1000000","physical_unit":null}</t>
  </si>
  <si>
    <t>fwd_joint_stress_cash_2027</t>
  </si>
  <si>
    <t>joint_stress 2027 cash；artifact.rows[92].result；{"entity":"Crown Castle Inc. and subsidiaries","scope":"post_sale_towers_analysis","start":null,"end":"2027-12-31","aggregation":"instant","basis":"Explicit Crown forward US GAAP / S&amp;P-method analytical bridge","measure":"money","currency":"USD","scale":"1000000","physical_unit":null}</t>
  </si>
  <si>
    <t>fwd_joint_stress_financial_principal_2027</t>
  </si>
  <si>
    <t>joint_stress 2027 financial_principal；artifact.rows[93].result；{"entity":"Crown Castle Inc. and subsidiaries","scope":"post_sale_towers_analysis","start":null,"end":"2027-12-31","aggregation":"instant","basis":"Explicit Crown forward US GAAP / S&amp;P-method analytical bridge","measure":"money","currency":"USD","scale":"1000000","physical_unit":null}</t>
  </si>
  <si>
    <t>fwd_joint_stress_financial_carrying_proxy_2027</t>
  </si>
  <si>
    <t>joint_stress 2027 financial_carrying_proxy；artifact.rows[94].result；{"entity":"Crown Castle Inc. and subsidiaries","scope":"post_sale_towers_analysis","start":null,"end":"2027-12-31","aggregation":"instant","basis":"Explicit Crown forward US GAAP / S&amp;P-method analytical bridge","measure":"money","currency":"USD","scale":"1000000","physical_unit":null}</t>
  </si>
  <si>
    <t>fwd_joint_stress_operating_lease_2027</t>
  </si>
  <si>
    <t>joint_stress 2027 operating_lease；artifact.rows[95].result；{"entity":"Crown Castle Inc. and subsidiaries","scope":"post_sale_towers_analysis","start":null,"end":"2027-12-31","aggregation":"instant","basis":"Explicit Crown forward US GAAP / S&amp;P-method analytical bridge","measure":"money","currency":"USD","scale":"1000000","physical_unit":null}</t>
  </si>
  <si>
    <t>fwd_joint_stress_EBITDA_2027</t>
  </si>
  <si>
    <t>joint_stress 2027 EBITDA；artifact.rows[96].result；{"entity":"Crown Castle Inc. and subsidiaries","scope":"post_sale_towers_analysis","start":"2027-01-01","end":"2027-12-31","aggregation":"flow","basis":"Explicit Crown forward US GAAP / S&amp;P-method analytical bridge","measure":"money","currency":"USD","scale":"1000000","physical_unit":null}</t>
  </si>
  <si>
    <t>fwd_joint_stress_FFO_2027</t>
  </si>
  <si>
    <t>joint_stress 2027 FFO；artifact.rows[98].result；{"entity":"Crown Castle Inc. and subsidiaries","scope":"post_sale_towers_analysis","start":"2027-01-01","end":"2027-12-31","aggregation":"flow","basis":"Explicit Crown forward US GAAP / S&amp;P-method analytical bridge","measure":"money","currency":"USD","scale":"1000000","physical_unit":null}</t>
  </si>
  <si>
    <t>fwd_joint_stress_new_draw_2027</t>
  </si>
  <si>
    <t>joint_stress 2027 new_draw；artifact.rows[101].result；{"entity":"Crown Castle Inc. and subsidiaries","scope":"post_sale_towers_analysis","start":"2027-01-01","end":"2027-12-31","aggregation":"flow","basis":"Explicit Crown forward US GAAP / S&amp;P-method analytical bridge","measure":"money","currency":"USD","scale":"1000000","physical_unit":null}</t>
  </si>
  <si>
    <t>fwd_joint_stress_FFO_debt_2027</t>
  </si>
  <si>
    <t>joint_stress 2027 FFO_debt；artifact.rows[104].result；{"entity":"Crown Castle Inc. and subsidiaries","scope":"post_sale_towers_analysis","start":"2027-01-01","end":"2027-12-31","aggregation":"ratio","basis":"Explicit Crown forward US GAAP / S&amp;P-method analytical bridge","measure":"ratio","currency":null,"scale":"1","physical_unit":null}</t>
  </si>
  <si>
    <t>fwd_joint_stress_debt_EBITDA_2027</t>
  </si>
  <si>
    <t>joint_stress 2027 debt_EBITDA；artifact.rows[105].result；{"entity":"Crown Castle Inc. and subsidiaries","scope":"post_sale_towers_analysis","start":"2027-01-01","end":"2027-12-31","aggregation":"ratio","basis":"Explicit Crown forward US GAAP / S&amp;P-method analytical bridge","measure":"ratio","currency":null,"scale":"1","physical_unit":"times"}</t>
  </si>
  <si>
    <t>fwd_joint_stress_CFO_2028</t>
  </si>
  <si>
    <t>joint_stress 2028 CFO；artifact.rows[109].result；{"entity":"Crown Castle Inc. and subsidiaries","scope":"post_sale_towers_analysis","start":"2028-01-01","end":"2028-12-31","aggregation":"flow","basis":"Explicit Crown forward US GAAP / S&amp;P-method analytical bridge","measure":"money","currency":"USD","scale":"1000000","physical_unit":null}</t>
  </si>
  <si>
    <t>fwd_joint_stress_economic_CFO_after_all_cash_interest_2028</t>
  </si>
  <si>
    <t>joint_stress 2028 economic_CFO_after_all_cash_interest；artifact.rows[110].result；{"entity":"Crown Castle Inc. and subsidiaries","scope":"post_sale_towers_analysis","start":"2028-01-01","end":"2028-12-31","aggregation":"flow","basis":"Explicit Crown forward US GAAP / S&amp;P-method analytical bridge","measure":"money","currency":"USD","scale":"1000000","physical_unit":null}</t>
  </si>
  <si>
    <t>fwd_joint_stress_cash_2028</t>
  </si>
  <si>
    <t>joint_stress 2028 cash；artifact.rows[111].result；{"entity":"Crown Castle Inc. and subsidiaries","scope":"post_sale_towers_analysis","start":null,"end":"2028-12-31","aggregation":"instant","basis":"Explicit Crown forward US GAAP / S&amp;P-method analytical bridge","measure":"money","currency":"USD","scale":"1000000","physical_unit":null}</t>
  </si>
  <si>
    <t>fwd_joint_stress_financial_principal_2028</t>
  </si>
  <si>
    <t>joint_stress 2028 financial_principal；artifact.rows[112].result；{"entity":"Crown Castle Inc. and subsidiaries","scope":"post_sale_towers_analysis","start":null,"end":"2028-12-31","aggregation":"instant","basis":"Explicit Crown forward US GAAP / S&amp;P-method analytical bridge","measure":"money","currency":"USD","scale":"1000000","physical_unit":null}</t>
  </si>
  <si>
    <t>fwd_joint_stress_financial_carrying_proxy_2028</t>
  </si>
  <si>
    <t>joint_stress 2028 financial_carrying_proxy；artifact.rows[113].result；{"entity":"Crown Castle Inc. and subsidiaries","scope":"post_sale_towers_analysis","start":null,"end":"2028-12-31","aggregation":"instant","basis":"Explicit Crown forward US GAAP / S&amp;P-method analytical bridge","measure":"money","currency":"USD","scale":"1000000","physical_unit":null}</t>
  </si>
  <si>
    <t>fwd_joint_stress_operating_lease_2028</t>
  </si>
  <si>
    <t>joint_stress 2028 operating_lease；artifact.rows[114].result；{"entity":"Crown Castle Inc. and subsidiaries","scope":"post_sale_towers_analysis","start":null,"end":"2028-12-31","aggregation":"instant","basis":"Explicit Crown forward US GAAP / S&amp;P-method analytical bridge","measure":"money","currency":"USD","scale":"1000000","physical_unit":null}</t>
  </si>
  <si>
    <t>fwd_joint_stress_EBITDA_2028</t>
  </si>
  <si>
    <t>joint_stress 2028 EBITDA；artifact.rows[115].result；{"entity":"Crown Castle Inc. and subsidiaries","scope":"post_sale_towers_analysis","start":"2028-01-01","end":"2028-12-31","aggregation":"flow","basis":"Explicit Crown forward US GAAP / S&amp;P-method analytical bridge","measure":"money","currency":"USD","scale":"1000000","physical_unit":null}</t>
  </si>
  <si>
    <t>fwd_joint_stress_FFO_2028</t>
  </si>
  <si>
    <t>joint_stress 2028 FFO；artifact.rows[117].result；{"entity":"Crown Castle Inc. and subsidiaries","scope":"post_sale_towers_analysis","start":"2028-01-01","end":"2028-12-31","aggregation":"flow","basis":"Explicit Crown forward US GAAP / S&amp;P-method analytical bridge","measure":"money","currency":"USD","scale":"1000000","physical_unit":null}</t>
  </si>
  <si>
    <t>fwd_joint_stress_new_draw_2028</t>
  </si>
  <si>
    <t>joint_stress 2028 new_draw；artifact.rows[120].result；{"entity":"Crown Castle Inc. and subsidiaries","scope":"post_sale_towers_analysis","start":"2028-01-01","end":"2028-12-31","aggregation":"flow","basis":"Explicit Crown forward US GAAP / S&amp;P-method analytical bridge","measure":"money","currency":"USD","scale":"1000000","physical_unit":null}</t>
  </si>
  <si>
    <t>fwd_joint_stress_FFO_debt_2028</t>
  </si>
  <si>
    <t>joint_stress 2028 FFO_debt；artifact.rows[123].result；{"entity":"Crown Castle Inc. and subsidiaries","scope":"post_sale_towers_analysis","start":"2028-01-01","end":"2028-12-31","aggregation":"ratio","basis":"Explicit Crown forward US GAAP / S&amp;P-method analytical bridge","measure":"ratio","currency":null,"scale":"1","physical_unit":null}</t>
  </si>
  <si>
    <t>fwd_joint_stress_debt_EBITDA_2028</t>
  </si>
  <si>
    <t>joint_stress 2028 debt_EBITDA；artifact.rows[124].result；{"entity":"Crown Castle Inc. and subsidiaries","scope":"post_sale_towers_analysis","start":"2028-01-01","end":"2028-12-31","aggregation":"ratio","basis":"Explicit Crown forward US GAAP / S&amp;P-method analytical bridge","measure":"ratio","currency":null,"scale":"1","physical_unit":"times"}</t>
  </si>
  <si>
    <t>fwd_joint_stress_window_CFO_rolling12m</t>
  </si>
  <si>
    <t>joint_stress Jul2026-Jun2027 window_CFO；artifact.rows[128].result；{"entity":"Crown Castle Inc. and subsidiaries","scope":"post_sale_towers_analysis","start":"2026-07-01","end":"2027-06-30","aggregation":"flow","basis":"Explicit unknown-June-cash and uniform-cash-timing reference","measure":"money","currency":"USD","scale":"1000000","physical_unit":null}</t>
  </si>
  <si>
    <t>fwd_joint_stress_window_capex_rolling12m</t>
  </si>
  <si>
    <t>joint_stress Jul2026-Jun2027 window_capex；artifact.rows[129].result；{"entity":"Crown Castle Inc. and subsidiaries","scope":"post_sale_towers_analysis","start":"2026-07-01","end":"2027-06-30","aggregation":"flow","basis":"Explicit unknown-June-cash and uniform-cash-timing reference","measure":"money","currency":"USD","scale":"1000000","physical_unit":null}</t>
  </si>
  <si>
    <t>fwd_joint_stress_window_economic_CFO_rolling12m</t>
  </si>
  <si>
    <t>joint_stress Jul2026-Jun2027 window_economic_CFO；artifact.rows[130].result；{"entity":"Crown Castle Inc. and subsidiaries","scope":"post_sale_towers_analysis","start":"2026-07-01","end":"2027-06-30","aggregation":"flow","basis":"Explicit unknown-June-cash and uniform-cash-timing reference","measure":"money","currency":"USD","scale":"1000000","physical_unit":null}</t>
  </si>
  <si>
    <t>fwd_joint_stress_window_economic_capex_rolling12m</t>
  </si>
  <si>
    <t>joint_stress Jul2026-Jun2027 window_economic_capex；artifact.rows[131].result；{"entity":"Crown Castle Inc. and subsidiaries","scope":"post_sale_towers_analysis","start":"2026-07-01","end":"2027-06-30","aggregation":"flow","basis":"Explicit unknown-June-cash and uniform-cash-timing reference","measure":"money","currency":"USD","scale":"1000000","physical_unit":null}</t>
  </si>
  <si>
    <t>fwd_joint_stress_window_dividends_rolling12m</t>
  </si>
  <si>
    <t>joint_stress Jul2026-Jun2027 window_dividends；artifact.rows[132].result；{"entity":"Crown Castle Inc. and subsidiaries","scope":"post_sale_towers_analysis","start":"2026-07-01","end":"2027-06-30","aggregation":"flow","basis":"Explicit unknown-June-cash and uniform-cash-timing reference","measure":"money","currency":"USD","scale":"1000000","physical_unit":null}</t>
  </si>
  <si>
    <t>fwd_joint_stress_fixed_maturities_if_not_prepaid_rolling12m</t>
  </si>
  <si>
    <t>joint_stress Jul2026-Jun2027 fixed_maturities_if_not_prepaid；artifact.rows[133].result；{"entity":"Crown Castle Inc. and subsidiaries","scope":"post_sale_towers_analysis","start":"2026-07-01","end":"2027-06-30","aggregation":"flow","basis":"Explicit unknown-June-cash and uniform-cash-timing reference","measure":"money","currency":"USD","scale":"1000000","physical_unit":null}</t>
  </si>
  <si>
    <t>fwd_joint_stress_routine_principal_proxy_rolling12m</t>
  </si>
  <si>
    <t>joint_stress Jul2026-Jun2027 routine_principal_proxy；artifact.rows[134].result；{"entity":"Crown Castle Inc. and subsidiaries","scope":"post_sale_towers_analysis","start":"2026-07-01","end":"2027-06-30","aggregation":"flow","basis":"Explicit unknown-June-cash and uniform-cash-timing reference","measure":"money","currency":"USD","scale":"1000000","physical_unit":null}</t>
  </si>
  <si>
    <t>fwd_joint_stress_cash_loss_if_weighted_method_EBITDA_declines_15pct_rolling12m</t>
  </si>
  <si>
    <t>joint_stress Jul2026-Jun2027 cash_loss_if_weighted_method_EBITDA_declines_15pct；artifact.rows[135].result；{"entity":"Crown Castle Inc. and subsidiaries","scope":"post_sale_towers_analysis","start":"2026-07-01","end":"2027-06-30","aggregation":"flow","basis":"Explicit unknown-June-cash and uniform-cash-timing reference","measure":"money","currency":"USD","scale":"1000000","physical_unit":null}</t>
  </si>
  <si>
    <t>fwd_cash_unknowns_adverse_CFO_2026</t>
  </si>
  <si>
    <t>cash_unknowns_adverse 2026 CFO；artifact.rows[136].result；{"entity":"Crown Castle Inc. and subsidiaries","scope":"post_sale_towers_analysis","start":"2026-01-01","end":"2026-12-31","aggregation":"flow","basis":"Explicit Crown forward US GAAP / S&amp;P-method analytical bridge","measure":"money","currency":"USD","scale":"1000000","physical_unit":null}</t>
  </si>
  <si>
    <t>fwd_cash_unknowns_adverse_new_draw_2026</t>
  </si>
  <si>
    <t>cash_unknowns_adverse 2026 new_draw；artifact.rows[147].result；{"entity":"Crown Castle Inc. and subsidiaries","scope":"post_sale_towers_analysis","start":"2026-01-01","end":"2026-12-31","aggregation":"flow","basis":"Explicit Crown forward US GAAP / S&amp;P-method analytical bridge","measure":"money","currency":"USD","scale":"1000000","physical_unit":null}</t>
  </si>
  <si>
    <t>fwd_cash_unknowns_adverse_FFO_debt_2026</t>
  </si>
  <si>
    <t>cash_unknowns_adverse 2026 FFO_debt；artifact.rows[150].result；{"entity":"Crown Castle Inc. and subsidiaries","scope":"post_sale_towers_analysis","start":"2026-01-01","end":"2026-12-31","aggregation":"ratio","basis":"Explicit Crown forward US GAAP / S&amp;P-method analytical bridge","measure":"ratio","currency":null,"scale":"1","physical_unit":null}</t>
  </si>
  <si>
    <t>fwd_capitalized_cash15_FFO_2026</t>
  </si>
  <si>
    <t>capitalized_cash15 2026 FFO；artifact.rows[201].result；{"entity":"Crown Castle Inc. and subsidiaries","scope":"post_sale_towers_analysis","start":"2026-01-01","end":"2026-12-31","aggregation":"flow","basis":"Explicit Crown forward US GAAP / S&amp;P-method analytical bridge","measure":"money","currency":"USD","scale":"1000000","physical_unit":null}</t>
  </si>
  <si>
    <t>fwd_capitalized_cash15_FOCF_2026</t>
  </si>
  <si>
    <t>capitalized_cash15 2026 FOCF；artifact.rows[202].result；{"entity":"Crown Castle Inc. and subsidiaries","scope":"post_sale_towers_analysis","start":"2026-01-01","end":"2026-12-31","aggregation":"flow","basis":"Explicit Crown forward US GAAP / S&amp;P-method analytical bridge","measure":"money","currency":"USD","scale":"1000000","physical_unit":null}</t>
  </si>
  <si>
    <t>fwd_no_new_facility_CFO_2026</t>
  </si>
  <si>
    <t>no_new_facility 2026 CFO；artifact.rows[250].result；{"entity":"Crown Castle Inc. and subsidiaries","scope":"post_sale_towers_analysis","start":"2026-01-01","end":"2026-12-31","aggregation":"flow","basis":"Explicit Crown forward US GAAP / S&amp;P-method analytical bridge","measure":"money","currency":"USD","scale":"1000000","physical_unit":null}</t>
  </si>
  <si>
    <t>fwd_no_new_facility_finance_shortfall_2026</t>
  </si>
  <si>
    <t>no_new_facility 2026 finance_shortfall；artifact.rows[262].result；{"entity":"Crown Castle Inc. and subsidiaries","scope":"post_sale_towers_analysis","start":null,"end":"2026-12-31","aggregation":"instant","basis":"Explicit Crown forward US GAAP / S&amp;P-method analytical bridge","measure":"money","currency":"USD","scale":"1000000","physical_unit":null}</t>
  </si>
  <si>
    <t>fwd_no_new_facility_cash_payment_deficit_2026</t>
  </si>
  <si>
    <t>no_new_facility 2026 cash_payment_deficit；artifact.rows[263].result；{"entity":"Crown Castle Inc. and subsidiaries","scope":"post_sale_towers_analysis","start":null,"end":"2026-12-31","aggregation":"instant","basis":"Explicit Crown forward US GAAP / S&amp;P-method analytical bridge","measure":"money","currency":"USD","scale":"1000000","physical_unit":null}</t>
  </si>
  <si>
    <t>经营租赁利息代理</t>
  </si>
  <si>
    <t>274.4300</t>
  </si>
  <si>
    <t>C_sp_lease_average × sp_lease_rate</t>
  </si>
  <si>
    <t>method_proxy</t>
  </si>
  <si>
    <t>经营租赁折旧及CFO加回代理</t>
  </si>
  <si>
    <t>324.5700</t>
  </si>
  <si>
    <t>sp_rou_cost − sp_lease_interest</t>
  </si>
  <si>
    <t>S&amp;P口径EBITDA分析估计</t>
  </si>
  <si>
    <t>3448</t>
  </si>
  <si>
    <t>opincome2025 + daa2025 + sp_rou_cost + sbc2025 + writedown2025</t>
  </si>
  <si>
    <t>analysis_estimate</t>
  </si>
  <si>
    <t>应计利息已识别调整小计</t>
  </si>
  <si>
    <t>1286.4300</t>
  </si>
  <si>
    <t>−interest2025 + sp_capitalized_interest + sp_lease_interest + sp_aro_accretion</t>
  </si>
  <si>
    <t>现金利息分析估计（含租赁代理）</t>
  </si>
  <si>
    <t>1254.4300</t>
  </si>
  <si>
    <t>sp_interest_paid_net + sp_capitalized_cash_estimate + sp_lease_interest</t>
  </si>
  <si>
    <t>FFO分析估计</t>
  </si>
  <si>
    <t>2178.5700</t>
  </si>
  <si>
    <t>sp_ebitda − sp_cash_interest − sp_cash_tax</t>
  </si>
  <si>
    <t>CFO分析估计</t>
  </si>
  <si>
    <t>2181.5700</t>
  </si>
  <si>
    <t>C_contcfo_2025 + sp_lease_principal_proxy − sp_capitalized_cash_estimate</t>
  </si>
  <si>
    <t>资本支出分析估计（移出资本化现金利息）</t>
  </si>
  <si>
    <t>167</t>
  </si>
  <si>
    <t>−capex2025 − sp_capitalized_cash_estimate</t>
  </si>
  <si>
    <t>FOCF分析估计（尚非付完全部租赁本金的现金）</t>
  </si>
  <si>
    <t>2014.5700</t>
  </si>
  <si>
    <t>sp_cfo − sp_capex</t>
  </si>
  <si>
    <t>仅加回已直接证实RSU的EBITDA敏感性</t>
  </si>
  <si>
    <t>3436</t>
  </si>
  <si>
    <t>sp_ebitda − C_sp_sbc_residual</t>
  </si>
  <si>
    <t>classification_sensitivity</t>
  </si>
  <si>
    <t>仅加回已直接证实RSU的FFO敏感性</t>
  </si>
  <si>
    <t>2166.5700</t>
  </si>
  <si>
    <t>sp_ffo − C_sp_sbc_residual</t>
  </si>
  <si>
    <t>采用PP&amp;E核销总额的EBITDA敏感性</t>
  </si>
  <si>
    <t>3449</t>
  </si>
  <si>
    <t>sp_ebitda + C_sp_writeoff_difference</t>
  </si>
  <si>
    <t>债务分析估计（ARO尚未抵减）</t>
  </si>
  <si>
    <t>29888</t>
  </si>
  <si>
    <t>debt2025 + C_sp_lease_end + sp_aro_end</t>
  </si>
  <si>
    <t>仅扣99合格现金的条件债务</t>
  </si>
  <si>
    <t>29789</t>
  </si>
  <si>
    <t>sp_gross_debt − cash2025</t>
  </si>
  <si>
    <t>conditional_cash_accessibility</t>
  </si>
  <si>
    <t>2025历史条件债务/EBITDA</t>
  </si>
  <si>
    <t>8.639501160092807424593967517</t>
  </si>
  <si>
    <t>sp_net_debt / sp_ebitda</t>
  </si>
  <si>
    <t>historical_not_post_sale</t>
  </si>
  <si>
    <t>2025历史条件FFO/债务</t>
  </si>
  <si>
    <t>0.07313337137869683440196045520</t>
  </si>
  <si>
    <t>sp_ffo / sp_net_debt</t>
  </si>
  <si>
    <t>股份支付差额对EBITDA的影响</t>
  </si>
  <si>
    <t>0.003480278422273781902552204176</t>
  </si>
  <si>
    <t>C_sp_sbc_residual / sp_ebitda</t>
  </si>
  <si>
    <t>Q_sp_crown</t>
  </si>
  <si>
    <t>S&amp;P Ratios and Adjustments 2025-12-17；案例专用Decimal复算</t>
  </si>
  <si>
    <t>E_SP_RATIOS, E_SP_SCOPE, E_SP_LEASE, E_SP_CASH, E_SP_SBC, E_SP_ARO, E_SP_XBRL</t>
  </si>
  <si>
    <t>C_sp_lease_average, sp_lease_rate, sp_rou_cost, opincome2025, daa2025, sbc2025, writedown2025, interest2025, sp_capitalized_interest, sp_aro_accretion, sp_capitalized_cash_estimate, sp_interest_paid_net, sp_cash_tax, C_contcfo_2025, capex2025, C_sp_sbc_residual, C_sp_writeoff_difference, debt2025, C_sp_lease_end, sp_aro_end, cash2025</t>
  </si>
  <si>
    <t>资本化现金付息以同年已披露应计资本化利息估计，原报值与估计分列；改变该估计时FFO和CFO同额反向变动，资本支出同额反向变动，FOCF不变。
股份支付全部作为权益结算、资产净减记全部作为非流动项是有披露支持的分析估计；RSU已直接证实，余项另给敏感性。内部使用软件按适用方法不反转。
ARO先采用未抵减负债的分析估计；税益、专款和残值尚未量化。条件净债仅扣普通现金，并以其符合方法可动用条件为前提。</t>
  </si>
  <si>
    <t>指标是按已识别事项形成的分析估计，不是S&amp;P发表的发行人指标或会计报表重述；不构成主体或债项等级。
历史2025持续经营利润与当年末保留债务配套；未把2026实际出售收款直接从历史债务扣除。
租赁CFO加回是方法分类代理，不等于实际付款，也不增加可支用现金。受限现金用途及最终售后债务现金仍需独立取证。</t>
  </si>
  <si>
    <t>See quantitative-Q_sp_crown.json input_snapshot and method version</t>
  </si>
  <si>
    <t>sp_lease_interest</t>
  </si>
  <si>
    <t>经营租赁利息代理；artifact.rows[0].result；{"entity":"Crown Castle Inc. and subsidiaries","scope":"continuing_operations_method_bridge","start":"2025-01-01","end":"2025-12-31","aggregation":"flow","basis":"US GAAP to S&amp;P Ratios and Adjustments (2025-12-17)","measure":"money","currency":"USD","scale":"1000000","physical_unit":null}</t>
  </si>
  <si>
    <t>sp_lease_principal_proxy</t>
  </si>
  <si>
    <t>经营租赁折旧及CFO加回代理；artifact.rows[1].result；{"entity":"Crown Castle Inc. and subsidiaries","scope":"continuing_operations_method_bridge","start":"2025-01-01","end":"2025-12-31","aggregation":"flow","basis":"US GAAP to S&amp;P Ratios and Adjustments (2025-12-17)","measure":"money","currency":"USD","scale":"1000000","physical_unit":null}</t>
  </si>
  <si>
    <t>sp_ebitda</t>
  </si>
  <si>
    <t>S&amp;P口径EBITDA分析估计；artifact.rows[2].result；{"entity":"Crown Castle Inc. and subsidiaries","scope":"continuing_operations_method_bridge","start":"2025-01-01","end":"2025-12-31","aggregation":"flow","basis":"US GAAP to S&amp;P Ratios and Adjustments (2025-12-17)","measure":"money","currency":"USD","scale":"1000000","physical_unit":null}</t>
  </si>
  <si>
    <t>sp_accrual_interest</t>
  </si>
  <si>
    <t>应计利息已识别调整小计；artifact.rows[3].result；{"entity":"Crown Castle Inc. and subsidiaries","scope":"continuing_operations_method_bridge","start":"2025-01-01","end":"2025-12-31","aggregation":"flow","basis":"US GAAP to S&amp;P Ratios and Adjustments (2025-12-17)","measure":"money","currency":"USD","scale":"1000000","physical_unit":null}</t>
  </si>
  <si>
    <t>sp_cash_interest</t>
  </si>
  <si>
    <t>现金利息分析估计（含租赁代理）；artifact.rows[4].result；{"entity":"Crown Castle Inc. and subsidiaries","scope":"continuing_operations_method_bridge","start":"2025-01-01","end":"2025-12-31","aggregation":"flow","basis":"US GAAP to S&amp;P Ratios and Adjustments (2025-12-17)","measure":"money","currency":"USD","scale":"1000000","physical_unit":null}</t>
  </si>
  <si>
    <t>sp_ffo</t>
  </si>
  <si>
    <t>FFO分析估计；artifact.rows[5].result；{"entity":"Crown Castle Inc. and subsidiaries","scope":"continuing_operations_method_bridge","start":"2025-01-01","end":"2025-12-31","aggregation":"flow","basis":"US GAAP to S&amp;P Ratios and Adjustments (2025-12-17)","measure":"money","currency":"USD","scale":"1000000","physical_unit":null}</t>
  </si>
  <si>
    <t>sp_cfo</t>
  </si>
  <si>
    <t>CFO分析估计；artifact.rows[6].result；{"entity":"Crown Castle Inc. and subsidiaries","scope":"continuing_operations_method_bridge","start":"2025-01-01","end":"2025-12-31","aggregation":"flow","basis":"US GAAP to S&amp;P Ratios and Adjustments (2025-12-17)","measure":"money","currency":"USD","scale":"1000000","physical_unit":null}</t>
  </si>
  <si>
    <t>sp_capex</t>
  </si>
  <si>
    <t>资本支出分析估计（移出资本化现金利息）；artifact.rows[7].result；{"entity":"Crown Castle Inc. and subsidiaries","scope":"continuing_operations_method_bridge","start":"2025-01-01","end":"2025-12-31","aggregation":"flow","basis":"US GAAP to S&amp;P Ratios and Adjustments (2025-12-17)","measure":"money","currency":"USD","scale":"1000000","physical_unit":null}</t>
  </si>
  <si>
    <t>sp_focf</t>
  </si>
  <si>
    <t>FOCF分析估计（尚非付完全部租赁本金的现金）；artifact.rows[8].result；{"entity":"Crown Castle Inc. and subsidiaries","scope":"continuing_operations_method_bridge","start":"2025-01-01","end":"2025-12-31","aggregation":"flow","basis":"US GAAP to S&amp;P Ratios and Adjustments (2025-12-17)","measure":"money","currency":"USD","scale":"1000000","physical_unit":null}</t>
  </si>
  <si>
    <t>sp_ebitda_rsu</t>
  </si>
  <si>
    <t>仅加回已直接证实RSU的EBITDA敏感性；artifact.rows[9].result；{"entity":"Crown Castle Inc. and subsidiaries","scope":"continuing_operations_method_bridge","start":"2025-01-01","end":"2025-12-31","aggregation":"flow","basis":"US GAAP to S&amp;P Ratios and Adjustments (2025-12-17)","measure":"money","currency":"USD","scale":"1000000","physical_unit":null}</t>
  </si>
  <si>
    <t>sp_ffo_rsu</t>
  </si>
  <si>
    <t>仅加回已直接证实RSU的FFO敏感性；artifact.rows[10].result；{"entity":"Crown Castle Inc. and subsidiaries","scope":"continuing_operations_method_bridge","start":"2025-01-01","end":"2025-12-31","aggregation":"flow","basis":"US GAAP to S&amp;P Ratios and Adjustments (2025-12-17)","measure":"money","currency":"USD","scale":"1000000","physical_unit":null}</t>
  </si>
  <si>
    <t>sp_ebitda_writeoff</t>
  </si>
  <si>
    <t>采用PP&amp;E核销总额的EBITDA敏感性；artifact.rows[11].result；{"entity":"Crown Castle Inc. and subsidiaries","scope":"continuing_operations_method_bridge","start":"2025-01-01","end":"2025-12-31","aggregation":"flow","basis":"US GAAP to S&amp;P Ratios and Adjustments (2025-12-17)","measure":"money","currency":"USD","scale":"1000000","physical_unit":null}</t>
  </si>
  <si>
    <t>sp_gross_debt</t>
  </si>
  <si>
    <t>债务分析估计（ARO尚未抵减）；artifact.rows[12].result；{"entity":"Crown Castle Inc. and subsidiaries","scope":"continuing_operations_method_bridge","start":null,"end":"2025-12-31","aggregation":"instant","basis":"US GAAP to S&amp;P Ratios and Adjustments (2025-12-17)","measure":"money","currency":"USD","scale":"1000000","physical_unit":null}</t>
  </si>
  <si>
    <t>sp_net_debt</t>
  </si>
  <si>
    <t>仅扣99合格现金的条件债务；artifact.rows[13].result；{"entity":"Crown Castle Inc. and subsidiaries","scope":"continuing_operations_method_bridge","start":null,"end":"2025-12-31","aggregation":"instant","basis":"US GAAP to S&amp;P Ratios and Adjustments (2025-12-17)","measure":"money","currency":"USD","scale":"1000000","physical_unit":null}</t>
  </si>
  <si>
    <t>sp_leverage</t>
  </si>
  <si>
    <t>2025历史条件债务/EBITDA；artifact.rows[14].result；{"entity":"Crown Castle Inc. and subsidiaries","scope":"continuing_operations_method_bridge","start":"2025-01-01","end":"2025-12-31","aggregation":"ratio","basis":"US GAAP to S&amp;P Ratios and Adjustments (2025-12-17)","measure":"ratio","currency":null,"scale":"1","physical_unit":"times"}</t>
  </si>
  <si>
    <t>sp_ffo_debt</t>
  </si>
  <si>
    <t>2025历史条件FFO/债务；artifact.rows[15].result；{"entity":"Crown Castle Inc. and subsidiaries","scope":"continuing_operations_method_bridge","start":"2025-01-01","end":"2025-12-31","aggregation":"ratio","basis":"US GAAP to S&amp;P Ratios and Adjustments (2025-12-17)","measure":"ratio","currency":null,"scale":"1","physical_unit":null}</t>
  </si>
  <si>
    <t>sp_sbc_effect</t>
  </si>
  <si>
    <t>股份支付差额对EBITDA的影响；artifact.rows[16].result；{"entity":"Crown Castle Inc. and subsidiaries","scope":"continuing_operations_method_bridge","start":"2025-01-01","end":"2025-12-31","aggregation":"ratio","basis":"US GAAP to S&amp;P Ratios and Adjustments (2025-12-17)","measure":"ratio","currency":null,"scale":"1","physical_unit":null}</t>
  </si>
  <si>
    <t>label</t>
  </si>
  <si>
    <t>table</t>
  </si>
  <si>
    <t>normalized_input</t>
  </si>
  <si>
    <t>matched_bands</t>
  </si>
  <si>
    <t>exact_interval</t>
  </si>
  <si>
    <t>reason</t>
  </si>
  <si>
    <t>r109_base_FFO_debt_120</t>
  </si>
  <si>
    <t>base paragraph120 indicative FFO_debt</t>
  </si>
  <si>
    <t>0.09706180599025901826230891410</t>
  </si>
  <si>
    <t>Mean of current/pro-forma current and next-year ratios; not ratio of averaged balances</t>
  </si>
  <si>
    <t>r109_base_standard_FFO_debt_category</t>
  </si>
  <si>
    <t>standard_FFO_debt numerical category</t>
  </si>
  <si>
    <t>6</t>
  </si>
  <si>
    <t>Existing NumericBand/_numeric_band applied to the executed indicative ratio</t>
  </si>
  <si>
    <t>{"id": "r109_base_standard_FFO_debt_category", "evidence": ["E_R109_FRP_TABLE"], "note": "Exact transcription of original table ranges; no endpoint tie-break invented.", "mode": "numeric_band", "input_ref": "r109_base_standard_FFO_debt_category_ratio", "threshold_scale": ".01", "bands": [{"id": "standard_FFO_debt_1", "lower": "60", "upper": null, "left_closed": true, "right_closed": false, "score": {"lower": "1", "upper": "1", "left_closed": true, "right_closed": true}}, {"id": "standard_FFO_debt_2", "lower": "45", "upper": "60", "left_closed": true, "right_closed": true, "score": {"lower": "2", "upper": "2", "left_closed": true, "right_closed": true}}, {"id": "standard_FFO_debt_3", "lower": "30", "upper": "45", "left_closed": true, "right_closed": true, "score": {"lower": "3", "upper": "3", "left_closed": true, "right_closed": true}}, {"id": "standard_FFO_debt_4", "lower": "20", "upper": "30", "left_closed": true, "right_closed": true, "score": {"lower": "4", "upper": "4", "left_closed": true, "right_closed": true}}, {"id": "standard_FFO_debt_5", "lower": "12", "upper": "20", "left_closed": true, "right_closed": true, "score": {"lower": "5", "upper": "5", "left_closed": true, "right_closed": true}}, {"id": "standard_FFO_debt_6", "lower": null, "upper": "12", "left_closed": false, "right_closed": false, "score": {"lower": "6", "upper": "6", "left_closed": true, "right_closed": true}}]}</t>
  </si>
  <si>
    <t>["standard_FFO_debt_6"]</t>
  </si>
  <si>
    <t>[Fraction(6, 1)]</t>
  </si>
  <si>
    <t>r109_base_medial_FFO_debt_category</t>
  </si>
  <si>
    <t>medial_FFO_debt numerical category</t>
  </si>
  <si>
    <t>5</t>
  </si>
  <si>
    <t>{"id": "r109_base_medial_FFO_debt_category", "evidence": ["E_R109_FRP_TABLE"], "note": "Exact transcription of original table ranges; no endpoint tie-break invented.", "mode": "numeric_band", "input_ref": "r109_base_medial_FFO_debt_category_ratio", "threshold_scale": ".01", "bands": [{"id": "medial_FFO_debt_1", "lower": "50", "upper": null, "left_closed": true, "right_closed": false, "score": {"lower": "1", "upper": "1", "left_closed": true, "right_closed": true}}, {"id": "medial_FFO_debt_2", "lower": "35", "upper": "50", "left_closed": true, "right_closed": true, "score": {"lower": "2", "upper": "2", "left_closed": true, "right_closed": true}}, {"id": "medial_FFO_debt_3", "lower": "23", "upper": "35", "left_closed": true, "right_closed": true, "score": {"lower": "3", "upper": "3", "left_closed": true, "right_closed": true}}, {"id": "medial_FFO_debt_4", "lower": "13", "upper": "23", "left_closed": true, "right_closed": true, "score": {"lower": "4", "upper": "4", "left_closed": true, "right_closed": true}}, {"id": "medial_FFO_debt_5", "lower": "9", "upper": "13", "left_closed": true, "right_closed": true, "score": {"lower": "5", "upper": "5", "left_closed": true, "right_closed": true}}, {"id": "medial_FFO_debt_6", "lower": null, "upper": "9", "left_closed": false, "right_closed": false, "score": {"lower": "6", "upper": "6", "left_closed": true, "right_closed": true}}]}</t>
  </si>
  <si>
    <t>["medial_FFO_debt_5"]</t>
  </si>
  <si>
    <t>[Fraction(5, 1)]</t>
  </si>
  <si>
    <t>r109_base_low_FFO_debt_category</t>
  </si>
  <si>
    <t>low_FFO_debt numerical category</t>
  </si>
  <si>
    <t>4</t>
  </si>
  <si>
    <t>{"id": "r109_base_low_FFO_debt_category", "evidence": ["E_R109_FRP_TABLE"], "note": "Exact transcription of original table ranges; no endpoint tie-break invented.", "mode": "numeric_band", "input_ref": "r109_base_low_FFO_debt_category_ratio", "threshold_scale": ".01", "bands": [{"id": "low_FFO_debt_1", "lower": "35", "upper": null, "left_closed": true, "right_closed": false, "score": {"lower": "1", "upper": "1", "left_closed": true, "right_closed": true}}, {"id": "low_FFO_debt_2", "lower": "23", "upper": "35", "left_closed": true, "right_closed": true, "score": {"lower": "2", "upper": "2", "left_closed": true, "right_closed": true}}, {"id": "low_FFO_debt_3", "lower": "13", "upper": "23", "left_closed": true, "right_closed": true, "score": {"lower": "3", "upper": "3", "left_closed": true, "right_closed": true}}, {"id": "low_FFO_debt_4", "lower": "9", "upper": "13", "left_closed": true, "right_closed": true, "score": {"lower": "4", "upper": "4", "left_closed": true, "right_closed": true}}, {"id": "low_FFO_debt_5", "lower": "6", "upper": "9", "left_closed": true, "right_closed": true, "score": {"lower": "5", "upper": "5", "left_closed": true, "right_closed": true}}, {"id": "low_FFO_debt_6", "lower": null, "upper": "6", "left_closed": false, "right_closed": false, "score": {"lower": "6", "upper": "6", "left_closed": true, "right_closed": true}}]}</t>
  </si>
  <si>
    <t>["low_FFO_debt_4"]</t>
  </si>
  <si>
    <t>[Fraction(4, 1)]</t>
  </si>
  <si>
    <t>r109_base_FFO_debt_117</t>
  </si>
  <si>
    <t>base conditional paragraph117 indicative FFO_debt</t>
  </si>
  <si>
    <t>0.09889923820919451092688235159</t>
  </si>
  <si>
    <t>Current/next/second-next ratios weighted30/40/30; only applicable if negative debt-repayment cash deteriorates metrics</t>
  </si>
  <si>
    <t>r109_base_debt_EBITDA_120</t>
  </si>
  <si>
    <t>base paragraph120 indicative debt_EBITDA</t>
  </si>
  <si>
    <t>7.032608379224964571047489091</t>
  </si>
  <si>
    <t>r109_base_standard_debt_EBITDA_category</t>
  </si>
  <si>
    <t>standard_debt_EBITDA numerical category</t>
  </si>
  <si>
    <t>{"id": "r109_base_standard_debt_EBITDA_category", "evidence": ["E_R109_FRP_TABLE"], "note": "Exact transcription of original table ranges; no endpoint tie-break invented.", "mode": "numeric_band", "input_ref": "r109_base_standard_debt_EBITDA_category_ratio", "threshold_scale": "1", "bands": [{"id": "standard_debt_EBITDA_1", "lower": null, "upper": "1.5", "left_closed": false, "right_closed": false, "score": {"lower": "1", "upper": "1", "left_closed": true, "right_closed": true}}, {"id": "standard_debt_EBITDA_2", "lower": "1.5", "upper": "2", "left_closed": true, "right_closed": true, "score": {"lower": "2", "upper": "2", "left_closed": true, "right_closed": true}}, {"id": "standard_debt_EBITDA_3", "lower": "2", "upper": "3", "left_closed": true, "right_closed": true, "score": {"lower": "3", "upper": "3", "left_closed": true, "right_closed": true}}, {"id": "standard_debt_EBITDA_4", "lower": "3", "upper": "4", "left_closed": true, "right_closed": true, "score": {"lower": "4", "upper": "4", "left_closed": true, "right_closed": true}}, {"id": "standard_debt_EBITDA_5", "lower": "4", "upper": "5", "left_closed": true, "right_closed": true, "score": {"lower": "5", "upper": "5", "left_closed": true, "right_closed": true}}, {"id": "standard_debt_EBITDA_6", "lower": "5", "upper": null, "left_closed": false, "right_closed": false, "score": {"lower": "6", "upper": "6", "left_closed": true, "right_closed": true}}]}</t>
  </si>
  <si>
    <t>["standard_debt_EBITDA_6"]</t>
  </si>
  <si>
    <t>r109_base_medial_debt_EBITDA_category</t>
  </si>
  <si>
    <t>medial_debt_EBITDA numerical category</t>
  </si>
  <si>
    <t>{"id": "r109_base_medial_debt_EBITDA_category", "evidence": ["E_R109_FRP_TABLE"], "note": "Exact transcription of original table ranges; no endpoint tie-break invented.", "mode": "numeric_band", "input_ref": "r109_base_medial_debt_EBITDA_category_ratio", "threshold_scale": "1", "bands": [{"id": "medial_debt_EBITDA_1", "lower": null, "upper": "1.75", "left_closed": false, "right_closed": false, "score": {"lower": "1", "upper": "1", "left_closed": true, "right_closed": true}}, {"id": "medial_debt_EBITDA_2", "lower": "1.75", "upper": "2.5", "left_closed": true, "right_closed": true, "score": {"lower": "2", "upper": "2", "left_closed": true, "right_closed": true}}, {"id": "medial_debt_EBITDA_3", "lower": "2.5", "upper": "3.5", "left_closed": true, "right_closed": true, "score": {"lower": "3", "upper": "3", "left_closed": true, "right_closed": true}}, {"id": "medial_debt_EBITDA_4", "lower": "3.5", "upper": "4.5", "left_closed": true, "right_closed": true, "score": {"lower": "4", "upper": "4", "left_closed": true, "right_closed": true}}, {"id": "medial_debt_EBITDA_5", "lower": "4.5", "upper": "5.5", "left_closed": true, "right_closed": true, "score": {"lower": "5", "upper": "5", "left_closed": true, "right_closed": true}}, {"id": "medial_debt_EBITDA_6", "lower": "5.5", "upper": null, "left_closed": false, "right_closed": false, "score": {"lower": "6", "upper": "6", "left_closed": true, "right_closed": true}}]}</t>
  </si>
  <si>
    <t>["medial_debt_EBITDA_6"]</t>
  </si>
  <si>
    <t>r109_base_low_debt_EBITDA_category</t>
  </si>
  <si>
    <t>low_debt_EBITDA numerical category</t>
  </si>
  <si>
    <t>{"id": "r109_base_low_debt_EBITDA_category", "evidence": ["E_R109_FRP_TABLE"], "note": "Exact transcription of original table ranges; no endpoint tie-break invented.", "mode": "numeric_band", "input_ref": "r109_base_low_debt_EBITDA_category_ratio", "threshold_scale": "1", "bands": [{"id": "low_debt_EBITDA_1", "lower": null, "upper": "2", "left_closed": false, "right_closed": false, "score": {"lower": "1", "upper": "1", "left_closed": true, "right_closed": true}}, {"id": "low_debt_EBITDA_2", "lower": "2", "upper": "3", "left_closed": true, "right_closed": true, "score": {"lower": "2", "upper": "2", "left_closed": true, "right_closed": true}}, {"id": "low_debt_EBITDA_3", "lower": "3", "upper": "4", "left_closed": true, "right_closed": true, "score": {"lower": "3", "upper": "3", "left_closed": true, "right_closed": true}}, {"id": "low_debt_EBITDA_4", "lower": "4", "upper": "5", "left_closed": true, "right_closed": true, "score": {"lower": "4", "upper": "4", "left_closed": true, "right_closed": true}}, {"id": "low_debt_EBITDA_5", "lower": "5", "upper": "6", "left_closed": true, "right_closed": true, "score": {"lower": "5", "upper": "5", "left_closed": true, "right_closed": true}}, {"id": "low_debt_EBITDA_6", "lower": "6", "upper": null, "left_closed": false, "right_closed": false, "score": {"lower": "6", "upper": "6", "left_closed": true, "right_closed": true}}]}</t>
  </si>
  <si>
    <t>["low_debt_EBITDA_6"]</t>
  </si>
  <si>
    <t>r109_base_debt_EBITDA_117</t>
  </si>
  <si>
    <t>base conditional paragraph117 indicative debt_EBITDA</t>
  </si>
  <si>
    <t>6.961001532576893224835070016</t>
  </si>
  <si>
    <t>r109_base_FFO_cash_interest_coverage_120</t>
  </si>
  <si>
    <t>base indicative FFO_cash_interest_coverage</t>
  </si>
  <si>
    <t>3.189622247714188768911866308</t>
  </si>
  <si>
    <t>Mean of original Q_crown_forward scenario yearly ratios</t>
  </si>
  <si>
    <t>r109_base_FFO_cash_interest_coverage_category</t>
  </si>
  <si>
    <t>standard_FFO_cash_interest numerical category</t>
  </si>
  <si>
    <t>{"id": "r109_base_FFO_cash_interest_coverage_category", "evidence": ["E_R109_FRP_TABLE"], "note": "Exact transcription of original table ranges; no endpoint tie-break invented.", "mode": "numeric_band", "input_ref": "r109_base_FFO_cash_interest_coverage_category_ratio", "threshold_scale": "1", "bands": [{"id": "standard_FFO_cash_interest_1", "lower": "13", "upper": null, "left_closed": false, "right_closed": false, "score": {"lower": "1", "upper": "1", "left_closed": true, "right_closed": true}}, {"id": "standard_FFO_cash_interest_2", "lower": "9", "upper": "13", "left_closed": true, "right_closed": true, "score": {"lower": "2", "upper": "2", "left_closed": true, "right_closed": true}}, {"id": "standard_FFO_cash_interest_3", "lower": "6", "upper": "9", "left_closed": true, "right_closed": true, "score": {"lower": "3", "upper": "3", "left_closed": true, "right_closed": true}}, {"id": "standard_FFO_cash_interest_4", "lower": "4", "upper": "6", "left_closed": true, "right_closed": true, "score": {"lower": "4", "upper": "4", "left_closed": true, "right_closed": true}}, {"id": "standard_FFO_cash_interest_5", "lower": "2", "upper": "4", "left_closed": true, "right_closed": true, "score": {"lower": "5", "upper": "5", "left_closed": true, "right_closed": true}}, {"id": "standard_FFO_cash_interest_6", "lower": null, "upper": "2", "left_closed": false, "right_closed": false, "score": {"lower": "6", "upper": "6", "left_closed": true, "right_closed": true}}]}</t>
  </si>
  <si>
    <t>["standard_FFO_cash_interest_5"]</t>
  </si>
  <si>
    <t>r109_base_EBITDA_interest_coverage_120</t>
  </si>
  <si>
    <t>base indicative EBITDA_interest_coverage</t>
  </si>
  <si>
    <t>3.039320966222181028478973252</t>
  </si>
  <si>
    <t>r109_base_EBITDA_interest_coverage_category</t>
  </si>
  <si>
    <t>standard_EBITDA_interest numerical category</t>
  </si>
  <si>
    <t>{"id": "r109_base_EBITDA_interest_coverage_category", "evidence": ["E_R109_FRP_TABLE"], "note": "Exact transcription of original table ranges; no endpoint tie-break invented.", "mode": "numeric_band", "input_ref": "r109_base_EBITDA_interest_coverage_category_ratio", "threshold_scale": "1", "bands": [{"id": "standard_EBITDA_interest_1", "lower": "15", "upper": null, "left_closed": false, "right_closed": false, "score": {"lower": "1", "upper": "1", "left_closed": true, "right_closed": true}}, {"id": "standard_EBITDA_interest_2", "lower": "10", "upper": "15", "left_closed": true, "right_closed": true, "score": {"lower": "2", "upper": "2", "left_closed": true, "right_closed": true}}, {"id": "standard_EBITDA_interest_3", "lower": "6", "upper": "10", "left_closed": true, "right_closed": true, "score": {"lower": "3", "upper": "3", "left_closed": true, "right_closed": true}}, {"id": "standard_EBITDA_interest_4", "lower": "3", "upper": "6", "left_closed": true, "right_closed": true, "score": {"lower": "4", "upper": "4", "left_closed": true, "right_closed": true}}, {"id": "standard_EBITDA_interest_5", "lower": "2", "upper": "3", "left_closed": true, "right_closed": true, "score": {"lower": "5", "upper": "5", "left_closed": true, "right_closed": true}}, {"id": "standard_EBITDA_interest_6", "lower": null, "upper": "2", "left_closed": false, "right_closed": false, "score": {"lower": "6", "upper": "6", "left_closed": true, "right_closed": true}}]}</t>
  </si>
  <si>
    <t>["standard_EBITDA_interest_4"]</t>
  </si>
  <si>
    <t>r109_base_CFO_debt_120</t>
  </si>
  <si>
    <t>base indicative CFO_debt</t>
  </si>
  <si>
    <t>0.09820493944514345782152954688</t>
  </si>
  <si>
    <t>r109_base_CFO_debt_category</t>
  </si>
  <si>
    <t>standard_CFO_debt numerical category</t>
  </si>
  <si>
    <t>{"id": "r109_base_CFO_debt_category", "evidence": ["E_R109_FRP_TABLE"], "note": "Exact transcription of original table ranges; no endpoint tie-break invented.", "mode": "numeric_band", "input_ref": "r109_base_CFO_debt_category_ratio", "threshold_scale": ".01", "bands": [{"id": "standard_CFO_debt_1", "lower": "50", "upper": null, "left_closed": true, "right_closed": false, "score": {"lower": "1", "upper": "1", "left_closed": true, "right_closed": true}}, {"id": "standard_CFO_debt_2", "lower": "35", "upper": "50", "left_closed": true, "right_closed": true, "score": {"lower": "2", "upper": "2", "left_closed": true, "right_closed": true}}, {"id": "standard_CFO_debt_3", "lower": "25", "upper": "35", "left_closed": true, "right_closed": true, "score": {"lower": "3", "upper": "3", "left_closed": true, "right_closed": true}}, {"id": "standard_CFO_debt_4", "lower": "15", "upper": "25", "left_closed": true, "right_closed": true, "score": {"lower": "4", "upper": "4", "left_closed": true, "right_closed": true}}, {"id": "standard_CFO_debt_5", "lower": "10", "upper": "15", "left_closed": true, "right_closed": true, "score": {"lower": "5", "upper": "5", "left_closed": true, "right_closed": true}}, {"id": "standard_CFO_debt_6", "lower": null, "upper": "10", "left_closed": false, "right_closed": false, "score": {"lower": "6", "upper": "6", "left_closed": true, "right_closed": true}}]}</t>
  </si>
  <si>
    <t>["standard_CFO_debt_6"]</t>
  </si>
  <si>
    <t>r109_base_FOCF_debt_120</t>
  </si>
  <si>
    <t>base indicative FOCF_debt</t>
  </si>
  <si>
    <t>0.08836585955452681244999063389</t>
  </si>
  <si>
    <t>r109_base_FOCF_debt_category</t>
  </si>
  <si>
    <t>standard_FOCF_debt numerical category</t>
  </si>
  <si>
    <t>{"id": "r109_base_FOCF_debt_category", "evidence": ["E_R109_FRP_TABLE"], "note": "Exact transcription of original table ranges; no endpoint tie-break invented.", "mode": "numeric_band", "input_ref": "r109_base_FOCF_debt_category_ratio", "threshold_scale": ".01", "bands": [{"id": "standard_FOCF_debt_1", "lower": "40", "upper": null, "left_closed": true, "right_closed": false, "score": {"lower": "1", "upper": "1", "left_closed": true, "right_closed": true}}, {"id": "standard_FOCF_debt_2", "lower": "25", "upper": "40", "left_closed": true, "right_closed": true, "score": {"lower": "2", "upper": "2", "left_closed": true, "right_closed": true}}, {"id": "standard_FOCF_debt_3", "lower": "15", "upper": "25", "left_closed": true, "right_closed": true, "score": {"lower": "3", "upper": "3", "left_closed": true, "right_closed": true}}, {"id": "standard_FOCF_debt_4", "lower": "10", "upper": "15", "left_closed": true, "right_closed": true, "score": {"lower": "4", "upper": "4", "left_closed": true, "right_closed": true}}, {"id": "standard_FOCF_debt_5", "lower": "5", "upper": "10", "left_closed": true, "right_closed": true, "score": {"lower": "5", "upper": "5", "left_closed": true, "right_closed": true}}, {"id": "standard_FOCF_debt_6", "lower": null, "upper": "5", "left_closed": false, "right_closed": false, "score": {"lower": "6", "upper": "6", "left_closed": true, "right_closed": true}}]}</t>
  </si>
  <si>
    <t>["standard_FOCF_debt_5"]</t>
  </si>
  <si>
    <t>r109_base_DCF_debt_120</t>
  </si>
  <si>
    <t>base indicative DCF_debt</t>
  </si>
  <si>
    <t>-0.01410390035531623938047584437</t>
  </si>
  <si>
    <t>r109_base_DCF_debt_category</t>
  </si>
  <si>
    <t>standard_DCF_debt numerical category</t>
  </si>
  <si>
    <t>{"id": "r109_base_DCF_debt_category", "evidence": ["E_R109_FRP_TABLE"], "note": "Exact transcription of original table ranges; no endpoint tie-break invented.", "mode": "numeric_band", "input_ref": "r109_base_DCF_debt_category_ratio", "threshold_scale": ".01", "bands": [{"id": "standard_DCF_debt_1", "lower": "25", "upper": null, "left_closed": true, "right_closed": false, "score": {"lower": "1", "upper": "1", "left_closed": true, "right_closed": true}}, {"id": "standard_DCF_debt_2", "lower": "15", "upper": "25", "left_closed": true, "right_closed": true, "score": {"lower": "2", "upper": "2", "left_closed": true, "right_closed": true}}, {"id": "standard_DCF_debt_3", "lower": "10", "upper": "15", "left_closed": true, "right_closed": true, "score": {"lower": "3", "upper": "3", "left_closed": true, "right_closed": true}}, {"id": "standard_DCF_debt_4", "lower": "5", "upper": "10", "left_closed": true, "right_closed": true, "score": {"lower": "4", "upper": "4", "left_closed": true, "right_closed": true}}, {"id": "standard_DCF_debt_5", "lower": "2", "upper": "5", "left_closed": true, "right_closed": true, "score": {"lower": "5", "upper": "5", "left_closed": true, "right_closed": true}}, {"id": "standard_DCF_debt_6", "lower": null, "upper": "2", "left_closed": false, "right_closed": false, "score": {"lower": "6", "upper": "6", "left_closed": true, "right_closed": true}}]}</t>
  </si>
  <si>
    <t>["standard_DCF_debt_6"]</t>
  </si>
  <si>
    <t>r109_base_DCF_2026</t>
  </si>
  <si>
    <t>base 2026 DCF</t>
  </si>
  <si>
    <t>Direct observation of original Q_crown_forward existing row.result; no new Fact</t>
  </si>
  <si>
    <t>r109_base_DCF_2027</t>
  </si>
  <si>
    <t>base 2027 DCF</t>
  </si>
  <si>
    <t>r109_base_DCF_2028</t>
  </si>
  <si>
    <t>base 2028 DCF</t>
  </si>
  <si>
    <t>r109_joint_stress_FFO_debt_120</t>
  </si>
  <si>
    <t>joint_stress paragraph120 indicative FFO_debt</t>
  </si>
  <si>
    <t>0.09376674396163933491409123772</t>
  </si>
  <si>
    <t>r109_joint_stress_standard_FFO_debt_category</t>
  </si>
  <si>
    <t>{"id": "r109_joint_stress_standard_FFO_debt_category", "evidence": ["E_R109_FRP_TABLE"], "note": "Exact transcription of original table ranges; no endpoint tie-break invented.", "mode": "numeric_band", "input_ref": "r109_joint_stress_standard_FFO_debt_category_ratio", "threshold_scale": ".01", "bands": [{"id": "standard_FFO_debt_1", "lower": "60", "upper": null, "left_closed": true, "right_closed": false, "score": {"lower": "1", "upper": "1", "left_closed": true, "right_closed": true}}, {"id": "standard_FFO_debt_2", "lower": "45", "upper": "60", "left_closed": true, "right_closed": true, "score": {"lower": "2", "upper": "2", "left_closed": true, "right_closed": true}}, {"id": "standard_FFO_debt_3", "lower": "30", "upper": "45", "left_closed": true, "right_closed": true, "score": {"lower": "3", "upper": "3", "left_closed": true, "right_closed": true}}, {"id": "standard_FFO_debt_4", "lower": "20", "upper": "30", "left_closed": true, "right_closed": true, "score": {"lower": "4", "upper": "4", "left_closed": true, "right_closed": true}}, {"id": "standard_FFO_debt_5", "lower": "12", "upper": "20", "left_closed": true, "right_closed": true, "score": {"lower": "5", "upper": "5", "left_closed": true, "right_closed": true}}, {"id": "standard_FFO_debt_6", "lower": null, "upper": "12", "left_closed": false, "right_closed": false, "score": {"lower": "6", "upper": "6", "left_closed": true, "right_closed": true}}]}</t>
  </si>
  <si>
    <t>r109_joint_stress_medial_FFO_debt_category</t>
  </si>
  <si>
    <t>{"id": "r109_joint_stress_medial_FFO_debt_category", "evidence": ["E_R109_FRP_TABLE"], "note": "Exact transcription of original table ranges; no endpoint tie-break invented.", "mode": "numeric_band", "input_ref": "r109_joint_stress_medial_FFO_debt_category_ratio", "threshold_scale": ".01", "bands": [{"id": "medial_FFO_debt_1", "lower": "50", "upper": null, "left_closed": true, "right_closed": false, "score": {"lower": "1", "upper": "1", "left_closed": true, "right_closed": true}}, {"id": "medial_FFO_debt_2", "lower": "35", "upper": "50", "left_closed": true, "right_closed": true, "score": {"lower": "2", "upper": "2", "left_closed": true, "right_closed": true}}, {"id": "medial_FFO_debt_3", "lower": "23", "upper": "35", "left_closed": true, "right_closed": true, "score": {"lower": "3", "upper": "3", "left_closed": true, "right_closed": true}}, {"id": "medial_FFO_debt_4", "lower": "13", "upper": "23", "left_closed": true, "right_closed": true, "score": {"lower": "4", "upper": "4", "left_closed": true, "right_closed": true}}, {"id": "medial_FFO_debt_5", "lower": "9", "upper": "13", "left_closed": true, "right_closed": true, "score": {"lower": "5", "upper": "5", "left_closed": true, "right_closed": true}}, {"id": "medial_FFO_debt_6", "lower": null, "upper": "9", "left_closed": false, "right_closed": false, "score": {"lower": "6", "upper": "6", "left_closed": true, "right_closed": true}}]}</t>
  </si>
  <si>
    <t>r109_joint_stress_low_FFO_debt_category</t>
  </si>
  <si>
    <t>{"id": "r109_joint_stress_low_FFO_debt_category", "evidence": ["E_R109_FRP_TABLE"], "note": "Exact transcription of original table ranges; no endpoint tie-break invented.", "mode": "numeric_band", "input_ref": "r109_joint_stress_low_FFO_debt_category_ratio", "threshold_scale": ".01", "bands": [{"id": "low_FFO_debt_1", "lower": "35", "upper": null, "left_closed": true, "right_closed": false, "score": {"lower": "1", "upper": "1", "left_closed": true, "right_closed": true}}, {"id": "low_FFO_debt_2", "lower": "23", "upper": "35", "left_closed": true, "right_closed": true, "score": {"lower": "2", "upper": "2", "left_closed": true, "right_closed": true}}, {"id": "low_FFO_debt_3", "lower": "13", "upper": "23", "left_closed": true, "right_closed": true, "score": {"lower": "3", "upper": "3", "left_closed": true, "right_closed": true}}, {"id": "low_FFO_debt_4", "lower": "9", "upper": "13", "left_closed": true, "right_closed": true, "score": {"lower": "4", "upper": "4", "left_closed": true, "right_closed": true}}, {"id": "low_FFO_debt_5", "lower": "6", "upper": "9", "left_closed": true, "right_closed": true, "score": {"lower": "5", "upper": "5", "left_closed": true, "right_closed": true}}, {"id": "low_FFO_debt_6", "lower": null, "upper": "6", "left_closed": false, "right_closed": false, "score": {"lower": "6", "upper": "6", "left_closed": true, "right_closed": true}}]}</t>
  </si>
  <si>
    <t>r109_joint_stress_FFO_debt_117</t>
  </si>
  <si>
    <t>joint_stress conditional paragraph117 indicative FFO_debt</t>
  </si>
  <si>
    <t>0.09085150168904013667661844162</t>
  </si>
  <si>
    <t>r109_joint_stress_debt_EBITDA_120</t>
  </si>
  <si>
    <t>joint_stress paragraph120 indicative debt_EBITDA</t>
  </si>
  <si>
    <t>7.175947890986542697964846898</t>
  </si>
  <si>
    <t>r109_joint_stress_standard_debt_EBITDA_category</t>
  </si>
  <si>
    <t>{"id": "r109_joint_stress_standard_debt_EBITDA_category", "evidence": ["E_R109_FRP_TABLE"], "note": "Exact transcription of original table ranges; no endpoint tie-break invented.", "mode": "numeric_band", "input_ref": "r109_joint_stress_standard_debt_EBITDA_category_ratio", "threshold_scale": "1", "bands": [{"id": "standard_debt_EBITDA_1", "lower": null, "upper": "1.5", "left_closed": false, "right_closed": false, "score": {"lower": "1", "upper": "1", "left_closed": true, "right_closed": true}}, {"id": "standard_debt_EBITDA_2", "lower": "1.5", "upper": "2", "left_closed": true, "right_closed": true, "score": {"lower": "2", "upper": "2", "left_closed": true, "right_closed": true}}, {"id": "standard_debt_EBITDA_3", "lower": "2", "upper": "3", "left_closed": true, "right_closed": true, "score": {"lower": "3", "upper": "3", "left_closed": true, "right_closed": true}}, {"id": "standard_debt_EBITDA_4", "lower": "3", "upper": "4", "left_closed": true, "right_closed": true, "score": {"lower": "4", "upper": "4", "left_closed": true, "right_closed": true}}, {"id": "standard_debt_EBITDA_5", "lower": "4", "upper": "5", "left_closed": true, "right_closed": true, "score": {"lower": "5", "upper": "5", "left_closed": true, "right_closed": true}}, {"id": "standard_debt_EBITDA_6", "lower": "5", "upper": null, "left_closed": false, "right_closed": false, "score": {"lower": "6", "upper": "6", "left_closed": true, "right_closed": true}}]}</t>
  </si>
  <si>
    <t>r109_joint_stress_medial_debt_EBITDA_category</t>
  </si>
  <si>
    <t>{"id": "r109_joint_stress_medial_debt_EBITDA_category", "evidence": ["E_R109_FRP_TABLE"], "note": "Exact transcription of original table ranges; no endpoint tie-break invented.", "mode": "numeric_band", "input_ref": "r109_joint_stress_medial_debt_EBITDA_category_ratio", "threshold_scale": "1", "bands": [{"id": "medial_debt_EBITDA_1", "lower": null, "upper": "1.75", "left_closed": false, "right_closed": false, "score": {"lower": "1", "upper": "1", "left_closed": true, "right_closed": true}}, {"id": "medial_debt_EBITDA_2", "lower": "1.75", "upper": "2.5", "left_closed": true, "right_closed": true, "score": {"lower": "2", "upper": "2", "left_closed": true, "right_closed": true}}, {"id": "medial_debt_EBITDA_3", "lower": "2.5", "upper": "3.5", "left_closed": true, "right_closed": true, "score": {"lower": "3", "upper": "3", "left_closed": true, "right_closed": true}}, {"id": "medial_debt_EBITDA_4", "lower": "3.5", "upper": "4.5", "left_closed": true, "right_closed": true, "score": {"lower": "4", "upper": "4", "left_closed": true, "right_closed": true}}, {"id": "medial_debt_EBITDA_5", "lower": "4.5", "upper": "5.5", "left_closed": true, "right_closed": true, "score": {"lower": "5", "upper": "5", "left_closed": true, "right_closed": true}}, {"id": "medial_debt_EBITDA_6", "lower": "5.5", "upper": null, "left_closed": false, "right_closed": false, "score": {"lower": "6", "upper": "6", "left_closed": true, "right_closed": true}}]}</t>
  </si>
  <si>
    <t>r109_joint_stress_low_debt_EBITDA_category</t>
  </si>
  <si>
    <t>{"id": "r109_joint_stress_low_debt_EBITDA_category", "evidence": ["E_R109_FRP_TABLE"], "note": "Exact transcription of original table ranges; no endpoint tie-break invented.", "mode": "numeric_band", "input_ref": "r109_joint_stress_low_debt_EBITDA_category_ratio", "threshold_scale": "1", "bands": [{"id": "low_debt_EBITDA_1", "lower": null, "upper": "2", "left_closed": false, "right_closed": false, "score": {"lower": "1", "upper": "1", "left_closed": true, "right_closed": true}}, {"id": "low_debt_EBITDA_2", "lower": "2", "upper": "3", "left_closed": true, "right_closed": true, "score": {"lower": "2", "upper": "2", "left_closed": true, "right_closed": true}}, {"id": "low_debt_EBITDA_3", "lower": "3", "upper": "4", "left_closed": true, "right_closed": true, "score": {"lower": "3", "upper": "3", "left_closed": true, "right_closed": true}}, {"id": "low_debt_EBITDA_4", "lower": "4", "upper": "5", "left_closed": true, "right_closed": true, "score": {"lower": "4", "upper": "4", "left_closed": true, "right_closed": true}}, {"id": "low_debt_EBITDA_5", "lower": "5", "upper": "6", "left_closed": true, "right_closed": true, "score": {"lower": "5", "upper": "5", "left_closed": true, "right_closed": true}}, {"id": "low_debt_EBITDA_6", "lower": "6", "upper": null, "left_closed": false, "right_closed": false, "score": {"lower": "6", "upper": "6", "left_closed": true, "right_closed": true}}]}</t>
  </si>
  <si>
    <t>r109_joint_stress_debt_EBITDA_117</t>
  </si>
  <si>
    <t>joint_stress conditional paragraph117 indicative debt_EBITDA</t>
  </si>
  <si>
    <t>7.297638231002218380296355821</t>
  </si>
  <si>
    <t>r109_joint_stress_FFO_cash_interest_coverage_120</t>
  </si>
  <si>
    <t>joint_stress indicative FFO_cash_interest_coverage</t>
  </si>
  <si>
    <t>3.088026536389912906860402674</t>
  </si>
  <si>
    <t>r109_joint_stress_FFO_cash_interest_coverage_category</t>
  </si>
  <si>
    <t>{"id": "r109_joint_stress_FFO_cash_interest_coverage_category", "evidence": ["E_R109_FRP_TABLE"], "note": "Exact transcription of original table ranges; no endpoint tie-break invented.", "mode": "numeric_band", "input_ref": "r109_joint_stress_FFO_cash_interest_coverage_category_ratio", "threshold_scale": "1", "bands": [{"id": "standard_FFO_cash_interest_1", "lower": "13", "upper": null, "left_closed": false, "right_closed": false, "score": {"lower": "1", "upper": "1", "left_closed": true, "right_closed": true}}, {"id": "standard_FFO_cash_interest_2", "lower": "9", "upper": "13", "left_closed": true, "right_closed": true, "score": {"lower": "2", "upper": "2", "left_closed": true, "right_closed": true}}, {"id": "standard_FFO_cash_interest_3", "lower": "6", "upper": "9", "left_closed": true, "right_closed": true, "score": {"lower": "3", "upper": "3", "left_closed": true, "right_closed": true}}, {"id": "standard_FFO_cash_interest_4", "lower": "4", "upper": "6", "left_closed": true, "right_closed": true, "score": {"lower": "4", "upper": "4", "left_closed": true, "right_closed": true}}, {"id": "standard_FFO_cash_interest_5", "lower": "2", "upper": "4", "left_closed": true, "right_closed": true, "score": {"lower": "5", "upper": "5", "left_closed": true, "right_closed": true}}, {"id": "standard_FFO_cash_interest_6", "lower": null, "upper": "2", "left_closed": false, "right_closed": false, "score": {"lower": "6", "upper": "6", "left_closed": true, "right_closed": true}}]}</t>
  </si>
  <si>
    <t>r109_joint_stress_EBITDA_interest_coverage_120</t>
  </si>
  <si>
    <t>joint_stress indicative EBITDA_interest_coverage</t>
  </si>
  <si>
    <t>2.945210007966468909352326072</t>
  </si>
  <si>
    <t>r109_joint_stress_EBITDA_interest_coverage_category</t>
  </si>
  <si>
    <t>{"id": "r109_joint_stress_EBITDA_interest_coverage_category", "evidence": ["E_R109_FRP_TABLE"], "note": "Exact transcription of original table ranges; no endpoint tie-break invented.", "mode": "numeric_band", "input_ref": "r109_joint_stress_EBITDA_interest_coverage_category_ratio", "threshold_scale": "1", "bands": [{"id": "standard_EBITDA_interest_1", "lower": "15", "upper": null, "left_closed": false, "right_closed": false, "score": {"lower": "1", "upper": "1", "left_closed": true, "right_closed": true}}, {"id": "standard_EBITDA_interest_2", "lower": "10", "upper": "15", "left_closed": true, "right_closed": true, "score": {"lower": "2", "upper": "2", "left_closed": true, "right_closed": true}}, {"id": "standard_EBITDA_interest_3", "lower": "6", "upper": "10", "left_closed": true, "right_closed": true, "score": {"lower": "3", "upper": "3", "left_closed": true, "right_closed": true}}, {"id": "standard_EBITDA_interest_4", "lower": "3", "upper": "6", "left_closed": true, "right_closed": true, "score": {"lower": "4", "upper": "4", "left_closed": true, "right_closed": true}}, {"id": "standard_EBITDA_interest_5", "lower": "2", "upper": "3", "left_closed": true, "right_closed": true, "score": {"lower": "5", "upper": "5", "left_closed": true, "right_closed": true}}, {"id": "standard_EBITDA_interest_6", "lower": null, "upper": "2", "left_closed": false, "right_closed": false, "score": {"lower": "6", "upper": "6", "left_closed": true, "right_closed": true}}]}</t>
  </si>
  <si>
    <t>["standard_EBITDA_interest_5"]</t>
  </si>
  <si>
    <t>r109_joint_stress_CFO_debt_120</t>
  </si>
  <si>
    <t>joint_stress indicative CFO_debt</t>
  </si>
  <si>
    <t>0.09489740910797453070921881651</t>
  </si>
  <si>
    <t>r109_joint_stress_CFO_debt_category</t>
  </si>
  <si>
    <t>{"id": "r109_joint_stress_CFO_debt_category", "evidence": ["E_R109_FRP_TABLE"], "note": "Exact transcription of original table ranges; no endpoint tie-break invented.", "mode": "numeric_band", "input_ref": "r109_joint_stress_CFO_debt_category_ratio", "threshold_scale": ".01", "bands": [{"id": "standard_CFO_debt_1", "lower": "50", "upper": null, "left_closed": true, "right_closed": false, "score": {"lower": "1", "upper": "1", "left_closed": true, "right_closed": true}}, {"id": "standard_CFO_debt_2", "lower": "35", "upper": "50", "left_closed": true, "right_closed": true, "score": {"lower": "2", "upper": "2", "left_closed": true, "right_closed": true}}, {"id": "standard_CFO_debt_3", "lower": "25", "upper": "35", "left_closed": true, "right_closed": true, "score": {"lower": "3", "upper": "3", "left_closed": true, "right_closed": true}}, {"id": "standard_CFO_debt_4", "lower": "15", "upper": "25", "left_closed": true, "right_closed": true, "score": {"lower": "4", "upper": "4", "left_closed": true, "right_closed": true}}, {"id": "standard_CFO_debt_5", "lower": "10", "upper": "15", "left_closed": true, "right_closed": true, "score": {"lower": "5", "upper": "5", "left_closed": true, "right_closed": true}}, {"id": "standard_CFO_debt_6", "lower": null, "upper": "10", "left_closed": false, "right_closed": false, "score": {"lower": "6", "upper": "6", "left_closed": true, "right_closed": true}}]}</t>
  </si>
  <si>
    <t>r109_joint_stress_FOCF_debt_120</t>
  </si>
  <si>
    <t>joint_stress indicative FOCF_debt</t>
  </si>
  <si>
    <t>0.08508785942181662056842661027</t>
  </si>
  <si>
    <t>r109_joint_stress_FOCF_debt_category</t>
  </si>
  <si>
    <t>{"id": "r109_joint_stress_FOCF_debt_category", "evidence": ["E_R109_FRP_TABLE"], "note": "Exact transcription of original table ranges; no endpoint tie-break invented.", "mode": "numeric_band", "input_ref": "r109_joint_stress_FOCF_debt_category_ratio", "threshold_scale": ".01", "bands": [{"id": "standard_FOCF_debt_1", "lower": "40", "upper": null, "left_closed": true, "right_closed": false, "score": {"lower": "1", "upper": "1", "left_closed": true, "right_closed": true}}, {"id": "standard_FOCF_debt_2", "lower": "25", "upper": "40", "left_closed": true, "right_closed": true, "score": {"lower": "2", "upper": "2", "left_closed": true, "right_closed": true}}, {"id": "standard_FOCF_debt_3", "lower": "15", "upper": "25", "left_closed": true, "right_closed": true, "score": {"lower": "3", "upper": "3", "left_closed": true, "right_closed": true}}, {"id": "standard_FOCF_debt_4", "lower": "10", "upper": "15", "left_closed": true, "right_closed": true, "score": {"lower": "4", "upper": "4", "left_closed": true, "right_closed": true}}, {"id": "standard_FOCF_debt_5", "lower": "5", "upper": "10", "left_closed": true, "right_closed": true, "score": {"lower": "5", "upper": "5", "left_closed": true, "right_closed": true}}, {"id": "standard_FOCF_debt_6", "lower": null, "upper": "5", "left_closed": false, "right_closed": false, "score": {"lower": "6", "upper": "6", "left_closed": true, "right_closed": true}}]}</t>
  </si>
  <si>
    <t>r109_joint_stress_DCF_debt_120</t>
  </si>
  <si>
    <t>joint_stress indicative DCF_debt</t>
  </si>
  <si>
    <t>-0.01714260739789581344222238780</t>
  </si>
  <si>
    <t>r109_joint_stress_DCF_debt_category</t>
  </si>
  <si>
    <t>{"id": "r109_joint_stress_DCF_debt_category", "evidence": ["E_R109_FRP_TABLE"], "note": "Exact transcription of original table ranges; no endpoint tie-break invented.", "mode": "numeric_band", "input_ref": "r109_joint_stress_DCF_debt_category_ratio", "threshold_scale": ".01", "bands": [{"id": "standard_DCF_debt_1", "lower": "25", "upper": null, "left_closed": true, "right_closed": false, "score": {"lower": "1", "upper": "1", "left_closed": true, "right_closed": true}}, {"id": "standard_DCF_debt_2", "lower": "15", "upper": "25", "left_closed": true, "right_closed": true, "score": {"lower": "2", "upper": "2", "left_closed": true, "right_closed": true}}, {"id": "standard_DCF_debt_3", "lower": "10", "upper": "15", "left_closed": true, "right_closed": true, "score": {"lower": "3", "upper": "3", "left_closed": true, "right_closed": true}}, {"id": "standard_DCF_debt_4", "lower": "5", "upper": "10", "left_closed": true, "right_closed": true, "score": {"lower": "4", "upper": "4", "left_closed": true, "right_closed": true}}, {"id": "standard_DCF_debt_5", "lower": "2", "upper": "5", "left_closed": true, "right_closed": true, "score": {"lower": "5", "upper": "5", "left_closed": true, "right_closed": true}}, {"id": "standard_DCF_debt_6", "lower": null, "upper": "2", "left_closed": false, "right_closed": false, "score": {"lower": "6", "upper": "6", "left_closed": true, "right_closed": true}}]}</t>
  </si>
  <si>
    <t>r109_joint_stress_DCF_2026</t>
  </si>
  <si>
    <t>joint_stress 2026 DCF</t>
  </si>
  <si>
    <t>r109_joint_stress_DCF_2027</t>
  </si>
  <si>
    <t>joint_stress 2027 DCF</t>
  </si>
  <si>
    <t>r109_joint_stress_DCF_2028</t>
  </si>
  <si>
    <t>joint_stress 2028 DCF</t>
  </si>
  <si>
    <t>r109_window_B0</t>
  </si>
  <si>
    <t>Jul2026-Jun2027 displayed uses subtotal</t>
  </si>
  <si>
    <t>4437.416666666666666666666667</t>
  </si>
  <si>
    <t>CAP+dividends+unprepaid fixed maturities+routine principal; additional/offset uses are U</t>
  </si>
  <si>
    <t>r109_window_JV_for_adequate</t>
  </si>
  <si>
    <t>Necessary June cash plus qualified facilities for A/B test</t>
  </si>
  <si>
    <t>3287.191983902128792812774616</t>
  </si>
  <si>
    <t>J+V &gt;=1.2*B0-CFO +1.2*U+0.2*W; W is negativeWC already deducted in CFO and restored to sourceFFO/uses; V excludes uncommitted market refinancing</t>
  </si>
  <si>
    <t>r109_window_WC_AB_coefficient</t>
  </si>
  <si>
    <t>A/B condition additional coefficient for negativeWC already in CFO</t>
  </si>
  <si>
    <t>0.2</t>
  </si>
  <si>
    <t>A=(J+CFO+W+V), B=(B0+U+W); hence additional coefficient (1.2-1)*W</t>
  </si>
  <si>
    <t>r109_window_JV_for_positive_stress</t>
  </si>
  <si>
    <t>Necessary June cash plus qualified facilities for positive stressed A-B</t>
  </si>
  <si>
    <t>2887.485213068795459479441283</t>
  </si>
  <si>
    <t>J+V &gt;B0-CFO+15% EBITDA loss +U+additional stress financing interest</t>
  </si>
  <si>
    <t>r109_window_nominal_pool_reference</t>
  </si>
  <si>
    <t>May1 nominal undrawn facility reference</t>
  </si>
  <si>
    <t>4460.6</t>
  </si>
  <si>
    <t>Commitments-LC; subtract actual June draws/LC changes and qualification restrictions before use as V</t>
  </si>
  <si>
    <t>r109_window_actual_AB</t>
  </si>
  <si>
    <t>Actual June-based A/B</t>
  </si>
  <si>
    <t>(J+CFO+W+qualifiedV)/(B0+U+W) under displayed CFO proxy; actual full FFO/WC and peak uses replace proxy when known</t>
  </si>
  <si>
    <t>r109_float_at100bp_coverage_boundary</t>
  </si>
  <si>
    <t>Equal annual floating principal at indicative coverage boundary under100bp shock</t>
  </si>
  <si>
    <t>1399.524002629322968950351633</t>
  </si>
  <si>
    <t>Solve0.5*E26/(I26+0.01*V)+0.5*E27/(I27+0.01*V)=3; same V bothyears explicit; annual-ratio mean retained</t>
  </si>
  <si>
    <t>r109_note_same_coupon_claim</t>
  </si>
  <si>
    <t>Specific note same-coupon six-month claim scenario</t>
  </si>
  <si>
    <t>510.000</t>
  </si>
  <si>
    <t>Face*(1+coupon*0.5); bullet prior to hypothetical default assumed refinanced; same coupon is explicit replacement scenario</t>
  </si>
  <si>
    <t>r109_note_30pct_distribution</t>
  </si>
  <si>
    <t>Specific note distribution needed for30% recovery</t>
  </si>
  <si>
    <t>153.0000</t>
  </si>
  <si>
    <t>0.30*specific note principal plus prepetition interest claim</t>
  </si>
  <si>
    <t>r109_note_10pct_distribution</t>
  </si>
  <si>
    <t>Specific note distribution needed for10% recovery</t>
  </si>
  <si>
    <t>51.0000</t>
  </si>
  <si>
    <t>0.10*specific note principal plus prepetition interest claim</t>
  </si>
  <si>
    <t>r109_towers_per_1000m_U_for30</t>
  </si>
  <si>
    <t>Qualified non-SPE tower equivalents per1000m unsecured claim for30%</t>
  </si>
  <si>
    <t>877.1929824561403508771929825</t>
  </si>
  <si>
    <t>0.30*1000/(0.36*0.95), before priority claims and other eligible value</t>
  </si>
  <si>
    <t>r109_towers_per_1000m_U_for10</t>
  </si>
  <si>
    <t>Qualified non-SPE tower equivalents per1000m unsecured claim for10%</t>
  </si>
  <si>
    <t>292.3976608187134502923976608</t>
  </si>
  <si>
    <t>0.10*1000/(0.36*0.95), before priority claims and other eligible value</t>
  </si>
  <si>
    <t>r109_towers_per_1m_priority</t>
  </si>
  <si>
    <t>Extra qualified tower equivalents per1m priority claim</t>
  </si>
  <si>
    <t>2.923976608187134502923976608</t>
  </si>
  <si>
    <t>1/(0.36*0.95)</t>
  </si>
  <si>
    <t>r109_actual_note_recovery</t>
  </si>
  <si>
    <t>Actual qualified-asset recovery</t>
  </si>
  <si>
    <t>clip((0.95*(0.36*N+EVother)-P)/U,0,1); N/U/P/EVother and U.S. jurisdiction ranking unverified</t>
  </si>
  <si>
    <t>Q_r109_crown_rating</t>
  </si>
  <si>
    <t>S&amp;P Corporate original Tables1/2/3/5/14-19/21-25; existing NumericBand/portion2.6.3; liquidity and recovery original clauses</t>
  </si>
  <si>
    <t>E_DEV_DI, E_DEV_CORP, E_R109_FRP_TABLE, E_R109_MODIFIERS, E_R109_LIQ, E_R109_RECOVERY, E_DEV_NOTE, E_DEV_CREDIT</t>
  </si>
  <si>
    <t>F_R109_W120_CURRENT, F_R109_W120_NEXT, F_R109_W117_CURRENT, F_R109_W117_NEXT, F_R109_W117_SECOND, fwd_base_FFO_debt_2026, fwd_base_FFO_debt_2027, fwd_base_FFO_debt_2028, fwd_base_debt_EBITDA_2026, fwd_base_debt_EBITDA_2027, fwd_base_debt_EBITDA_2028, fwd_joint_stress_FFO_debt_2026, fwd_joint_stress_FFO_debt_2027, fwd_joint_stress_FFO_debt_2028, fwd_joint_stress_debt_EBITDA_2026, fwd_joint_stress_debt_EBITDA_2027, fwd_joint_stress_debt_EBITDA_2028, fwd_base_window_capex_rolling12m, fwd_base_window_dividends_rolling12m, fwd_base_fixed_maturities_if_not_prepaid_rolling12m, fwd_base_routine_principal_proxy_rolling12m, fwd_base_window_CFO_rolling12m, fwd_base_cash_loss_if_weighted_method_EBITDA_declines_15pct_rolling12m, F_R109_LIQ_AB, newcommit, newlc, F_R109_COVERAGE_BOUNDARY, F_R109_RATE_100BP, F_DEV_NOTE_FACE, F_R109_NOTE_COUPON, F_R109_PREINTEREST_YEARS, F_R109_RECOVERY_30, F_R109_RECOVERY_10, F_R109_DAV_TOWER, F_R109_ADMIN_COST, F_R109_ELIGIBLE_NON_SPE_TOWERS, F_R109_PRIORITY_EAD, F_R109_UNSECURED_EAD, F_R109_OTHER_ELIGIBLE_EV, F_R109_RECOVERY_70, F_R109_WC_OUTFLOW_ALREADY_IN_CFO, F_DEV_BRP, C_DEV_CPGP</t>
  </si>
  <si>
    <t>BRP2 is an evidence-based research leaf, including average profitability and volatility3; not an issuer-reported score.
Standard primary table. FRP6 primary; FRP5 is at most one-category supplementary improvement conditional on sustainable distribution/funding evidence.
June liquidity uses the displayed Jul-Jun timing proxy plus unknown J/V/U. No unique liquidity descriptor is manufactured.
Neutral management/governance is only an explicit scenario; specialist method not verified. All letter outputs require the stated modifier/support/country conditions.
Tower DAV only for qualified non-SPE facility or transferable-right equivalents. A same-coupon replacement note claim is illustrative; no actual recovery estimate.</t>
  </si>
  <si>
    <t>NumericBand tests supplied tables and actual numbers; it does not decide qualitative applicability or generate issuer ratings.
Unverified management/governance methodology, current U.S. sovereign/T&amp;C and jurisdiction ranking remain scoped conditions.
Cash/CP/executed2100 allocation/June draws/covenant denominators and non-SPE asset/claim eligibility remain specific missing inputs.</t>
  </si>
  <si>
    <t>See quantitative-Q_r109_crown_rating.json input_snapshot and method version</t>
  </si>
  <si>
    <t>base paragraph120 indicative FFO_debt；artifact.rows[0].result；{"entity":"Crown Castle Inc. and subsidiaries","scope":"issuer_and_CCI_4pct_March2027_formation","start":null,"end":"2026-06-30","aggregation":"assumption","basis":"Supplied original S&amp;P tables and explicit issuer-specific assumptions","measure":"ratio","currency":null,"scale":"1","physical_unit":null}</t>
  </si>
  <si>
    <t>standard_FFO_debt numerical category；artifact.rows[1].result；{"entity":"Crown Castle Inc. and subsidiaries","scope":"issuer_and_CCI_4pct_March2027_formation","start":null,"end":"2026-06-30","aggregation":"assumption","basis":"Supplied original S&amp;P tables and explicit issuer-specific assumptions","measure":"count","currency":null,"scale":"1","physical_unit":"method category 1..6"}</t>
  </si>
  <si>
    <t>medial_FFO_debt numerical category；artifact.rows[2].result；{"entity":"Crown Castle Inc. and subsidiaries","scope":"issuer_and_CCI_4pct_March2027_formation","start":null,"end":"2026-06-30","aggregation":"assumption","basis":"Supplied original S&amp;P tables and explicit issuer-specific assumptions","measure":"count","currency":null,"scale":"1","physical_unit":"method category 1..6"}</t>
  </si>
  <si>
    <t>low_FFO_debt numerical category；artifact.rows[3].result；{"entity":"Crown Castle Inc. and subsidiaries","scope":"issuer_and_CCI_4pct_March2027_formation","start":null,"end":"2026-06-30","aggregation":"assumption","basis":"Supplied original S&amp;P tables and explicit issuer-specific assumptions","measure":"count","currency":null,"scale":"1","physical_unit":"method category 1..6"}</t>
  </si>
  <si>
    <t>base conditional paragraph117 indicative FFO_debt；artifact.rows[4].result；{"entity":"Crown Castle Inc. and subsidiaries","scope":"issuer_and_CCI_4pct_March2027_formation","start":null,"end":"2026-06-30","aggregation":"assumption","basis":"Supplied original S&amp;P tables and explicit issuer-specific assumptions","measure":"ratio","currency":null,"scale":"1","physical_unit":null}</t>
  </si>
  <si>
    <t>base paragraph120 indicative debt_EBITDA；artifact.rows[5].result；{"entity":"Crown Castle Inc. and subsidiaries","scope":"issuer_and_CCI_4pct_March2027_formation","start":null,"end":"2026-06-30","aggregation":"assumption","basis":"Supplied original S&amp;P tables and explicit issuer-specific assumptions","measure":"ratio","currency":null,"scale":"1","physical_unit":"times"}</t>
  </si>
  <si>
    <t>standard_debt_EBITDA numerical category；artifact.rows[6].result；{"entity":"Crown Castle Inc. and subsidiaries","scope":"issuer_and_CCI_4pct_March2027_formation","start":null,"end":"2026-06-30","aggregation":"assumption","basis":"Supplied original S&amp;P tables and explicit issuer-specific assumptions","measure":"count","currency":null,"scale":"1","physical_unit":"method category 1..6"}</t>
  </si>
  <si>
    <t>medial_debt_EBITDA numerical category；artifact.rows[7].result；{"entity":"Crown Castle Inc. and subsidiaries","scope":"issuer_and_CCI_4pct_March2027_formation","start":null,"end":"2026-06-30","aggregation":"assumption","basis":"Supplied original S&amp;P tables and explicit issuer-specific assumptions","measure":"count","currency":null,"scale":"1","physical_unit":"method category 1..6"}</t>
  </si>
  <si>
    <t>low_debt_EBITDA numerical category；artifact.rows[8].result；{"entity":"Crown Castle Inc. and subsidiaries","scope":"issuer_and_CCI_4pct_March2027_formation","start":null,"end":"2026-06-30","aggregation":"assumption","basis":"Supplied original S&amp;P tables and explicit issuer-specific assumptions","measure":"count","currency":null,"scale":"1","physical_unit":"method category 1..6"}</t>
  </si>
  <si>
    <t>base conditional paragraph117 indicative debt_EBITDA；artifact.rows[9].result；{"entity":"Crown Castle Inc. and subsidiaries","scope":"issuer_and_CCI_4pct_March2027_formation","start":null,"end":"2026-06-30","aggregation":"assumption","basis":"Supplied original S&amp;P tables and explicit issuer-specific assumptions","measure":"ratio","currency":null,"scale":"1","physical_unit":"times"}</t>
  </si>
  <si>
    <t>base indicative FFO_cash_interest_coverage；artifact.rows[10].result；{"entity":"Crown Castle Inc. and subsidiaries","scope":"issuer_and_CCI_4pct_March2027_formation","start":null,"end":"2026-06-30","aggregation":"assumption","basis":"Supplied original S&amp;P tables and explicit issuer-specific assumptions","measure":"ratio","currency":null,"scale":"1","physical_unit":"times"}</t>
  </si>
  <si>
    <t>standard_FFO_cash_interest numerical category；artifact.rows[11].result；{"entity":"Crown Castle Inc. and subsidiaries","scope":"issuer_and_CCI_4pct_March2027_formation","start":null,"end":"2026-06-30","aggregation":"assumption","basis":"Supplied original S&amp;P tables and explicit issuer-specific assumptions","measure":"count","currency":null,"scale":"1","physical_unit":"method category 1..6"}</t>
  </si>
  <si>
    <t>base indicative EBITDA_interest_coverage；artifact.rows[12].result；{"entity":"Crown Castle Inc. and subsidiaries","scope":"issuer_and_CCI_4pct_March2027_formation","start":null,"end":"2026-06-30","aggregation":"assumption","basis":"Supplied original S&amp;P tables and explicit issuer-specific assumptions","measure":"ratio","currency":null,"scale":"1","physical_unit":"times"}</t>
  </si>
  <si>
    <t>standard_EBITDA_interest numerical category；artifact.rows[13].result；{"entity":"Crown Castle Inc. and subsidiaries","scope":"issuer_and_CCI_4pct_March2027_formation","start":null,"end":"2026-06-30","aggregation":"assumption","basis":"Supplied original S&amp;P tables and explicit issuer-specific assumptions","measure":"count","currency":null,"scale":"1","physical_unit":"method category 1..6"}</t>
  </si>
  <si>
    <t>base indicative CFO_debt；artifact.rows[14].result；{"entity":"Crown Castle Inc. and subsidiaries","scope":"issuer_and_CCI_4pct_March2027_formation","start":null,"end":"2026-06-30","aggregation":"assumption","basis":"Supplied original S&amp;P tables and explicit issuer-specific assumptions","measure":"ratio","currency":null,"scale":"1","physical_unit":null}</t>
  </si>
  <si>
    <t>standard_CFO_debt numerical category；artifact.rows[15].result；{"entity":"Crown Castle Inc. and subsidiaries","scope":"issuer_and_CCI_4pct_March2027_formation","start":null,"end":"2026-06-30","aggregation":"assumption","basis":"Supplied original S&amp;P tables and explicit issuer-specific assumptions","measure":"count","currency":null,"scale":"1","physical_unit":"method category 1..6"}</t>
  </si>
  <si>
    <t>base indicative FOCF_debt；artifact.rows[16].result；{"entity":"Crown Castle Inc. and subsidiaries","scope":"issuer_and_CCI_4pct_March2027_formation","start":null,"end":"2026-06-30","aggregation":"assumption","basis":"Supplied original S&amp;P tables and explicit issuer-specific assumptions","measure":"ratio","currency":null,"scale":"1","physical_unit":null}</t>
  </si>
  <si>
    <t>standard_FOCF_debt numerical category；artifact.rows[17].result；{"entity":"Crown Castle Inc. and subsidiaries","scope":"issuer_and_CCI_4pct_March2027_formation","start":null,"end":"2026-06-30","aggregation":"assumption","basis":"Supplied original S&amp;P tables and explicit issuer-specific assumptions","measure":"count","currency":null,"scale":"1","physical_unit":"method category 1..6"}</t>
  </si>
  <si>
    <t>base indicative DCF_debt；artifact.rows[18].result；{"entity":"Crown Castle Inc. and subsidiaries","scope":"issuer_and_CCI_4pct_March2027_formation","start":null,"end":"2026-06-30","aggregation":"assumption","basis":"Supplied original S&amp;P tables and explicit issuer-specific assumptions","measure":"ratio","currency":null,"scale":"1","physical_unit":null}</t>
  </si>
  <si>
    <t>standard_DCF_debt numerical category；artifact.rows[19].result；{"entity":"Crown Castle Inc. and subsidiaries","scope":"issuer_and_CCI_4pct_March2027_formation","start":null,"end":"2026-06-30","aggregation":"assumption","basis":"Supplied original S&amp;P tables and explicit issuer-specific assumptions","measure":"count","currency":null,"scale":"1","physical_unit":"method category 1..6"}</t>
  </si>
  <si>
    <t>base 2026 DCF；artifact.rows[20].result；{"entity":"Crown Castle Inc. and subsidiaries","scope":"issuer_and_CCI_4pct_March2027_formation","start":null,"end":"2026-06-30","aggregation":"assumption","basis":"Supplied original S&amp;P tables and explicit issuer-specific assumptions","measure":"money","currency":"USD","scale":"1000000","physical_unit":null}</t>
  </si>
  <si>
    <t>base 2027 DCF；artifact.rows[21].result；{"entity":"Crown Castle Inc. and subsidiaries","scope":"issuer_and_CCI_4pct_March2027_formation","start":null,"end":"2026-06-30","aggregation":"assumption","basis":"Supplied original S&amp;P tables and explicit issuer-specific assumptions","measure":"money","currency":"USD","scale":"1000000","physical_unit":null}</t>
  </si>
  <si>
    <t>base 2028 DCF；artifact.rows[22].result；{"entity":"Crown Castle Inc. and subsidiaries","scope":"issuer_and_CCI_4pct_March2027_formation","start":null,"end":"2026-06-30","aggregation":"assumption","basis":"Supplied original S&amp;P tables and explicit issuer-specific assumptions","measure":"money","currency":"USD","scale":"1000000","physical_unit":null}</t>
  </si>
  <si>
    <t>joint_stress paragraph120 indicative FFO_debt；artifact.rows[23].result；{"entity":"Crown Castle Inc. and subsidiaries","scope":"issuer_and_CCI_4pct_March2027_formation","start":null,"end":"2026-06-30","aggregation":"assumption","basis":"Supplied original S&amp;P tables and explicit issuer-specific assumptions","measure":"ratio","currency":null,"scale":"1","physical_unit":null}</t>
  </si>
  <si>
    <t>standard_FFO_debt numerical category；artifact.rows[24].result；{"entity":"Crown Castle Inc. and subsidiaries","scope":"issuer_and_CCI_4pct_March2027_formation","start":null,"end":"2026-06-30","aggregation":"assumption","basis":"Supplied original S&amp;P tables and explicit issuer-specific assumptions","measure":"count","currency":null,"scale":"1","physical_unit":"method category 1..6"}</t>
  </si>
  <si>
    <t>medial_FFO_debt numerical category；artifact.rows[25].result；{"entity":"Crown Castle Inc. and subsidiaries","scope":"issuer_and_CCI_4pct_March2027_formation","start":null,"end":"2026-06-30","aggregation":"assumption","basis":"Supplied original S&amp;P tables and explicit issuer-specific assumptions","measure":"count","currency":null,"scale":"1","physical_unit":"method category 1..6"}</t>
  </si>
  <si>
    <t>low_FFO_debt numerical category；artifact.rows[26].result；{"entity":"Crown Castle Inc. and subsidiaries","scope":"issuer_and_CCI_4pct_March2027_formation","start":null,"end":"2026-06-30","aggregation":"assumption","basis":"Supplied original S&amp;P tables and explicit issuer-specific assumptions","measure":"count","currency":null,"scale":"1","physical_unit":"method category 1..6"}</t>
  </si>
  <si>
    <t>joint_stress conditional paragraph117 indicative FFO_debt；artifact.rows[27].result；{"entity":"Crown Castle Inc. and subsidiaries","scope":"issuer_and_CCI_4pct_March2027_formation","start":null,"end":"2026-06-30","aggregation":"assumption","basis":"Supplied original S&amp;P tables and explicit issuer-specific assumptions","measure":"ratio","currency":null,"scale":"1","physical_unit":null}</t>
  </si>
  <si>
    <t>joint_stress paragraph120 indicative debt_EBITDA；artifact.rows[28].result；{"entity":"Crown Castle Inc. and subsidiaries","scope":"issuer_and_CCI_4pct_March2027_formation","start":null,"end":"2026-06-30","aggregation":"assumption","basis":"Supplied original S&amp;P tables and explicit issuer-specific assumptions","measure":"ratio","currency":null,"scale":"1","physical_unit":"times"}</t>
  </si>
  <si>
    <t>standard_debt_EBITDA numerical category；artifact.rows[29].result；{"entity":"Crown Castle Inc. and subsidiaries","scope":"issuer_and_CCI_4pct_March2027_formation","start":null,"end":"2026-06-30","aggregation":"assumption","basis":"Supplied original S&amp;P tables and explicit issuer-specific assumptions","measure":"count","currency":null,"scale":"1","physical_unit":"method category 1..6"}</t>
  </si>
  <si>
    <t>medial_debt_EBITDA numerical category；artifact.rows[30].result；{"entity":"Crown Castle Inc. and subsidiaries","scope":"issuer_and_CCI_4pct_March2027_formation","start":null,"end":"2026-06-30","aggregation":"assumption","basis":"Supplied original S&amp;P tables and explicit issuer-specific assumptions","measure":"count","currency":null,"scale":"1","physical_unit":"method category 1..6"}</t>
  </si>
  <si>
    <t>low_debt_EBITDA numerical category；artifact.rows[31].result；{"entity":"Crown Castle Inc. and subsidiaries","scope":"issuer_and_CCI_4pct_March2027_formation","start":null,"end":"2026-06-30","aggregation":"assumption","basis":"Supplied original S&amp;P tables and explicit issuer-specific assumptions","measure":"count","currency":null,"scale":"1","physical_unit":"method category 1..6"}</t>
  </si>
  <si>
    <t>joint_stress conditional paragraph117 indicative debt_EBITDA；artifact.rows[32].result；{"entity":"Crown Castle Inc. and subsidiaries","scope":"issuer_and_CCI_4pct_March2027_formation","start":null,"end":"2026-06-30","aggregation":"assumption","basis":"Supplied original S&amp;P tables and explicit issuer-specific assumptions","measure":"ratio","currency":null,"scale":"1","physical_unit":"times"}</t>
  </si>
  <si>
    <t>joint_stress indicative FFO_cash_interest_coverage；artifact.rows[33].result；{"entity":"Crown Castle Inc. and subsidiaries","scope":"issuer_and_CCI_4pct_March2027_formation","start":null,"end":"2026-06-30","aggregation":"assumption","basis":"Supplied original S&amp;P tables and explicit issuer-specific assumptions","measure":"ratio","currency":null,"scale":"1","physical_unit":"times"}</t>
  </si>
  <si>
    <t>standard_FFO_cash_interest numerical category；artifact.rows[34].result；{"entity":"Crown Castle Inc. and subsidiaries","scope":"issuer_and_CCI_4pct_March2027_formation","start":null,"end":"2026-06-30","aggregation":"assumption","basis":"Supplied original S&amp;P tables and explicit issuer-specific assumptions","measure":"count","currency":null,"scale":"1","physical_unit":"method category 1..6"}</t>
  </si>
  <si>
    <t>joint_stress indicative EBITDA_interest_coverage；artifact.rows[35].result；{"entity":"Crown Castle Inc. and subsidiaries","scope":"issuer_and_CCI_4pct_March2027_formation","start":null,"end":"2026-06-30","aggregation":"assumption","basis":"Supplied original S&amp;P tables and explicit issuer-specific assumptions","measure":"ratio","currency":null,"scale":"1","physical_unit":"times"}</t>
  </si>
  <si>
    <t>standard_EBITDA_interest numerical category；artifact.rows[36].result；{"entity":"Crown Castle Inc. and subsidiaries","scope":"issuer_and_CCI_4pct_March2027_formation","start":null,"end":"2026-06-30","aggregation":"assumption","basis":"Supplied original S&amp;P tables and explicit issuer-specific assumptions","measure":"count","currency":null,"scale":"1","physical_unit":"method category 1..6"}</t>
  </si>
  <si>
    <t>joint_stress indicative CFO_debt；artifact.rows[37].result；{"entity":"Crown Castle Inc. and subsidiaries","scope":"issuer_and_CCI_4pct_March2027_formation","start":null,"end":"2026-06-30","aggregation":"assumption","basis":"Supplied original S&amp;P tables and explicit issuer-specific assumptions","measure":"ratio","currency":null,"scale":"1","physical_unit":null}</t>
  </si>
  <si>
    <t>standard_CFO_debt numerical category；artifact.rows[38].result；{"entity":"Crown Castle Inc. and subsidiaries","scope":"issuer_and_CCI_4pct_March2027_formation","start":null,"end":"2026-06-30","aggregation":"assumption","basis":"Supplied original S&amp;P tables and explicit issuer-specific assumptions","measure":"count","currency":null,"scale":"1","physical_unit":"method category 1..6"}</t>
  </si>
  <si>
    <t>joint_stress indicative FOCF_debt；artifact.rows[39].result；{"entity":"Crown Castle Inc. and subsidiaries","scope":"issuer_and_CCI_4pct_March2027_formation","start":null,"end":"2026-06-30","aggregation":"assumption","basis":"Supplied original S&amp;P tables and explicit issuer-specific assumptions","measure":"ratio","currency":null,"scale":"1","physical_unit":null}</t>
  </si>
  <si>
    <t>standard_FOCF_debt numerical category；artifact.rows[40].result；{"entity":"Crown Castle Inc. and subsidiaries","scope":"issuer_and_CCI_4pct_March2027_formation","start":null,"end":"2026-06-30","aggregation":"assumption","basis":"Supplied original S&amp;P tables and explicit issuer-specific assumptions","measure":"count","currency":null,"scale":"1","physical_unit":"method category 1..6"}</t>
  </si>
  <si>
    <t>joint_stress indicative DCF_debt；artifact.rows[41].result；{"entity":"Crown Castle Inc. and subsidiaries","scope":"issuer_and_CCI_4pct_March2027_formation","start":null,"end":"2026-06-30","aggregation":"assumption","basis":"Supplied original S&amp;P tables and explicit issuer-specific assumptions","measure":"ratio","currency":null,"scale":"1","physical_unit":null}</t>
  </si>
  <si>
    <t>standard_DCF_debt numerical category；artifact.rows[42].result；{"entity":"Crown Castle Inc. and subsidiaries","scope":"issuer_and_CCI_4pct_March2027_formation","start":null,"end":"2026-06-30","aggregation":"assumption","basis":"Supplied original S&amp;P tables and explicit issuer-specific assumptions","measure":"count","currency":null,"scale":"1","physical_unit":"method category 1..6"}</t>
  </si>
  <si>
    <t>joint_stress 2026 DCF；artifact.rows[43].result；{"entity":"Crown Castle Inc. and subsidiaries","scope":"issuer_and_CCI_4pct_March2027_formation","start":null,"end":"2026-06-30","aggregation":"assumption","basis":"Supplied original S&amp;P tables and explicit issuer-specific assumptions","measure":"money","currency":"USD","scale":"1000000","physical_unit":null}</t>
  </si>
  <si>
    <t>joint_stress 2027 DCF；artifact.rows[44].result；{"entity":"Crown Castle Inc. and subsidiaries","scope":"issuer_and_CCI_4pct_March2027_formation","start":null,"end":"2026-06-30","aggregation":"assumption","basis":"Supplied original S&amp;P tables and explicit issuer-specific assumptions","measure":"money","currency":"USD","scale":"1000000","physical_unit":null}</t>
  </si>
  <si>
    <t>joint_stress 2028 DCF；artifact.rows[45].result；{"entity":"Crown Castle Inc. and subsidiaries","scope":"issuer_and_CCI_4pct_March2027_formation","start":null,"end":"2026-06-30","aggregation":"assumption","basis":"Supplied original S&amp;P tables and explicit issuer-specific assumptions","measure":"money","currency":"USD","scale":"1000000","physical_unit":null}</t>
  </si>
  <si>
    <t>Jul2026-Jun2027 displayed uses subtotal；artifact.rows[46].result；{"entity":"Crown Castle Inc. and subsidiaries","scope":"issuer_and_CCI_4pct_March2027_formation","start":null,"end":"2026-06-30","aggregation":"assumption","basis":"Supplied original S&amp;P tables and explicit issuer-specific assumptions","measure":"money","currency":"USD","scale":"1000000","physical_unit":null}</t>
  </si>
  <si>
    <t>Necessary June cash plus qualified facilities for A/B test；artifact.rows[47].result；{"entity":"Crown Castle Inc. and subsidiaries","scope":"issuer_and_CCI_4pct_March2027_formation","start":null,"end":"2026-06-30","aggregation":"assumption","basis":"Supplied original S&amp;P tables and explicit issuer-specific assumptions","measure":"money","currency":"USD","scale":"1000000","physical_unit":null}</t>
  </si>
  <si>
    <t>A/B condition additional coefficient for negativeWC already in CFO；artifact.rows[48].result；{"entity":"Crown Castle Inc. and subsidiaries","scope":"issuer_and_CCI_4pct_March2027_formation","start":null,"end":"2026-06-30","aggregation":"assumption","basis":"Supplied original S&amp;P tables and explicit issuer-specific assumptions","measure":"ratio","currency":null,"scale":"1","physical_unit":null}</t>
  </si>
  <si>
    <t>Necessary June cash plus qualified facilities for positive stressed A-B；artifact.rows[49].result；{"entity":"Crown Castle Inc. and subsidiaries","scope":"issuer_and_CCI_4pct_March2027_formation","start":null,"end":"2026-06-30","aggregation":"assumption","basis":"Supplied original S&amp;P tables and explicit issuer-specific assumptions","measure":"money","currency":"USD","scale":"1000000","physical_unit":null}</t>
  </si>
  <si>
    <t>May1 nominal undrawn facility reference；artifact.rows[50].result；{"entity":"Crown Castle Inc. and subsidiaries","scope":"issuer_and_CCI_4pct_March2027_formation","start":null,"end":"2026-06-30","aggregation":"assumption","basis":"Supplied original S&amp;P tables and explicit issuer-specific assumptions","measure":"money","currency":"USD","scale":"1000000","physical_unit":null}</t>
  </si>
  <si>
    <t>Actual June-based A/B；artifact.rows[51].result；{"entity":"Crown Castle Inc. and subsidiaries","scope":"issuer_and_CCI_4pct_March2027_formation","start":null,"end":"2026-06-30","aggregation":"assumption","basis":"Supplied original S&amp;P tables and explicit issuer-specific assumptions","measure":"ratio","currency":null,"scale":"1","physical_unit":"times"}</t>
  </si>
  <si>
    <t>Equal annual floating principal at indicative coverage boundary under100bp shock；artifact.rows[52].result；{"entity":"Crown Castle Inc. and subsidiaries","scope":"issuer_and_CCI_4pct_March2027_formation","start":null,"end":"2026-06-30","aggregation":"assumption","basis":"Supplied original S&amp;P tables and explicit issuer-specific assumptions","measure":"money","currency":"USD","scale":"1000000","physical_unit":null}</t>
  </si>
  <si>
    <t>Specific note same-coupon six-month claim scenario；artifact.rows[53].result；{"entity":"Crown Castle Inc. and subsidiaries","scope":"issuer_and_CCI_4pct_March2027_formation","start":null,"end":"2026-06-30","aggregation":"assumption","basis":"Supplied original S&amp;P tables and explicit issuer-specific assumptions","measure":"money","currency":"USD","scale":"1000000","physical_unit":null}</t>
  </si>
  <si>
    <t>Specific note distribution needed for30% recovery；artifact.rows[54].result；{"entity":"Crown Castle Inc. and subsidiaries","scope":"issuer_and_CCI_4pct_March2027_formation","start":null,"end":"2026-06-30","aggregation":"assumption","basis":"Supplied original S&amp;P tables and explicit issuer-specific assumptions","measure":"money","currency":"USD","scale":"1000000","physical_unit":null}</t>
  </si>
  <si>
    <t>Specific note distribution needed for10% recovery；artifact.rows[55].result；{"entity":"Crown Castle Inc. and subsidiaries","scope":"issuer_and_CCI_4pct_March2027_formation","start":null,"end":"2026-06-30","aggregation":"assumption","basis":"Supplied original S&amp;P tables and explicit issuer-specific assumptions","measure":"money","currency":"USD","scale":"1000000","physical_unit":null}</t>
  </si>
  <si>
    <t>Qualified non-SPE tower equivalents per1000m unsecured claim for30%；artifact.rows[56].result；{"entity":"Crown Castle Inc. and subsidiaries","scope":"issuer_and_CCI_4pct_March2027_formation","start":null,"end":"2026-06-30","aggregation":"assumption","basis":"Supplied original S&amp;P tables and explicit issuer-specific assumptions","measure":"count","currency":null,"scale":"1","physical_unit":"qualified tower equivalents"}</t>
  </si>
  <si>
    <t>Qualified non-SPE tower equivalents per1000m unsecured claim for10%；artifact.rows[57].result；{"entity":"Crown Castle Inc. and subsidiaries","scope":"issuer_and_CCI_4pct_March2027_formation","start":null,"end":"2026-06-30","aggregation":"assumption","basis":"Supplied original S&amp;P tables and explicit issuer-specific assumptions","measure":"count","currency":null,"scale":"1","physical_unit":"qualified tower equivalents"}</t>
  </si>
  <si>
    <t>Extra qualified tower equivalents per1m priority claim；artifact.rows[58].result；{"entity":"Crown Castle Inc. and subsidiaries","scope":"issuer_and_CCI_4pct_March2027_formation","start":null,"end":"2026-06-30","aggregation":"assumption","basis":"Supplied original S&amp;P tables and explicit issuer-specific assumptions","measure":"count","currency":null,"scale":"1","physical_unit":"qualified tower equivalents"}</t>
  </si>
  <si>
    <t>Actual qualified-asset recovery；artifact.rows[59].result；{"entity":"Crown Castle Inc. and subsidiaries","scope":"issuer_and_CCI_4pct_March2027_formation","start":null,"end":"2026-06-30","aggregation":"assumption","basis":"Supplied original S&amp;P tables and explicit issuer-specific assumptions","measure":"ratio","currency":null,"scale":"1","physical_unit":null}</t>
  </si>
</sst>
</file>

<file path=xl/styles.xml><?xml version="1.0" encoding="utf-8"?>
<styleSheet xmlns="http://schemas.openxmlformats.org/spreadsheetml/2006/main">
  <numFmts count="4">
    <numFmt numFmtId="164" formatCode="#,##0.00;[Red](#,##0.00)"/>
    <numFmt numFmtId="165" formatCode="#,##0.00&quot; 倍&quot;;[Red](#,##0.00&quot; 倍&quot;)"/>
    <numFmt numFmtId="166" formatCode="0.00%;[Red](0.00%)"/>
    <numFmt numFmtId="167" formatCode="0.00&quot; 个百分点&quot;;[Red](0.00&quot; 个百分点&quot;)"/>
  </numFmts>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213B45"/>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wrapText="1"/>
    </xf>
    <xf numFmtId="0" fontId="0" fillId="0" borderId="0" xfId="0" applyAlignment="1">
      <alignment vertical="top" wrapText="1"/>
    </xf>
    <xf numFmtId="164" fontId="0" fillId="0" borderId="0" xfId="0" applyNumberFormat="1"/>
    <xf numFmtId="165" fontId="0" fillId="0" borderId="0" xfId="0" applyNumberFormat="1"/>
    <xf numFmtId="166" fontId="0" fillId="0" borderId="0" xfId="0" applyNumberFormat="1"/>
    <xf numFmtId="167"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B28"/>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2.7109375" customWidth="1"/>
    <col min="2" max="2" width="110.7109375" customWidth="1"/>
  </cols>
  <sheetData>
    <row r="1" spans="1:2" ht="32" customHeight="1">
      <c r="A1" s="1" t="s">
        <v>0</v>
      </c>
      <c r="B1" s="1" t="s">
        <v>1</v>
      </c>
    </row>
    <row r="2" spans="1:2" ht="18" customHeight="1">
      <c r="A2" s="2" t="s">
        <v>2</v>
      </c>
      <c r="B2" s="2" t="s">
        <v>3</v>
      </c>
    </row>
    <row r="3" spans="1:2" ht="18" customHeight="1">
      <c r="A3" s="2" t="s">
        <v>4</v>
      </c>
      <c r="B3" s="2" t="s">
        <v>5</v>
      </c>
    </row>
    <row r="4" spans="1:2" ht="18" customHeight="1">
      <c r="A4" s="2" t="s">
        <v>6</v>
      </c>
      <c r="B4" s="2" t="s">
        <v>7</v>
      </c>
    </row>
    <row r="5" spans="1:2" ht="18" customHeight="1">
      <c r="A5" s="2" t="s">
        <v>8</v>
      </c>
      <c r="B5" s="2" t="s">
        <v>9</v>
      </c>
    </row>
    <row r="6" spans="1:2" ht="18" customHeight="1">
      <c r="A6" s="2" t="s">
        <v>10</v>
      </c>
      <c r="B6" s="2" t="s">
        <v>11</v>
      </c>
    </row>
    <row r="7" spans="1:2" ht="18" customHeight="1">
      <c r="A7" s="2" t="s">
        <v>12</v>
      </c>
      <c r="B7" s="2" t="s">
        <v>13</v>
      </c>
    </row>
    <row r="8" spans="1:2" ht="18" customHeight="1">
      <c r="A8" s="2" t="s">
        <v>12</v>
      </c>
      <c r="B8" s="2" t="s">
        <v>14</v>
      </c>
    </row>
    <row r="9" spans="1:2" ht="18" customHeight="1">
      <c r="A9" s="2" t="s">
        <v>12</v>
      </c>
      <c r="B9" s="2" t="s">
        <v>15</v>
      </c>
    </row>
    <row r="10" spans="1:2" ht="18" customHeight="1">
      <c r="A10" s="2" t="s">
        <v>12</v>
      </c>
      <c r="B10" s="2" t="s">
        <v>16</v>
      </c>
    </row>
    <row r="11" spans="1:2" ht="18" customHeight="1">
      <c r="A11" s="2" t="s">
        <v>12</v>
      </c>
      <c r="B11" s="2" t="s">
        <v>17</v>
      </c>
    </row>
    <row r="12" spans="1:2" ht="33" customHeight="1">
      <c r="A12" s="2" t="s">
        <v>12</v>
      </c>
      <c r="B12" s="2" t="s">
        <v>18</v>
      </c>
    </row>
    <row r="13" spans="1:2" ht="33" customHeight="1">
      <c r="A13" s="2" t="s">
        <v>12</v>
      </c>
      <c r="B13" s="2" t="s">
        <v>19</v>
      </c>
    </row>
    <row r="14" spans="1:2" ht="33" customHeight="1">
      <c r="A14" s="2" t="s">
        <v>12</v>
      </c>
      <c r="B14" s="2" t="s">
        <v>20</v>
      </c>
    </row>
    <row r="15" spans="1:2" ht="33" customHeight="1">
      <c r="A15" s="2" t="s">
        <v>12</v>
      </c>
      <c r="B15" s="2" t="s">
        <v>21</v>
      </c>
    </row>
    <row r="16" spans="1:2" ht="18" customHeight="1">
      <c r="A16" s="2" t="s">
        <v>22</v>
      </c>
      <c r="B16" s="2" t="s">
        <v>23</v>
      </c>
    </row>
    <row r="17" spans="1:2" ht="18" customHeight="1">
      <c r="A17" s="2" t="s">
        <v>24</v>
      </c>
      <c r="B17" s="2" t="s">
        <v>25</v>
      </c>
    </row>
    <row r="18" spans="1:2" ht="33" customHeight="1">
      <c r="A18" s="2" t="s">
        <v>26</v>
      </c>
      <c r="B18" s="2" t="s">
        <v>27</v>
      </c>
    </row>
    <row r="19" spans="1:2" ht="18" customHeight="1">
      <c r="A19" s="2" t="s">
        <v>28</v>
      </c>
      <c r="B19" s="2" t="s">
        <v>29</v>
      </c>
    </row>
    <row r="20" spans="1:2" ht="33" customHeight="1">
      <c r="A20" s="2" t="s">
        <v>30</v>
      </c>
      <c r="B20" s="2" t="s">
        <v>31</v>
      </c>
    </row>
    <row r="21" spans="1:2" ht="33" customHeight="1">
      <c r="A21" s="2" t="s">
        <v>30</v>
      </c>
      <c r="B21" s="2" t="s">
        <v>32</v>
      </c>
    </row>
    <row r="22" spans="1:2" ht="33" customHeight="1">
      <c r="A22" s="2" t="s">
        <v>30</v>
      </c>
      <c r="B22" s="2" t="s">
        <v>33</v>
      </c>
    </row>
    <row r="23" spans="1:2" ht="18" customHeight="1">
      <c r="A23" s="2" t="s">
        <v>30</v>
      </c>
      <c r="B23" s="2" t="s">
        <v>34</v>
      </c>
    </row>
    <row r="24" spans="1:2" ht="18" customHeight="1">
      <c r="A24" s="2" t="s">
        <v>30</v>
      </c>
      <c r="B24" s="2" t="s">
        <v>35</v>
      </c>
    </row>
    <row r="25" spans="1:2" ht="33" customHeight="1">
      <c r="A25" s="2" t="s">
        <v>30</v>
      </c>
      <c r="B25" s="2" t="s">
        <v>36</v>
      </c>
    </row>
    <row r="26" spans="1:2" ht="33" customHeight="1">
      <c r="A26" s="2" t="s">
        <v>30</v>
      </c>
      <c r="B26" s="2" t="s">
        <v>37</v>
      </c>
    </row>
    <row r="27" spans="1:2" ht="33" customHeight="1">
      <c r="A27" s="2" t="s">
        <v>30</v>
      </c>
      <c r="B27" s="2" t="s">
        <v>38</v>
      </c>
    </row>
    <row r="28" spans="1:2" ht="33" customHeight="1">
      <c r="A28" s="2" t="s">
        <v>30</v>
      </c>
      <c r="B28" s="2" t="s">
        <v>39</v>
      </c>
    </row>
  </sheetData>
  <autoFilter ref="A1:B28"/>
  <pageMargins left="0.7" right="0.7" top="0.75" bottom="0.75" header="0.3" footer="0.3"/>
  <pageSetup paperSize="9" fitToHeight="0" orientation="landscape"/>
</worksheet>
</file>

<file path=xl/worksheets/sheet2.xml><?xml version="1.0" encoding="utf-8"?>
<worksheet xmlns="http://schemas.openxmlformats.org/spreadsheetml/2006/main" xmlns:r="http://schemas.openxmlformats.org/officeDocument/2006/relationships">
  <dimension ref="A1:R637"/>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8" width="28.7109375" customWidth="1"/>
  </cols>
  <sheetData>
    <row r="1" spans="1:18" ht="32" customHeight="1">
      <c r="A1" s="1" t="s">
        <v>40</v>
      </c>
      <c r="B1" s="1" t="s">
        <v>41</v>
      </c>
      <c r="C1" s="1" t="s">
        <v>42</v>
      </c>
      <c r="D1" s="1" t="s">
        <v>43</v>
      </c>
      <c r="E1" s="1" t="s">
        <v>44</v>
      </c>
      <c r="F1" s="1" t="s">
        <v>45</v>
      </c>
      <c r="G1" s="1" t="s">
        <v>46</v>
      </c>
      <c r="H1" s="1" t="s">
        <v>47</v>
      </c>
      <c r="I1" s="1" t="s">
        <v>48</v>
      </c>
      <c r="J1" s="1" t="s">
        <v>8</v>
      </c>
      <c r="K1" s="1" t="s">
        <v>49</v>
      </c>
      <c r="L1" s="1" t="s">
        <v>50</v>
      </c>
      <c r="M1" s="1" t="s">
        <v>51</v>
      </c>
      <c r="N1" s="1" t="s">
        <v>52</v>
      </c>
      <c r="O1" s="1" t="s">
        <v>10</v>
      </c>
      <c r="P1" s="1" t="s">
        <v>53</v>
      </c>
      <c r="Q1" s="1" t="s">
        <v>54</v>
      </c>
      <c r="R1" s="1" t="s">
        <v>55</v>
      </c>
    </row>
    <row r="2" spans="1:18">
      <c r="A2" s="2" t="s">
        <v>56</v>
      </c>
      <c r="B2" s="2" t="s">
        <v>57</v>
      </c>
      <c r="C2" s="2" t="s">
        <v>58</v>
      </c>
      <c r="D2" s="2">
        <v>99</v>
      </c>
      <c r="E2" s="2">
        <v>1000000</v>
      </c>
      <c r="F2" s="3">
        <f>IF(COUNT(D2,E2)=2,D2*E2,NA())</f>
        <v>99000000.0</v>
      </c>
      <c r="G2" s="2" t="s">
        <v>59</v>
      </c>
      <c r="H2" s="2" t="s">
        <v>60</v>
      </c>
      <c r="I2" s="2" t="s">
        <v>61</v>
      </c>
      <c r="J2" s="2" t="s">
        <v>62</v>
      </c>
      <c r="K2" s="2"/>
      <c r="L2" s="2" t="s">
        <v>63</v>
      </c>
      <c r="M2" s="2" t="s">
        <v>64</v>
      </c>
      <c r="N2" s="2" t="s">
        <v>65</v>
      </c>
      <c r="O2" s="2" t="s">
        <v>11</v>
      </c>
      <c r="P2" s="2"/>
      <c r="Q2" s="2" t="s">
        <v>66</v>
      </c>
      <c r="R2" s="2"/>
    </row>
    <row r="3" spans="1:18">
      <c r="A3" s="2" t="s">
        <v>67</v>
      </c>
      <c r="B3" s="2" t="s">
        <v>68</v>
      </c>
      <c r="C3" s="2" t="s">
        <v>58</v>
      </c>
      <c r="D3" s="2">
        <v>100</v>
      </c>
      <c r="E3" s="2">
        <v>1000000</v>
      </c>
      <c r="F3" s="3">
        <f>IF(COUNT(D3,E3)=2,D3*E3,NA())</f>
        <v>100000000.0</v>
      </c>
      <c r="G3" s="2" t="s">
        <v>59</v>
      </c>
      <c r="H3" s="2" t="s">
        <v>60</v>
      </c>
      <c r="I3" s="2" t="s">
        <v>61</v>
      </c>
      <c r="J3" s="2" t="s">
        <v>62</v>
      </c>
      <c r="K3" s="2"/>
      <c r="L3" s="2" t="s">
        <v>69</v>
      </c>
      <c r="M3" s="2" t="s">
        <v>64</v>
      </c>
      <c r="N3" s="2" t="s">
        <v>70</v>
      </c>
      <c r="O3" s="2" t="s">
        <v>11</v>
      </c>
      <c r="P3" s="2" t="s">
        <v>71</v>
      </c>
      <c r="Q3" s="2" t="s">
        <v>66</v>
      </c>
      <c r="R3" s="2"/>
    </row>
    <row r="4" spans="1:18">
      <c r="A4" s="2" t="s">
        <v>72</v>
      </c>
      <c r="B4" s="2" t="s">
        <v>73</v>
      </c>
      <c r="C4" s="2" t="s">
        <v>58</v>
      </c>
      <c r="D4" s="2">
        <v>170</v>
      </c>
      <c r="E4" s="2">
        <v>1000000</v>
      </c>
      <c r="F4" s="3">
        <f>IF(COUNT(D4,E4)=2,D4*E4,NA())</f>
        <v>170000000.0</v>
      </c>
      <c r="G4" s="2" t="s">
        <v>59</v>
      </c>
      <c r="H4" s="2" t="s">
        <v>60</v>
      </c>
      <c r="I4" s="2" t="s">
        <v>61</v>
      </c>
      <c r="J4" s="2" t="s">
        <v>62</v>
      </c>
      <c r="K4" s="2"/>
      <c r="L4" s="2" t="s">
        <v>63</v>
      </c>
      <c r="M4" s="2" t="s">
        <v>64</v>
      </c>
      <c r="N4" s="2" t="s">
        <v>65</v>
      </c>
      <c r="O4" s="2" t="s">
        <v>11</v>
      </c>
      <c r="P4" s="2"/>
      <c r="Q4" s="2" t="s">
        <v>74</v>
      </c>
      <c r="R4" s="2"/>
    </row>
    <row r="5" spans="1:18">
      <c r="A5" s="2" t="s">
        <v>75</v>
      </c>
      <c r="B5" s="2" t="s">
        <v>76</v>
      </c>
      <c r="C5" s="2" t="s">
        <v>58</v>
      </c>
      <c r="D5" s="2">
        <v>170</v>
      </c>
      <c r="E5" s="2">
        <v>1000000</v>
      </c>
      <c r="F5" s="3">
        <f>IF(COUNT(D5,E5)=2,D5*E5,NA())</f>
        <v>170000000.0</v>
      </c>
      <c r="G5" s="2" t="s">
        <v>59</v>
      </c>
      <c r="H5" s="2" t="s">
        <v>60</v>
      </c>
      <c r="I5" s="2" t="s">
        <v>61</v>
      </c>
      <c r="J5" s="2" t="s">
        <v>62</v>
      </c>
      <c r="K5" s="2"/>
      <c r="L5" s="2" t="s">
        <v>69</v>
      </c>
      <c r="M5" s="2" t="s">
        <v>64</v>
      </c>
      <c r="N5" s="2" t="s">
        <v>70</v>
      </c>
      <c r="O5" s="2" t="s">
        <v>11</v>
      </c>
      <c r="P5" s="2" t="s">
        <v>71</v>
      </c>
      <c r="Q5" s="2" t="s">
        <v>74</v>
      </c>
      <c r="R5" s="2"/>
    </row>
    <row r="6" spans="1:18">
      <c r="A6" s="2" t="s">
        <v>77</v>
      </c>
      <c r="B6" s="2" t="s">
        <v>78</v>
      </c>
      <c r="C6" s="2" t="s">
        <v>58</v>
      </c>
      <c r="D6" s="2">
        <v>172</v>
      </c>
      <c r="E6" s="2">
        <v>1000000</v>
      </c>
      <c r="F6" s="3">
        <f>IF(COUNT(D6,E6)=2,D6*E6,NA())</f>
        <v>172000000.0</v>
      </c>
      <c r="G6" s="2" t="s">
        <v>59</v>
      </c>
      <c r="H6" s="2" t="s">
        <v>60</v>
      </c>
      <c r="I6" s="2" t="s">
        <v>61</v>
      </c>
      <c r="J6" s="2" t="s">
        <v>62</v>
      </c>
      <c r="K6" s="2"/>
      <c r="L6" s="2" t="s">
        <v>63</v>
      </c>
      <c r="M6" s="2" t="s">
        <v>64</v>
      </c>
      <c r="N6" s="2" t="s">
        <v>65</v>
      </c>
      <c r="O6" s="2" t="s">
        <v>11</v>
      </c>
      <c r="P6" s="2"/>
      <c r="Q6" s="2" t="s">
        <v>79</v>
      </c>
      <c r="R6" s="2"/>
    </row>
    <row r="7" spans="1:18">
      <c r="A7" s="2" t="s">
        <v>80</v>
      </c>
      <c r="B7" s="2" t="s">
        <v>81</v>
      </c>
      <c r="C7" s="2" t="s">
        <v>58</v>
      </c>
      <c r="D7" s="2">
        <v>129</v>
      </c>
      <c r="E7" s="2">
        <v>1000000</v>
      </c>
      <c r="F7" s="3">
        <f>IF(COUNT(D7,E7)=2,D7*E7,NA())</f>
        <v>129000000.0</v>
      </c>
      <c r="G7" s="2" t="s">
        <v>59</v>
      </c>
      <c r="H7" s="2" t="s">
        <v>60</v>
      </c>
      <c r="I7" s="2" t="s">
        <v>61</v>
      </c>
      <c r="J7" s="2" t="s">
        <v>62</v>
      </c>
      <c r="K7" s="2"/>
      <c r="L7" s="2" t="s">
        <v>69</v>
      </c>
      <c r="M7" s="2" t="s">
        <v>64</v>
      </c>
      <c r="N7" s="2" t="s">
        <v>70</v>
      </c>
      <c r="O7" s="2" t="s">
        <v>11</v>
      </c>
      <c r="P7" s="2" t="s">
        <v>71</v>
      </c>
      <c r="Q7" s="2" t="s">
        <v>79</v>
      </c>
      <c r="R7" s="2"/>
    </row>
    <row r="8" spans="1:18">
      <c r="A8" s="2" t="s">
        <v>82</v>
      </c>
      <c r="B8" s="2" t="s">
        <v>83</v>
      </c>
      <c r="C8" s="2" t="s">
        <v>58</v>
      </c>
      <c r="D8" s="2">
        <v>79</v>
      </c>
      <c r="E8" s="2">
        <v>1000000</v>
      </c>
      <c r="F8" s="3">
        <f>IF(COUNT(D8,E8)=2,D8*E8,NA())</f>
        <v>79000000.0</v>
      </c>
      <c r="G8" s="2" t="s">
        <v>59</v>
      </c>
      <c r="H8" s="2" t="s">
        <v>60</v>
      </c>
      <c r="I8" s="2" t="s">
        <v>61</v>
      </c>
      <c r="J8" s="2" t="s">
        <v>62</v>
      </c>
      <c r="K8" s="2"/>
      <c r="L8" s="2" t="s">
        <v>63</v>
      </c>
      <c r="M8" s="2" t="s">
        <v>64</v>
      </c>
      <c r="N8" s="2" t="s">
        <v>65</v>
      </c>
      <c r="O8" s="2" t="s">
        <v>11</v>
      </c>
      <c r="P8" s="2"/>
      <c r="Q8" s="2" t="s">
        <v>84</v>
      </c>
      <c r="R8" s="2"/>
    </row>
    <row r="9" spans="1:18">
      <c r="A9" s="2" t="s">
        <v>85</v>
      </c>
      <c r="B9" s="2" t="s">
        <v>86</v>
      </c>
      <c r="C9" s="2" t="s">
        <v>58</v>
      </c>
      <c r="D9" s="2">
        <v>74</v>
      </c>
      <c r="E9" s="2">
        <v>1000000</v>
      </c>
      <c r="F9" s="3">
        <f>IF(COUNT(D9,E9)=2,D9*E9,NA())</f>
        <v>74000000.0</v>
      </c>
      <c r="G9" s="2" t="s">
        <v>59</v>
      </c>
      <c r="H9" s="2" t="s">
        <v>60</v>
      </c>
      <c r="I9" s="2" t="s">
        <v>61</v>
      </c>
      <c r="J9" s="2" t="s">
        <v>62</v>
      </c>
      <c r="K9" s="2"/>
      <c r="L9" s="2" t="s">
        <v>69</v>
      </c>
      <c r="M9" s="2" t="s">
        <v>64</v>
      </c>
      <c r="N9" s="2" t="s">
        <v>70</v>
      </c>
      <c r="O9" s="2" t="s">
        <v>11</v>
      </c>
      <c r="P9" s="2" t="s">
        <v>71</v>
      </c>
      <c r="Q9" s="2" t="s">
        <v>84</v>
      </c>
      <c r="R9" s="2"/>
    </row>
    <row r="10" spans="1:18">
      <c r="A10" s="2" t="s">
        <v>87</v>
      </c>
      <c r="B10" s="2" t="s">
        <v>88</v>
      </c>
      <c r="C10" s="2" t="s">
        <v>58</v>
      </c>
      <c r="D10" s="2">
        <v>167</v>
      </c>
      <c r="E10" s="2">
        <v>1000000</v>
      </c>
      <c r="F10" s="3">
        <f>IF(COUNT(D10,E10)=2,D10*E10,NA())</f>
        <v>167000000.0</v>
      </c>
      <c r="G10" s="2" t="s">
        <v>59</v>
      </c>
      <c r="H10" s="2" t="s">
        <v>60</v>
      </c>
      <c r="I10" s="2" t="s">
        <v>61</v>
      </c>
      <c r="J10" s="2" t="s">
        <v>62</v>
      </c>
      <c r="K10" s="2"/>
      <c r="L10" s="2" t="s">
        <v>63</v>
      </c>
      <c r="M10" s="2" t="s">
        <v>64</v>
      </c>
      <c r="N10" s="2" t="s">
        <v>65</v>
      </c>
      <c r="O10" s="2" t="s">
        <v>11</v>
      </c>
      <c r="P10" s="2"/>
      <c r="Q10" s="2" t="s">
        <v>89</v>
      </c>
      <c r="R10" s="2"/>
    </row>
    <row r="11" spans="1:18">
      <c r="A11" s="2" t="s">
        <v>90</v>
      </c>
      <c r="B11" s="2" t="s">
        <v>91</v>
      </c>
      <c r="C11" s="2" t="s">
        <v>58</v>
      </c>
      <c r="D11" s="2">
        <v>164</v>
      </c>
      <c r="E11" s="2">
        <v>1000000</v>
      </c>
      <c r="F11" s="3">
        <f>IF(COUNT(D11,E11)=2,D11*E11,NA())</f>
        <v>164000000.0</v>
      </c>
      <c r="G11" s="2" t="s">
        <v>59</v>
      </c>
      <c r="H11" s="2" t="s">
        <v>60</v>
      </c>
      <c r="I11" s="2" t="s">
        <v>61</v>
      </c>
      <c r="J11" s="2" t="s">
        <v>62</v>
      </c>
      <c r="K11" s="2"/>
      <c r="L11" s="2" t="s">
        <v>69</v>
      </c>
      <c r="M11" s="2" t="s">
        <v>64</v>
      </c>
      <c r="N11" s="2" t="s">
        <v>70</v>
      </c>
      <c r="O11" s="2" t="s">
        <v>11</v>
      </c>
      <c r="P11" s="2" t="s">
        <v>71</v>
      </c>
      <c r="Q11" s="2" t="s">
        <v>89</v>
      </c>
      <c r="R11" s="2"/>
    </row>
    <row r="12" spans="1:18">
      <c r="A12" s="2" t="s">
        <v>92</v>
      </c>
      <c r="B12" s="2" t="s">
        <v>93</v>
      </c>
      <c r="C12" s="2" t="s">
        <v>58</v>
      </c>
      <c r="D12" s="2">
        <v>23</v>
      </c>
      <c r="E12" s="2">
        <v>1000000</v>
      </c>
      <c r="F12" s="3">
        <f>IF(COUNT(D12,E12)=2,D12*E12,NA())</f>
        <v>23000000.0</v>
      </c>
      <c r="G12" s="2" t="s">
        <v>59</v>
      </c>
      <c r="H12" s="2" t="s">
        <v>60</v>
      </c>
      <c r="I12" s="2" t="s">
        <v>61</v>
      </c>
      <c r="J12" s="2" t="s">
        <v>62</v>
      </c>
      <c r="K12" s="2"/>
      <c r="L12" s="2" t="s">
        <v>63</v>
      </c>
      <c r="M12" s="2" t="s">
        <v>64</v>
      </c>
      <c r="N12" s="2" t="s">
        <v>65</v>
      </c>
      <c r="O12" s="2" t="s">
        <v>11</v>
      </c>
      <c r="P12" s="2"/>
      <c r="Q12" s="2" t="s">
        <v>94</v>
      </c>
      <c r="R12" s="2"/>
    </row>
    <row r="13" spans="1:18">
      <c r="A13" s="2" t="s">
        <v>95</v>
      </c>
      <c r="B13" s="2" t="s">
        <v>96</v>
      </c>
      <c r="C13" s="2" t="s">
        <v>58</v>
      </c>
      <c r="D13" s="2">
        <v>24</v>
      </c>
      <c r="E13" s="2">
        <v>1000000</v>
      </c>
      <c r="F13" s="3">
        <f>IF(COUNT(D13,E13)=2,D13*E13,NA())</f>
        <v>24000000.0</v>
      </c>
      <c r="G13" s="2" t="s">
        <v>59</v>
      </c>
      <c r="H13" s="2" t="s">
        <v>60</v>
      </c>
      <c r="I13" s="2" t="s">
        <v>61</v>
      </c>
      <c r="J13" s="2" t="s">
        <v>62</v>
      </c>
      <c r="K13" s="2"/>
      <c r="L13" s="2" t="s">
        <v>69</v>
      </c>
      <c r="M13" s="2" t="s">
        <v>64</v>
      </c>
      <c r="N13" s="2" t="s">
        <v>70</v>
      </c>
      <c r="O13" s="2" t="s">
        <v>11</v>
      </c>
      <c r="P13" s="2" t="s">
        <v>71</v>
      </c>
      <c r="Q13" s="2" t="s">
        <v>94</v>
      </c>
      <c r="R13" s="2"/>
    </row>
    <row r="14" spans="1:18">
      <c r="A14" s="2" t="s">
        <v>97</v>
      </c>
      <c r="B14" s="2" t="s">
        <v>98</v>
      </c>
      <c r="C14" s="2" t="s">
        <v>58</v>
      </c>
      <c r="D14" s="2">
        <v>434</v>
      </c>
      <c r="E14" s="2">
        <v>1000000</v>
      </c>
      <c r="F14" s="3">
        <f>IF(COUNT(D14,E14)=2,D14*E14,NA())</f>
        <v>434000000.0</v>
      </c>
      <c r="G14" s="2" t="s">
        <v>59</v>
      </c>
      <c r="H14" s="2" t="s">
        <v>60</v>
      </c>
      <c r="I14" s="2" t="s">
        <v>61</v>
      </c>
      <c r="J14" s="2" t="s">
        <v>62</v>
      </c>
      <c r="K14" s="2"/>
      <c r="L14" s="2" t="s">
        <v>63</v>
      </c>
      <c r="M14" s="2" t="s">
        <v>64</v>
      </c>
      <c r="N14" s="2" t="s">
        <v>65</v>
      </c>
      <c r="O14" s="2" t="s">
        <v>11</v>
      </c>
      <c r="P14" s="2"/>
      <c r="Q14" s="2" t="s">
        <v>99</v>
      </c>
      <c r="R14" s="2"/>
    </row>
    <row r="15" spans="1:18">
      <c r="A15" s="2" t="s">
        <v>100</v>
      </c>
      <c r="B15" s="2" t="s">
        <v>101</v>
      </c>
      <c r="C15" s="2" t="s">
        <v>58</v>
      </c>
      <c r="D15" s="2">
        <v>429</v>
      </c>
      <c r="E15" s="2">
        <v>1000000</v>
      </c>
      <c r="F15" s="3">
        <f>IF(COUNT(D15,E15)=2,D15*E15,NA())</f>
        <v>429000000.0</v>
      </c>
      <c r="G15" s="2" t="s">
        <v>59</v>
      </c>
      <c r="H15" s="2" t="s">
        <v>60</v>
      </c>
      <c r="I15" s="2" t="s">
        <v>61</v>
      </c>
      <c r="J15" s="2" t="s">
        <v>62</v>
      </c>
      <c r="K15" s="2"/>
      <c r="L15" s="2" t="s">
        <v>69</v>
      </c>
      <c r="M15" s="2" t="s">
        <v>64</v>
      </c>
      <c r="N15" s="2" t="s">
        <v>70</v>
      </c>
      <c r="O15" s="2" t="s">
        <v>11</v>
      </c>
      <c r="P15" s="2" t="s">
        <v>71</v>
      </c>
      <c r="Q15" s="2" t="s">
        <v>99</v>
      </c>
      <c r="R15" s="2"/>
    </row>
    <row r="16" spans="1:18">
      <c r="A16" s="2" t="s">
        <v>102</v>
      </c>
      <c r="B16" s="2" t="s">
        <v>103</v>
      </c>
      <c r="C16" s="2" t="s">
        <v>58</v>
      </c>
      <c r="D16" s="2">
        <v>1144</v>
      </c>
      <c r="E16" s="2">
        <v>1000000</v>
      </c>
      <c r="F16" s="3">
        <f>IF(COUNT(D16,E16)=2,D16*E16,NA())</f>
        <v>1144000000.0</v>
      </c>
      <c r="G16" s="2" t="s">
        <v>59</v>
      </c>
      <c r="H16" s="2" t="s">
        <v>60</v>
      </c>
      <c r="I16" s="2" t="s">
        <v>61</v>
      </c>
      <c r="J16" s="2" t="s">
        <v>62</v>
      </c>
      <c r="K16" s="2"/>
      <c r="L16" s="2" t="s">
        <v>63</v>
      </c>
      <c r="M16" s="2" t="s">
        <v>64</v>
      </c>
      <c r="N16" s="2" t="s">
        <v>65</v>
      </c>
      <c r="O16" s="2" t="s">
        <v>11</v>
      </c>
      <c r="P16" s="2"/>
      <c r="Q16" s="2" t="s">
        <v>104</v>
      </c>
      <c r="R16" s="2"/>
    </row>
    <row r="17" spans="1:18">
      <c r="A17" s="2" t="s">
        <v>105</v>
      </c>
      <c r="B17" s="2" t="s">
        <v>106</v>
      </c>
      <c r="C17" s="2" t="s">
        <v>58</v>
      </c>
      <c r="D17" s="2">
        <v>1090</v>
      </c>
      <c r="E17" s="2">
        <v>1000000</v>
      </c>
      <c r="F17" s="3">
        <f>IF(COUNT(D17,E17)=2,D17*E17,NA())</f>
        <v>1090000000.0</v>
      </c>
      <c r="G17" s="2" t="s">
        <v>59</v>
      </c>
      <c r="H17" s="2" t="s">
        <v>60</v>
      </c>
      <c r="I17" s="2" t="s">
        <v>61</v>
      </c>
      <c r="J17" s="2" t="s">
        <v>62</v>
      </c>
      <c r="K17" s="2"/>
      <c r="L17" s="2" t="s">
        <v>69</v>
      </c>
      <c r="M17" s="2" t="s">
        <v>64</v>
      </c>
      <c r="N17" s="2" t="s">
        <v>70</v>
      </c>
      <c r="O17" s="2" t="s">
        <v>11</v>
      </c>
      <c r="P17" s="2" t="s">
        <v>71</v>
      </c>
      <c r="Q17" s="2" t="s">
        <v>104</v>
      </c>
      <c r="R17" s="2"/>
    </row>
    <row r="18" spans="1:18">
      <c r="A18" s="2" t="s">
        <v>107</v>
      </c>
      <c r="B18" s="2" t="s">
        <v>108</v>
      </c>
      <c r="C18" s="2" t="s">
        <v>58</v>
      </c>
      <c r="D18" s="2">
        <v>2288</v>
      </c>
      <c r="E18" s="2">
        <v>1000000</v>
      </c>
      <c r="F18" s="3">
        <f>IF(COUNT(D18,E18)=2,D18*E18,NA())</f>
        <v>2288000000.0</v>
      </c>
      <c r="G18" s="2" t="s">
        <v>59</v>
      </c>
      <c r="H18" s="2" t="s">
        <v>60</v>
      </c>
      <c r="I18" s="2" t="s">
        <v>61</v>
      </c>
      <c r="J18" s="2" t="s">
        <v>62</v>
      </c>
      <c r="K18" s="2"/>
      <c r="L18" s="2" t="s">
        <v>63</v>
      </c>
      <c r="M18" s="2" t="s">
        <v>64</v>
      </c>
      <c r="N18" s="2" t="s">
        <v>65</v>
      </c>
      <c r="O18" s="2" t="s">
        <v>11</v>
      </c>
      <c r="P18" s="2"/>
      <c r="Q18" s="2" t="s">
        <v>109</v>
      </c>
      <c r="R18" s="2"/>
    </row>
    <row r="19" spans="1:18">
      <c r="A19" s="2" t="s">
        <v>110</v>
      </c>
      <c r="B19" s="2" t="s">
        <v>111</v>
      </c>
      <c r="C19" s="2" t="s">
        <v>58</v>
      </c>
      <c r="D19" s="2">
        <v>2279</v>
      </c>
      <c r="E19" s="2">
        <v>1000000</v>
      </c>
      <c r="F19" s="3">
        <f>IF(COUNT(D19,E19)=2,D19*E19,NA())</f>
        <v>2279000000.0</v>
      </c>
      <c r="G19" s="2" t="s">
        <v>59</v>
      </c>
      <c r="H19" s="2" t="s">
        <v>60</v>
      </c>
      <c r="I19" s="2" t="s">
        <v>61</v>
      </c>
      <c r="J19" s="2" t="s">
        <v>62</v>
      </c>
      <c r="K19" s="2"/>
      <c r="L19" s="2" t="s">
        <v>69</v>
      </c>
      <c r="M19" s="2" t="s">
        <v>64</v>
      </c>
      <c r="N19" s="2" t="s">
        <v>70</v>
      </c>
      <c r="O19" s="2" t="s">
        <v>11</v>
      </c>
      <c r="P19" s="2" t="s">
        <v>71</v>
      </c>
      <c r="Q19" s="2" t="s">
        <v>109</v>
      </c>
      <c r="R19" s="2"/>
    </row>
    <row r="20" spans="1:18">
      <c r="A20" s="2" t="s">
        <v>112</v>
      </c>
      <c r="B20" s="2" t="s">
        <v>113</v>
      </c>
      <c r="C20" s="2" t="s">
        <v>58</v>
      </c>
      <c r="D20" s="2">
        <v>6273</v>
      </c>
      <c r="E20" s="2">
        <v>1000000</v>
      </c>
      <c r="F20" s="3">
        <f>IF(COUNT(D20,E20)=2,D20*E20,NA())</f>
        <v>6273000000.0</v>
      </c>
      <c r="G20" s="2" t="s">
        <v>59</v>
      </c>
      <c r="H20" s="2" t="s">
        <v>60</v>
      </c>
      <c r="I20" s="2" t="s">
        <v>61</v>
      </c>
      <c r="J20" s="2" t="s">
        <v>62</v>
      </c>
      <c r="K20" s="2"/>
      <c r="L20" s="2" t="s">
        <v>63</v>
      </c>
      <c r="M20" s="2" t="s">
        <v>64</v>
      </c>
      <c r="N20" s="2" t="s">
        <v>65</v>
      </c>
      <c r="O20" s="2" t="s">
        <v>11</v>
      </c>
      <c r="P20" s="2"/>
      <c r="Q20" s="2" t="s">
        <v>114</v>
      </c>
      <c r="R20" s="2"/>
    </row>
    <row r="21" spans="1:18">
      <c r="A21" s="2" t="s">
        <v>115</v>
      </c>
      <c r="B21" s="2" t="s">
        <v>116</v>
      </c>
      <c r="C21" s="2" t="s">
        <v>58</v>
      </c>
      <c r="D21" s="2">
        <v>6577</v>
      </c>
      <c r="E21" s="2">
        <v>1000000</v>
      </c>
      <c r="F21" s="3">
        <f>IF(COUNT(D21,E21)=2,D21*E21,NA())</f>
        <v>6577000000.0</v>
      </c>
      <c r="G21" s="2" t="s">
        <v>59</v>
      </c>
      <c r="H21" s="2" t="s">
        <v>60</v>
      </c>
      <c r="I21" s="2" t="s">
        <v>61</v>
      </c>
      <c r="J21" s="2" t="s">
        <v>62</v>
      </c>
      <c r="K21" s="2"/>
      <c r="L21" s="2" t="s">
        <v>69</v>
      </c>
      <c r="M21" s="2" t="s">
        <v>64</v>
      </c>
      <c r="N21" s="2" t="s">
        <v>70</v>
      </c>
      <c r="O21" s="2" t="s">
        <v>11</v>
      </c>
      <c r="P21" s="2" t="s">
        <v>71</v>
      </c>
      <c r="Q21" s="2" t="s">
        <v>114</v>
      </c>
      <c r="R21" s="2"/>
    </row>
    <row r="22" spans="1:18">
      <c r="A22" s="2" t="s">
        <v>117</v>
      </c>
      <c r="B22" s="2" t="s">
        <v>118</v>
      </c>
      <c r="C22" s="2" t="s">
        <v>58</v>
      </c>
      <c r="D22" s="2">
        <v>5473</v>
      </c>
      <c r="E22" s="2">
        <v>1000000</v>
      </c>
      <c r="F22" s="3">
        <f>IF(COUNT(D22,E22)=2,D22*E22,NA())</f>
        <v>5473000000.0</v>
      </c>
      <c r="G22" s="2" t="s">
        <v>59</v>
      </c>
      <c r="H22" s="2" t="s">
        <v>60</v>
      </c>
      <c r="I22" s="2" t="s">
        <v>61</v>
      </c>
      <c r="J22" s="2" t="s">
        <v>62</v>
      </c>
      <c r="K22" s="2"/>
      <c r="L22" s="2" t="s">
        <v>63</v>
      </c>
      <c r="M22" s="2" t="s">
        <v>64</v>
      </c>
      <c r="N22" s="2" t="s">
        <v>65</v>
      </c>
      <c r="O22" s="2" t="s">
        <v>11</v>
      </c>
      <c r="P22" s="2"/>
      <c r="Q22" s="2" t="s">
        <v>119</v>
      </c>
      <c r="R22" s="2"/>
    </row>
    <row r="23" spans="1:18">
      <c r="A23" s="2" t="s">
        <v>120</v>
      </c>
      <c r="B23" s="2" t="s">
        <v>121</v>
      </c>
      <c r="C23" s="2" t="s">
        <v>58</v>
      </c>
      <c r="D23" s="2">
        <v>5600</v>
      </c>
      <c r="E23" s="2">
        <v>1000000</v>
      </c>
      <c r="F23" s="3">
        <f>IF(COUNT(D23,E23)=2,D23*E23,NA())</f>
        <v>5600000000.0</v>
      </c>
      <c r="G23" s="2" t="s">
        <v>59</v>
      </c>
      <c r="H23" s="2" t="s">
        <v>60</v>
      </c>
      <c r="I23" s="2" t="s">
        <v>61</v>
      </c>
      <c r="J23" s="2" t="s">
        <v>62</v>
      </c>
      <c r="K23" s="2"/>
      <c r="L23" s="2" t="s">
        <v>69</v>
      </c>
      <c r="M23" s="2" t="s">
        <v>64</v>
      </c>
      <c r="N23" s="2" t="s">
        <v>70</v>
      </c>
      <c r="O23" s="2" t="s">
        <v>11</v>
      </c>
      <c r="P23" s="2" t="s">
        <v>71</v>
      </c>
      <c r="Q23" s="2" t="s">
        <v>119</v>
      </c>
      <c r="R23" s="2"/>
    </row>
    <row r="24" spans="1:18">
      <c r="A24" s="2" t="s">
        <v>122</v>
      </c>
      <c r="B24" s="2" t="s">
        <v>123</v>
      </c>
      <c r="C24" s="2" t="s">
        <v>58</v>
      </c>
      <c r="D24" s="2">
        <v>5127</v>
      </c>
      <c r="E24" s="2">
        <v>1000000</v>
      </c>
      <c r="F24" s="3">
        <f>IF(COUNT(D24,E24)=2,D24*E24,NA())</f>
        <v>5127000000.0</v>
      </c>
      <c r="G24" s="2" t="s">
        <v>59</v>
      </c>
      <c r="H24" s="2" t="s">
        <v>60</v>
      </c>
      <c r="I24" s="2" t="s">
        <v>61</v>
      </c>
      <c r="J24" s="2" t="s">
        <v>62</v>
      </c>
      <c r="K24" s="2"/>
      <c r="L24" s="2" t="s">
        <v>63</v>
      </c>
      <c r="M24" s="2" t="s">
        <v>64</v>
      </c>
      <c r="N24" s="2" t="s">
        <v>65</v>
      </c>
      <c r="O24" s="2" t="s">
        <v>11</v>
      </c>
      <c r="P24" s="2"/>
      <c r="Q24" s="2" t="s">
        <v>124</v>
      </c>
      <c r="R24" s="2"/>
    </row>
    <row r="25" spans="1:18">
      <c r="A25" s="2" t="s">
        <v>125</v>
      </c>
      <c r="B25" s="2" t="s">
        <v>126</v>
      </c>
      <c r="C25" s="2" t="s">
        <v>58</v>
      </c>
      <c r="D25" s="2">
        <v>5127</v>
      </c>
      <c r="E25" s="2">
        <v>1000000</v>
      </c>
      <c r="F25" s="3">
        <f>IF(COUNT(D25,E25)=2,D25*E25,NA())</f>
        <v>5127000000.0</v>
      </c>
      <c r="G25" s="2" t="s">
        <v>59</v>
      </c>
      <c r="H25" s="2" t="s">
        <v>60</v>
      </c>
      <c r="I25" s="2" t="s">
        <v>61</v>
      </c>
      <c r="J25" s="2" t="s">
        <v>62</v>
      </c>
      <c r="K25" s="2"/>
      <c r="L25" s="2" t="s">
        <v>69</v>
      </c>
      <c r="M25" s="2" t="s">
        <v>64</v>
      </c>
      <c r="N25" s="2" t="s">
        <v>70</v>
      </c>
      <c r="O25" s="2" t="s">
        <v>11</v>
      </c>
      <c r="P25" s="2" t="s">
        <v>71</v>
      </c>
      <c r="Q25" s="2" t="s">
        <v>124</v>
      </c>
      <c r="R25" s="2"/>
    </row>
    <row r="26" spans="1:18">
      <c r="A26" s="2" t="s">
        <v>127</v>
      </c>
      <c r="B26" s="2" t="s">
        <v>128</v>
      </c>
      <c r="C26" s="2" t="s">
        <v>58</v>
      </c>
      <c r="D26" s="2">
        <v>834</v>
      </c>
      <c r="E26" s="2">
        <v>1000000</v>
      </c>
      <c r="F26" s="3">
        <f>IF(COUNT(D26,E26)=2,D26*E26,NA())</f>
        <v>834000000.0</v>
      </c>
      <c r="G26" s="2" t="s">
        <v>59</v>
      </c>
      <c r="H26" s="2" t="s">
        <v>60</v>
      </c>
      <c r="I26" s="2" t="s">
        <v>61</v>
      </c>
      <c r="J26" s="2" t="s">
        <v>62</v>
      </c>
      <c r="K26" s="2"/>
      <c r="L26" s="2" t="s">
        <v>63</v>
      </c>
      <c r="M26" s="2" t="s">
        <v>64</v>
      </c>
      <c r="N26" s="2" t="s">
        <v>65</v>
      </c>
      <c r="O26" s="2" t="s">
        <v>11</v>
      </c>
      <c r="P26" s="2"/>
      <c r="Q26" s="2" t="s">
        <v>129</v>
      </c>
      <c r="R26" s="2"/>
    </row>
    <row r="27" spans="1:18">
      <c r="A27" s="2" t="s">
        <v>130</v>
      </c>
      <c r="B27" s="2" t="s">
        <v>131</v>
      </c>
      <c r="C27" s="2" t="s">
        <v>58</v>
      </c>
      <c r="D27" s="2">
        <v>1009</v>
      </c>
      <c r="E27" s="2">
        <v>1000000</v>
      </c>
      <c r="F27" s="3">
        <f>IF(COUNT(D27,E27)=2,D27*E27,NA())</f>
        <v>1009000000.0</v>
      </c>
      <c r="G27" s="2" t="s">
        <v>59</v>
      </c>
      <c r="H27" s="2" t="s">
        <v>60</v>
      </c>
      <c r="I27" s="2" t="s">
        <v>61</v>
      </c>
      <c r="J27" s="2" t="s">
        <v>62</v>
      </c>
      <c r="K27" s="2"/>
      <c r="L27" s="2" t="s">
        <v>69</v>
      </c>
      <c r="M27" s="2" t="s">
        <v>64</v>
      </c>
      <c r="N27" s="2" t="s">
        <v>70</v>
      </c>
      <c r="O27" s="2" t="s">
        <v>11</v>
      </c>
      <c r="P27" s="2" t="s">
        <v>71</v>
      </c>
      <c r="Q27" s="2" t="s">
        <v>129</v>
      </c>
      <c r="R27" s="2"/>
    </row>
    <row r="28" spans="1:18">
      <c r="A28" s="2" t="s">
        <v>132</v>
      </c>
      <c r="B28" s="2" t="s">
        <v>133</v>
      </c>
      <c r="C28" s="2" t="s">
        <v>58</v>
      </c>
      <c r="D28" s="2">
        <v>27</v>
      </c>
      <c r="E28" s="2">
        <v>1000000</v>
      </c>
      <c r="F28" s="3">
        <f>IF(COUNT(D28,E28)=2,D28*E28,NA())</f>
        <v>27000000.0</v>
      </c>
      <c r="G28" s="2" t="s">
        <v>59</v>
      </c>
      <c r="H28" s="2" t="s">
        <v>60</v>
      </c>
      <c r="I28" s="2" t="s">
        <v>61</v>
      </c>
      <c r="J28" s="2" t="s">
        <v>62</v>
      </c>
      <c r="K28" s="2"/>
      <c r="L28" s="2" t="s">
        <v>63</v>
      </c>
      <c r="M28" s="2" t="s">
        <v>64</v>
      </c>
      <c r="N28" s="2" t="s">
        <v>65</v>
      </c>
      <c r="O28" s="2" t="s">
        <v>11</v>
      </c>
      <c r="P28" s="2"/>
      <c r="Q28" s="2" t="s">
        <v>134</v>
      </c>
      <c r="R28" s="2"/>
    </row>
    <row r="29" spans="1:18">
      <c r="A29" s="2" t="s">
        <v>135</v>
      </c>
      <c r="B29" s="2" t="s">
        <v>136</v>
      </c>
      <c r="C29" s="2" t="s">
        <v>58</v>
      </c>
      <c r="D29" s="2">
        <v>28</v>
      </c>
      <c r="E29" s="2">
        <v>1000000</v>
      </c>
      <c r="F29" s="3">
        <f>IF(COUNT(D29,E29)=2,D29*E29,NA())</f>
        <v>28000000.0</v>
      </c>
      <c r="G29" s="2" t="s">
        <v>59</v>
      </c>
      <c r="H29" s="2" t="s">
        <v>60</v>
      </c>
      <c r="I29" s="2" t="s">
        <v>61</v>
      </c>
      <c r="J29" s="2" t="s">
        <v>62</v>
      </c>
      <c r="K29" s="2"/>
      <c r="L29" s="2" t="s">
        <v>69</v>
      </c>
      <c r="M29" s="2" t="s">
        <v>64</v>
      </c>
      <c r="N29" s="2" t="s">
        <v>70</v>
      </c>
      <c r="O29" s="2" t="s">
        <v>11</v>
      </c>
      <c r="P29" s="2" t="s">
        <v>71</v>
      </c>
      <c r="Q29" s="2" t="s">
        <v>134</v>
      </c>
      <c r="R29" s="2"/>
    </row>
    <row r="30" spans="1:18">
      <c r="A30" s="2" t="s">
        <v>137</v>
      </c>
      <c r="B30" s="2" t="s">
        <v>138</v>
      </c>
      <c r="C30" s="2" t="s">
        <v>58</v>
      </c>
      <c r="D30" s="2">
        <v>61</v>
      </c>
      <c r="E30" s="2">
        <v>1000000</v>
      </c>
      <c r="F30" s="3">
        <f>IF(COUNT(D30,E30)=2,D30*E30,NA())</f>
        <v>61000000.0</v>
      </c>
      <c r="G30" s="2" t="s">
        <v>59</v>
      </c>
      <c r="H30" s="2" t="s">
        <v>60</v>
      </c>
      <c r="I30" s="2" t="s">
        <v>61</v>
      </c>
      <c r="J30" s="2" t="s">
        <v>62</v>
      </c>
      <c r="K30" s="2"/>
      <c r="L30" s="2" t="s">
        <v>63</v>
      </c>
      <c r="M30" s="2" t="s">
        <v>64</v>
      </c>
      <c r="N30" s="2" t="s">
        <v>65</v>
      </c>
      <c r="O30" s="2" t="s">
        <v>11</v>
      </c>
      <c r="P30" s="2"/>
      <c r="Q30" s="2" t="s">
        <v>139</v>
      </c>
      <c r="R30" s="2"/>
    </row>
    <row r="31" spans="1:18">
      <c r="A31" s="2" t="s">
        <v>140</v>
      </c>
      <c r="B31" s="2" t="s">
        <v>141</v>
      </c>
      <c r="C31" s="2" t="s">
        <v>58</v>
      </c>
      <c r="D31" s="2">
        <v>58</v>
      </c>
      <c r="E31" s="2">
        <v>1000000</v>
      </c>
      <c r="F31" s="3">
        <f>IF(COUNT(D31,E31)=2,D31*E31,NA())</f>
        <v>58000000.0</v>
      </c>
      <c r="G31" s="2" t="s">
        <v>59</v>
      </c>
      <c r="H31" s="2" t="s">
        <v>60</v>
      </c>
      <c r="I31" s="2" t="s">
        <v>61</v>
      </c>
      <c r="J31" s="2" t="s">
        <v>62</v>
      </c>
      <c r="K31" s="2"/>
      <c r="L31" s="2" t="s">
        <v>69</v>
      </c>
      <c r="M31" s="2" t="s">
        <v>64</v>
      </c>
      <c r="N31" s="2" t="s">
        <v>70</v>
      </c>
      <c r="O31" s="2" t="s">
        <v>11</v>
      </c>
      <c r="P31" s="2" t="s">
        <v>71</v>
      </c>
      <c r="Q31" s="2" t="s">
        <v>139</v>
      </c>
      <c r="R31" s="2"/>
    </row>
    <row r="32" spans="1:18">
      <c r="A32" s="2" t="s">
        <v>142</v>
      </c>
      <c r="B32" s="2" t="s">
        <v>143</v>
      </c>
      <c r="C32" s="2" t="s">
        <v>58</v>
      </c>
      <c r="D32" s="2">
        <v>10291</v>
      </c>
      <c r="E32" s="2">
        <v>1000000</v>
      </c>
      <c r="F32" s="3">
        <f>IF(COUNT(D32,E32)=2,D32*E32,NA())</f>
        <v>10291000000.0</v>
      </c>
      <c r="G32" s="2" t="s">
        <v>59</v>
      </c>
      <c r="H32" s="2" t="s">
        <v>60</v>
      </c>
      <c r="I32" s="2" t="s">
        <v>61</v>
      </c>
      <c r="J32" s="2" t="s">
        <v>62</v>
      </c>
      <c r="K32" s="2"/>
      <c r="L32" s="2" t="s">
        <v>63</v>
      </c>
      <c r="M32" s="2" t="s">
        <v>64</v>
      </c>
      <c r="N32" s="2" t="s">
        <v>65</v>
      </c>
      <c r="O32" s="2" t="s">
        <v>11</v>
      </c>
      <c r="P32" s="2"/>
      <c r="Q32" s="2" t="s">
        <v>144</v>
      </c>
      <c r="R32" s="2"/>
    </row>
    <row r="33" spans="1:18">
      <c r="A33" s="2" t="s">
        <v>145</v>
      </c>
      <c r="B33" s="2" t="s">
        <v>146</v>
      </c>
      <c r="C33" s="2" t="s">
        <v>58</v>
      </c>
      <c r="D33" s="2">
        <v>10968</v>
      </c>
      <c r="E33" s="2">
        <v>1000000</v>
      </c>
      <c r="F33" s="3">
        <f>IF(COUNT(D33,E33)=2,D33*E33,NA())</f>
        <v>10968000000.0</v>
      </c>
      <c r="G33" s="2" t="s">
        <v>59</v>
      </c>
      <c r="H33" s="2" t="s">
        <v>60</v>
      </c>
      <c r="I33" s="2" t="s">
        <v>61</v>
      </c>
      <c r="J33" s="2" t="s">
        <v>62</v>
      </c>
      <c r="K33" s="2"/>
      <c r="L33" s="2" t="s">
        <v>69</v>
      </c>
      <c r="M33" s="2" t="s">
        <v>64</v>
      </c>
      <c r="N33" s="2" t="s">
        <v>70</v>
      </c>
      <c r="O33" s="2" t="s">
        <v>11</v>
      </c>
      <c r="P33" s="2" t="s">
        <v>71</v>
      </c>
      <c r="Q33" s="2" t="s">
        <v>144</v>
      </c>
      <c r="R33" s="2"/>
    </row>
    <row r="34" spans="1:18">
      <c r="A34" s="2" t="s">
        <v>147</v>
      </c>
      <c r="B34" s="2" t="s">
        <v>148</v>
      </c>
      <c r="C34" s="2" t="s">
        <v>58</v>
      </c>
      <c r="D34" s="2">
        <v>31518</v>
      </c>
      <c r="E34" s="2">
        <v>1000000</v>
      </c>
      <c r="F34" s="3">
        <f>IF(COUNT(D34,E34)=2,D34*E34,NA())</f>
        <v>31518000000.0</v>
      </c>
      <c r="G34" s="2" t="s">
        <v>59</v>
      </c>
      <c r="H34" s="2" t="s">
        <v>60</v>
      </c>
      <c r="I34" s="2" t="s">
        <v>61</v>
      </c>
      <c r="J34" s="2" t="s">
        <v>62</v>
      </c>
      <c r="K34" s="2"/>
      <c r="L34" s="2" t="s">
        <v>63</v>
      </c>
      <c r="M34" s="2" t="s">
        <v>64</v>
      </c>
      <c r="N34" s="2" t="s">
        <v>65</v>
      </c>
      <c r="O34" s="2" t="s">
        <v>11</v>
      </c>
      <c r="P34" s="2"/>
      <c r="Q34" s="2" t="s">
        <v>149</v>
      </c>
      <c r="R34" s="2"/>
    </row>
    <row r="35" spans="1:18">
      <c r="A35" s="2" t="s">
        <v>150</v>
      </c>
      <c r="B35" s="2" t="s">
        <v>151</v>
      </c>
      <c r="C35" s="2" t="s">
        <v>58</v>
      </c>
      <c r="D35" s="2">
        <v>32736</v>
      </c>
      <c r="E35" s="2">
        <v>1000000</v>
      </c>
      <c r="F35" s="3">
        <f>IF(COUNT(D35,E35)=2,D35*E35,NA())</f>
        <v>32736000000.0</v>
      </c>
      <c r="G35" s="2" t="s">
        <v>59</v>
      </c>
      <c r="H35" s="2" t="s">
        <v>60</v>
      </c>
      <c r="I35" s="2" t="s">
        <v>61</v>
      </c>
      <c r="J35" s="2" t="s">
        <v>62</v>
      </c>
      <c r="K35" s="2"/>
      <c r="L35" s="2" t="s">
        <v>69</v>
      </c>
      <c r="M35" s="2" t="s">
        <v>64</v>
      </c>
      <c r="N35" s="2" t="s">
        <v>70</v>
      </c>
      <c r="O35" s="2" t="s">
        <v>11</v>
      </c>
      <c r="P35" s="2" t="s">
        <v>71</v>
      </c>
      <c r="Q35" s="2" t="s">
        <v>149</v>
      </c>
      <c r="R35" s="2"/>
    </row>
    <row r="36" spans="1:18">
      <c r="A36" s="2" t="s">
        <v>152</v>
      </c>
      <c r="B36" s="2" t="s">
        <v>153</v>
      </c>
      <c r="C36" s="2" t="s">
        <v>58</v>
      </c>
      <c r="D36" s="2">
        <v>71</v>
      </c>
      <c r="E36" s="2">
        <v>1000000</v>
      </c>
      <c r="F36" s="3">
        <f>IF(COUNT(D36,E36)=2,D36*E36,NA())</f>
        <v>71000000.0</v>
      </c>
      <c r="G36" s="2" t="s">
        <v>59</v>
      </c>
      <c r="H36" s="2" t="s">
        <v>60</v>
      </c>
      <c r="I36" s="2" t="s">
        <v>61</v>
      </c>
      <c r="J36" s="2" t="s">
        <v>62</v>
      </c>
      <c r="K36" s="2"/>
      <c r="L36" s="2" t="s">
        <v>63</v>
      </c>
      <c r="M36" s="2" t="s">
        <v>64</v>
      </c>
      <c r="N36" s="2" t="s">
        <v>65</v>
      </c>
      <c r="O36" s="2" t="s">
        <v>11</v>
      </c>
      <c r="P36" s="2"/>
      <c r="Q36" s="2" t="s">
        <v>154</v>
      </c>
      <c r="R36" s="2"/>
    </row>
    <row r="37" spans="1:18">
      <c r="A37" s="2" t="s">
        <v>155</v>
      </c>
      <c r="B37" s="2" t="s">
        <v>156</v>
      </c>
      <c r="C37" s="2" t="s">
        <v>58</v>
      </c>
      <c r="D37" s="2">
        <v>48</v>
      </c>
      <c r="E37" s="2">
        <v>1000000</v>
      </c>
      <c r="F37" s="3">
        <f>IF(COUNT(D37,E37)=2,D37*E37,NA())</f>
        <v>48000000.0</v>
      </c>
      <c r="G37" s="2" t="s">
        <v>59</v>
      </c>
      <c r="H37" s="2" t="s">
        <v>60</v>
      </c>
      <c r="I37" s="2" t="s">
        <v>61</v>
      </c>
      <c r="J37" s="2" t="s">
        <v>62</v>
      </c>
      <c r="K37" s="2"/>
      <c r="L37" s="2" t="s">
        <v>69</v>
      </c>
      <c r="M37" s="2" t="s">
        <v>64</v>
      </c>
      <c r="N37" s="2" t="s">
        <v>70</v>
      </c>
      <c r="O37" s="2" t="s">
        <v>11</v>
      </c>
      <c r="P37" s="2" t="s">
        <v>71</v>
      </c>
      <c r="Q37" s="2" t="s">
        <v>154</v>
      </c>
      <c r="R37" s="2"/>
    </row>
    <row r="38" spans="1:18">
      <c r="A38" s="2" t="s">
        <v>157</v>
      </c>
      <c r="B38" s="2" t="s">
        <v>158</v>
      </c>
      <c r="C38" s="2" t="s">
        <v>58</v>
      </c>
      <c r="D38" s="2">
        <v>235</v>
      </c>
      <c r="E38" s="2">
        <v>1000000</v>
      </c>
      <c r="F38" s="3">
        <f>IF(COUNT(D38,E38)=2,D38*E38,NA())</f>
        <v>235000000.0</v>
      </c>
      <c r="G38" s="2" t="s">
        <v>59</v>
      </c>
      <c r="H38" s="2" t="s">
        <v>60</v>
      </c>
      <c r="I38" s="2" t="s">
        <v>61</v>
      </c>
      <c r="J38" s="2" t="s">
        <v>62</v>
      </c>
      <c r="K38" s="2"/>
      <c r="L38" s="2" t="s">
        <v>63</v>
      </c>
      <c r="M38" s="2" t="s">
        <v>64</v>
      </c>
      <c r="N38" s="2" t="s">
        <v>65</v>
      </c>
      <c r="O38" s="2" t="s">
        <v>11</v>
      </c>
      <c r="P38" s="2"/>
      <c r="Q38" s="2" t="s">
        <v>159</v>
      </c>
      <c r="R38" s="2"/>
    </row>
    <row r="39" spans="1:18">
      <c r="A39" s="2" t="s">
        <v>160</v>
      </c>
      <c r="B39" s="2" t="s">
        <v>161</v>
      </c>
      <c r="C39" s="2" t="s">
        <v>58</v>
      </c>
      <c r="D39" s="2">
        <v>244</v>
      </c>
      <c r="E39" s="2">
        <v>1000000</v>
      </c>
      <c r="F39" s="3">
        <f>IF(COUNT(D39,E39)=2,D39*E39,NA())</f>
        <v>244000000.0</v>
      </c>
      <c r="G39" s="2" t="s">
        <v>59</v>
      </c>
      <c r="H39" s="2" t="s">
        <v>60</v>
      </c>
      <c r="I39" s="2" t="s">
        <v>61</v>
      </c>
      <c r="J39" s="2" t="s">
        <v>62</v>
      </c>
      <c r="K39" s="2"/>
      <c r="L39" s="2" t="s">
        <v>69</v>
      </c>
      <c r="M39" s="2" t="s">
        <v>64</v>
      </c>
      <c r="N39" s="2" t="s">
        <v>70</v>
      </c>
      <c r="O39" s="2" t="s">
        <v>11</v>
      </c>
      <c r="P39" s="2" t="s">
        <v>71</v>
      </c>
      <c r="Q39" s="2" t="s">
        <v>159</v>
      </c>
      <c r="R39" s="2"/>
    </row>
    <row r="40" spans="1:18">
      <c r="A40" s="2" t="s">
        <v>162</v>
      </c>
      <c r="B40" s="2" t="s">
        <v>163</v>
      </c>
      <c r="C40" s="2" t="s">
        <v>58</v>
      </c>
      <c r="D40" s="2">
        <v>192</v>
      </c>
      <c r="E40" s="2">
        <v>1000000</v>
      </c>
      <c r="F40" s="3">
        <f>IF(COUNT(D40,E40)=2,D40*E40,NA())</f>
        <v>192000000.0</v>
      </c>
      <c r="G40" s="2" t="s">
        <v>59</v>
      </c>
      <c r="H40" s="2" t="s">
        <v>60</v>
      </c>
      <c r="I40" s="2" t="s">
        <v>61</v>
      </c>
      <c r="J40" s="2" t="s">
        <v>62</v>
      </c>
      <c r="K40" s="2"/>
      <c r="L40" s="2" t="s">
        <v>63</v>
      </c>
      <c r="M40" s="2" t="s">
        <v>64</v>
      </c>
      <c r="N40" s="2" t="s">
        <v>65</v>
      </c>
      <c r="O40" s="2" t="s">
        <v>11</v>
      </c>
      <c r="P40" s="2"/>
      <c r="Q40" s="2" t="s">
        <v>164</v>
      </c>
      <c r="R40" s="2"/>
    </row>
    <row r="41" spans="1:18">
      <c r="A41" s="2" t="s">
        <v>165</v>
      </c>
      <c r="B41" s="2" t="s">
        <v>166</v>
      </c>
      <c r="C41" s="2" t="s">
        <v>58</v>
      </c>
      <c r="D41" s="2">
        <v>141</v>
      </c>
      <c r="E41" s="2">
        <v>1000000</v>
      </c>
      <c r="F41" s="3">
        <f>IF(COUNT(D41,E41)=2,D41*E41,NA())</f>
        <v>141000000.0</v>
      </c>
      <c r="G41" s="2" t="s">
        <v>59</v>
      </c>
      <c r="H41" s="2" t="s">
        <v>60</v>
      </c>
      <c r="I41" s="2" t="s">
        <v>61</v>
      </c>
      <c r="J41" s="2" t="s">
        <v>62</v>
      </c>
      <c r="K41" s="2"/>
      <c r="L41" s="2" t="s">
        <v>69</v>
      </c>
      <c r="M41" s="2" t="s">
        <v>64</v>
      </c>
      <c r="N41" s="2" t="s">
        <v>70</v>
      </c>
      <c r="O41" s="2" t="s">
        <v>11</v>
      </c>
      <c r="P41" s="2" t="s">
        <v>71</v>
      </c>
      <c r="Q41" s="2" t="s">
        <v>164</v>
      </c>
      <c r="R41" s="2"/>
    </row>
    <row r="42" spans="1:18">
      <c r="A42" s="2" t="s">
        <v>167</v>
      </c>
      <c r="B42" s="2" t="s">
        <v>168</v>
      </c>
      <c r="C42" s="2" t="s">
        <v>58</v>
      </c>
      <c r="D42" s="2">
        <v>168</v>
      </c>
      <c r="E42" s="2">
        <v>1000000</v>
      </c>
      <c r="F42" s="3">
        <f>IF(COUNT(D42,E42)=2,D42*E42,NA())</f>
        <v>168000000.0</v>
      </c>
      <c r="G42" s="2" t="s">
        <v>59</v>
      </c>
      <c r="H42" s="2" t="s">
        <v>60</v>
      </c>
      <c r="I42" s="2" t="s">
        <v>61</v>
      </c>
      <c r="J42" s="2" t="s">
        <v>62</v>
      </c>
      <c r="K42" s="2"/>
      <c r="L42" s="2" t="s">
        <v>63</v>
      </c>
      <c r="M42" s="2" t="s">
        <v>64</v>
      </c>
      <c r="N42" s="2" t="s">
        <v>65</v>
      </c>
      <c r="O42" s="2" t="s">
        <v>11</v>
      </c>
      <c r="P42" s="2"/>
      <c r="Q42" s="2" t="s">
        <v>169</v>
      </c>
      <c r="R42" s="2"/>
    </row>
    <row r="43" spans="1:18">
      <c r="A43" s="2" t="s">
        <v>170</v>
      </c>
      <c r="B43" s="2" t="s">
        <v>171</v>
      </c>
      <c r="C43" s="2" t="s">
        <v>58</v>
      </c>
      <c r="D43" s="2">
        <v>167</v>
      </c>
      <c r="E43" s="2">
        <v>1000000</v>
      </c>
      <c r="F43" s="3">
        <f>IF(COUNT(D43,E43)=2,D43*E43,NA())</f>
        <v>167000000.0</v>
      </c>
      <c r="G43" s="2" t="s">
        <v>59</v>
      </c>
      <c r="H43" s="2" t="s">
        <v>60</v>
      </c>
      <c r="I43" s="2" t="s">
        <v>61</v>
      </c>
      <c r="J43" s="2" t="s">
        <v>62</v>
      </c>
      <c r="K43" s="2"/>
      <c r="L43" s="2" t="s">
        <v>69</v>
      </c>
      <c r="M43" s="2" t="s">
        <v>64</v>
      </c>
      <c r="N43" s="2" t="s">
        <v>70</v>
      </c>
      <c r="O43" s="2" t="s">
        <v>11</v>
      </c>
      <c r="P43" s="2" t="s">
        <v>71</v>
      </c>
      <c r="Q43" s="2" t="s">
        <v>169</v>
      </c>
      <c r="R43" s="2"/>
    </row>
    <row r="44" spans="1:18">
      <c r="A44" s="2" t="s">
        <v>172</v>
      </c>
      <c r="B44" s="2" t="s">
        <v>173</v>
      </c>
      <c r="C44" s="2" t="s">
        <v>58</v>
      </c>
      <c r="D44" s="2">
        <v>2783</v>
      </c>
      <c r="E44" s="2">
        <v>1000000</v>
      </c>
      <c r="F44" s="3">
        <f>IF(COUNT(D44,E44)=2,D44*E44,NA())</f>
        <v>2783000000.0</v>
      </c>
      <c r="G44" s="2" t="s">
        <v>59</v>
      </c>
      <c r="H44" s="2" t="s">
        <v>60</v>
      </c>
      <c r="I44" s="2" t="s">
        <v>61</v>
      </c>
      <c r="J44" s="2" t="s">
        <v>62</v>
      </c>
      <c r="K44" s="2"/>
      <c r="L44" s="2" t="s">
        <v>63</v>
      </c>
      <c r="M44" s="2" t="s">
        <v>64</v>
      </c>
      <c r="N44" s="2" t="s">
        <v>65</v>
      </c>
      <c r="O44" s="2" t="s">
        <v>11</v>
      </c>
      <c r="P44" s="2"/>
      <c r="Q44" s="2" t="s">
        <v>174</v>
      </c>
      <c r="R44" s="2"/>
    </row>
    <row r="45" spans="1:18">
      <c r="A45" s="2" t="s">
        <v>175</v>
      </c>
      <c r="B45" s="2" t="s">
        <v>176</v>
      </c>
      <c r="C45" s="2" t="s">
        <v>58</v>
      </c>
      <c r="D45" s="2">
        <v>603</v>
      </c>
      <c r="E45" s="2">
        <v>1000000</v>
      </c>
      <c r="F45" s="3">
        <f>IF(COUNT(D45,E45)=2,D45*E45,NA())</f>
        <v>603000000.0</v>
      </c>
      <c r="G45" s="2" t="s">
        <v>59</v>
      </c>
      <c r="H45" s="2" t="s">
        <v>60</v>
      </c>
      <c r="I45" s="2" t="s">
        <v>61</v>
      </c>
      <c r="J45" s="2" t="s">
        <v>62</v>
      </c>
      <c r="K45" s="2"/>
      <c r="L45" s="2" t="s">
        <v>69</v>
      </c>
      <c r="M45" s="2" t="s">
        <v>64</v>
      </c>
      <c r="N45" s="2" t="s">
        <v>70</v>
      </c>
      <c r="O45" s="2" t="s">
        <v>11</v>
      </c>
      <c r="P45" s="2" t="s">
        <v>71</v>
      </c>
      <c r="Q45" s="2" t="s">
        <v>174</v>
      </c>
      <c r="R45" s="2"/>
    </row>
    <row r="46" spans="1:18">
      <c r="A46" s="2" t="s">
        <v>177</v>
      </c>
      <c r="B46" s="2" t="s">
        <v>178</v>
      </c>
      <c r="C46" s="2" t="s">
        <v>58</v>
      </c>
      <c r="D46" s="2">
        <v>268</v>
      </c>
      <c r="E46" s="2">
        <v>1000000</v>
      </c>
      <c r="F46" s="3">
        <f>IF(COUNT(D46,E46)=2,D46*E46,NA())</f>
        <v>268000000.0</v>
      </c>
      <c r="G46" s="2" t="s">
        <v>59</v>
      </c>
      <c r="H46" s="2" t="s">
        <v>60</v>
      </c>
      <c r="I46" s="2" t="s">
        <v>61</v>
      </c>
      <c r="J46" s="2" t="s">
        <v>62</v>
      </c>
      <c r="K46" s="2"/>
      <c r="L46" s="2" t="s">
        <v>63</v>
      </c>
      <c r="M46" s="2" t="s">
        <v>64</v>
      </c>
      <c r="N46" s="2" t="s">
        <v>65</v>
      </c>
      <c r="O46" s="2" t="s">
        <v>11</v>
      </c>
      <c r="P46" s="2"/>
      <c r="Q46" s="2" t="s">
        <v>179</v>
      </c>
      <c r="R46" s="2"/>
    </row>
    <row r="47" spans="1:18">
      <c r="A47" s="2" t="s">
        <v>180</v>
      </c>
      <c r="B47" s="2" t="s">
        <v>181</v>
      </c>
      <c r="C47" s="2" t="s">
        <v>58</v>
      </c>
      <c r="D47" s="2">
        <v>264</v>
      </c>
      <c r="E47" s="2">
        <v>1000000</v>
      </c>
      <c r="F47" s="3">
        <f>IF(COUNT(D47,E47)=2,D47*E47,NA())</f>
        <v>264000000.0</v>
      </c>
      <c r="G47" s="2" t="s">
        <v>59</v>
      </c>
      <c r="H47" s="2" t="s">
        <v>60</v>
      </c>
      <c r="I47" s="2" t="s">
        <v>61</v>
      </c>
      <c r="J47" s="2" t="s">
        <v>62</v>
      </c>
      <c r="K47" s="2"/>
      <c r="L47" s="2" t="s">
        <v>69</v>
      </c>
      <c r="M47" s="2" t="s">
        <v>64</v>
      </c>
      <c r="N47" s="2" t="s">
        <v>70</v>
      </c>
      <c r="O47" s="2" t="s">
        <v>11</v>
      </c>
      <c r="P47" s="2" t="s">
        <v>71</v>
      </c>
      <c r="Q47" s="2" t="s">
        <v>179</v>
      </c>
      <c r="R47" s="2"/>
    </row>
    <row r="48" spans="1:18">
      <c r="A48" s="2" t="s">
        <v>182</v>
      </c>
      <c r="B48" s="2" t="s">
        <v>183</v>
      </c>
      <c r="C48" s="2" t="s">
        <v>58</v>
      </c>
      <c r="D48" s="2">
        <v>762</v>
      </c>
      <c r="E48" s="2">
        <v>1000000</v>
      </c>
      <c r="F48" s="3">
        <f>IF(COUNT(D48,E48)=2,D48*E48,NA())</f>
        <v>762000000.0</v>
      </c>
      <c r="G48" s="2" t="s">
        <v>59</v>
      </c>
      <c r="H48" s="2" t="s">
        <v>60</v>
      </c>
      <c r="I48" s="2" t="s">
        <v>61</v>
      </c>
      <c r="J48" s="2" t="s">
        <v>62</v>
      </c>
      <c r="K48" s="2"/>
      <c r="L48" s="2" t="s">
        <v>63</v>
      </c>
      <c r="M48" s="2" t="s">
        <v>64</v>
      </c>
      <c r="N48" s="2" t="s">
        <v>65</v>
      </c>
      <c r="O48" s="2" t="s">
        <v>11</v>
      </c>
      <c r="P48" s="2"/>
      <c r="Q48" s="2" t="s">
        <v>184</v>
      </c>
      <c r="R48" s="2"/>
    </row>
    <row r="49" spans="1:18">
      <c r="A49" s="2" t="s">
        <v>185</v>
      </c>
      <c r="B49" s="2" t="s">
        <v>186</v>
      </c>
      <c r="C49" s="2" t="s">
        <v>58</v>
      </c>
      <c r="D49" s="2">
        <v>710</v>
      </c>
      <c r="E49" s="2">
        <v>1000000</v>
      </c>
      <c r="F49" s="3">
        <f>IF(COUNT(D49,E49)=2,D49*E49,NA())</f>
        <v>710000000.0</v>
      </c>
      <c r="G49" s="2" t="s">
        <v>59</v>
      </c>
      <c r="H49" s="2" t="s">
        <v>60</v>
      </c>
      <c r="I49" s="2" t="s">
        <v>61</v>
      </c>
      <c r="J49" s="2" t="s">
        <v>62</v>
      </c>
      <c r="K49" s="2"/>
      <c r="L49" s="2" t="s">
        <v>69</v>
      </c>
      <c r="M49" s="2" t="s">
        <v>64</v>
      </c>
      <c r="N49" s="2" t="s">
        <v>70</v>
      </c>
      <c r="O49" s="2" t="s">
        <v>11</v>
      </c>
      <c r="P49" s="2" t="s">
        <v>71</v>
      </c>
      <c r="Q49" s="2" t="s">
        <v>184</v>
      </c>
      <c r="R49" s="2"/>
    </row>
    <row r="50" spans="1:18">
      <c r="A50" s="2" t="s">
        <v>187</v>
      </c>
      <c r="B50" s="2" t="s">
        <v>188</v>
      </c>
      <c r="C50" s="2" t="s">
        <v>58</v>
      </c>
      <c r="D50" s="2">
        <v>4479</v>
      </c>
      <c r="E50" s="2">
        <v>1000000</v>
      </c>
      <c r="F50" s="3">
        <f>IF(COUNT(D50,E50)=2,D50*E50,NA())</f>
        <v>4479000000.0</v>
      </c>
      <c r="G50" s="2" t="s">
        <v>59</v>
      </c>
      <c r="H50" s="2" t="s">
        <v>60</v>
      </c>
      <c r="I50" s="2" t="s">
        <v>61</v>
      </c>
      <c r="J50" s="2" t="s">
        <v>62</v>
      </c>
      <c r="K50" s="2"/>
      <c r="L50" s="2" t="s">
        <v>63</v>
      </c>
      <c r="M50" s="2" t="s">
        <v>64</v>
      </c>
      <c r="N50" s="2" t="s">
        <v>65</v>
      </c>
      <c r="O50" s="2" t="s">
        <v>11</v>
      </c>
      <c r="P50" s="2"/>
      <c r="Q50" s="2" t="s">
        <v>189</v>
      </c>
      <c r="R50" s="2"/>
    </row>
    <row r="51" spans="1:18">
      <c r="A51" s="2" t="s">
        <v>190</v>
      </c>
      <c r="B51" s="2" t="s">
        <v>191</v>
      </c>
      <c r="C51" s="2" t="s">
        <v>58</v>
      </c>
      <c r="D51" s="2">
        <v>2177</v>
      </c>
      <c r="E51" s="2">
        <v>1000000</v>
      </c>
      <c r="F51" s="3">
        <f>IF(COUNT(D51,E51)=2,D51*E51,NA())</f>
        <v>2177000000.0</v>
      </c>
      <c r="G51" s="2" t="s">
        <v>59</v>
      </c>
      <c r="H51" s="2" t="s">
        <v>60</v>
      </c>
      <c r="I51" s="2" t="s">
        <v>61</v>
      </c>
      <c r="J51" s="2" t="s">
        <v>62</v>
      </c>
      <c r="K51" s="2"/>
      <c r="L51" s="2" t="s">
        <v>69</v>
      </c>
      <c r="M51" s="2" t="s">
        <v>64</v>
      </c>
      <c r="N51" s="2" t="s">
        <v>70</v>
      </c>
      <c r="O51" s="2" t="s">
        <v>11</v>
      </c>
      <c r="P51" s="2" t="s">
        <v>71</v>
      </c>
      <c r="Q51" s="2" t="s">
        <v>189</v>
      </c>
      <c r="R51" s="2"/>
    </row>
    <row r="52" spans="1:18">
      <c r="A52" s="2" t="s">
        <v>192</v>
      </c>
      <c r="B52" s="2" t="s">
        <v>193</v>
      </c>
      <c r="C52" s="2" t="s">
        <v>58</v>
      </c>
      <c r="D52" s="2">
        <v>21554</v>
      </c>
      <c r="E52" s="2">
        <v>1000000</v>
      </c>
      <c r="F52" s="3">
        <f>IF(COUNT(D52,E52)=2,D52*E52,NA())</f>
        <v>21554000000.0</v>
      </c>
      <c r="G52" s="2" t="s">
        <v>59</v>
      </c>
      <c r="H52" s="2" t="s">
        <v>60</v>
      </c>
      <c r="I52" s="2" t="s">
        <v>61</v>
      </c>
      <c r="J52" s="2" t="s">
        <v>62</v>
      </c>
      <c r="K52" s="2"/>
      <c r="L52" s="2" t="s">
        <v>63</v>
      </c>
      <c r="M52" s="2" t="s">
        <v>64</v>
      </c>
      <c r="N52" s="2" t="s">
        <v>65</v>
      </c>
      <c r="O52" s="2" t="s">
        <v>11</v>
      </c>
      <c r="P52" s="2"/>
      <c r="Q52" s="2" t="s">
        <v>194</v>
      </c>
      <c r="R52" s="2"/>
    </row>
    <row r="53" spans="1:18">
      <c r="A53" s="2" t="s">
        <v>195</v>
      </c>
      <c r="B53" s="2" t="s">
        <v>196</v>
      </c>
      <c r="C53" s="2" t="s">
        <v>58</v>
      </c>
      <c r="D53" s="2">
        <v>23451</v>
      </c>
      <c r="E53" s="2">
        <v>1000000</v>
      </c>
      <c r="F53" s="3">
        <f>IF(COUNT(D53,E53)=2,D53*E53,NA())</f>
        <v>23451000000.0</v>
      </c>
      <c r="G53" s="2" t="s">
        <v>59</v>
      </c>
      <c r="H53" s="2" t="s">
        <v>60</v>
      </c>
      <c r="I53" s="2" t="s">
        <v>61</v>
      </c>
      <c r="J53" s="2" t="s">
        <v>62</v>
      </c>
      <c r="K53" s="2"/>
      <c r="L53" s="2" t="s">
        <v>69</v>
      </c>
      <c r="M53" s="2" t="s">
        <v>64</v>
      </c>
      <c r="N53" s="2" t="s">
        <v>70</v>
      </c>
      <c r="O53" s="2" t="s">
        <v>11</v>
      </c>
      <c r="P53" s="2" t="s">
        <v>71</v>
      </c>
      <c r="Q53" s="2" t="s">
        <v>194</v>
      </c>
      <c r="R53" s="2"/>
    </row>
    <row r="54" spans="1:18">
      <c r="A54" s="2" t="s">
        <v>197</v>
      </c>
      <c r="B54" s="2" t="s">
        <v>198</v>
      </c>
      <c r="C54" s="2" t="s">
        <v>58</v>
      </c>
      <c r="D54" s="2">
        <v>4961</v>
      </c>
      <c r="E54" s="2">
        <v>1000000</v>
      </c>
      <c r="F54" s="3">
        <f>IF(COUNT(D54,E54)=2,D54*E54,NA())</f>
        <v>4961000000.0</v>
      </c>
      <c r="G54" s="2" t="s">
        <v>59</v>
      </c>
      <c r="H54" s="2" t="s">
        <v>60</v>
      </c>
      <c r="I54" s="2" t="s">
        <v>61</v>
      </c>
      <c r="J54" s="2" t="s">
        <v>62</v>
      </c>
      <c r="K54" s="2"/>
      <c r="L54" s="2" t="s">
        <v>63</v>
      </c>
      <c r="M54" s="2" t="s">
        <v>64</v>
      </c>
      <c r="N54" s="2" t="s">
        <v>65</v>
      </c>
      <c r="O54" s="2" t="s">
        <v>11</v>
      </c>
      <c r="P54" s="2"/>
      <c r="Q54" s="2" t="s">
        <v>199</v>
      </c>
      <c r="R54" s="2"/>
    </row>
    <row r="55" spans="1:18">
      <c r="A55" s="2" t="s">
        <v>200</v>
      </c>
      <c r="B55" s="2" t="s">
        <v>201</v>
      </c>
      <c r="C55" s="2" t="s">
        <v>58</v>
      </c>
      <c r="D55" s="2">
        <v>5062</v>
      </c>
      <c r="E55" s="2">
        <v>1000000</v>
      </c>
      <c r="F55" s="3">
        <f>IF(COUNT(D55,E55)=2,D55*E55,NA())</f>
        <v>5062000000.0</v>
      </c>
      <c r="G55" s="2" t="s">
        <v>59</v>
      </c>
      <c r="H55" s="2" t="s">
        <v>60</v>
      </c>
      <c r="I55" s="2" t="s">
        <v>61</v>
      </c>
      <c r="J55" s="2" t="s">
        <v>62</v>
      </c>
      <c r="K55" s="2"/>
      <c r="L55" s="2" t="s">
        <v>69</v>
      </c>
      <c r="M55" s="2" t="s">
        <v>64</v>
      </c>
      <c r="N55" s="2" t="s">
        <v>70</v>
      </c>
      <c r="O55" s="2" t="s">
        <v>11</v>
      </c>
      <c r="P55" s="2" t="s">
        <v>71</v>
      </c>
      <c r="Q55" s="2" t="s">
        <v>199</v>
      </c>
      <c r="R55" s="2"/>
    </row>
    <row r="56" spans="1:18">
      <c r="A56" s="2" t="s">
        <v>202</v>
      </c>
      <c r="B56" s="2" t="s">
        <v>203</v>
      </c>
      <c r="C56" s="2" t="s">
        <v>58</v>
      </c>
      <c r="D56" s="2">
        <v>607</v>
      </c>
      <c r="E56" s="2">
        <v>1000000</v>
      </c>
      <c r="F56" s="3">
        <f>IF(COUNT(D56,E56)=2,D56*E56,NA())</f>
        <v>607000000.0</v>
      </c>
      <c r="G56" s="2" t="s">
        <v>59</v>
      </c>
      <c r="H56" s="2" t="s">
        <v>60</v>
      </c>
      <c r="I56" s="2" t="s">
        <v>61</v>
      </c>
      <c r="J56" s="2" t="s">
        <v>62</v>
      </c>
      <c r="K56" s="2"/>
      <c r="L56" s="2" t="s">
        <v>63</v>
      </c>
      <c r="M56" s="2" t="s">
        <v>64</v>
      </c>
      <c r="N56" s="2" t="s">
        <v>65</v>
      </c>
      <c r="O56" s="2" t="s">
        <v>11</v>
      </c>
      <c r="P56" s="2"/>
      <c r="Q56" s="2" t="s">
        <v>204</v>
      </c>
      <c r="R56" s="2"/>
    </row>
    <row r="57" spans="1:18">
      <c r="A57" s="2" t="s">
        <v>205</v>
      </c>
      <c r="B57" s="2" t="s">
        <v>206</v>
      </c>
      <c r="C57" s="2" t="s">
        <v>58</v>
      </c>
      <c r="D57" s="2">
        <v>645</v>
      </c>
      <c r="E57" s="2">
        <v>1000000</v>
      </c>
      <c r="F57" s="3">
        <f>IF(COUNT(D57,E57)=2,D57*E57,NA())</f>
        <v>645000000.0</v>
      </c>
      <c r="G57" s="2" t="s">
        <v>59</v>
      </c>
      <c r="H57" s="2" t="s">
        <v>60</v>
      </c>
      <c r="I57" s="2" t="s">
        <v>61</v>
      </c>
      <c r="J57" s="2" t="s">
        <v>62</v>
      </c>
      <c r="K57" s="2"/>
      <c r="L57" s="2" t="s">
        <v>69</v>
      </c>
      <c r="M57" s="2" t="s">
        <v>64</v>
      </c>
      <c r="N57" s="2" t="s">
        <v>70</v>
      </c>
      <c r="O57" s="2" t="s">
        <v>11</v>
      </c>
      <c r="P57" s="2" t="s">
        <v>71</v>
      </c>
      <c r="Q57" s="2" t="s">
        <v>204</v>
      </c>
      <c r="R57" s="2"/>
    </row>
    <row r="58" spans="1:18">
      <c r="A58" s="2" t="s">
        <v>207</v>
      </c>
      <c r="B58" s="2" t="s">
        <v>208</v>
      </c>
      <c r="C58" s="2" t="s">
        <v>58</v>
      </c>
      <c r="D58" s="2">
        <v>1552</v>
      </c>
      <c r="E58" s="2">
        <v>1000000</v>
      </c>
      <c r="F58" s="3">
        <f>IF(COUNT(D58,E58)=2,D58*E58,NA())</f>
        <v>1552000000.0</v>
      </c>
      <c r="G58" s="2" t="s">
        <v>59</v>
      </c>
      <c r="H58" s="2" t="s">
        <v>60</v>
      </c>
      <c r="I58" s="2" t="s">
        <v>61</v>
      </c>
      <c r="J58" s="2" t="s">
        <v>62</v>
      </c>
      <c r="K58" s="2"/>
      <c r="L58" s="2" t="s">
        <v>63</v>
      </c>
      <c r="M58" s="2" t="s">
        <v>64</v>
      </c>
      <c r="N58" s="2" t="s">
        <v>65</v>
      </c>
      <c r="O58" s="2" t="s">
        <v>11</v>
      </c>
      <c r="P58" s="2"/>
      <c r="Q58" s="2" t="s">
        <v>209</v>
      </c>
      <c r="R58" s="2"/>
    </row>
    <row r="59" spans="1:18">
      <c r="A59" s="2" t="s">
        <v>210</v>
      </c>
      <c r="B59" s="2" t="s">
        <v>211</v>
      </c>
      <c r="C59" s="2" t="s">
        <v>58</v>
      </c>
      <c r="D59" s="2">
        <v>1534</v>
      </c>
      <c r="E59" s="2">
        <v>1000000</v>
      </c>
      <c r="F59" s="3">
        <f>IF(COUNT(D59,E59)=2,D59*E59,NA())</f>
        <v>1534000000.0</v>
      </c>
      <c r="G59" s="2" t="s">
        <v>59</v>
      </c>
      <c r="H59" s="2" t="s">
        <v>60</v>
      </c>
      <c r="I59" s="2" t="s">
        <v>61</v>
      </c>
      <c r="J59" s="2" t="s">
        <v>62</v>
      </c>
      <c r="K59" s="2"/>
      <c r="L59" s="2" t="s">
        <v>69</v>
      </c>
      <c r="M59" s="2" t="s">
        <v>64</v>
      </c>
      <c r="N59" s="2" t="s">
        <v>70</v>
      </c>
      <c r="O59" s="2" t="s">
        <v>11</v>
      </c>
      <c r="P59" s="2" t="s">
        <v>71</v>
      </c>
      <c r="Q59" s="2" t="s">
        <v>209</v>
      </c>
      <c r="R59" s="2"/>
    </row>
    <row r="60" spans="1:18">
      <c r="A60" s="2" t="s">
        <v>212</v>
      </c>
      <c r="B60" s="2" t="s">
        <v>213</v>
      </c>
      <c r="C60" s="2" t="s">
        <v>58</v>
      </c>
      <c r="D60" s="2">
        <v>33153</v>
      </c>
      <c r="E60" s="2">
        <v>1000000</v>
      </c>
      <c r="F60" s="3">
        <f>IF(COUNT(D60,E60)=2,D60*E60,NA())</f>
        <v>33153000000.0</v>
      </c>
      <c r="G60" s="2" t="s">
        <v>59</v>
      </c>
      <c r="H60" s="2" t="s">
        <v>60</v>
      </c>
      <c r="I60" s="2" t="s">
        <v>61</v>
      </c>
      <c r="J60" s="2" t="s">
        <v>62</v>
      </c>
      <c r="K60" s="2"/>
      <c r="L60" s="2" t="s">
        <v>63</v>
      </c>
      <c r="M60" s="2" t="s">
        <v>64</v>
      </c>
      <c r="N60" s="2" t="s">
        <v>65</v>
      </c>
      <c r="O60" s="2" t="s">
        <v>11</v>
      </c>
      <c r="P60" s="2"/>
      <c r="Q60" s="2" t="s">
        <v>214</v>
      </c>
      <c r="R60" s="2"/>
    </row>
    <row r="61" spans="1:18">
      <c r="A61" s="2" t="s">
        <v>215</v>
      </c>
      <c r="B61" s="2" t="s">
        <v>216</v>
      </c>
      <c r="C61" s="2" t="s">
        <v>58</v>
      </c>
      <c r="D61" s="2">
        <v>32869</v>
      </c>
      <c r="E61" s="2">
        <v>1000000</v>
      </c>
      <c r="F61" s="3">
        <f>IF(COUNT(D61,E61)=2,D61*E61,NA())</f>
        <v>32869000000.0</v>
      </c>
      <c r="G61" s="2" t="s">
        <v>59</v>
      </c>
      <c r="H61" s="2" t="s">
        <v>60</v>
      </c>
      <c r="I61" s="2" t="s">
        <v>61</v>
      </c>
      <c r="J61" s="2" t="s">
        <v>62</v>
      </c>
      <c r="K61" s="2"/>
      <c r="L61" s="2" t="s">
        <v>69</v>
      </c>
      <c r="M61" s="2" t="s">
        <v>64</v>
      </c>
      <c r="N61" s="2" t="s">
        <v>70</v>
      </c>
      <c r="O61" s="2" t="s">
        <v>11</v>
      </c>
      <c r="P61" s="2" t="s">
        <v>71</v>
      </c>
      <c r="Q61" s="2" t="s">
        <v>214</v>
      </c>
      <c r="R61" s="2"/>
    </row>
    <row r="62" spans="1:18">
      <c r="A62" s="2" t="s">
        <v>217</v>
      </c>
      <c r="B62" s="2" t="s">
        <v>218</v>
      </c>
      <c r="C62" s="2" t="s">
        <v>58</v>
      </c>
      <c r="D62" s="2">
        <v>4</v>
      </c>
      <c r="E62" s="2">
        <v>1000000</v>
      </c>
      <c r="F62" s="3">
        <f>IF(COUNT(D62,E62)=2,D62*E62,NA())</f>
        <v>4000000.0</v>
      </c>
      <c r="G62" s="2" t="s">
        <v>59</v>
      </c>
      <c r="H62" s="2" t="s">
        <v>60</v>
      </c>
      <c r="I62" s="2" t="s">
        <v>61</v>
      </c>
      <c r="J62" s="2" t="s">
        <v>62</v>
      </c>
      <c r="K62" s="2"/>
      <c r="L62" s="2" t="s">
        <v>63</v>
      </c>
      <c r="M62" s="2" t="s">
        <v>64</v>
      </c>
      <c r="N62" s="2" t="s">
        <v>65</v>
      </c>
      <c r="O62" s="2" t="s">
        <v>11</v>
      </c>
      <c r="P62" s="2"/>
      <c r="Q62" s="2" t="s">
        <v>219</v>
      </c>
      <c r="R62" s="2"/>
    </row>
    <row r="63" spans="1:18">
      <c r="A63" s="2" t="s">
        <v>220</v>
      </c>
      <c r="B63" s="2" t="s">
        <v>221</v>
      </c>
      <c r="C63" s="2" t="s">
        <v>58</v>
      </c>
      <c r="D63" s="2">
        <v>4</v>
      </c>
      <c r="E63" s="2">
        <v>1000000</v>
      </c>
      <c r="F63" s="3">
        <f>IF(COUNT(D63,E63)=2,D63*E63,NA())</f>
        <v>4000000.0</v>
      </c>
      <c r="G63" s="2" t="s">
        <v>59</v>
      </c>
      <c r="H63" s="2" t="s">
        <v>60</v>
      </c>
      <c r="I63" s="2" t="s">
        <v>61</v>
      </c>
      <c r="J63" s="2" t="s">
        <v>62</v>
      </c>
      <c r="K63" s="2"/>
      <c r="L63" s="2" t="s">
        <v>69</v>
      </c>
      <c r="M63" s="2" t="s">
        <v>64</v>
      </c>
      <c r="N63" s="2" t="s">
        <v>70</v>
      </c>
      <c r="O63" s="2" t="s">
        <v>11</v>
      </c>
      <c r="P63" s="2" t="s">
        <v>71</v>
      </c>
      <c r="Q63" s="2" t="s">
        <v>219</v>
      </c>
      <c r="R63" s="2"/>
    </row>
    <row r="64" spans="1:18">
      <c r="A64" s="2" t="s">
        <v>222</v>
      </c>
      <c r="B64" s="2" t="s">
        <v>223</v>
      </c>
      <c r="C64" s="2" t="s">
        <v>58</v>
      </c>
      <c r="D64" s="2">
        <v>18527</v>
      </c>
      <c r="E64" s="2">
        <v>1000000</v>
      </c>
      <c r="F64" s="3">
        <f>IF(COUNT(D64,E64)=2,D64*E64,NA())</f>
        <v>18527000000.0</v>
      </c>
      <c r="G64" s="2" t="s">
        <v>59</v>
      </c>
      <c r="H64" s="2" t="s">
        <v>60</v>
      </c>
      <c r="I64" s="2" t="s">
        <v>61</v>
      </c>
      <c r="J64" s="2" t="s">
        <v>62</v>
      </c>
      <c r="K64" s="2"/>
      <c r="L64" s="2" t="s">
        <v>63</v>
      </c>
      <c r="M64" s="2" t="s">
        <v>64</v>
      </c>
      <c r="N64" s="2" t="s">
        <v>65</v>
      </c>
      <c r="O64" s="2" t="s">
        <v>11</v>
      </c>
      <c r="P64" s="2"/>
      <c r="Q64" s="2" t="s">
        <v>224</v>
      </c>
      <c r="R64" s="2"/>
    </row>
    <row r="65" spans="1:18">
      <c r="A65" s="2" t="s">
        <v>225</v>
      </c>
      <c r="B65" s="2" t="s">
        <v>226</v>
      </c>
      <c r="C65" s="2" t="s">
        <v>58</v>
      </c>
      <c r="D65" s="2">
        <v>18393</v>
      </c>
      <c r="E65" s="2">
        <v>1000000</v>
      </c>
      <c r="F65" s="3">
        <f>IF(COUNT(D65,E65)=2,D65*E65,NA())</f>
        <v>18393000000.0</v>
      </c>
      <c r="G65" s="2" t="s">
        <v>59</v>
      </c>
      <c r="H65" s="2" t="s">
        <v>60</v>
      </c>
      <c r="I65" s="2" t="s">
        <v>61</v>
      </c>
      <c r="J65" s="2" t="s">
        <v>62</v>
      </c>
      <c r="K65" s="2"/>
      <c r="L65" s="2" t="s">
        <v>69</v>
      </c>
      <c r="M65" s="2" t="s">
        <v>64</v>
      </c>
      <c r="N65" s="2" t="s">
        <v>70</v>
      </c>
      <c r="O65" s="2" t="s">
        <v>11</v>
      </c>
      <c r="P65" s="2" t="s">
        <v>71</v>
      </c>
      <c r="Q65" s="2" t="s">
        <v>224</v>
      </c>
      <c r="R65" s="2"/>
    </row>
    <row r="66" spans="1:18">
      <c r="A66" s="2" t="s">
        <v>227</v>
      </c>
      <c r="B66" s="2" t="s">
        <v>228</v>
      </c>
      <c r="C66" s="2" t="s">
        <v>58</v>
      </c>
      <c r="D66" s="2">
        <v>-5</v>
      </c>
      <c r="E66" s="2">
        <v>1000000</v>
      </c>
      <c r="F66" s="3">
        <f>IF(COUNT(D66,E66)=2,D66*E66,NA())</f>
        <v>-5000000.0</v>
      </c>
      <c r="G66" s="2" t="s">
        <v>59</v>
      </c>
      <c r="H66" s="2" t="s">
        <v>60</v>
      </c>
      <c r="I66" s="2" t="s">
        <v>61</v>
      </c>
      <c r="J66" s="2" t="s">
        <v>62</v>
      </c>
      <c r="K66" s="2"/>
      <c r="L66" s="2" t="s">
        <v>63</v>
      </c>
      <c r="M66" s="2" t="s">
        <v>64</v>
      </c>
      <c r="N66" s="2" t="s">
        <v>65</v>
      </c>
      <c r="O66" s="2" t="s">
        <v>11</v>
      </c>
      <c r="P66" s="2"/>
      <c r="Q66" s="2" t="s">
        <v>229</v>
      </c>
      <c r="R66" s="2"/>
    </row>
    <row r="67" spans="1:18">
      <c r="A67" s="2" t="s">
        <v>230</v>
      </c>
      <c r="B67" s="2" t="s">
        <v>231</v>
      </c>
      <c r="C67" s="2" t="s">
        <v>58</v>
      </c>
      <c r="D67" s="2">
        <v>-5</v>
      </c>
      <c r="E67" s="2">
        <v>1000000</v>
      </c>
      <c r="F67" s="3">
        <f>IF(COUNT(D67,E67)=2,D67*E67,NA())</f>
        <v>-5000000.0</v>
      </c>
      <c r="G67" s="2" t="s">
        <v>59</v>
      </c>
      <c r="H67" s="2" t="s">
        <v>60</v>
      </c>
      <c r="I67" s="2" t="s">
        <v>61</v>
      </c>
      <c r="J67" s="2" t="s">
        <v>62</v>
      </c>
      <c r="K67" s="2"/>
      <c r="L67" s="2" t="s">
        <v>69</v>
      </c>
      <c r="M67" s="2" t="s">
        <v>64</v>
      </c>
      <c r="N67" s="2" t="s">
        <v>70</v>
      </c>
      <c r="O67" s="2" t="s">
        <v>11</v>
      </c>
      <c r="P67" s="2" t="s">
        <v>71</v>
      </c>
      <c r="Q67" s="2" t="s">
        <v>229</v>
      </c>
      <c r="R67" s="2"/>
    </row>
    <row r="68" spans="1:18">
      <c r="A68" s="2" t="s">
        <v>232</v>
      </c>
      <c r="B68" s="2" t="s">
        <v>233</v>
      </c>
      <c r="C68" s="2" t="s">
        <v>58</v>
      </c>
      <c r="D68" s="2">
        <v>-20161</v>
      </c>
      <c r="E68" s="2">
        <v>1000000</v>
      </c>
      <c r="F68" s="3">
        <f>IF(COUNT(D68,E68)=2,D68*E68,NA())</f>
        <v>-20161000000.0</v>
      </c>
      <c r="G68" s="2" t="s">
        <v>59</v>
      </c>
      <c r="H68" s="2" t="s">
        <v>60</v>
      </c>
      <c r="I68" s="2" t="s">
        <v>61</v>
      </c>
      <c r="J68" s="2" t="s">
        <v>62</v>
      </c>
      <c r="K68" s="2"/>
      <c r="L68" s="2" t="s">
        <v>63</v>
      </c>
      <c r="M68" s="2" t="s">
        <v>64</v>
      </c>
      <c r="N68" s="2" t="s">
        <v>65</v>
      </c>
      <c r="O68" s="2" t="s">
        <v>11</v>
      </c>
      <c r="P68" s="2"/>
      <c r="Q68" s="2" t="s">
        <v>234</v>
      </c>
      <c r="R68" s="2"/>
    </row>
    <row r="69" spans="1:18">
      <c r="A69" s="2" t="s">
        <v>235</v>
      </c>
      <c r="B69" s="2" t="s">
        <v>236</v>
      </c>
      <c r="C69" s="2" t="s">
        <v>58</v>
      </c>
      <c r="D69" s="2">
        <v>-18525</v>
      </c>
      <c r="E69" s="2">
        <v>1000000</v>
      </c>
      <c r="F69" s="3">
        <f>IF(COUNT(D69,E69)=2,D69*E69,NA())</f>
        <v>-18525000000.0</v>
      </c>
      <c r="G69" s="2" t="s">
        <v>59</v>
      </c>
      <c r="H69" s="2" t="s">
        <v>60</v>
      </c>
      <c r="I69" s="2" t="s">
        <v>61</v>
      </c>
      <c r="J69" s="2" t="s">
        <v>62</v>
      </c>
      <c r="K69" s="2"/>
      <c r="L69" s="2" t="s">
        <v>69</v>
      </c>
      <c r="M69" s="2" t="s">
        <v>64</v>
      </c>
      <c r="N69" s="2" t="s">
        <v>70</v>
      </c>
      <c r="O69" s="2" t="s">
        <v>11</v>
      </c>
      <c r="P69" s="2" t="s">
        <v>71</v>
      </c>
      <c r="Q69" s="2" t="s">
        <v>234</v>
      </c>
      <c r="R69" s="2"/>
    </row>
    <row r="70" spans="1:18">
      <c r="A70" s="2" t="s">
        <v>237</v>
      </c>
      <c r="B70" s="2" t="s">
        <v>238</v>
      </c>
      <c r="C70" s="2" t="s">
        <v>58</v>
      </c>
      <c r="D70" s="2">
        <v>-1635</v>
      </c>
      <c r="E70" s="2">
        <v>1000000</v>
      </c>
      <c r="F70" s="3">
        <f>IF(COUNT(D70,E70)=2,D70*E70,NA())</f>
        <v>-1635000000.0</v>
      </c>
      <c r="G70" s="2" t="s">
        <v>59</v>
      </c>
      <c r="H70" s="2" t="s">
        <v>60</v>
      </c>
      <c r="I70" s="2" t="s">
        <v>61</v>
      </c>
      <c r="J70" s="2" t="s">
        <v>62</v>
      </c>
      <c r="K70" s="2"/>
      <c r="L70" s="2" t="s">
        <v>63</v>
      </c>
      <c r="M70" s="2" t="s">
        <v>64</v>
      </c>
      <c r="N70" s="2" t="s">
        <v>65</v>
      </c>
      <c r="O70" s="2" t="s">
        <v>11</v>
      </c>
      <c r="P70" s="2"/>
      <c r="Q70" s="2" t="s">
        <v>239</v>
      </c>
      <c r="R70" s="2"/>
    </row>
    <row r="71" spans="1:18">
      <c r="A71" s="2" t="s">
        <v>240</v>
      </c>
      <c r="B71" s="2" t="s">
        <v>241</v>
      </c>
      <c r="C71" s="2" t="s">
        <v>58</v>
      </c>
      <c r="D71" s="2">
        <v>-133</v>
      </c>
      <c r="E71" s="2">
        <v>1000000</v>
      </c>
      <c r="F71" s="3">
        <f>IF(COUNT(D71,E71)=2,D71*E71,NA())</f>
        <v>-133000000.0</v>
      </c>
      <c r="G71" s="2" t="s">
        <v>59</v>
      </c>
      <c r="H71" s="2" t="s">
        <v>60</v>
      </c>
      <c r="I71" s="2" t="s">
        <v>61</v>
      </c>
      <c r="J71" s="2" t="s">
        <v>62</v>
      </c>
      <c r="K71" s="2"/>
      <c r="L71" s="2" t="s">
        <v>69</v>
      </c>
      <c r="M71" s="2" t="s">
        <v>64</v>
      </c>
      <c r="N71" s="2" t="s">
        <v>70</v>
      </c>
      <c r="O71" s="2" t="s">
        <v>11</v>
      </c>
      <c r="P71" s="2" t="s">
        <v>71</v>
      </c>
      <c r="Q71" s="2" t="s">
        <v>239</v>
      </c>
      <c r="R71" s="2"/>
    </row>
    <row r="72" spans="1:18">
      <c r="A72" s="2" t="s">
        <v>242</v>
      </c>
      <c r="B72" s="2" t="s">
        <v>243</v>
      </c>
      <c r="C72" s="2" t="s">
        <v>244</v>
      </c>
      <c r="D72" s="2">
        <v>4049</v>
      </c>
      <c r="E72" s="2">
        <v>1000000</v>
      </c>
      <c r="F72" s="3">
        <f>IF(COUNT(D72,E72)=2,D72*E72,NA())</f>
        <v>4049000000.0</v>
      </c>
      <c r="G72" s="2" t="s">
        <v>59</v>
      </c>
      <c r="H72" s="2" t="s">
        <v>60</v>
      </c>
      <c r="I72" s="2" t="s">
        <v>61</v>
      </c>
      <c r="J72" s="2" t="s">
        <v>62</v>
      </c>
      <c r="K72" s="2" t="s">
        <v>245</v>
      </c>
      <c r="L72" s="2" t="s">
        <v>63</v>
      </c>
      <c r="M72" s="2" t="s">
        <v>246</v>
      </c>
      <c r="N72" s="2" t="s">
        <v>65</v>
      </c>
      <c r="O72" s="2" t="s">
        <v>11</v>
      </c>
      <c r="P72" s="2"/>
      <c r="Q72" s="2" t="s">
        <v>247</v>
      </c>
      <c r="R72" s="2"/>
    </row>
    <row r="73" spans="1:18">
      <c r="A73" s="2" t="s">
        <v>248</v>
      </c>
      <c r="B73" s="2" t="s">
        <v>249</v>
      </c>
      <c r="C73" s="2" t="s">
        <v>244</v>
      </c>
      <c r="D73" s="2">
        <v>4268</v>
      </c>
      <c r="E73" s="2">
        <v>1000000</v>
      </c>
      <c r="F73" s="3">
        <f>IF(COUNT(D73,E73)=2,D73*E73,NA())</f>
        <v>4268000000.0</v>
      </c>
      <c r="G73" s="2" t="s">
        <v>59</v>
      </c>
      <c r="H73" s="2" t="s">
        <v>60</v>
      </c>
      <c r="I73" s="2" t="s">
        <v>61</v>
      </c>
      <c r="J73" s="2" t="s">
        <v>62</v>
      </c>
      <c r="K73" s="2" t="s">
        <v>250</v>
      </c>
      <c r="L73" s="2" t="s">
        <v>69</v>
      </c>
      <c r="M73" s="2" t="s">
        <v>246</v>
      </c>
      <c r="N73" s="2" t="s">
        <v>70</v>
      </c>
      <c r="O73" s="2" t="s">
        <v>11</v>
      </c>
      <c r="P73" s="2" t="s">
        <v>71</v>
      </c>
      <c r="Q73" s="2" t="s">
        <v>247</v>
      </c>
      <c r="R73" s="2"/>
    </row>
    <row r="74" spans="1:18">
      <c r="A74" s="2" t="s">
        <v>251</v>
      </c>
      <c r="B74" s="2" t="s">
        <v>252</v>
      </c>
      <c r="C74" s="2" t="s">
        <v>244</v>
      </c>
      <c r="D74" s="2">
        <v>215</v>
      </c>
      <c r="E74" s="2">
        <v>1000000</v>
      </c>
      <c r="F74" s="3">
        <f>IF(COUNT(D74,E74)=2,D74*E74,NA())</f>
        <v>215000000.0</v>
      </c>
      <c r="G74" s="2" t="s">
        <v>59</v>
      </c>
      <c r="H74" s="2" t="s">
        <v>60</v>
      </c>
      <c r="I74" s="2" t="s">
        <v>61</v>
      </c>
      <c r="J74" s="2" t="s">
        <v>62</v>
      </c>
      <c r="K74" s="2" t="s">
        <v>245</v>
      </c>
      <c r="L74" s="2" t="s">
        <v>63</v>
      </c>
      <c r="M74" s="2" t="s">
        <v>246</v>
      </c>
      <c r="N74" s="2" t="s">
        <v>65</v>
      </c>
      <c r="O74" s="2" t="s">
        <v>11</v>
      </c>
      <c r="P74" s="2"/>
      <c r="Q74" s="2" t="s">
        <v>253</v>
      </c>
      <c r="R74" s="2"/>
    </row>
    <row r="75" spans="1:18">
      <c r="A75" s="2" t="s">
        <v>254</v>
      </c>
      <c r="B75" s="2" t="s">
        <v>255</v>
      </c>
      <c r="C75" s="2" t="s">
        <v>244</v>
      </c>
      <c r="D75" s="2">
        <v>192</v>
      </c>
      <c r="E75" s="2">
        <v>1000000</v>
      </c>
      <c r="F75" s="3">
        <f>IF(COUNT(D75,E75)=2,D75*E75,NA())</f>
        <v>192000000.0</v>
      </c>
      <c r="G75" s="2" t="s">
        <v>59</v>
      </c>
      <c r="H75" s="2" t="s">
        <v>60</v>
      </c>
      <c r="I75" s="2" t="s">
        <v>61</v>
      </c>
      <c r="J75" s="2" t="s">
        <v>62</v>
      </c>
      <c r="K75" s="2" t="s">
        <v>250</v>
      </c>
      <c r="L75" s="2" t="s">
        <v>69</v>
      </c>
      <c r="M75" s="2" t="s">
        <v>246</v>
      </c>
      <c r="N75" s="2" t="s">
        <v>70</v>
      </c>
      <c r="O75" s="2" t="s">
        <v>11</v>
      </c>
      <c r="P75" s="2" t="s">
        <v>71</v>
      </c>
      <c r="Q75" s="2" t="s">
        <v>253</v>
      </c>
      <c r="R75" s="2"/>
    </row>
    <row r="76" spans="1:18">
      <c r="A76" s="2" t="s">
        <v>256</v>
      </c>
      <c r="B76" s="2" t="s">
        <v>257</v>
      </c>
      <c r="C76" s="2" t="s">
        <v>244</v>
      </c>
      <c r="D76" s="2">
        <v>4264</v>
      </c>
      <c r="E76" s="2">
        <v>1000000</v>
      </c>
      <c r="F76" s="3">
        <f>IF(COUNT(D76,E76)=2,D76*E76,NA())</f>
        <v>4264000000.0</v>
      </c>
      <c r="G76" s="2" t="s">
        <v>59</v>
      </c>
      <c r="H76" s="2" t="s">
        <v>60</v>
      </c>
      <c r="I76" s="2" t="s">
        <v>61</v>
      </c>
      <c r="J76" s="2" t="s">
        <v>62</v>
      </c>
      <c r="K76" s="2" t="s">
        <v>245</v>
      </c>
      <c r="L76" s="2" t="s">
        <v>63</v>
      </c>
      <c r="M76" s="2" t="s">
        <v>246</v>
      </c>
      <c r="N76" s="2" t="s">
        <v>65</v>
      </c>
      <c r="O76" s="2" t="s">
        <v>11</v>
      </c>
      <c r="P76" s="2"/>
      <c r="Q76" s="2" t="s">
        <v>258</v>
      </c>
      <c r="R76" s="2"/>
    </row>
    <row r="77" spans="1:18">
      <c r="A77" s="2" t="s">
        <v>259</v>
      </c>
      <c r="B77" s="2" t="s">
        <v>260</v>
      </c>
      <c r="C77" s="2" t="s">
        <v>244</v>
      </c>
      <c r="D77" s="2">
        <v>4460</v>
      </c>
      <c r="E77" s="2">
        <v>1000000</v>
      </c>
      <c r="F77" s="3">
        <f>IF(COUNT(D77,E77)=2,D77*E77,NA())</f>
        <v>4460000000.0</v>
      </c>
      <c r="G77" s="2" t="s">
        <v>59</v>
      </c>
      <c r="H77" s="2" t="s">
        <v>60</v>
      </c>
      <c r="I77" s="2" t="s">
        <v>61</v>
      </c>
      <c r="J77" s="2" t="s">
        <v>62</v>
      </c>
      <c r="K77" s="2" t="s">
        <v>250</v>
      </c>
      <c r="L77" s="2" t="s">
        <v>69</v>
      </c>
      <c r="M77" s="2" t="s">
        <v>246</v>
      </c>
      <c r="N77" s="2" t="s">
        <v>70</v>
      </c>
      <c r="O77" s="2" t="s">
        <v>11</v>
      </c>
      <c r="P77" s="2" t="s">
        <v>71</v>
      </c>
      <c r="Q77" s="2" t="s">
        <v>258</v>
      </c>
      <c r="R77" s="2"/>
    </row>
    <row r="78" spans="1:18">
      <c r="A78" s="2" t="s">
        <v>261</v>
      </c>
      <c r="B78" s="2" t="s">
        <v>262</v>
      </c>
      <c r="C78" s="2" t="s">
        <v>244</v>
      </c>
      <c r="D78" s="2">
        <v>992</v>
      </c>
      <c r="E78" s="2">
        <v>1000000</v>
      </c>
      <c r="F78" s="3">
        <f>IF(COUNT(D78,E78)=2,D78*E78,NA())</f>
        <v>992000000.0</v>
      </c>
      <c r="G78" s="2" t="s">
        <v>59</v>
      </c>
      <c r="H78" s="2" t="s">
        <v>60</v>
      </c>
      <c r="I78" s="2" t="s">
        <v>61</v>
      </c>
      <c r="J78" s="2" t="s">
        <v>62</v>
      </c>
      <c r="K78" s="2" t="s">
        <v>245</v>
      </c>
      <c r="L78" s="2" t="s">
        <v>63</v>
      </c>
      <c r="M78" s="2" t="s">
        <v>246</v>
      </c>
      <c r="N78" s="2" t="s">
        <v>65</v>
      </c>
      <c r="O78" s="2" t="s">
        <v>11</v>
      </c>
      <c r="P78" s="2"/>
      <c r="Q78" s="2" t="s">
        <v>263</v>
      </c>
      <c r="R78" s="2"/>
    </row>
    <row r="79" spans="1:18">
      <c r="A79" s="2" t="s">
        <v>264</v>
      </c>
      <c r="B79" s="2" t="s">
        <v>265</v>
      </c>
      <c r="C79" s="2" t="s">
        <v>244</v>
      </c>
      <c r="D79" s="2">
        <v>983</v>
      </c>
      <c r="E79" s="2">
        <v>1000000</v>
      </c>
      <c r="F79" s="3">
        <f>IF(COUNT(D79,E79)=2,D79*E79,NA())</f>
        <v>983000000.0</v>
      </c>
      <c r="G79" s="2" t="s">
        <v>59</v>
      </c>
      <c r="H79" s="2" t="s">
        <v>60</v>
      </c>
      <c r="I79" s="2" t="s">
        <v>61</v>
      </c>
      <c r="J79" s="2" t="s">
        <v>62</v>
      </c>
      <c r="K79" s="2" t="s">
        <v>250</v>
      </c>
      <c r="L79" s="2" t="s">
        <v>69</v>
      </c>
      <c r="M79" s="2" t="s">
        <v>246</v>
      </c>
      <c r="N79" s="2" t="s">
        <v>70</v>
      </c>
      <c r="O79" s="2" t="s">
        <v>11</v>
      </c>
      <c r="P79" s="2" t="s">
        <v>71</v>
      </c>
      <c r="Q79" s="2" t="s">
        <v>263</v>
      </c>
      <c r="R79" s="2"/>
    </row>
    <row r="80" spans="1:18">
      <c r="A80" s="2" t="s">
        <v>266</v>
      </c>
      <c r="B80" s="2" t="s">
        <v>267</v>
      </c>
      <c r="C80" s="2" t="s">
        <v>244</v>
      </c>
      <c r="D80" s="2">
        <v>113</v>
      </c>
      <c r="E80" s="2">
        <v>1000000</v>
      </c>
      <c r="F80" s="3">
        <f>IF(COUNT(D80,E80)=2,D80*E80,NA())</f>
        <v>113000000.0</v>
      </c>
      <c r="G80" s="2" t="s">
        <v>59</v>
      </c>
      <c r="H80" s="2" t="s">
        <v>60</v>
      </c>
      <c r="I80" s="2" t="s">
        <v>61</v>
      </c>
      <c r="J80" s="2" t="s">
        <v>62</v>
      </c>
      <c r="K80" s="2" t="s">
        <v>245</v>
      </c>
      <c r="L80" s="2" t="s">
        <v>63</v>
      </c>
      <c r="M80" s="2" t="s">
        <v>246</v>
      </c>
      <c r="N80" s="2" t="s">
        <v>65</v>
      </c>
      <c r="O80" s="2" t="s">
        <v>11</v>
      </c>
      <c r="P80" s="2"/>
      <c r="Q80" s="2" t="s">
        <v>268</v>
      </c>
      <c r="R80" s="2"/>
    </row>
    <row r="81" spans="1:18">
      <c r="A81" s="2" t="s">
        <v>269</v>
      </c>
      <c r="B81" s="2" t="s">
        <v>270</v>
      </c>
      <c r="C81" s="2" t="s">
        <v>244</v>
      </c>
      <c r="D81" s="2">
        <v>107</v>
      </c>
      <c r="E81" s="2">
        <v>1000000</v>
      </c>
      <c r="F81" s="3">
        <f>IF(COUNT(D81,E81)=2,D81*E81,NA())</f>
        <v>107000000.0</v>
      </c>
      <c r="G81" s="2" t="s">
        <v>59</v>
      </c>
      <c r="H81" s="2" t="s">
        <v>60</v>
      </c>
      <c r="I81" s="2" t="s">
        <v>61</v>
      </c>
      <c r="J81" s="2" t="s">
        <v>62</v>
      </c>
      <c r="K81" s="2" t="s">
        <v>250</v>
      </c>
      <c r="L81" s="2" t="s">
        <v>69</v>
      </c>
      <c r="M81" s="2" t="s">
        <v>246</v>
      </c>
      <c r="N81" s="2" t="s">
        <v>70</v>
      </c>
      <c r="O81" s="2" t="s">
        <v>11</v>
      </c>
      <c r="P81" s="2" t="s">
        <v>71</v>
      </c>
      <c r="Q81" s="2" t="s">
        <v>268</v>
      </c>
      <c r="R81" s="2"/>
    </row>
    <row r="82" spans="1:18">
      <c r="A82" s="2" t="s">
        <v>271</v>
      </c>
      <c r="B82" s="2" t="s">
        <v>272</v>
      </c>
      <c r="C82" s="2" t="s">
        <v>244</v>
      </c>
      <c r="D82" s="2">
        <v>383</v>
      </c>
      <c r="E82" s="2">
        <v>1000000</v>
      </c>
      <c r="F82" s="3">
        <f>IF(COUNT(D82,E82)=2,D82*E82,NA())</f>
        <v>383000000.0</v>
      </c>
      <c r="G82" s="2" t="s">
        <v>59</v>
      </c>
      <c r="H82" s="2" t="s">
        <v>60</v>
      </c>
      <c r="I82" s="2" t="s">
        <v>61</v>
      </c>
      <c r="J82" s="2" t="s">
        <v>62</v>
      </c>
      <c r="K82" s="2" t="s">
        <v>245</v>
      </c>
      <c r="L82" s="2" t="s">
        <v>63</v>
      </c>
      <c r="M82" s="2" t="s">
        <v>246</v>
      </c>
      <c r="N82" s="2" t="s">
        <v>65</v>
      </c>
      <c r="O82" s="2" t="s">
        <v>11</v>
      </c>
      <c r="P82" s="2"/>
      <c r="Q82" s="2" t="s">
        <v>273</v>
      </c>
      <c r="R82" s="2"/>
    </row>
    <row r="83" spans="1:18">
      <c r="A83" s="2" t="s">
        <v>274</v>
      </c>
      <c r="B83" s="2" t="s">
        <v>275</v>
      </c>
      <c r="C83" s="2" t="s">
        <v>244</v>
      </c>
      <c r="D83" s="2">
        <v>435</v>
      </c>
      <c r="E83" s="2">
        <v>1000000</v>
      </c>
      <c r="F83" s="3">
        <f>IF(COUNT(D83,E83)=2,D83*E83,NA())</f>
        <v>435000000.0</v>
      </c>
      <c r="G83" s="2" t="s">
        <v>59</v>
      </c>
      <c r="H83" s="2" t="s">
        <v>60</v>
      </c>
      <c r="I83" s="2" t="s">
        <v>61</v>
      </c>
      <c r="J83" s="2" t="s">
        <v>62</v>
      </c>
      <c r="K83" s="2" t="s">
        <v>250</v>
      </c>
      <c r="L83" s="2" t="s">
        <v>69</v>
      </c>
      <c r="M83" s="2" t="s">
        <v>246</v>
      </c>
      <c r="N83" s="2" t="s">
        <v>70</v>
      </c>
      <c r="O83" s="2" t="s">
        <v>11</v>
      </c>
      <c r="P83" s="2" t="s">
        <v>71</v>
      </c>
      <c r="Q83" s="2" t="s">
        <v>273</v>
      </c>
      <c r="R83" s="2"/>
    </row>
    <row r="84" spans="1:18">
      <c r="A84" s="2" t="s">
        <v>276</v>
      </c>
      <c r="B84" s="2" t="s">
        <v>277</v>
      </c>
      <c r="C84" s="2" t="s">
        <v>244</v>
      </c>
      <c r="D84" s="2">
        <v>11</v>
      </c>
      <c r="E84" s="2">
        <v>1000000</v>
      </c>
      <c r="F84" s="3">
        <f>IF(COUNT(D84,E84)=2,D84*E84,NA())</f>
        <v>11000000.0</v>
      </c>
      <c r="G84" s="2" t="s">
        <v>59</v>
      </c>
      <c r="H84" s="2" t="s">
        <v>60</v>
      </c>
      <c r="I84" s="2" t="s">
        <v>61</v>
      </c>
      <c r="J84" s="2" t="s">
        <v>62</v>
      </c>
      <c r="K84" s="2" t="s">
        <v>245</v>
      </c>
      <c r="L84" s="2" t="s">
        <v>63</v>
      </c>
      <c r="M84" s="2" t="s">
        <v>246</v>
      </c>
      <c r="N84" s="2" t="s">
        <v>65</v>
      </c>
      <c r="O84" s="2" t="s">
        <v>11</v>
      </c>
      <c r="P84" s="2"/>
      <c r="Q84" s="2" t="s">
        <v>278</v>
      </c>
      <c r="R84" s="2"/>
    </row>
    <row r="85" spans="1:18">
      <c r="A85" s="2" t="s">
        <v>279</v>
      </c>
      <c r="B85" s="2" t="s">
        <v>280</v>
      </c>
      <c r="C85" s="2" t="s">
        <v>244</v>
      </c>
      <c r="D85" s="2">
        <v>11</v>
      </c>
      <c r="E85" s="2">
        <v>1000000</v>
      </c>
      <c r="F85" s="3">
        <f>IF(COUNT(D85,E85)=2,D85*E85,NA())</f>
        <v>11000000.0</v>
      </c>
      <c r="G85" s="2" t="s">
        <v>59</v>
      </c>
      <c r="H85" s="2" t="s">
        <v>60</v>
      </c>
      <c r="I85" s="2" t="s">
        <v>61</v>
      </c>
      <c r="J85" s="2" t="s">
        <v>62</v>
      </c>
      <c r="K85" s="2" t="s">
        <v>250</v>
      </c>
      <c r="L85" s="2" t="s">
        <v>69</v>
      </c>
      <c r="M85" s="2" t="s">
        <v>246</v>
      </c>
      <c r="N85" s="2" t="s">
        <v>70</v>
      </c>
      <c r="O85" s="2" t="s">
        <v>11</v>
      </c>
      <c r="P85" s="2" t="s">
        <v>71</v>
      </c>
      <c r="Q85" s="2" t="s">
        <v>278</v>
      </c>
      <c r="R85" s="2"/>
    </row>
    <row r="86" spans="1:18">
      <c r="A86" s="2" t="s">
        <v>281</v>
      </c>
      <c r="B86" s="2" t="s">
        <v>282</v>
      </c>
      <c r="C86" s="2" t="s">
        <v>244</v>
      </c>
      <c r="D86" s="2">
        <v>0</v>
      </c>
      <c r="E86" s="2">
        <v>1000000</v>
      </c>
      <c r="F86" s="3">
        <f>IF(COUNT(D86,E86)=2,D86*E86,NA())</f>
        <v>0.0</v>
      </c>
      <c r="G86" s="2" t="s">
        <v>59</v>
      </c>
      <c r="H86" s="2" t="s">
        <v>60</v>
      </c>
      <c r="I86" s="2" t="s">
        <v>61</v>
      </c>
      <c r="J86" s="2" t="s">
        <v>62</v>
      </c>
      <c r="K86" s="2" t="s">
        <v>245</v>
      </c>
      <c r="L86" s="2" t="s">
        <v>63</v>
      </c>
      <c r="M86" s="2" t="s">
        <v>246</v>
      </c>
      <c r="N86" s="2" t="s">
        <v>65</v>
      </c>
      <c r="O86" s="2" t="s">
        <v>11</v>
      </c>
      <c r="P86" s="2"/>
      <c r="Q86" s="2" t="s">
        <v>283</v>
      </c>
      <c r="R86" s="2"/>
    </row>
    <row r="87" spans="1:18">
      <c r="A87" s="2" t="s">
        <v>284</v>
      </c>
      <c r="B87" s="2" t="s">
        <v>285</v>
      </c>
      <c r="C87" s="2" t="s">
        <v>244</v>
      </c>
      <c r="D87" s="2">
        <v>0</v>
      </c>
      <c r="E87" s="2">
        <v>1000000</v>
      </c>
      <c r="F87" s="3">
        <f>IF(COUNT(D87,E87)=2,D87*E87,NA())</f>
        <v>0.0</v>
      </c>
      <c r="G87" s="2" t="s">
        <v>59</v>
      </c>
      <c r="H87" s="2" t="s">
        <v>60</v>
      </c>
      <c r="I87" s="2" t="s">
        <v>61</v>
      </c>
      <c r="J87" s="2" t="s">
        <v>62</v>
      </c>
      <c r="K87" s="2" t="s">
        <v>250</v>
      </c>
      <c r="L87" s="2" t="s">
        <v>69</v>
      </c>
      <c r="M87" s="2" t="s">
        <v>246</v>
      </c>
      <c r="N87" s="2" t="s">
        <v>70</v>
      </c>
      <c r="O87" s="2" t="s">
        <v>11</v>
      </c>
      <c r="P87" s="2" t="s">
        <v>71</v>
      </c>
      <c r="Q87" s="2" t="s">
        <v>283</v>
      </c>
      <c r="R87" s="2"/>
    </row>
    <row r="88" spans="1:18">
      <c r="A88" s="2" t="s">
        <v>286</v>
      </c>
      <c r="B88" s="2" t="s">
        <v>287</v>
      </c>
      <c r="C88" s="2" t="s">
        <v>244</v>
      </c>
      <c r="D88" s="2">
        <v>690</v>
      </c>
      <c r="E88" s="2">
        <v>1000000</v>
      </c>
      <c r="F88" s="3">
        <f>IF(COUNT(D88,E88)=2,D88*E88,NA())</f>
        <v>690000000.0</v>
      </c>
      <c r="G88" s="2" t="s">
        <v>59</v>
      </c>
      <c r="H88" s="2" t="s">
        <v>60</v>
      </c>
      <c r="I88" s="2" t="s">
        <v>61</v>
      </c>
      <c r="J88" s="2" t="s">
        <v>62</v>
      </c>
      <c r="K88" s="2" t="s">
        <v>245</v>
      </c>
      <c r="L88" s="2" t="s">
        <v>63</v>
      </c>
      <c r="M88" s="2" t="s">
        <v>246</v>
      </c>
      <c r="N88" s="2" t="s">
        <v>65</v>
      </c>
      <c r="O88" s="2" t="s">
        <v>11</v>
      </c>
      <c r="P88" s="2"/>
      <c r="Q88" s="2" t="s">
        <v>288</v>
      </c>
      <c r="R88" s="2"/>
    </row>
    <row r="89" spans="1:18">
      <c r="A89" s="2" t="s">
        <v>289</v>
      </c>
      <c r="B89" s="2" t="s">
        <v>290</v>
      </c>
      <c r="C89" s="2" t="s">
        <v>244</v>
      </c>
      <c r="D89" s="2">
        <v>736</v>
      </c>
      <c r="E89" s="2">
        <v>1000000</v>
      </c>
      <c r="F89" s="3">
        <f>IF(COUNT(D89,E89)=2,D89*E89,NA())</f>
        <v>736000000.0</v>
      </c>
      <c r="G89" s="2" t="s">
        <v>59</v>
      </c>
      <c r="H89" s="2" t="s">
        <v>60</v>
      </c>
      <c r="I89" s="2" t="s">
        <v>61</v>
      </c>
      <c r="J89" s="2" t="s">
        <v>62</v>
      </c>
      <c r="K89" s="2" t="s">
        <v>250</v>
      </c>
      <c r="L89" s="2" t="s">
        <v>69</v>
      </c>
      <c r="M89" s="2" t="s">
        <v>246</v>
      </c>
      <c r="N89" s="2" t="s">
        <v>70</v>
      </c>
      <c r="O89" s="2" t="s">
        <v>11</v>
      </c>
      <c r="P89" s="2" t="s">
        <v>71</v>
      </c>
      <c r="Q89" s="2" t="s">
        <v>288</v>
      </c>
      <c r="R89" s="2"/>
    </row>
    <row r="90" spans="1:18">
      <c r="A90" s="2" t="s">
        <v>291</v>
      </c>
      <c r="B90" s="2" t="s">
        <v>292</v>
      </c>
      <c r="C90" s="2" t="s">
        <v>244</v>
      </c>
      <c r="D90" s="2">
        <v>0</v>
      </c>
      <c r="E90" s="2">
        <v>1000000</v>
      </c>
      <c r="F90" s="3">
        <f>IF(COUNT(D90,E90)=2,D90*E90,NA())</f>
        <v>0.0</v>
      </c>
      <c r="G90" s="2" t="s">
        <v>59</v>
      </c>
      <c r="H90" s="2" t="s">
        <v>60</v>
      </c>
      <c r="I90" s="2" t="s">
        <v>61</v>
      </c>
      <c r="J90" s="2" t="s">
        <v>62</v>
      </c>
      <c r="K90" s="2" t="s">
        <v>245</v>
      </c>
      <c r="L90" s="2" t="s">
        <v>63</v>
      </c>
      <c r="M90" s="2" t="s">
        <v>246</v>
      </c>
      <c r="N90" s="2" t="s">
        <v>65</v>
      </c>
      <c r="O90" s="2" t="s">
        <v>11</v>
      </c>
      <c r="P90" s="2"/>
      <c r="Q90" s="2" t="s">
        <v>293</v>
      </c>
      <c r="R90" s="2"/>
    </row>
    <row r="91" spans="1:18">
      <c r="A91" s="2" t="s">
        <v>294</v>
      </c>
      <c r="B91" s="2" t="s">
        <v>295</v>
      </c>
      <c r="C91" s="2" t="s">
        <v>244</v>
      </c>
      <c r="D91" s="2">
        <v>70</v>
      </c>
      <c r="E91" s="2">
        <v>1000000</v>
      </c>
      <c r="F91" s="3">
        <f>IF(COUNT(D91,E91)=2,D91*E91,NA())</f>
        <v>70000000.0</v>
      </c>
      <c r="G91" s="2" t="s">
        <v>59</v>
      </c>
      <c r="H91" s="2" t="s">
        <v>60</v>
      </c>
      <c r="I91" s="2" t="s">
        <v>61</v>
      </c>
      <c r="J91" s="2" t="s">
        <v>62</v>
      </c>
      <c r="K91" s="2" t="s">
        <v>250</v>
      </c>
      <c r="L91" s="2" t="s">
        <v>69</v>
      </c>
      <c r="M91" s="2" t="s">
        <v>246</v>
      </c>
      <c r="N91" s="2" t="s">
        <v>70</v>
      </c>
      <c r="O91" s="2" t="s">
        <v>11</v>
      </c>
      <c r="P91" s="2" t="s">
        <v>71</v>
      </c>
      <c r="Q91" s="2" t="s">
        <v>293</v>
      </c>
      <c r="R91" s="2"/>
    </row>
    <row r="92" spans="1:18">
      <c r="A92" s="2" t="s">
        <v>296</v>
      </c>
      <c r="B92" s="2" t="s">
        <v>297</v>
      </c>
      <c r="C92" s="2" t="s">
        <v>244</v>
      </c>
      <c r="D92" s="2">
        <v>2189</v>
      </c>
      <c r="E92" s="2">
        <v>1000000</v>
      </c>
      <c r="F92" s="3">
        <f>IF(COUNT(D92,E92)=2,D92*E92,NA())</f>
        <v>2189000000.0</v>
      </c>
      <c r="G92" s="2" t="s">
        <v>59</v>
      </c>
      <c r="H92" s="2" t="s">
        <v>60</v>
      </c>
      <c r="I92" s="2" t="s">
        <v>61</v>
      </c>
      <c r="J92" s="2" t="s">
        <v>62</v>
      </c>
      <c r="K92" s="2" t="s">
        <v>245</v>
      </c>
      <c r="L92" s="2" t="s">
        <v>63</v>
      </c>
      <c r="M92" s="2" t="s">
        <v>246</v>
      </c>
      <c r="N92" s="2" t="s">
        <v>65</v>
      </c>
      <c r="O92" s="2" t="s">
        <v>11</v>
      </c>
      <c r="P92" s="2"/>
      <c r="Q92" s="2" t="s">
        <v>298</v>
      </c>
      <c r="R92" s="2"/>
    </row>
    <row r="93" spans="1:18">
      <c r="A93" s="2" t="s">
        <v>299</v>
      </c>
      <c r="B93" s="2" t="s">
        <v>300</v>
      </c>
      <c r="C93" s="2" t="s">
        <v>244</v>
      </c>
      <c r="D93" s="2">
        <v>2342</v>
      </c>
      <c r="E93" s="2">
        <v>1000000</v>
      </c>
      <c r="F93" s="3">
        <f>IF(COUNT(D93,E93)=2,D93*E93,NA())</f>
        <v>2342000000.0</v>
      </c>
      <c r="G93" s="2" t="s">
        <v>59</v>
      </c>
      <c r="H93" s="2" t="s">
        <v>60</v>
      </c>
      <c r="I93" s="2" t="s">
        <v>61</v>
      </c>
      <c r="J93" s="2" t="s">
        <v>62</v>
      </c>
      <c r="K93" s="2" t="s">
        <v>250</v>
      </c>
      <c r="L93" s="2" t="s">
        <v>69</v>
      </c>
      <c r="M93" s="2" t="s">
        <v>246</v>
      </c>
      <c r="N93" s="2" t="s">
        <v>70</v>
      </c>
      <c r="O93" s="2" t="s">
        <v>11</v>
      </c>
      <c r="P93" s="2" t="s">
        <v>71</v>
      </c>
      <c r="Q93" s="2" t="s">
        <v>298</v>
      </c>
      <c r="R93" s="2"/>
    </row>
    <row r="94" spans="1:18">
      <c r="A94" s="2" t="s">
        <v>301</v>
      </c>
      <c r="B94" s="2" t="s">
        <v>302</v>
      </c>
      <c r="C94" s="2" t="s">
        <v>244</v>
      </c>
      <c r="D94" s="2">
        <v>2075</v>
      </c>
      <c r="E94" s="2">
        <v>1000000</v>
      </c>
      <c r="F94" s="3">
        <f>IF(COUNT(D94,E94)=2,D94*E94,NA())</f>
        <v>2075000000.0</v>
      </c>
      <c r="G94" s="2" t="s">
        <v>59</v>
      </c>
      <c r="H94" s="2" t="s">
        <v>60</v>
      </c>
      <c r="I94" s="2" t="s">
        <v>61</v>
      </c>
      <c r="J94" s="2" t="s">
        <v>62</v>
      </c>
      <c r="K94" s="2" t="s">
        <v>245</v>
      </c>
      <c r="L94" s="2" t="s">
        <v>63</v>
      </c>
      <c r="M94" s="2" t="s">
        <v>246</v>
      </c>
      <c r="N94" s="2" t="s">
        <v>65</v>
      </c>
      <c r="O94" s="2" t="s">
        <v>11</v>
      </c>
      <c r="P94" s="2"/>
      <c r="Q94" s="2" t="s">
        <v>303</v>
      </c>
      <c r="R94" s="2"/>
    </row>
    <row r="95" spans="1:18">
      <c r="A95" s="2" t="s">
        <v>304</v>
      </c>
      <c r="B95" s="2" t="s">
        <v>305</v>
      </c>
      <c r="C95" s="2" t="s">
        <v>244</v>
      </c>
      <c r="D95" s="2">
        <v>2118</v>
      </c>
      <c r="E95" s="2">
        <v>1000000</v>
      </c>
      <c r="F95" s="3">
        <f>IF(COUNT(D95,E95)=2,D95*E95,NA())</f>
        <v>2118000000.0</v>
      </c>
      <c r="G95" s="2" t="s">
        <v>59</v>
      </c>
      <c r="H95" s="2" t="s">
        <v>60</v>
      </c>
      <c r="I95" s="2" t="s">
        <v>61</v>
      </c>
      <c r="J95" s="2" t="s">
        <v>62</v>
      </c>
      <c r="K95" s="2" t="s">
        <v>250</v>
      </c>
      <c r="L95" s="2" t="s">
        <v>69</v>
      </c>
      <c r="M95" s="2" t="s">
        <v>246</v>
      </c>
      <c r="N95" s="2" t="s">
        <v>70</v>
      </c>
      <c r="O95" s="2" t="s">
        <v>11</v>
      </c>
      <c r="P95" s="2" t="s">
        <v>71</v>
      </c>
      <c r="Q95" s="2" t="s">
        <v>303</v>
      </c>
      <c r="R95" s="2"/>
    </row>
    <row r="96" spans="1:18">
      <c r="A96" s="2" t="s">
        <v>306</v>
      </c>
      <c r="B96" s="2" t="s">
        <v>307</v>
      </c>
      <c r="C96" s="2" t="s">
        <v>244</v>
      </c>
      <c r="D96" s="2">
        <v>-972</v>
      </c>
      <c r="E96" s="2">
        <v>1000000</v>
      </c>
      <c r="F96" s="3">
        <f>IF(COUNT(D96,E96)=2,D96*E96,NA())</f>
        <v>-972000000.0</v>
      </c>
      <c r="G96" s="2" t="s">
        <v>59</v>
      </c>
      <c r="H96" s="2" t="s">
        <v>60</v>
      </c>
      <c r="I96" s="2" t="s">
        <v>61</v>
      </c>
      <c r="J96" s="2" t="s">
        <v>62</v>
      </c>
      <c r="K96" s="2" t="s">
        <v>245</v>
      </c>
      <c r="L96" s="2" t="s">
        <v>63</v>
      </c>
      <c r="M96" s="2" t="s">
        <v>246</v>
      </c>
      <c r="N96" s="2" t="s">
        <v>65</v>
      </c>
      <c r="O96" s="2" t="s">
        <v>11</v>
      </c>
      <c r="P96" s="2"/>
      <c r="Q96" s="2" t="s">
        <v>308</v>
      </c>
      <c r="R96" s="2"/>
    </row>
    <row r="97" spans="1:18">
      <c r="A97" s="2" t="s">
        <v>309</v>
      </c>
      <c r="B97" s="2" t="s">
        <v>310</v>
      </c>
      <c r="C97" s="2" t="s">
        <v>244</v>
      </c>
      <c r="D97" s="2">
        <v>-932</v>
      </c>
      <c r="E97" s="2">
        <v>1000000</v>
      </c>
      <c r="F97" s="3">
        <f>IF(COUNT(D97,E97)=2,D97*E97,NA())</f>
        <v>-932000000.0</v>
      </c>
      <c r="G97" s="2" t="s">
        <v>59</v>
      </c>
      <c r="H97" s="2" t="s">
        <v>60</v>
      </c>
      <c r="I97" s="2" t="s">
        <v>61</v>
      </c>
      <c r="J97" s="2" t="s">
        <v>62</v>
      </c>
      <c r="K97" s="2" t="s">
        <v>250</v>
      </c>
      <c r="L97" s="2" t="s">
        <v>69</v>
      </c>
      <c r="M97" s="2" t="s">
        <v>246</v>
      </c>
      <c r="N97" s="2" t="s">
        <v>70</v>
      </c>
      <c r="O97" s="2" t="s">
        <v>11</v>
      </c>
      <c r="P97" s="2" t="s">
        <v>71</v>
      </c>
      <c r="Q97" s="2" t="s">
        <v>308</v>
      </c>
      <c r="R97" s="2"/>
    </row>
    <row r="98" spans="1:18">
      <c r="A98" s="2" t="s">
        <v>311</v>
      </c>
      <c r="B98" s="2" t="s">
        <v>312</v>
      </c>
      <c r="C98" s="2" t="s">
        <v>244</v>
      </c>
      <c r="D98" s="2">
        <v>13</v>
      </c>
      <c r="E98" s="2">
        <v>1000000</v>
      </c>
      <c r="F98" s="3">
        <f>IF(COUNT(D98,E98)=2,D98*E98,NA())</f>
        <v>13000000.0</v>
      </c>
      <c r="G98" s="2" t="s">
        <v>59</v>
      </c>
      <c r="H98" s="2" t="s">
        <v>60</v>
      </c>
      <c r="I98" s="2" t="s">
        <v>61</v>
      </c>
      <c r="J98" s="2" t="s">
        <v>62</v>
      </c>
      <c r="K98" s="2" t="s">
        <v>245</v>
      </c>
      <c r="L98" s="2" t="s">
        <v>63</v>
      </c>
      <c r="M98" s="2" t="s">
        <v>246</v>
      </c>
      <c r="N98" s="2" t="s">
        <v>65</v>
      </c>
      <c r="O98" s="2" t="s">
        <v>11</v>
      </c>
      <c r="P98" s="2"/>
      <c r="Q98" s="2" t="s">
        <v>313</v>
      </c>
      <c r="R98" s="2"/>
    </row>
    <row r="99" spans="1:18">
      <c r="A99" s="2" t="s">
        <v>314</v>
      </c>
      <c r="B99" s="2" t="s">
        <v>315</v>
      </c>
      <c r="C99" s="2" t="s">
        <v>244</v>
      </c>
      <c r="D99" s="2">
        <v>20</v>
      </c>
      <c r="E99" s="2">
        <v>1000000</v>
      </c>
      <c r="F99" s="3">
        <f>IF(COUNT(D99,E99)=2,D99*E99,NA())</f>
        <v>20000000.0</v>
      </c>
      <c r="G99" s="2" t="s">
        <v>59</v>
      </c>
      <c r="H99" s="2" t="s">
        <v>60</v>
      </c>
      <c r="I99" s="2" t="s">
        <v>61</v>
      </c>
      <c r="J99" s="2" t="s">
        <v>62</v>
      </c>
      <c r="K99" s="2" t="s">
        <v>250</v>
      </c>
      <c r="L99" s="2" t="s">
        <v>69</v>
      </c>
      <c r="M99" s="2" t="s">
        <v>246</v>
      </c>
      <c r="N99" s="2" t="s">
        <v>70</v>
      </c>
      <c r="O99" s="2" t="s">
        <v>11</v>
      </c>
      <c r="P99" s="2" t="s">
        <v>71</v>
      </c>
      <c r="Q99" s="2" t="s">
        <v>313</v>
      </c>
      <c r="R99" s="2"/>
    </row>
    <row r="100" spans="1:18">
      <c r="A100" s="2" t="s">
        <v>316</v>
      </c>
      <c r="B100" s="2" t="s">
        <v>317</v>
      </c>
      <c r="C100" s="2" t="s">
        <v>244</v>
      </c>
      <c r="D100" s="2">
        <v>3</v>
      </c>
      <c r="E100" s="2">
        <v>1000000</v>
      </c>
      <c r="F100" s="3">
        <f>IF(COUNT(D100,E100)=2,D100*E100,NA())</f>
        <v>3000000.0</v>
      </c>
      <c r="G100" s="2" t="s">
        <v>59</v>
      </c>
      <c r="H100" s="2" t="s">
        <v>60</v>
      </c>
      <c r="I100" s="2" t="s">
        <v>61</v>
      </c>
      <c r="J100" s="2" t="s">
        <v>62</v>
      </c>
      <c r="K100" s="2" t="s">
        <v>245</v>
      </c>
      <c r="L100" s="2" t="s">
        <v>63</v>
      </c>
      <c r="M100" s="2" t="s">
        <v>246</v>
      </c>
      <c r="N100" s="2" t="s">
        <v>65</v>
      </c>
      <c r="O100" s="2" t="s">
        <v>11</v>
      </c>
      <c r="P100" s="2"/>
      <c r="Q100" s="2" t="s">
        <v>318</v>
      </c>
      <c r="R100" s="2"/>
    </row>
    <row r="101" spans="1:18">
      <c r="A101" s="2" t="s">
        <v>319</v>
      </c>
      <c r="B101" s="2" t="s">
        <v>320</v>
      </c>
      <c r="C101" s="2" t="s">
        <v>244</v>
      </c>
      <c r="D101" s="2">
        <v>-26</v>
      </c>
      <c r="E101" s="2">
        <v>1000000</v>
      </c>
      <c r="F101" s="3">
        <f>IF(COUNT(D101,E101)=2,D101*E101,NA())</f>
        <v>-26000000.0</v>
      </c>
      <c r="G101" s="2" t="s">
        <v>59</v>
      </c>
      <c r="H101" s="2" t="s">
        <v>60</v>
      </c>
      <c r="I101" s="2" t="s">
        <v>61</v>
      </c>
      <c r="J101" s="2" t="s">
        <v>62</v>
      </c>
      <c r="K101" s="2" t="s">
        <v>250</v>
      </c>
      <c r="L101" s="2" t="s">
        <v>69</v>
      </c>
      <c r="M101" s="2" t="s">
        <v>246</v>
      </c>
      <c r="N101" s="2" t="s">
        <v>70</v>
      </c>
      <c r="O101" s="2" t="s">
        <v>11</v>
      </c>
      <c r="P101" s="2" t="s">
        <v>71</v>
      </c>
      <c r="Q101" s="2" t="s">
        <v>318</v>
      </c>
      <c r="R101" s="2"/>
    </row>
    <row r="102" spans="1:18">
      <c r="A102" s="2" t="s">
        <v>321</v>
      </c>
      <c r="B102" s="2" t="s">
        <v>322</v>
      </c>
      <c r="C102" s="2" t="s">
        <v>244</v>
      </c>
      <c r="D102" s="2">
        <v>1119</v>
      </c>
      <c r="E102" s="2">
        <v>1000000</v>
      </c>
      <c r="F102" s="3">
        <f>IF(COUNT(D102,E102)=2,D102*E102,NA())</f>
        <v>1119000000.0</v>
      </c>
      <c r="G102" s="2" t="s">
        <v>59</v>
      </c>
      <c r="H102" s="2" t="s">
        <v>60</v>
      </c>
      <c r="I102" s="2" t="s">
        <v>61</v>
      </c>
      <c r="J102" s="2" t="s">
        <v>62</v>
      </c>
      <c r="K102" s="2" t="s">
        <v>245</v>
      </c>
      <c r="L102" s="2" t="s">
        <v>63</v>
      </c>
      <c r="M102" s="2" t="s">
        <v>246</v>
      </c>
      <c r="N102" s="2" t="s">
        <v>65</v>
      </c>
      <c r="O102" s="2" t="s">
        <v>11</v>
      </c>
      <c r="P102" s="2"/>
      <c r="Q102" s="2" t="s">
        <v>323</v>
      </c>
      <c r="R102" s="2"/>
    </row>
    <row r="103" spans="1:18">
      <c r="A103" s="2" t="s">
        <v>324</v>
      </c>
      <c r="B103" s="2" t="s">
        <v>325</v>
      </c>
      <c r="C103" s="2" t="s">
        <v>244</v>
      </c>
      <c r="D103" s="2">
        <v>1180</v>
      </c>
      <c r="E103" s="2">
        <v>1000000</v>
      </c>
      <c r="F103" s="3">
        <f>IF(COUNT(D103,E103)=2,D103*E103,NA())</f>
        <v>1180000000.0</v>
      </c>
      <c r="G103" s="2" t="s">
        <v>59</v>
      </c>
      <c r="H103" s="2" t="s">
        <v>60</v>
      </c>
      <c r="I103" s="2" t="s">
        <v>61</v>
      </c>
      <c r="J103" s="2" t="s">
        <v>62</v>
      </c>
      <c r="K103" s="2" t="s">
        <v>250</v>
      </c>
      <c r="L103" s="2" t="s">
        <v>69</v>
      </c>
      <c r="M103" s="2" t="s">
        <v>246</v>
      </c>
      <c r="N103" s="2" t="s">
        <v>70</v>
      </c>
      <c r="O103" s="2" t="s">
        <v>11</v>
      </c>
      <c r="P103" s="2" t="s">
        <v>71</v>
      </c>
      <c r="Q103" s="2" t="s">
        <v>323</v>
      </c>
      <c r="R103" s="2"/>
    </row>
    <row r="104" spans="1:18">
      <c r="A104" s="2" t="s">
        <v>326</v>
      </c>
      <c r="B104" s="2" t="s">
        <v>327</v>
      </c>
      <c r="C104" s="2" t="s">
        <v>244</v>
      </c>
      <c r="D104" s="2">
        <v>-16</v>
      </c>
      <c r="E104" s="2">
        <v>1000000</v>
      </c>
      <c r="F104" s="3">
        <f>IF(COUNT(D104,E104)=2,D104*E104,NA())</f>
        <v>-16000000.0</v>
      </c>
      <c r="G104" s="2" t="s">
        <v>59</v>
      </c>
      <c r="H104" s="2" t="s">
        <v>60</v>
      </c>
      <c r="I104" s="2" t="s">
        <v>61</v>
      </c>
      <c r="J104" s="2" t="s">
        <v>62</v>
      </c>
      <c r="K104" s="2" t="s">
        <v>245</v>
      </c>
      <c r="L104" s="2" t="s">
        <v>63</v>
      </c>
      <c r="M104" s="2" t="s">
        <v>246</v>
      </c>
      <c r="N104" s="2" t="s">
        <v>65</v>
      </c>
      <c r="O104" s="2" t="s">
        <v>11</v>
      </c>
      <c r="P104" s="2"/>
      <c r="Q104" s="2" t="s">
        <v>328</v>
      </c>
      <c r="R104" s="2"/>
    </row>
    <row r="105" spans="1:18">
      <c r="A105" s="2" t="s">
        <v>329</v>
      </c>
      <c r="B105" s="2" t="s">
        <v>330</v>
      </c>
      <c r="C105" s="2" t="s">
        <v>244</v>
      </c>
      <c r="D105" s="2">
        <v>-18</v>
      </c>
      <c r="E105" s="2">
        <v>1000000</v>
      </c>
      <c r="F105" s="3">
        <f>IF(COUNT(D105,E105)=2,D105*E105,NA())</f>
        <v>-18000000.0</v>
      </c>
      <c r="G105" s="2" t="s">
        <v>59</v>
      </c>
      <c r="H105" s="2" t="s">
        <v>60</v>
      </c>
      <c r="I105" s="2" t="s">
        <v>61</v>
      </c>
      <c r="J105" s="2" t="s">
        <v>62</v>
      </c>
      <c r="K105" s="2" t="s">
        <v>250</v>
      </c>
      <c r="L105" s="2" t="s">
        <v>69</v>
      </c>
      <c r="M105" s="2" t="s">
        <v>246</v>
      </c>
      <c r="N105" s="2" t="s">
        <v>70</v>
      </c>
      <c r="O105" s="2" t="s">
        <v>11</v>
      </c>
      <c r="P105" s="2" t="s">
        <v>71</v>
      </c>
      <c r="Q105" s="2" t="s">
        <v>328</v>
      </c>
      <c r="R105" s="2"/>
    </row>
    <row r="106" spans="1:18">
      <c r="A106" s="2" t="s">
        <v>331</v>
      </c>
      <c r="B106" s="2" t="s">
        <v>332</v>
      </c>
      <c r="C106" s="2" t="s">
        <v>244</v>
      </c>
      <c r="D106" s="2">
        <v>1103</v>
      </c>
      <c r="E106" s="2">
        <v>1000000</v>
      </c>
      <c r="F106" s="3">
        <f>IF(COUNT(D106,E106)=2,D106*E106,NA())</f>
        <v>1103000000.0</v>
      </c>
      <c r="G106" s="2" t="s">
        <v>59</v>
      </c>
      <c r="H106" s="2" t="s">
        <v>60</v>
      </c>
      <c r="I106" s="2" t="s">
        <v>61</v>
      </c>
      <c r="J106" s="2" t="s">
        <v>62</v>
      </c>
      <c r="K106" s="2" t="s">
        <v>245</v>
      </c>
      <c r="L106" s="2" t="s">
        <v>63</v>
      </c>
      <c r="M106" s="2" t="s">
        <v>246</v>
      </c>
      <c r="N106" s="2" t="s">
        <v>65</v>
      </c>
      <c r="O106" s="2" t="s">
        <v>11</v>
      </c>
      <c r="P106" s="2"/>
      <c r="Q106" s="2" t="s">
        <v>333</v>
      </c>
      <c r="R106" s="2"/>
    </row>
    <row r="107" spans="1:18">
      <c r="A107" s="2" t="s">
        <v>334</v>
      </c>
      <c r="B107" s="2" t="s">
        <v>335</v>
      </c>
      <c r="C107" s="2" t="s">
        <v>244</v>
      </c>
      <c r="D107" s="2">
        <v>1162</v>
      </c>
      <c r="E107" s="2">
        <v>1000000</v>
      </c>
      <c r="F107" s="3">
        <f>IF(COUNT(D107,E107)=2,D107*E107,NA())</f>
        <v>1162000000.0</v>
      </c>
      <c r="G107" s="2" t="s">
        <v>59</v>
      </c>
      <c r="H107" s="2" t="s">
        <v>60</v>
      </c>
      <c r="I107" s="2" t="s">
        <v>61</v>
      </c>
      <c r="J107" s="2" t="s">
        <v>62</v>
      </c>
      <c r="K107" s="2" t="s">
        <v>250</v>
      </c>
      <c r="L107" s="2" t="s">
        <v>69</v>
      </c>
      <c r="M107" s="2" t="s">
        <v>246</v>
      </c>
      <c r="N107" s="2" t="s">
        <v>70</v>
      </c>
      <c r="O107" s="2" t="s">
        <v>11</v>
      </c>
      <c r="P107" s="2" t="s">
        <v>71</v>
      </c>
      <c r="Q107" s="2" t="s">
        <v>333</v>
      </c>
      <c r="R107" s="2"/>
    </row>
    <row r="108" spans="1:18">
      <c r="A108" s="2" t="s">
        <v>336</v>
      </c>
      <c r="B108" s="2" t="s">
        <v>337</v>
      </c>
      <c r="C108" s="2" t="s">
        <v>244</v>
      </c>
      <c r="D108" s="2">
        <v>916</v>
      </c>
      <c r="E108" s="2">
        <v>1000000</v>
      </c>
      <c r="F108" s="3">
        <f>IF(COUNT(D108,E108)=2,D108*E108,NA())</f>
        <v>916000000.0</v>
      </c>
      <c r="G108" s="2" t="s">
        <v>59</v>
      </c>
      <c r="H108" s="2" t="s">
        <v>60</v>
      </c>
      <c r="I108" s="2" t="s">
        <v>61</v>
      </c>
      <c r="J108" s="2" t="s">
        <v>62</v>
      </c>
      <c r="K108" s="2" t="s">
        <v>245</v>
      </c>
      <c r="L108" s="2" t="s">
        <v>63</v>
      </c>
      <c r="M108" s="2" t="s">
        <v>246</v>
      </c>
      <c r="N108" s="2" t="s">
        <v>65</v>
      </c>
      <c r="O108" s="2" t="s">
        <v>11</v>
      </c>
      <c r="P108" s="2"/>
      <c r="Q108" s="2" t="s">
        <v>338</v>
      </c>
      <c r="R108" s="2"/>
    </row>
    <row r="109" spans="1:18">
      <c r="A109" s="2" t="s">
        <v>339</v>
      </c>
      <c r="B109" s="2" t="s">
        <v>340</v>
      </c>
      <c r="C109" s="2" t="s">
        <v>244</v>
      </c>
      <c r="D109" s="2">
        <v>-5065</v>
      </c>
      <c r="E109" s="2">
        <v>1000000</v>
      </c>
      <c r="F109" s="3">
        <f>IF(COUNT(D109,E109)=2,D109*E109,NA())</f>
        <v>-5065000000.0</v>
      </c>
      <c r="G109" s="2" t="s">
        <v>59</v>
      </c>
      <c r="H109" s="2" t="s">
        <v>60</v>
      </c>
      <c r="I109" s="2" t="s">
        <v>61</v>
      </c>
      <c r="J109" s="2" t="s">
        <v>62</v>
      </c>
      <c r="K109" s="2" t="s">
        <v>250</v>
      </c>
      <c r="L109" s="2" t="s">
        <v>69</v>
      </c>
      <c r="M109" s="2" t="s">
        <v>246</v>
      </c>
      <c r="N109" s="2" t="s">
        <v>70</v>
      </c>
      <c r="O109" s="2" t="s">
        <v>11</v>
      </c>
      <c r="P109" s="2" t="s">
        <v>71</v>
      </c>
      <c r="Q109" s="2" t="s">
        <v>338</v>
      </c>
      <c r="R109" s="2"/>
    </row>
    <row r="110" spans="1:18">
      <c r="A110" s="2" t="s">
        <v>341</v>
      </c>
      <c r="B110" s="2" t="s">
        <v>342</v>
      </c>
      <c r="C110" s="2" t="s">
        <v>244</v>
      </c>
      <c r="D110" s="2">
        <v>1575</v>
      </c>
      <c r="E110" s="2">
        <v>1000000</v>
      </c>
      <c r="F110" s="3">
        <f>IF(COUNT(D110,E110)=2,D110*E110,NA())</f>
        <v>1575000000.0</v>
      </c>
      <c r="G110" s="2" t="s">
        <v>59</v>
      </c>
      <c r="H110" s="2" t="s">
        <v>60</v>
      </c>
      <c r="I110" s="2" t="s">
        <v>61</v>
      </c>
      <c r="J110" s="2" t="s">
        <v>62</v>
      </c>
      <c r="K110" s="2" t="s">
        <v>245</v>
      </c>
      <c r="L110" s="2" t="s">
        <v>63</v>
      </c>
      <c r="M110" s="2" t="s">
        <v>246</v>
      </c>
      <c r="N110" s="2" t="s">
        <v>65</v>
      </c>
      <c r="O110" s="2" t="s">
        <v>11</v>
      </c>
      <c r="P110" s="2"/>
      <c r="Q110" s="2" t="s">
        <v>343</v>
      </c>
      <c r="R110" s="2"/>
    </row>
    <row r="111" spans="1:18">
      <c r="A111" s="2" t="s">
        <v>344</v>
      </c>
      <c r="B111" s="2" t="s">
        <v>345</v>
      </c>
      <c r="C111" s="2" t="s">
        <v>244</v>
      </c>
      <c r="D111" s="2">
        <v>0</v>
      </c>
      <c r="E111" s="2">
        <v>1000000</v>
      </c>
      <c r="F111" s="3">
        <f>IF(COUNT(D111,E111)=2,D111*E111,NA())</f>
        <v>0.0</v>
      </c>
      <c r="G111" s="2" t="s">
        <v>59</v>
      </c>
      <c r="H111" s="2" t="s">
        <v>60</v>
      </c>
      <c r="I111" s="2" t="s">
        <v>61</v>
      </c>
      <c r="J111" s="2" t="s">
        <v>62</v>
      </c>
      <c r="K111" s="2" t="s">
        <v>250</v>
      </c>
      <c r="L111" s="2" t="s">
        <v>69</v>
      </c>
      <c r="M111" s="2" t="s">
        <v>246</v>
      </c>
      <c r="N111" s="2" t="s">
        <v>70</v>
      </c>
      <c r="O111" s="2" t="s">
        <v>11</v>
      </c>
      <c r="P111" s="2" t="s">
        <v>71</v>
      </c>
      <c r="Q111" s="2" t="s">
        <v>343</v>
      </c>
      <c r="R111" s="2"/>
    </row>
    <row r="112" spans="1:18">
      <c r="A112" s="2" t="s">
        <v>346</v>
      </c>
      <c r="B112" s="2" t="s">
        <v>347</v>
      </c>
      <c r="C112" s="2" t="s">
        <v>244</v>
      </c>
      <c r="D112" s="2">
        <v>-659</v>
      </c>
      <c r="E112" s="2">
        <v>1000000</v>
      </c>
      <c r="F112" s="3">
        <f>IF(COUNT(D112,E112)=2,D112*E112,NA())</f>
        <v>-659000000.0</v>
      </c>
      <c r="G112" s="2" t="s">
        <v>59</v>
      </c>
      <c r="H112" s="2" t="s">
        <v>60</v>
      </c>
      <c r="I112" s="2" t="s">
        <v>61</v>
      </c>
      <c r="J112" s="2" t="s">
        <v>62</v>
      </c>
      <c r="K112" s="2" t="s">
        <v>245</v>
      </c>
      <c r="L112" s="2" t="s">
        <v>63</v>
      </c>
      <c r="M112" s="2" t="s">
        <v>246</v>
      </c>
      <c r="N112" s="2" t="s">
        <v>65</v>
      </c>
      <c r="O112" s="2" t="s">
        <v>11</v>
      </c>
      <c r="P112" s="2"/>
      <c r="Q112" s="2" t="s">
        <v>348</v>
      </c>
      <c r="R112" s="2"/>
    </row>
    <row r="113" spans="1:18">
      <c r="A113" s="2" t="s">
        <v>349</v>
      </c>
      <c r="B113" s="2" t="s">
        <v>350</v>
      </c>
      <c r="C113" s="2" t="s">
        <v>244</v>
      </c>
      <c r="D113" s="2">
        <v>-5065</v>
      </c>
      <c r="E113" s="2">
        <v>1000000</v>
      </c>
      <c r="F113" s="3">
        <f>IF(COUNT(D113,E113)=2,D113*E113,NA())</f>
        <v>-5065000000.0</v>
      </c>
      <c r="G113" s="2" t="s">
        <v>59</v>
      </c>
      <c r="H113" s="2" t="s">
        <v>60</v>
      </c>
      <c r="I113" s="2" t="s">
        <v>61</v>
      </c>
      <c r="J113" s="2" t="s">
        <v>62</v>
      </c>
      <c r="K113" s="2" t="s">
        <v>250</v>
      </c>
      <c r="L113" s="2" t="s">
        <v>69</v>
      </c>
      <c r="M113" s="2" t="s">
        <v>246</v>
      </c>
      <c r="N113" s="2" t="s">
        <v>70</v>
      </c>
      <c r="O113" s="2" t="s">
        <v>11</v>
      </c>
      <c r="P113" s="2" t="s">
        <v>71</v>
      </c>
      <c r="Q113" s="2" t="s">
        <v>348</v>
      </c>
      <c r="R113" s="2"/>
    </row>
    <row r="114" spans="1:18">
      <c r="A114" s="2" t="s">
        <v>351</v>
      </c>
      <c r="B114" s="2" t="s">
        <v>352</v>
      </c>
      <c r="C114" s="2" t="s">
        <v>244</v>
      </c>
      <c r="D114" s="2">
        <v>444</v>
      </c>
      <c r="E114" s="2">
        <v>1000000</v>
      </c>
      <c r="F114" s="3">
        <f>IF(COUNT(D114,E114)=2,D114*E114,NA())</f>
        <v>444000000.0</v>
      </c>
      <c r="G114" s="2" t="s">
        <v>59</v>
      </c>
      <c r="H114" s="2" t="s">
        <v>60</v>
      </c>
      <c r="I114" s="2" t="s">
        <v>61</v>
      </c>
      <c r="J114" s="2" t="s">
        <v>62</v>
      </c>
      <c r="K114" s="2" t="s">
        <v>245</v>
      </c>
      <c r="L114" s="2" t="s">
        <v>63</v>
      </c>
      <c r="M114" s="2" t="s">
        <v>246</v>
      </c>
      <c r="N114" s="2" t="s">
        <v>65</v>
      </c>
      <c r="O114" s="2" t="s">
        <v>11</v>
      </c>
      <c r="P114" s="2"/>
      <c r="Q114" s="2" t="s">
        <v>353</v>
      </c>
      <c r="R114" s="2"/>
    </row>
    <row r="115" spans="1:18">
      <c r="A115" s="2" t="s">
        <v>354</v>
      </c>
      <c r="B115" s="2" t="s">
        <v>355</v>
      </c>
      <c r="C115" s="2" t="s">
        <v>244</v>
      </c>
      <c r="D115" s="2">
        <v>-3903</v>
      </c>
      <c r="E115" s="2">
        <v>1000000</v>
      </c>
      <c r="F115" s="3">
        <f>IF(COUNT(D115,E115)=2,D115*E115,NA())</f>
        <v>-3903000000.0</v>
      </c>
      <c r="G115" s="2" t="s">
        <v>59</v>
      </c>
      <c r="H115" s="2" t="s">
        <v>60</v>
      </c>
      <c r="I115" s="2" t="s">
        <v>61</v>
      </c>
      <c r="J115" s="2" t="s">
        <v>62</v>
      </c>
      <c r="K115" s="2" t="s">
        <v>250</v>
      </c>
      <c r="L115" s="2" t="s">
        <v>69</v>
      </c>
      <c r="M115" s="2" t="s">
        <v>246</v>
      </c>
      <c r="N115" s="2" t="s">
        <v>70</v>
      </c>
      <c r="O115" s="2" t="s">
        <v>11</v>
      </c>
      <c r="P115" s="2" t="s">
        <v>71</v>
      </c>
      <c r="Q115" s="2" t="s">
        <v>353</v>
      </c>
      <c r="R115" s="2"/>
    </row>
    <row r="116" spans="1:18">
      <c r="A116" s="2" t="s">
        <v>356</v>
      </c>
      <c r="B116" s="2" t="s">
        <v>357</v>
      </c>
      <c r="C116" s="2" t="s">
        <v>244</v>
      </c>
      <c r="D116" s="2">
        <v>0</v>
      </c>
      <c r="E116" s="2">
        <v>1000000</v>
      </c>
      <c r="F116" s="3">
        <f>IF(COUNT(D116,E116)=2,D116*E116,NA())</f>
        <v>0.0</v>
      </c>
      <c r="G116" s="2" t="s">
        <v>59</v>
      </c>
      <c r="H116" s="2" t="s">
        <v>60</v>
      </c>
      <c r="I116" s="2" t="s">
        <v>61</v>
      </c>
      <c r="J116" s="2" t="s">
        <v>62</v>
      </c>
      <c r="K116" s="2" t="s">
        <v>245</v>
      </c>
      <c r="L116" s="2" t="s">
        <v>63</v>
      </c>
      <c r="M116" s="2" t="s">
        <v>246</v>
      </c>
      <c r="N116" s="2" t="s">
        <v>65</v>
      </c>
      <c r="O116" s="2" t="s">
        <v>11</v>
      </c>
      <c r="P116" s="2"/>
      <c r="Q116" s="2" t="s">
        <v>358</v>
      </c>
      <c r="R116" s="2"/>
    </row>
    <row r="117" spans="1:18">
      <c r="A117" s="2" t="s">
        <v>359</v>
      </c>
      <c r="B117" s="2" t="s">
        <v>360</v>
      </c>
      <c r="C117" s="2" t="s">
        <v>244</v>
      </c>
      <c r="D117" s="2">
        <v>-1</v>
      </c>
      <c r="E117" s="2">
        <v>1000000</v>
      </c>
      <c r="F117" s="3">
        <f>IF(COUNT(D117,E117)=2,D117*E117,NA())</f>
        <v>-1000000.0</v>
      </c>
      <c r="G117" s="2" t="s">
        <v>59</v>
      </c>
      <c r="H117" s="2" t="s">
        <v>60</v>
      </c>
      <c r="I117" s="2" t="s">
        <v>61</v>
      </c>
      <c r="J117" s="2" t="s">
        <v>62</v>
      </c>
      <c r="K117" s="2" t="s">
        <v>250</v>
      </c>
      <c r="L117" s="2" t="s">
        <v>69</v>
      </c>
      <c r="M117" s="2" t="s">
        <v>246</v>
      </c>
      <c r="N117" s="2" t="s">
        <v>70</v>
      </c>
      <c r="O117" s="2" t="s">
        <v>11</v>
      </c>
      <c r="P117" s="2" t="s">
        <v>71</v>
      </c>
      <c r="Q117" s="2" t="s">
        <v>358</v>
      </c>
      <c r="R117" s="2"/>
    </row>
    <row r="118" spans="1:18">
      <c r="A118" s="2" t="s">
        <v>361</v>
      </c>
      <c r="B118" s="2" t="s">
        <v>362</v>
      </c>
      <c r="C118" s="2" t="s">
        <v>244</v>
      </c>
      <c r="D118" s="2">
        <v>444</v>
      </c>
      <c r="E118" s="2">
        <v>1000000</v>
      </c>
      <c r="F118" s="3">
        <f>IF(COUNT(D118,E118)=2,D118*E118,NA())</f>
        <v>444000000.0</v>
      </c>
      <c r="G118" s="2" t="s">
        <v>59</v>
      </c>
      <c r="H118" s="2" t="s">
        <v>60</v>
      </c>
      <c r="I118" s="2" t="s">
        <v>61</v>
      </c>
      <c r="J118" s="2" t="s">
        <v>62</v>
      </c>
      <c r="K118" s="2" t="s">
        <v>245</v>
      </c>
      <c r="L118" s="2" t="s">
        <v>63</v>
      </c>
      <c r="M118" s="2" t="s">
        <v>246</v>
      </c>
      <c r="N118" s="2" t="s">
        <v>65</v>
      </c>
      <c r="O118" s="2" t="s">
        <v>11</v>
      </c>
      <c r="P118" s="2"/>
      <c r="Q118" s="2" t="s">
        <v>363</v>
      </c>
      <c r="R118" s="2"/>
    </row>
    <row r="119" spans="1:18">
      <c r="A119" s="2" t="s">
        <v>364</v>
      </c>
      <c r="B119" s="2" t="s">
        <v>365</v>
      </c>
      <c r="C119" s="2" t="s">
        <v>244</v>
      </c>
      <c r="D119" s="2">
        <v>-3904</v>
      </c>
      <c r="E119" s="2">
        <v>1000000</v>
      </c>
      <c r="F119" s="3">
        <f>IF(COUNT(D119,E119)=2,D119*E119,NA())</f>
        <v>-3904000000.0</v>
      </c>
      <c r="G119" s="2" t="s">
        <v>59</v>
      </c>
      <c r="H119" s="2" t="s">
        <v>60</v>
      </c>
      <c r="I119" s="2" t="s">
        <v>61</v>
      </c>
      <c r="J119" s="2" t="s">
        <v>62</v>
      </c>
      <c r="K119" s="2" t="s">
        <v>250</v>
      </c>
      <c r="L119" s="2" t="s">
        <v>69</v>
      </c>
      <c r="M119" s="2" t="s">
        <v>246</v>
      </c>
      <c r="N119" s="2" t="s">
        <v>70</v>
      </c>
      <c r="O119" s="2" t="s">
        <v>11</v>
      </c>
      <c r="P119" s="2" t="s">
        <v>71</v>
      </c>
      <c r="Q119" s="2" t="s">
        <v>363</v>
      </c>
      <c r="R119" s="2"/>
    </row>
    <row r="120" spans="1:18">
      <c r="A120" s="2" t="s">
        <v>366</v>
      </c>
      <c r="B120" s="2" t="s">
        <v>367</v>
      </c>
      <c r="C120" s="2" t="s">
        <v>368</v>
      </c>
      <c r="D120" s="2">
        <v>32</v>
      </c>
      <c r="E120" s="2">
        <v>1000000</v>
      </c>
      <c r="F120" s="3">
        <f>IF(COUNT(D120,E120)=2,D120*E120,NA())</f>
        <v>32000000.0</v>
      </c>
      <c r="G120" s="2" t="s">
        <v>59</v>
      </c>
      <c r="H120" s="2" t="s">
        <v>60</v>
      </c>
      <c r="I120" s="2" t="s">
        <v>61</v>
      </c>
      <c r="J120" s="2" t="s">
        <v>62</v>
      </c>
      <c r="K120" s="2" t="s">
        <v>245</v>
      </c>
      <c r="L120" s="2" t="s">
        <v>63</v>
      </c>
      <c r="M120" s="2" t="s">
        <v>246</v>
      </c>
      <c r="N120" s="2" t="s">
        <v>65</v>
      </c>
      <c r="O120" s="2" t="s">
        <v>11</v>
      </c>
      <c r="P120" s="2"/>
      <c r="Q120" s="2" t="s">
        <v>369</v>
      </c>
      <c r="R120" s="2"/>
    </row>
    <row r="121" spans="1:18">
      <c r="A121" s="2" t="s">
        <v>370</v>
      </c>
      <c r="B121" s="2" t="s">
        <v>371</v>
      </c>
      <c r="C121" s="2" t="s">
        <v>368</v>
      </c>
      <c r="D121" s="2">
        <v>32</v>
      </c>
      <c r="E121" s="2">
        <v>1000000</v>
      </c>
      <c r="F121" s="3">
        <f>IF(COUNT(D121,E121)=2,D121*E121,NA())</f>
        <v>32000000.0</v>
      </c>
      <c r="G121" s="2" t="s">
        <v>59</v>
      </c>
      <c r="H121" s="2" t="s">
        <v>60</v>
      </c>
      <c r="I121" s="2" t="s">
        <v>61</v>
      </c>
      <c r="J121" s="2" t="s">
        <v>62</v>
      </c>
      <c r="K121" s="2" t="s">
        <v>250</v>
      </c>
      <c r="L121" s="2" t="s">
        <v>69</v>
      </c>
      <c r="M121" s="2" t="s">
        <v>246</v>
      </c>
      <c r="N121" s="2" t="s">
        <v>70</v>
      </c>
      <c r="O121" s="2" t="s">
        <v>11</v>
      </c>
      <c r="P121" s="2" t="s">
        <v>71</v>
      </c>
      <c r="Q121" s="2" t="s">
        <v>369</v>
      </c>
      <c r="R121" s="2"/>
    </row>
    <row r="122" spans="1:18">
      <c r="A122" s="2" t="s">
        <v>372</v>
      </c>
      <c r="B122" s="2" t="s">
        <v>373</v>
      </c>
      <c r="C122" s="2" t="s">
        <v>368</v>
      </c>
      <c r="D122" s="2">
        <v>73</v>
      </c>
      <c r="E122" s="2">
        <v>1000000</v>
      </c>
      <c r="F122" s="3">
        <f>IF(COUNT(D122,E122)=2,D122*E122,NA())</f>
        <v>73000000.0</v>
      </c>
      <c r="G122" s="2" t="s">
        <v>59</v>
      </c>
      <c r="H122" s="2" t="s">
        <v>60</v>
      </c>
      <c r="I122" s="2" t="s">
        <v>61</v>
      </c>
      <c r="J122" s="2" t="s">
        <v>62</v>
      </c>
      <c r="K122" s="2" t="s">
        <v>245</v>
      </c>
      <c r="L122" s="2" t="s">
        <v>63</v>
      </c>
      <c r="M122" s="2" t="s">
        <v>246</v>
      </c>
      <c r="N122" s="2" t="s">
        <v>65</v>
      </c>
      <c r="O122" s="2" t="s">
        <v>11</v>
      </c>
      <c r="P122" s="2"/>
      <c r="Q122" s="2" t="s">
        <v>374</v>
      </c>
      <c r="R122" s="2"/>
    </row>
    <row r="123" spans="1:18">
      <c r="A123" s="2" t="s">
        <v>375</v>
      </c>
      <c r="B123" s="2" t="s">
        <v>376</v>
      </c>
      <c r="C123" s="2" t="s">
        <v>368</v>
      </c>
      <c r="D123" s="2">
        <v>84</v>
      </c>
      <c r="E123" s="2">
        <v>1000000</v>
      </c>
      <c r="F123" s="3">
        <f>IF(COUNT(D123,E123)=2,D123*E123,NA())</f>
        <v>84000000.0</v>
      </c>
      <c r="G123" s="2" t="s">
        <v>59</v>
      </c>
      <c r="H123" s="2" t="s">
        <v>60</v>
      </c>
      <c r="I123" s="2" t="s">
        <v>61</v>
      </c>
      <c r="J123" s="2" t="s">
        <v>62</v>
      </c>
      <c r="K123" s="2" t="s">
        <v>250</v>
      </c>
      <c r="L123" s="2" t="s">
        <v>69</v>
      </c>
      <c r="M123" s="2" t="s">
        <v>246</v>
      </c>
      <c r="N123" s="2" t="s">
        <v>70</v>
      </c>
      <c r="O123" s="2" t="s">
        <v>11</v>
      </c>
      <c r="P123" s="2" t="s">
        <v>71</v>
      </c>
      <c r="Q123" s="2" t="s">
        <v>374</v>
      </c>
      <c r="R123" s="2"/>
    </row>
    <row r="124" spans="1:18">
      <c r="A124" s="2" t="s">
        <v>377</v>
      </c>
      <c r="B124" s="2" t="s">
        <v>378</v>
      </c>
      <c r="C124" s="2" t="s">
        <v>368</v>
      </c>
      <c r="D124" s="2">
        <v>0</v>
      </c>
      <c r="E124" s="2">
        <v>1000000</v>
      </c>
      <c r="F124" s="3">
        <f>IF(COUNT(D124,E124)=2,D124*E124,NA())</f>
        <v>0.0</v>
      </c>
      <c r="G124" s="2" t="s">
        <v>59</v>
      </c>
      <c r="H124" s="2" t="s">
        <v>60</v>
      </c>
      <c r="I124" s="2" t="s">
        <v>61</v>
      </c>
      <c r="J124" s="2" t="s">
        <v>62</v>
      </c>
      <c r="K124" s="2" t="s">
        <v>245</v>
      </c>
      <c r="L124" s="2" t="s">
        <v>63</v>
      </c>
      <c r="M124" s="2" t="s">
        <v>246</v>
      </c>
      <c r="N124" s="2" t="s">
        <v>65</v>
      </c>
      <c r="O124" s="2" t="s">
        <v>11</v>
      </c>
      <c r="P124" s="2"/>
      <c r="Q124" s="2" t="s">
        <v>379</v>
      </c>
      <c r="R124" s="2"/>
    </row>
    <row r="125" spans="1:18">
      <c r="A125" s="2" t="s">
        <v>380</v>
      </c>
      <c r="B125" s="2" t="s">
        <v>381</v>
      </c>
      <c r="C125" s="2" t="s">
        <v>368</v>
      </c>
      <c r="D125" s="2">
        <v>4</v>
      </c>
      <c r="E125" s="2">
        <v>1000000</v>
      </c>
      <c r="F125" s="3">
        <f>IF(COUNT(D125,E125)=2,D125*E125,NA())</f>
        <v>4000000.0</v>
      </c>
      <c r="G125" s="2" t="s">
        <v>59</v>
      </c>
      <c r="H125" s="2" t="s">
        <v>60</v>
      </c>
      <c r="I125" s="2" t="s">
        <v>61</v>
      </c>
      <c r="J125" s="2" t="s">
        <v>62</v>
      </c>
      <c r="K125" s="2" t="s">
        <v>250</v>
      </c>
      <c r="L125" s="2" t="s">
        <v>69</v>
      </c>
      <c r="M125" s="2" t="s">
        <v>246</v>
      </c>
      <c r="N125" s="2" t="s">
        <v>70</v>
      </c>
      <c r="O125" s="2" t="s">
        <v>11</v>
      </c>
      <c r="P125" s="2" t="s">
        <v>71</v>
      </c>
      <c r="Q125" s="2" t="s">
        <v>379</v>
      </c>
      <c r="R125" s="2"/>
    </row>
    <row r="126" spans="1:18">
      <c r="A126" s="2" t="s">
        <v>382</v>
      </c>
      <c r="B126" s="2" t="s">
        <v>383</v>
      </c>
      <c r="C126" s="2" t="s">
        <v>368</v>
      </c>
      <c r="D126" s="2">
        <v>0</v>
      </c>
      <c r="E126" s="2">
        <v>1000000</v>
      </c>
      <c r="F126" s="3">
        <f>IF(COUNT(D126,E126)=2,D126*E126,NA())</f>
        <v>0.0</v>
      </c>
      <c r="G126" s="2" t="s">
        <v>59</v>
      </c>
      <c r="H126" s="2" t="s">
        <v>60</v>
      </c>
      <c r="I126" s="2" t="s">
        <v>61</v>
      </c>
      <c r="J126" s="2" t="s">
        <v>62</v>
      </c>
      <c r="K126" s="2" t="s">
        <v>245</v>
      </c>
      <c r="L126" s="2" t="s">
        <v>63</v>
      </c>
      <c r="M126" s="2" t="s">
        <v>246</v>
      </c>
      <c r="N126" s="2" t="s">
        <v>65</v>
      </c>
      <c r="O126" s="2" t="s">
        <v>11</v>
      </c>
      <c r="P126" s="2"/>
      <c r="Q126" s="2" t="s">
        <v>384</v>
      </c>
      <c r="R126" s="2"/>
    </row>
    <row r="127" spans="1:18">
      <c r="A127" s="2" t="s">
        <v>385</v>
      </c>
      <c r="B127" s="2" t="s">
        <v>386</v>
      </c>
      <c r="C127" s="2" t="s">
        <v>368</v>
      </c>
      <c r="D127" s="2">
        <v>10</v>
      </c>
      <c r="E127" s="2">
        <v>1000000</v>
      </c>
      <c r="F127" s="3">
        <f>IF(COUNT(D127,E127)=2,D127*E127,NA())</f>
        <v>10000000.0</v>
      </c>
      <c r="G127" s="2" t="s">
        <v>59</v>
      </c>
      <c r="H127" s="2" t="s">
        <v>60</v>
      </c>
      <c r="I127" s="2" t="s">
        <v>61</v>
      </c>
      <c r="J127" s="2" t="s">
        <v>62</v>
      </c>
      <c r="K127" s="2" t="s">
        <v>250</v>
      </c>
      <c r="L127" s="2" t="s">
        <v>69</v>
      </c>
      <c r="M127" s="2" t="s">
        <v>246</v>
      </c>
      <c r="N127" s="2" t="s">
        <v>70</v>
      </c>
      <c r="O127" s="2" t="s">
        <v>11</v>
      </c>
      <c r="P127" s="2" t="s">
        <v>71</v>
      </c>
      <c r="Q127" s="2" t="s">
        <v>384</v>
      </c>
      <c r="R127" s="2"/>
    </row>
    <row r="128" spans="1:18">
      <c r="A128" s="2" t="s">
        <v>387</v>
      </c>
      <c r="B128" s="2" t="s">
        <v>388</v>
      </c>
      <c r="C128" s="2" t="s">
        <v>368</v>
      </c>
      <c r="D128" s="2">
        <v>-4</v>
      </c>
      <c r="E128" s="2">
        <v>1000000</v>
      </c>
      <c r="F128" s="3">
        <f>IF(COUNT(D128,E128)=2,D128*E128,NA())</f>
        <v>-4000000.0</v>
      </c>
      <c r="G128" s="2" t="s">
        <v>59</v>
      </c>
      <c r="H128" s="2" t="s">
        <v>60</v>
      </c>
      <c r="I128" s="2" t="s">
        <v>61</v>
      </c>
      <c r="J128" s="2" t="s">
        <v>62</v>
      </c>
      <c r="K128" s="2" t="s">
        <v>245</v>
      </c>
      <c r="L128" s="2" t="s">
        <v>63</v>
      </c>
      <c r="M128" s="2" t="s">
        <v>246</v>
      </c>
      <c r="N128" s="2" t="s">
        <v>65</v>
      </c>
      <c r="O128" s="2" t="s">
        <v>11</v>
      </c>
      <c r="P128" s="2"/>
      <c r="Q128" s="2" t="s">
        <v>389</v>
      </c>
      <c r="R128" s="2"/>
    </row>
    <row r="129" spans="1:18">
      <c r="A129" s="2" t="s">
        <v>390</v>
      </c>
      <c r="B129" s="2" t="s">
        <v>391</v>
      </c>
      <c r="C129" s="2" t="s">
        <v>368</v>
      </c>
      <c r="D129" s="2">
        <v>23</v>
      </c>
      <c r="E129" s="2">
        <v>1000000</v>
      </c>
      <c r="F129" s="3">
        <f>IF(COUNT(D129,E129)=2,D129*E129,NA())</f>
        <v>23000000.0</v>
      </c>
      <c r="G129" s="2" t="s">
        <v>59</v>
      </c>
      <c r="H129" s="2" t="s">
        <v>60</v>
      </c>
      <c r="I129" s="2" t="s">
        <v>61</v>
      </c>
      <c r="J129" s="2" t="s">
        <v>62</v>
      </c>
      <c r="K129" s="2" t="s">
        <v>250</v>
      </c>
      <c r="L129" s="2" t="s">
        <v>69</v>
      </c>
      <c r="M129" s="2" t="s">
        <v>246</v>
      </c>
      <c r="N129" s="2" t="s">
        <v>70</v>
      </c>
      <c r="O129" s="2" t="s">
        <v>11</v>
      </c>
      <c r="P129" s="2" t="s">
        <v>71</v>
      </c>
      <c r="Q129" s="2" t="s">
        <v>389</v>
      </c>
      <c r="R129" s="2"/>
    </row>
    <row r="130" spans="1:18">
      <c r="A130" s="2" t="s">
        <v>392</v>
      </c>
      <c r="B130" s="2" t="s">
        <v>393</v>
      </c>
      <c r="C130" s="2" t="s">
        <v>368</v>
      </c>
      <c r="D130" s="2">
        <v>1185</v>
      </c>
      <c r="E130" s="2">
        <v>1000000</v>
      </c>
      <c r="F130" s="3">
        <f>IF(COUNT(D130,E130)=2,D130*E130,NA())</f>
        <v>1185000000.0</v>
      </c>
      <c r="G130" s="2" t="s">
        <v>59</v>
      </c>
      <c r="H130" s="2" t="s">
        <v>60</v>
      </c>
      <c r="I130" s="2" t="s">
        <v>61</v>
      </c>
      <c r="J130" s="2" t="s">
        <v>62</v>
      </c>
      <c r="K130" s="2" t="s">
        <v>245</v>
      </c>
      <c r="L130" s="2" t="s">
        <v>63</v>
      </c>
      <c r="M130" s="2" t="s">
        <v>246</v>
      </c>
      <c r="N130" s="2" t="s">
        <v>65</v>
      </c>
      <c r="O130" s="2" t="s">
        <v>11</v>
      </c>
      <c r="P130" s="2"/>
      <c r="Q130" s="2" t="s">
        <v>394</v>
      </c>
      <c r="R130" s="2"/>
    </row>
    <row r="131" spans="1:18">
      <c r="A131" s="2" t="s">
        <v>395</v>
      </c>
      <c r="B131" s="2" t="s">
        <v>396</v>
      </c>
      <c r="C131" s="2" t="s">
        <v>368</v>
      </c>
      <c r="D131" s="2">
        <v>1123</v>
      </c>
      <c r="E131" s="2">
        <v>1000000</v>
      </c>
      <c r="F131" s="3">
        <f>IF(COUNT(D131,E131)=2,D131*E131,NA())</f>
        <v>1123000000.0</v>
      </c>
      <c r="G131" s="2" t="s">
        <v>59</v>
      </c>
      <c r="H131" s="2" t="s">
        <v>60</v>
      </c>
      <c r="I131" s="2" t="s">
        <v>61</v>
      </c>
      <c r="J131" s="2" t="s">
        <v>62</v>
      </c>
      <c r="K131" s="2" t="s">
        <v>250</v>
      </c>
      <c r="L131" s="2" t="s">
        <v>69</v>
      </c>
      <c r="M131" s="2" t="s">
        <v>246</v>
      </c>
      <c r="N131" s="2" t="s">
        <v>70</v>
      </c>
      <c r="O131" s="2" t="s">
        <v>11</v>
      </c>
      <c r="P131" s="2" t="s">
        <v>71</v>
      </c>
      <c r="Q131" s="2" t="s">
        <v>394</v>
      </c>
      <c r="R131" s="2"/>
    </row>
    <row r="132" spans="1:18">
      <c r="A132" s="2" t="s">
        <v>397</v>
      </c>
      <c r="B132" s="2" t="s">
        <v>398</v>
      </c>
      <c r="C132" s="2" t="s">
        <v>368</v>
      </c>
      <c r="D132" s="2">
        <v>-9</v>
      </c>
      <c r="E132" s="2">
        <v>1000000</v>
      </c>
      <c r="F132" s="3">
        <f>IF(COUNT(D132,E132)=2,D132*E132,NA())</f>
        <v>-9000000.0</v>
      </c>
      <c r="G132" s="2" t="s">
        <v>59</v>
      </c>
      <c r="H132" s="2" t="s">
        <v>60</v>
      </c>
      <c r="I132" s="2" t="s">
        <v>61</v>
      </c>
      <c r="J132" s="2" t="s">
        <v>62</v>
      </c>
      <c r="K132" s="2" t="s">
        <v>245</v>
      </c>
      <c r="L132" s="2" t="s">
        <v>63</v>
      </c>
      <c r="M132" s="2" t="s">
        <v>246</v>
      </c>
      <c r="N132" s="2" t="s">
        <v>65</v>
      </c>
      <c r="O132" s="2" t="s">
        <v>11</v>
      </c>
      <c r="P132" s="2"/>
      <c r="Q132" s="2" t="s">
        <v>399</v>
      </c>
      <c r="R132" s="2"/>
    </row>
    <row r="133" spans="1:18">
      <c r="A133" s="2" t="s">
        <v>400</v>
      </c>
      <c r="B133" s="2" t="s">
        <v>401</v>
      </c>
      <c r="C133" s="2" t="s">
        <v>368</v>
      </c>
      <c r="D133" s="2">
        <v>25</v>
      </c>
      <c r="E133" s="2">
        <v>1000000</v>
      </c>
      <c r="F133" s="3">
        <f>IF(COUNT(D133,E133)=2,D133*E133,NA())</f>
        <v>25000000.0</v>
      </c>
      <c r="G133" s="2" t="s">
        <v>59</v>
      </c>
      <c r="H133" s="2" t="s">
        <v>60</v>
      </c>
      <c r="I133" s="2" t="s">
        <v>61</v>
      </c>
      <c r="J133" s="2" t="s">
        <v>62</v>
      </c>
      <c r="K133" s="2" t="s">
        <v>250</v>
      </c>
      <c r="L133" s="2" t="s">
        <v>69</v>
      </c>
      <c r="M133" s="2" t="s">
        <v>246</v>
      </c>
      <c r="N133" s="2" t="s">
        <v>70</v>
      </c>
      <c r="O133" s="2" t="s">
        <v>11</v>
      </c>
      <c r="P133" s="2" t="s">
        <v>71</v>
      </c>
      <c r="Q133" s="2" t="s">
        <v>399</v>
      </c>
      <c r="R133" s="2"/>
    </row>
    <row r="134" spans="1:18">
      <c r="A134" s="2" t="s">
        <v>402</v>
      </c>
      <c r="B134" s="2" t="s">
        <v>403</v>
      </c>
      <c r="C134" s="2" t="s">
        <v>368</v>
      </c>
      <c r="D134" s="2">
        <v>17</v>
      </c>
      <c r="E134" s="2">
        <v>1000000</v>
      </c>
      <c r="F134" s="3">
        <f>IF(COUNT(D134,E134)=2,D134*E134,NA())</f>
        <v>17000000.0</v>
      </c>
      <c r="G134" s="2" t="s">
        <v>59</v>
      </c>
      <c r="H134" s="2" t="s">
        <v>60</v>
      </c>
      <c r="I134" s="2" t="s">
        <v>61</v>
      </c>
      <c r="J134" s="2" t="s">
        <v>62</v>
      </c>
      <c r="K134" s="2" t="s">
        <v>245</v>
      </c>
      <c r="L134" s="2" t="s">
        <v>63</v>
      </c>
      <c r="M134" s="2" t="s">
        <v>246</v>
      </c>
      <c r="N134" s="2" t="s">
        <v>65</v>
      </c>
      <c r="O134" s="2" t="s">
        <v>11</v>
      </c>
      <c r="P134" s="2"/>
      <c r="Q134" s="2" t="s">
        <v>404</v>
      </c>
      <c r="R134" s="2"/>
    </row>
    <row r="135" spans="1:18">
      <c r="A135" s="2" t="s">
        <v>405</v>
      </c>
      <c r="B135" s="2" t="s">
        <v>406</v>
      </c>
      <c r="C135" s="2" t="s">
        <v>368</v>
      </c>
      <c r="D135" s="2">
        <v>-19</v>
      </c>
      <c r="E135" s="2">
        <v>1000000</v>
      </c>
      <c r="F135" s="3">
        <f>IF(COUNT(D135,E135)=2,D135*E135,NA())</f>
        <v>-19000000.0</v>
      </c>
      <c r="G135" s="2" t="s">
        <v>59</v>
      </c>
      <c r="H135" s="2" t="s">
        <v>60</v>
      </c>
      <c r="I135" s="2" t="s">
        <v>61</v>
      </c>
      <c r="J135" s="2" t="s">
        <v>62</v>
      </c>
      <c r="K135" s="2" t="s">
        <v>250</v>
      </c>
      <c r="L135" s="2" t="s">
        <v>69</v>
      </c>
      <c r="M135" s="2" t="s">
        <v>246</v>
      </c>
      <c r="N135" s="2" t="s">
        <v>70</v>
      </c>
      <c r="O135" s="2" t="s">
        <v>11</v>
      </c>
      <c r="P135" s="2" t="s">
        <v>71</v>
      </c>
      <c r="Q135" s="2" t="s">
        <v>404</v>
      </c>
      <c r="R135" s="2"/>
    </row>
    <row r="136" spans="1:18">
      <c r="A136" s="2" t="s">
        <v>407</v>
      </c>
      <c r="B136" s="2" t="s">
        <v>408</v>
      </c>
      <c r="C136" s="2" t="s">
        <v>368</v>
      </c>
      <c r="D136" s="2">
        <v>-55</v>
      </c>
      <c r="E136" s="2">
        <v>1000000</v>
      </c>
      <c r="F136" s="3">
        <f>IF(COUNT(D136,E136)=2,D136*E136,NA())</f>
        <v>-55000000.0</v>
      </c>
      <c r="G136" s="2" t="s">
        <v>59</v>
      </c>
      <c r="H136" s="2" t="s">
        <v>60</v>
      </c>
      <c r="I136" s="2" t="s">
        <v>61</v>
      </c>
      <c r="J136" s="2" t="s">
        <v>62</v>
      </c>
      <c r="K136" s="2" t="s">
        <v>245</v>
      </c>
      <c r="L136" s="2" t="s">
        <v>63</v>
      </c>
      <c r="M136" s="2" t="s">
        <v>246</v>
      </c>
      <c r="N136" s="2" t="s">
        <v>65</v>
      </c>
      <c r="O136" s="2" t="s">
        <v>11</v>
      </c>
      <c r="P136" s="2"/>
      <c r="Q136" s="2" t="s">
        <v>409</v>
      </c>
      <c r="R136" s="2"/>
    </row>
    <row r="137" spans="1:18">
      <c r="A137" s="2" t="s">
        <v>410</v>
      </c>
      <c r="B137" s="2" t="s">
        <v>411</v>
      </c>
      <c r="C137" s="2" t="s">
        <v>368</v>
      </c>
      <c r="D137" s="2">
        <v>-170</v>
      </c>
      <c r="E137" s="2">
        <v>1000000</v>
      </c>
      <c r="F137" s="3">
        <f>IF(COUNT(D137,E137)=2,D137*E137,NA())</f>
        <v>-170000000.0</v>
      </c>
      <c r="G137" s="2" t="s">
        <v>59</v>
      </c>
      <c r="H137" s="2" t="s">
        <v>60</v>
      </c>
      <c r="I137" s="2" t="s">
        <v>61</v>
      </c>
      <c r="J137" s="2" t="s">
        <v>62</v>
      </c>
      <c r="K137" s="2" t="s">
        <v>250</v>
      </c>
      <c r="L137" s="2" t="s">
        <v>69</v>
      </c>
      <c r="M137" s="2" t="s">
        <v>246</v>
      </c>
      <c r="N137" s="2" t="s">
        <v>70</v>
      </c>
      <c r="O137" s="2" t="s">
        <v>11</v>
      </c>
      <c r="P137" s="2" t="s">
        <v>71</v>
      </c>
      <c r="Q137" s="2" t="s">
        <v>409</v>
      </c>
      <c r="R137" s="2"/>
    </row>
    <row r="138" spans="1:18">
      <c r="A138" s="2" t="s">
        <v>412</v>
      </c>
      <c r="B138" s="2" t="s">
        <v>413</v>
      </c>
      <c r="C138" s="2" t="s">
        <v>368</v>
      </c>
      <c r="D138" s="2">
        <v>3</v>
      </c>
      <c r="E138" s="2">
        <v>1000000</v>
      </c>
      <c r="F138" s="3">
        <f>IF(COUNT(D138,E138)=2,D138*E138,NA())</f>
        <v>3000000.0</v>
      </c>
      <c r="G138" s="2" t="s">
        <v>59</v>
      </c>
      <c r="H138" s="2" t="s">
        <v>60</v>
      </c>
      <c r="I138" s="2" t="s">
        <v>61</v>
      </c>
      <c r="J138" s="2" t="s">
        <v>62</v>
      </c>
      <c r="K138" s="2" t="s">
        <v>245</v>
      </c>
      <c r="L138" s="2" t="s">
        <v>63</v>
      </c>
      <c r="M138" s="2" t="s">
        <v>246</v>
      </c>
      <c r="N138" s="2" t="s">
        <v>65</v>
      </c>
      <c r="O138" s="2" t="s">
        <v>11</v>
      </c>
      <c r="P138" s="2"/>
      <c r="Q138" s="2" t="s">
        <v>414</v>
      </c>
      <c r="R138" s="2"/>
    </row>
    <row r="139" spans="1:18">
      <c r="A139" s="2" t="s">
        <v>415</v>
      </c>
      <c r="B139" s="2" t="s">
        <v>416</v>
      </c>
      <c r="C139" s="2" t="s">
        <v>368</v>
      </c>
      <c r="D139" s="2">
        <v>35</v>
      </c>
      <c r="E139" s="2">
        <v>1000000</v>
      </c>
      <c r="F139" s="3">
        <f>IF(COUNT(D139,E139)=2,D139*E139,NA())</f>
        <v>35000000.0</v>
      </c>
      <c r="G139" s="2" t="s">
        <v>59</v>
      </c>
      <c r="H139" s="2" t="s">
        <v>60</v>
      </c>
      <c r="I139" s="2" t="s">
        <v>61</v>
      </c>
      <c r="J139" s="2" t="s">
        <v>62</v>
      </c>
      <c r="K139" s="2" t="s">
        <v>250</v>
      </c>
      <c r="L139" s="2" t="s">
        <v>69</v>
      </c>
      <c r="M139" s="2" t="s">
        <v>246</v>
      </c>
      <c r="N139" s="2" t="s">
        <v>70</v>
      </c>
      <c r="O139" s="2" t="s">
        <v>11</v>
      </c>
      <c r="P139" s="2" t="s">
        <v>71</v>
      </c>
      <c r="Q139" s="2" t="s">
        <v>414</v>
      </c>
      <c r="R139" s="2"/>
    </row>
    <row r="140" spans="1:18">
      <c r="A140" s="2" t="s">
        <v>417</v>
      </c>
      <c r="B140" s="2" t="s">
        <v>418</v>
      </c>
      <c r="C140" s="2" t="s">
        <v>368</v>
      </c>
      <c r="D140" s="2">
        <v>11</v>
      </c>
      <c r="E140" s="2">
        <v>1000000</v>
      </c>
      <c r="F140" s="3">
        <f>IF(COUNT(D140,E140)=2,D140*E140,NA())</f>
        <v>11000000.0</v>
      </c>
      <c r="G140" s="2" t="s">
        <v>59</v>
      </c>
      <c r="H140" s="2" t="s">
        <v>60</v>
      </c>
      <c r="I140" s="2" t="s">
        <v>61</v>
      </c>
      <c r="J140" s="2" t="s">
        <v>62</v>
      </c>
      <c r="K140" s="2" t="s">
        <v>245</v>
      </c>
      <c r="L140" s="2" t="s">
        <v>63</v>
      </c>
      <c r="M140" s="2" t="s">
        <v>246</v>
      </c>
      <c r="N140" s="2" t="s">
        <v>65</v>
      </c>
      <c r="O140" s="2" t="s">
        <v>11</v>
      </c>
      <c r="P140" s="2"/>
      <c r="Q140" s="2" t="s">
        <v>419</v>
      </c>
      <c r="R140" s="2"/>
    </row>
    <row r="141" spans="1:18">
      <c r="A141" s="2" t="s">
        <v>420</v>
      </c>
      <c r="B141" s="2" t="s">
        <v>421</v>
      </c>
      <c r="C141" s="2" t="s">
        <v>368</v>
      </c>
      <c r="D141" s="2">
        <v>-113</v>
      </c>
      <c r="E141" s="2">
        <v>1000000</v>
      </c>
      <c r="F141" s="3">
        <f>IF(COUNT(D141,E141)=2,D141*E141,NA())</f>
        <v>-113000000.0</v>
      </c>
      <c r="G141" s="2" t="s">
        <v>59</v>
      </c>
      <c r="H141" s="2" t="s">
        <v>60</v>
      </c>
      <c r="I141" s="2" t="s">
        <v>61</v>
      </c>
      <c r="J141" s="2" t="s">
        <v>62</v>
      </c>
      <c r="K141" s="2" t="s">
        <v>250</v>
      </c>
      <c r="L141" s="2" t="s">
        <v>69</v>
      </c>
      <c r="M141" s="2" t="s">
        <v>246</v>
      </c>
      <c r="N141" s="2" t="s">
        <v>70</v>
      </c>
      <c r="O141" s="2" t="s">
        <v>11</v>
      </c>
      <c r="P141" s="2" t="s">
        <v>71</v>
      </c>
      <c r="Q141" s="2" t="s">
        <v>419</v>
      </c>
      <c r="R141" s="2"/>
    </row>
    <row r="142" spans="1:18">
      <c r="A142" s="2" t="s">
        <v>422</v>
      </c>
      <c r="B142" s="2" t="s">
        <v>423</v>
      </c>
      <c r="C142" s="2" t="s">
        <v>368</v>
      </c>
      <c r="D142" s="2">
        <v>3057</v>
      </c>
      <c r="E142" s="2">
        <v>1000000</v>
      </c>
      <c r="F142" s="3">
        <f>IF(COUNT(D142,E142)=2,D142*E142,NA())</f>
        <v>3057000000.0</v>
      </c>
      <c r="G142" s="2" t="s">
        <v>59</v>
      </c>
      <c r="H142" s="2" t="s">
        <v>60</v>
      </c>
      <c r="I142" s="2" t="s">
        <v>61</v>
      </c>
      <c r="J142" s="2" t="s">
        <v>62</v>
      </c>
      <c r="K142" s="2" t="s">
        <v>245</v>
      </c>
      <c r="L142" s="2" t="s">
        <v>63</v>
      </c>
      <c r="M142" s="2" t="s">
        <v>246</v>
      </c>
      <c r="N142" s="2" t="s">
        <v>65</v>
      </c>
      <c r="O142" s="2" t="s">
        <v>11</v>
      </c>
      <c r="P142" s="2"/>
      <c r="Q142" s="2" t="s">
        <v>424</v>
      </c>
      <c r="R142" s="2"/>
    </row>
    <row r="143" spans="1:18">
      <c r="A143" s="2" t="s">
        <v>425</v>
      </c>
      <c r="B143" s="2" t="s">
        <v>426</v>
      </c>
      <c r="C143" s="2" t="s">
        <v>368</v>
      </c>
      <c r="D143" s="2">
        <v>2943</v>
      </c>
      <c r="E143" s="2">
        <v>1000000</v>
      </c>
      <c r="F143" s="3">
        <f>IF(COUNT(D143,E143)=2,D143*E143,NA())</f>
        <v>2943000000.0</v>
      </c>
      <c r="G143" s="2" t="s">
        <v>59</v>
      </c>
      <c r="H143" s="2" t="s">
        <v>60</v>
      </c>
      <c r="I143" s="2" t="s">
        <v>61</v>
      </c>
      <c r="J143" s="2" t="s">
        <v>62</v>
      </c>
      <c r="K143" s="2" t="s">
        <v>250</v>
      </c>
      <c r="L143" s="2" t="s">
        <v>69</v>
      </c>
      <c r="M143" s="2" t="s">
        <v>246</v>
      </c>
      <c r="N143" s="2" t="s">
        <v>70</v>
      </c>
      <c r="O143" s="2" t="s">
        <v>11</v>
      </c>
      <c r="P143" s="2" t="s">
        <v>71</v>
      </c>
      <c r="Q143" s="2" t="s">
        <v>424</v>
      </c>
      <c r="R143" s="2"/>
    </row>
    <row r="144" spans="1:18">
      <c r="A144" s="2" t="s">
        <v>427</v>
      </c>
      <c r="B144" s="2" t="s">
        <v>428</v>
      </c>
      <c r="C144" s="2" t="s">
        <v>368</v>
      </c>
      <c r="D144" s="2">
        <v>-182</v>
      </c>
      <c r="E144" s="2">
        <v>1000000</v>
      </c>
      <c r="F144" s="3">
        <f>IF(COUNT(D144,E144)=2,D144*E144,NA())</f>
        <v>-182000000.0</v>
      </c>
      <c r="G144" s="2" t="s">
        <v>59</v>
      </c>
      <c r="H144" s="2" t="s">
        <v>60</v>
      </c>
      <c r="I144" s="2" t="s">
        <v>61</v>
      </c>
      <c r="J144" s="2" t="s">
        <v>62</v>
      </c>
      <c r="K144" s="2" t="s">
        <v>245</v>
      </c>
      <c r="L144" s="2" t="s">
        <v>63</v>
      </c>
      <c r="M144" s="2" t="s">
        <v>246</v>
      </c>
      <c r="N144" s="2" t="s">
        <v>65</v>
      </c>
      <c r="O144" s="2" t="s">
        <v>11</v>
      </c>
      <c r="P144" s="2"/>
      <c r="Q144" s="2" t="s">
        <v>429</v>
      </c>
      <c r="R144" s="2"/>
    </row>
    <row r="145" spans="1:18">
      <c r="A145" s="2" t="s">
        <v>430</v>
      </c>
      <c r="B145" s="2" t="s">
        <v>431</v>
      </c>
      <c r="C145" s="2" t="s">
        <v>368</v>
      </c>
      <c r="D145" s="2">
        <v>-176</v>
      </c>
      <c r="E145" s="2">
        <v>1000000</v>
      </c>
      <c r="F145" s="3">
        <f>IF(COUNT(D145,E145)=2,D145*E145,NA())</f>
        <v>-176000000.0</v>
      </c>
      <c r="G145" s="2" t="s">
        <v>59</v>
      </c>
      <c r="H145" s="2" t="s">
        <v>60</v>
      </c>
      <c r="I145" s="2" t="s">
        <v>61</v>
      </c>
      <c r="J145" s="2" t="s">
        <v>62</v>
      </c>
      <c r="K145" s="2" t="s">
        <v>250</v>
      </c>
      <c r="L145" s="2" t="s">
        <v>69</v>
      </c>
      <c r="M145" s="2" t="s">
        <v>246</v>
      </c>
      <c r="N145" s="2" t="s">
        <v>70</v>
      </c>
      <c r="O145" s="2" t="s">
        <v>11</v>
      </c>
      <c r="P145" s="2" t="s">
        <v>71</v>
      </c>
      <c r="Q145" s="2" t="s">
        <v>429</v>
      </c>
      <c r="R145" s="2"/>
    </row>
    <row r="146" spans="1:18">
      <c r="A146" s="2" t="s">
        <v>432</v>
      </c>
      <c r="B146" s="2" t="s">
        <v>433</v>
      </c>
      <c r="C146" s="2" t="s">
        <v>368</v>
      </c>
      <c r="D146" s="2">
        <v>0</v>
      </c>
      <c r="E146" s="2">
        <v>1000000</v>
      </c>
      <c r="F146" s="3">
        <f>IF(COUNT(D146,E146)=2,D146*E146,NA())</f>
        <v>0.0</v>
      </c>
      <c r="G146" s="2" t="s">
        <v>59</v>
      </c>
      <c r="H146" s="2" t="s">
        <v>60</v>
      </c>
      <c r="I146" s="2" t="s">
        <v>61</v>
      </c>
      <c r="J146" s="2" t="s">
        <v>62</v>
      </c>
      <c r="K146" s="2" t="s">
        <v>245</v>
      </c>
      <c r="L146" s="2" t="s">
        <v>63</v>
      </c>
      <c r="M146" s="2" t="s">
        <v>246</v>
      </c>
      <c r="N146" s="2" t="s">
        <v>65</v>
      </c>
      <c r="O146" s="2" t="s">
        <v>11</v>
      </c>
      <c r="P146" s="2"/>
      <c r="Q146" s="2" t="s">
        <v>434</v>
      </c>
      <c r="R146" s="2"/>
    </row>
    <row r="147" spans="1:18">
      <c r="A147" s="2" t="s">
        <v>435</v>
      </c>
      <c r="B147" s="2" t="s">
        <v>436</v>
      </c>
      <c r="C147" s="2" t="s">
        <v>368</v>
      </c>
      <c r="D147" s="2">
        <v>-8</v>
      </c>
      <c r="E147" s="2">
        <v>1000000</v>
      </c>
      <c r="F147" s="3">
        <f>IF(COUNT(D147,E147)=2,D147*E147,NA())</f>
        <v>-8000000.0</v>
      </c>
      <c r="G147" s="2" t="s">
        <v>59</v>
      </c>
      <c r="H147" s="2" t="s">
        <v>60</v>
      </c>
      <c r="I147" s="2" t="s">
        <v>61</v>
      </c>
      <c r="J147" s="2" t="s">
        <v>62</v>
      </c>
      <c r="K147" s="2" t="s">
        <v>250</v>
      </c>
      <c r="L147" s="2" t="s">
        <v>69</v>
      </c>
      <c r="M147" s="2" t="s">
        <v>246</v>
      </c>
      <c r="N147" s="2" t="s">
        <v>70</v>
      </c>
      <c r="O147" s="2" t="s">
        <v>11</v>
      </c>
      <c r="P147" s="2" t="s">
        <v>71</v>
      </c>
      <c r="Q147" s="2" t="s">
        <v>434</v>
      </c>
      <c r="R147" s="2"/>
    </row>
    <row r="148" spans="1:18">
      <c r="A148" s="2" t="s">
        <v>437</v>
      </c>
      <c r="B148" s="2" t="s">
        <v>438</v>
      </c>
      <c r="C148" s="2" t="s">
        <v>368</v>
      </c>
      <c r="D148" s="2">
        <v>4</v>
      </c>
      <c r="E148" s="2">
        <v>1000000</v>
      </c>
      <c r="F148" s="3">
        <f>IF(COUNT(D148,E148)=2,D148*E148,NA())</f>
        <v>4000000.0</v>
      </c>
      <c r="G148" s="2" t="s">
        <v>59</v>
      </c>
      <c r="H148" s="2" t="s">
        <v>60</v>
      </c>
      <c r="I148" s="2" t="s">
        <v>61</v>
      </c>
      <c r="J148" s="2" t="s">
        <v>62</v>
      </c>
      <c r="K148" s="2" t="s">
        <v>245</v>
      </c>
      <c r="L148" s="2" t="s">
        <v>63</v>
      </c>
      <c r="M148" s="2" t="s">
        <v>246</v>
      </c>
      <c r="N148" s="2" t="s">
        <v>65</v>
      </c>
      <c r="O148" s="2" t="s">
        <v>11</v>
      </c>
      <c r="P148" s="2"/>
      <c r="Q148" s="2" t="s">
        <v>439</v>
      </c>
      <c r="R148" s="2"/>
    </row>
    <row r="149" spans="1:18">
      <c r="A149" s="2" t="s">
        <v>440</v>
      </c>
      <c r="B149" s="2" t="s">
        <v>441</v>
      </c>
      <c r="C149" s="2" t="s">
        <v>368</v>
      </c>
      <c r="D149" s="2">
        <v>9</v>
      </c>
      <c r="E149" s="2">
        <v>1000000</v>
      </c>
      <c r="F149" s="3">
        <f>IF(COUNT(D149,E149)=2,D149*E149,NA())</f>
        <v>9000000.0</v>
      </c>
      <c r="G149" s="2" t="s">
        <v>59</v>
      </c>
      <c r="H149" s="2" t="s">
        <v>60</v>
      </c>
      <c r="I149" s="2" t="s">
        <v>61</v>
      </c>
      <c r="J149" s="2" t="s">
        <v>62</v>
      </c>
      <c r="K149" s="2" t="s">
        <v>250</v>
      </c>
      <c r="L149" s="2" t="s">
        <v>69</v>
      </c>
      <c r="M149" s="2" t="s">
        <v>246</v>
      </c>
      <c r="N149" s="2" t="s">
        <v>70</v>
      </c>
      <c r="O149" s="2" t="s">
        <v>11</v>
      </c>
      <c r="P149" s="2" t="s">
        <v>71</v>
      </c>
      <c r="Q149" s="2" t="s">
        <v>439</v>
      </c>
      <c r="R149" s="2"/>
    </row>
    <row r="150" spans="1:18">
      <c r="A150" s="2" t="s">
        <v>442</v>
      </c>
      <c r="B150" s="2" t="s">
        <v>443</v>
      </c>
      <c r="C150" s="2" t="s">
        <v>368</v>
      </c>
      <c r="D150" s="2">
        <v>-980</v>
      </c>
      <c r="E150" s="2">
        <v>1000000</v>
      </c>
      <c r="F150" s="3">
        <f>IF(COUNT(D150,E150)=2,D150*E150,NA())</f>
        <v>-980000000.0</v>
      </c>
      <c r="G150" s="2" t="s">
        <v>59</v>
      </c>
      <c r="H150" s="2" t="s">
        <v>60</v>
      </c>
      <c r="I150" s="2" t="s">
        <v>61</v>
      </c>
      <c r="J150" s="2" t="s">
        <v>62</v>
      </c>
      <c r="K150" s="2" t="s">
        <v>245</v>
      </c>
      <c r="L150" s="2" t="s">
        <v>63</v>
      </c>
      <c r="M150" s="2" t="s">
        <v>246</v>
      </c>
      <c r="N150" s="2" t="s">
        <v>65</v>
      </c>
      <c r="O150" s="2" t="s">
        <v>11</v>
      </c>
      <c r="P150" s="2"/>
      <c r="Q150" s="2" t="s">
        <v>444</v>
      </c>
      <c r="R150" s="2"/>
    </row>
    <row r="151" spans="1:18">
      <c r="A151" s="2" t="s">
        <v>445</v>
      </c>
      <c r="B151" s="2" t="s">
        <v>446</v>
      </c>
      <c r="C151" s="2" t="s">
        <v>368</v>
      </c>
      <c r="D151" s="2">
        <v>-1045</v>
      </c>
      <c r="E151" s="2">
        <v>1000000</v>
      </c>
      <c r="F151" s="3">
        <f>IF(COUNT(D151,E151)=2,D151*E151,NA())</f>
        <v>-1045000000.0</v>
      </c>
      <c r="G151" s="2" t="s">
        <v>59</v>
      </c>
      <c r="H151" s="2" t="s">
        <v>60</v>
      </c>
      <c r="I151" s="2" t="s">
        <v>61</v>
      </c>
      <c r="J151" s="2" t="s">
        <v>62</v>
      </c>
      <c r="K151" s="2" t="s">
        <v>250</v>
      </c>
      <c r="L151" s="2" t="s">
        <v>69</v>
      </c>
      <c r="M151" s="2" t="s">
        <v>246</v>
      </c>
      <c r="N151" s="2" t="s">
        <v>70</v>
      </c>
      <c r="O151" s="2" t="s">
        <v>11</v>
      </c>
      <c r="P151" s="2" t="s">
        <v>71</v>
      </c>
      <c r="Q151" s="2" t="s">
        <v>444</v>
      </c>
      <c r="R151" s="2"/>
    </row>
    <row r="152" spans="1:18">
      <c r="A152" s="2" t="s">
        <v>447</v>
      </c>
      <c r="B152" s="2" t="s">
        <v>448</v>
      </c>
      <c r="C152" s="2" t="s">
        <v>368</v>
      </c>
      <c r="D152" s="2">
        <v>-1158</v>
      </c>
      <c r="E152" s="2">
        <v>1000000</v>
      </c>
      <c r="F152" s="3">
        <f>IF(COUNT(D152,E152)=2,D152*E152,NA())</f>
        <v>-1158000000.0</v>
      </c>
      <c r="G152" s="2" t="s">
        <v>59</v>
      </c>
      <c r="H152" s="2" t="s">
        <v>60</v>
      </c>
      <c r="I152" s="2" t="s">
        <v>61</v>
      </c>
      <c r="J152" s="2" t="s">
        <v>62</v>
      </c>
      <c r="K152" s="2" t="s">
        <v>245</v>
      </c>
      <c r="L152" s="2" t="s">
        <v>63</v>
      </c>
      <c r="M152" s="2" t="s">
        <v>246</v>
      </c>
      <c r="N152" s="2" t="s">
        <v>65</v>
      </c>
      <c r="O152" s="2" t="s">
        <v>11</v>
      </c>
      <c r="P152" s="2"/>
      <c r="Q152" s="2" t="s">
        <v>449</v>
      </c>
      <c r="R152" s="2"/>
    </row>
    <row r="153" spans="1:18">
      <c r="A153" s="2" t="s">
        <v>450</v>
      </c>
      <c r="B153" s="2" t="s">
        <v>451</v>
      </c>
      <c r="C153" s="2" t="s">
        <v>368</v>
      </c>
      <c r="D153" s="2">
        <v>-1220</v>
      </c>
      <c r="E153" s="2">
        <v>1000000</v>
      </c>
      <c r="F153" s="3">
        <f>IF(COUNT(D153,E153)=2,D153*E153,NA())</f>
        <v>-1220000000.0</v>
      </c>
      <c r="G153" s="2" t="s">
        <v>59</v>
      </c>
      <c r="H153" s="2" t="s">
        <v>60</v>
      </c>
      <c r="I153" s="2" t="s">
        <v>61</v>
      </c>
      <c r="J153" s="2" t="s">
        <v>62</v>
      </c>
      <c r="K153" s="2" t="s">
        <v>250</v>
      </c>
      <c r="L153" s="2" t="s">
        <v>69</v>
      </c>
      <c r="M153" s="2" t="s">
        <v>246</v>
      </c>
      <c r="N153" s="2" t="s">
        <v>70</v>
      </c>
      <c r="O153" s="2" t="s">
        <v>11</v>
      </c>
      <c r="P153" s="2" t="s">
        <v>71</v>
      </c>
      <c r="Q153" s="2" t="s">
        <v>449</v>
      </c>
      <c r="R153" s="2"/>
    </row>
    <row r="154" spans="1:18">
      <c r="A154" s="2" t="s">
        <v>452</v>
      </c>
      <c r="B154" s="2" t="s">
        <v>453</v>
      </c>
      <c r="C154" s="2" t="s">
        <v>368</v>
      </c>
      <c r="D154" s="2">
        <v>0</v>
      </c>
      <c r="E154" s="2">
        <v>1000000</v>
      </c>
      <c r="F154" s="3">
        <f>IF(COUNT(D154,E154)=2,D154*E154,NA())</f>
        <v>0.0</v>
      </c>
      <c r="G154" s="2" t="s">
        <v>59</v>
      </c>
      <c r="H154" s="2" t="s">
        <v>60</v>
      </c>
      <c r="I154" s="2" t="s">
        <v>61</v>
      </c>
      <c r="J154" s="2" t="s">
        <v>62</v>
      </c>
      <c r="K154" s="2" t="s">
        <v>245</v>
      </c>
      <c r="L154" s="2" t="s">
        <v>63</v>
      </c>
      <c r="M154" s="2" t="s">
        <v>246</v>
      </c>
      <c r="N154" s="2" t="s">
        <v>65</v>
      </c>
      <c r="O154" s="2" t="s">
        <v>11</v>
      </c>
      <c r="P154" s="2"/>
      <c r="Q154" s="2" t="s">
        <v>454</v>
      </c>
      <c r="R154" s="2"/>
    </row>
    <row r="155" spans="1:18">
      <c r="A155" s="2" t="s">
        <v>455</v>
      </c>
      <c r="B155" s="2" t="s">
        <v>456</v>
      </c>
      <c r="C155" s="2" t="s">
        <v>368</v>
      </c>
      <c r="D155" s="2">
        <v>1244</v>
      </c>
      <c r="E155" s="2">
        <v>1000000</v>
      </c>
      <c r="F155" s="3">
        <f>IF(COUNT(D155,E155)=2,D155*E155,NA())</f>
        <v>1244000000.0</v>
      </c>
      <c r="G155" s="2" t="s">
        <v>59</v>
      </c>
      <c r="H155" s="2" t="s">
        <v>60</v>
      </c>
      <c r="I155" s="2" t="s">
        <v>61</v>
      </c>
      <c r="J155" s="2" t="s">
        <v>62</v>
      </c>
      <c r="K155" s="2" t="s">
        <v>250</v>
      </c>
      <c r="L155" s="2" t="s">
        <v>69</v>
      </c>
      <c r="M155" s="2" t="s">
        <v>246</v>
      </c>
      <c r="N155" s="2" t="s">
        <v>70</v>
      </c>
      <c r="O155" s="2" t="s">
        <v>11</v>
      </c>
      <c r="P155" s="2" t="s">
        <v>71</v>
      </c>
      <c r="Q155" s="2" t="s">
        <v>454</v>
      </c>
      <c r="R155" s="2"/>
    </row>
    <row r="156" spans="1:18">
      <c r="A156" s="2" t="s">
        <v>457</v>
      </c>
      <c r="B156" s="2" t="s">
        <v>458</v>
      </c>
      <c r="C156" s="2" t="s">
        <v>368</v>
      </c>
      <c r="D156" s="2">
        <v>-118</v>
      </c>
      <c r="E156" s="2">
        <v>1000000</v>
      </c>
      <c r="F156" s="3">
        <f>IF(COUNT(D156,E156)=2,D156*E156,NA())</f>
        <v>-118000000.0</v>
      </c>
      <c r="G156" s="2" t="s">
        <v>59</v>
      </c>
      <c r="H156" s="2" t="s">
        <v>60</v>
      </c>
      <c r="I156" s="2" t="s">
        <v>61</v>
      </c>
      <c r="J156" s="2" t="s">
        <v>62</v>
      </c>
      <c r="K156" s="2" t="s">
        <v>245</v>
      </c>
      <c r="L156" s="2" t="s">
        <v>63</v>
      </c>
      <c r="M156" s="2" t="s">
        <v>246</v>
      </c>
      <c r="N156" s="2" t="s">
        <v>65</v>
      </c>
      <c r="O156" s="2" t="s">
        <v>11</v>
      </c>
      <c r="P156" s="2"/>
      <c r="Q156" s="2" t="s">
        <v>459</v>
      </c>
      <c r="R156" s="2"/>
    </row>
    <row r="157" spans="1:18">
      <c r="A157" s="2" t="s">
        <v>460</v>
      </c>
      <c r="B157" s="2" t="s">
        <v>461</v>
      </c>
      <c r="C157" s="2" t="s">
        <v>368</v>
      </c>
      <c r="D157" s="2">
        <v>-99</v>
      </c>
      <c r="E157" s="2">
        <v>1000000</v>
      </c>
      <c r="F157" s="3">
        <f>IF(COUNT(D157,E157)=2,D157*E157,NA())</f>
        <v>-99000000.0</v>
      </c>
      <c r="G157" s="2" t="s">
        <v>59</v>
      </c>
      <c r="H157" s="2" t="s">
        <v>60</v>
      </c>
      <c r="I157" s="2" t="s">
        <v>61</v>
      </c>
      <c r="J157" s="2" t="s">
        <v>62</v>
      </c>
      <c r="K157" s="2" t="s">
        <v>250</v>
      </c>
      <c r="L157" s="2" t="s">
        <v>69</v>
      </c>
      <c r="M157" s="2" t="s">
        <v>246</v>
      </c>
      <c r="N157" s="2" t="s">
        <v>70</v>
      </c>
      <c r="O157" s="2" t="s">
        <v>11</v>
      </c>
      <c r="P157" s="2" t="s">
        <v>71</v>
      </c>
      <c r="Q157" s="2" t="s">
        <v>459</v>
      </c>
      <c r="R157" s="2"/>
    </row>
    <row r="158" spans="1:18">
      <c r="A158" s="2" t="s">
        <v>462</v>
      </c>
      <c r="B158" s="2" t="s">
        <v>463</v>
      </c>
      <c r="C158" s="2" t="s">
        <v>368</v>
      </c>
      <c r="D158" s="2">
        <v>-1200</v>
      </c>
      <c r="E158" s="2">
        <v>1000000</v>
      </c>
      <c r="F158" s="3">
        <f>IF(COUNT(D158,E158)=2,D158*E158,NA())</f>
        <v>-1200000000.0</v>
      </c>
      <c r="G158" s="2" t="s">
        <v>59</v>
      </c>
      <c r="H158" s="2" t="s">
        <v>60</v>
      </c>
      <c r="I158" s="2" t="s">
        <v>61</v>
      </c>
      <c r="J158" s="2" t="s">
        <v>62</v>
      </c>
      <c r="K158" s="2" t="s">
        <v>245</v>
      </c>
      <c r="L158" s="2" t="s">
        <v>63</v>
      </c>
      <c r="M158" s="2" t="s">
        <v>246</v>
      </c>
      <c r="N158" s="2" t="s">
        <v>65</v>
      </c>
      <c r="O158" s="2" t="s">
        <v>11</v>
      </c>
      <c r="P158" s="2"/>
      <c r="Q158" s="2" t="s">
        <v>464</v>
      </c>
      <c r="R158" s="2"/>
    </row>
    <row r="159" spans="1:18">
      <c r="A159" s="2" t="s">
        <v>465</v>
      </c>
      <c r="B159" s="2" t="s">
        <v>466</v>
      </c>
      <c r="C159" s="2" t="s">
        <v>368</v>
      </c>
      <c r="D159" s="2">
        <v>-750</v>
      </c>
      <c r="E159" s="2">
        <v>1000000</v>
      </c>
      <c r="F159" s="3">
        <f>IF(COUNT(D159,E159)=2,D159*E159,NA())</f>
        <v>-750000000.0</v>
      </c>
      <c r="G159" s="2" t="s">
        <v>59</v>
      </c>
      <c r="H159" s="2" t="s">
        <v>60</v>
      </c>
      <c r="I159" s="2" t="s">
        <v>61</v>
      </c>
      <c r="J159" s="2" t="s">
        <v>62</v>
      </c>
      <c r="K159" s="2" t="s">
        <v>250</v>
      </c>
      <c r="L159" s="2" t="s">
        <v>69</v>
      </c>
      <c r="M159" s="2" t="s">
        <v>246</v>
      </c>
      <c r="N159" s="2" t="s">
        <v>70</v>
      </c>
      <c r="O159" s="2" t="s">
        <v>11</v>
      </c>
      <c r="P159" s="2" t="s">
        <v>71</v>
      </c>
      <c r="Q159" s="2" t="s">
        <v>464</v>
      </c>
      <c r="R159" s="2"/>
    </row>
    <row r="160" spans="1:18">
      <c r="A160" s="2" t="s">
        <v>467</v>
      </c>
      <c r="B160" s="2" t="s">
        <v>468</v>
      </c>
      <c r="C160" s="2" t="s">
        <v>368</v>
      </c>
      <c r="D160" s="2">
        <v>1200</v>
      </c>
      <c r="E160" s="2">
        <v>1000000</v>
      </c>
      <c r="F160" s="3">
        <f>IF(COUNT(D160,E160)=2,D160*E160,NA())</f>
        <v>1200000000.0</v>
      </c>
      <c r="G160" s="2" t="s">
        <v>59</v>
      </c>
      <c r="H160" s="2" t="s">
        <v>60</v>
      </c>
      <c r="I160" s="2" t="s">
        <v>61</v>
      </c>
      <c r="J160" s="2" t="s">
        <v>62</v>
      </c>
      <c r="K160" s="2" t="s">
        <v>245</v>
      </c>
      <c r="L160" s="2" t="s">
        <v>63</v>
      </c>
      <c r="M160" s="2" t="s">
        <v>246</v>
      </c>
      <c r="N160" s="2" t="s">
        <v>65</v>
      </c>
      <c r="O160" s="2" t="s">
        <v>11</v>
      </c>
      <c r="P160" s="2"/>
      <c r="Q160" s="2" t="s">
        <v>469</v>
      </c>
      <c r="R160" s="2"/>
    </row>
    <row r="161" spans="1:18">
      <c r="A161" s="2" t="s">
        <v>470</v>
      </c>
      <c r="B161" s="2" t="s">
        <v>471</v>
      </c>
      <c r="C161" s="2" t="s">
        <v>368</v>
      </c>
      <c r="D161" s="2">
        <v>0</v>
      </c>
      <c r="E161" s="2">
        <v>1000000</v>
      </c>
      <c r="F161" s="3">
        <f>IF(COUNT(D161,E161)=2,D161*E161,NA())</f>
        <v>0.0</v>
      </c>
      <c r="G161" s="2" t="s">
        <v>59</v>
      </c>
      <c r="H161" s="2" t="s">
        <v>60</v>
      </c>
      <c r="I161" s="2" t="s">
        <v>61</v>
      </c>
      <c r="J161" s="2" t="s">
        <v>62</v>
      </c>
      <c r="K161" s="2" t="s">
        <v>250</v>
      </c>
      <c r="L161" s="2" t="s">
        <v>69</v>
      </c>
      <c r="M161" s="2" t="s">
        <v>246</v>
      </c>
      <c r="N161" s="2" t="s">
        <v>70</v>
      </c>
      <c r="O161" s="2" t="s">
        <v>11</v>
      </c>
      <c r="P161" s="2" t="s">
        <v>71</v>
      </c>
      <c r="Q161" s="2" t="s">
        <v>469</v>
      </c>
      <c r="R161" s="2"/>
    </row>
    <row r="162" spans="1:18">
      <c r="A162" s="2" t="s">
        <v>472</v>
      </c>
      <c r="B162" s="2" t="s">
        <v>473</v>
      </c>
      <c r="C162" s="2" t="s">
        <v>368</v>
      </c>
      <c r="D162" s="2">
        <v>-255</v>
      </c>
      <c r="E162" s="2">
        <v>1000000</v>
      </c>
      <c r="F162" s="3">
        <f>IF(COUNT(D162,E162)=2,D162*E162,NA())</f>
        <v>-255000000.0</v>
      </c>
      <c r="G162" s="2" t="s">
        <v>59</v>
      </c>
      <c r="H162" s="2" t="s">
        <v>60</v>
      </c>
      <c r="I162" s="2" t="s">
        <v>61</v>
      </c>
      <c r="J162" s="2" t="s">
        <v>62</v>
      </c>
      <c r="K162" s="2" t="s">
        <v>245</v>
      </c>
      <c r="L162" s="2" t="s">
        <v>63</v>
      </c>
      <c r="M162" s="2" t="s">
        <v>246</v>
      </c>
      <c r="N162" s="2" t="s">
        <v>65</v>
      </c>
      <c r="O162" s="2" t="s">
        <v>11</v>
      </c>
      <c r="P162" s="2"/>
      <c r="Q162" s="2" t="s">
        <v>474</v>
      </c>
      <c r="R162" s="2"/>
    </row>
    <row r="163" spans="1:18">
      <c r="A163" s="2" t="s">
        <v>475</v>
      </c>
      <c r="B163" s="2" t="s">
        <v>476</v>
      </c>
      <c r="C163" s="2" t="s">
        <v>368</v>
      </c>
      <c r="D163" s="2">
        <v>-670</v>
      </c>
      <c r="E163" s="2">
        <v>1000000</v>
      </c>
      <c r="F163" s="3">
        <f>IF(COUNT(D163,E163)=2,D163*E163,NA())</f>
        <v>-670000000.0</v>
      </c>
      <c r="G163" s="2" t="s">
        <v>59</v>
      </c>
      <c r="H163" s="2" t="s">
        <v>60</v>
      </c>
      <c r="I163" s="2" t="s">
        <v>61</v>
      </c>
      <c r="J163" s="2" t="s">
        <v>62</v>
      </c>
      <c r="K163" s="2" t="s">
        <v>250</v>
      </c>
      <c r="L163" s="2" t="s">
        <v>69</v>
      </c>
      <c r="M163" s="2" t="s">
        <v>246</v>
      </c>
      <c r="N163" s="2" t="s">
        <v>70</v>
      </c>
      <c r="O163" s="2" t="s">
        <v>11</v>
      </c>
      <c r="P163" s="2" t="s">
        <v>71</v>
      </c>
      <c r="Q163" s="2" t="s">
        <v>474</v>
      </c>
      <c r="R163" s="2"/>
    </row>
    <row r="164" spans="1:18">
      <c r="A164" s="2" t="s">
        <v>477</v>
      </c>
      <c r="B164" s="2" t="s">
        <v>478</v>
      </c>
      <c r="C164" s="2" t="s">
        <v>368</v>
      </c>
      <c r="D164" s="2">
        <v>590</v>
      </c>
      <c r="E164" s="2">
        <v>1000000</v>
      </c>
      <c r="F164" s="3">
        <f>IF(COUNT(D164,E164)=2,D164*E164,NA())</f>
        <v>590000000.0</v>
      </c>
      <c r="G164" s="2" t="s">
        <v>59</v>
      </c>
      <c r="H164" s="2" t="s">
        <v>60</v>
      </c>
      <c r="I164" s="2" t="s">
        <v>61</v>
      </c>
      <c r="J164" s="2" t="s">
        <v>62</v>
      </c>
      <c r="K164" s="2" t="s">
        <v>245</v>
      </c>
      <c r="L164" s="2" t="s">
        <v>63</v>
      </c>
      <c r="M164" s="2" t="s">
        <v>246</v>
      </c>
      <c r="N164" s="2" t="s">
        <v>65</v>
      </c>
      <c r="O164" s="2" t="s">
        <v>11</v>
      </c>
      <c r="P164" s="2"/>
      <c r="Q164" s="2" t="s">
        <v>479</v>
      </c>
      <c r="R164" s="2"/>
    </row>
    <row r="165" spans="1:18">
      <c r="A165" s="2" t="s">
        <v>480</v>
      </c>
      <c r="B165" s="2" t="s">
        <v>481</v>
      </c>
      <c r="C165" s="2" t="s">
        <v>368</v>
      </c>
      <c r="D165" s="2">
        <v>1341</v>
      </c>
      <c r="E165" s="2">
        <v>1000000</v>
      </c>
      <c r="F165" s="3">
        <f>IF(COUNT(D165,E165)=2,D165*E165,NA())</f>
        <v>1341000000.0</v>
      </c>
      <c r="G165" s="2" t="s">
        <v>59</v>
      </c>
      <c r="H165" s="2" t="s">
        <v>60</v>
      </c>
      <c r="I165" s="2" t="s">
        <v>61</v>
      </c>
      <c r="J165" s="2" t="s">
        <v>62</v>
      </c>
      <c r="K165" s="2" t="s">
        <v>250</v>
      </c>
      <c r="L165" s="2" t="s">
        <v>69</v>
      </c>
      <c r="M165" s="2" t="s">
        <v>246</v>
      </c>
      <c r="N165" s="2" t="s">
        <v>70</v>
      </c>
      <c r="O165" s="2" t="s">
        <v>11</v>
      </c>
      <c r="P165" s="2" t="s">
        <v>71</v>
      </c>
      <c r="Q165" s="2" t="s">
        <v>479</v>
      </c>
      <c r="R165" s="2"/>
    </row>
    <row r="166" spans="1:18">
      <c r="A166" s="2" t="s">
        <v>482</v>
      </c>
      <c r="B166" s="2" t="s">
        <v>483</v>
      </c>
      <c r="C166" s="2" t="s">
        <v>368</v>
      </c>
      <c r="D166" s="2">
        <v>0</v>
      </c>
      <c r="E166" s="2">
        <v>1000000</v>
      </c>
      <c r="F166" s="3">
        <f>IF(COUNT(D166,E166)=2,D166*E166,NA())</f>
        <v>0.0</v>
      </c>
      <c r="G166" s="2" t="s">
        <v>59</v>
      </c>
      <c r="H166" s="2" t="s">
        <v>60</v>
      </c>
      <c r="I166" s="2" t="s">
        <v>61</v>
      </c>
      <c r="J166" s="2" t="s">
        <v>62</v>
      </c>
      <c r="K166" s="2" t="s">
        <v>245</v>
      </c>
      <c r="L166" s="2" t="s">
        <v>63</v>
      </c>
      <c r="M166" s="2" t="s">
        <v>246</v>
      </c>
      <c r="N166" s="2" t="s">
        <v>65</v>
      </c>
      <c r="O166" s="2" t="s">
        <v>11</v>
      </c>
      <c r="P166" s="2"/>
      <c r="Q166" s="2" t="s">
        <v>484</v>
      </c>
      <c r="R166" s="2"/>
    </row>
    <row r="167" spans="1:18">
      <c r="A167" s="2" t="s">
        <v>485</v>
      </c>
      <c r="B167" s="2" t="s">
        <v>486</v>
      </c>
      <c r="C167" s="2" t="s">
        <v>368</v>
      </c>
      <c r="D167" s="2">
        <v>-12</v>
      </c>
      <c r="E167" s="2">
        <v>1000000</v>
      </c>
      <c r="F167" s="3">
        <f>IF(COUNT(D167,E167)=2,D167*E167,NA())</f>
        <v>-12000000.0</v>
      </c>
      <c r="G167" s="2" t="s">
        <v>59</v>
      </c>
      <c r="H167" s="2" t="s">
        <v>60</v>
      </c>
      <c r="I167" s="2" t="s">
        <v>61</v>
      </c>
      <c r="J167" s="2" t="s">
        <v>62</v>
      </c>
      <c r="K167" s="2" t="s">
        <v>250</v>
      </c>
      <c r="L167" s="2" t="s">
        <v>69</v>
      </c>
      <c r="M167" s="2" t="s">
        <v>246</v>
      </c>
      <c r="N167" s="2" t="s">
        <v>70</v>
      </c>
      <c r="O167" s="2" t="s">
        <v>11</v>
      </c>
      <c r="P167" s="2" t="s">
        <v>71</v>
      </c>
      <c r="Q167" s="2" t="s">
        <v>484</v>
      </c>
      <c r="R167" s="2"/>
    </row>
    <row r="168" spans="1:18">
      <c r="A168" s="2" t="s">
        <v>487</v>
      </c>
      <c r="B168" s="2" t="s">
        <v>488</v>
      </c>
      <c r="C168" s="2" t="s">
        <v>368</v>
      </c>
      <c r="D168" s="2">
        <v>-23</v>
      </c>
      <c r="E168" s="2">
        <v>1000000</v>
      </c>
      <c r="F168" s="3">
        <f>IF(COUNT(D168,E168)=2,D168*E168,NA())</f>
        <v>-23000000.0</v>
      </c>
      <c r="G168" s="2" t="s">
        <v>59</v>
      </c>
      <c r="H168" s="2" t="s">
        <v>60</v>
      </c>
      <c r="I168" s="2" t="s">
        <v>61</v>
      </c>
      <c r="J168" s="2" t="s">
        <v>62</v>
      </c>
      <c r="K168" s="2" t="s">
        <v>245</v>
      </c>
      <c r="L168" s="2" t="s">
        <v>63</v>
      </c>
      <c r="M168" s="2" t="s">
        <v>246</v>
      </c>
      <c r="N168" s="2" t="s">
        <v>65</v>
      </c>
      <c r="O168" s="2" t="s">
        <v>11</v>
      </c>
      <c r="P168" s="2"/>
      <c r="Q168" s="2" t="s">
        <v>489</v>
      </c>
      <c r="R168" s="2"/>
    </row>
    <row r="169" spans="1:18">
      <c r="A169" s="2" t="s">
        <v>490</v>
      </c>
      <c r="B169" s="2" t="s">
        <v>491</v>
      </c>
      <c r="C169" s="2" t="s">
        <v>368</v>
      </c>
      <c r="D169" s="2">
        <v>-33</v>
      </c>
      <c r="E169" s="2">
        <v>1000000</v>
      </c>
      <c r="F169" s="3">
        <f>IF(COUNT(D169,E169)=2,D169*E169,NA())</f>
        <v>-33000000.0</v>
      </c>
      <c r="G169" s="2" t="s">
        <v>59</v>
      </c>
      <c r="H169" s="2" t="s">
        <v>60</v>
      </c>
      <c r="I169" s="2" t="s">
        <v>61</v>
      </c>
      <c r="J169" s="2" t="s">
        <v>62</v>
      </c>
      <c r="K169" s="2" t="s">
        <v>250</v>
      </c>
      <c r="L169" s="2" t="s">
        <v>69</v>
      </c>
      <c r="M169" s="2" t="s">
        <v>246</v>
      </c>
      <c r="N169" s="2" t="s">
        <v>70</v>
      </c>
      <c r="O169" s="2" t="s">
        <v>11</v>
      </c>
      <c r="P169" s="2" t="s">
        <v>71</v>
      </c>
      <c r="Q169" s="2" t="s">
        <v>489</v>
      </c>
      <c r="R169" s="2"/>
    </row>
    <row r="170" spans="1:18">
      <c r="A170" s="2" t="s">
        <v>492</v>
      </c>
      <c r="B170" s="2" t="s">
        <v>493</v>
      </c>
      <c r="C170" s="2" t="s">
        <v>368</v>
      </c>
      <c r="D170" s="2">
        <v>-2080</v>
      </c>
      <c r="E170" s="2">
        <v>1000000</v>
      </c>
      <c r="F170" s="3">
        <f>IF(COUNT(D170,E170)=2,D170*E170,NA())</f>
        <v>-2080000000.0</v>
      </c>
      <c r="G170" s="2" t="s">
        <v>59</v>
      </c>
      <c r="H170" s="2" t="s">
        <v>60</v>
      </c>
      <c r="I170" s="2" t="s">
        <v>61</v>
      </c>
      <c r="J170" s="2" t="s">
        <v>62</v>
      </c>
      <c r="K170" s="2" t="s">
        <v>245</v>
      </c>
      <c r="L170" s="2" t="s">
        <v>63</v>
      </c>
      <c r="M170" s="2" t="s">
        <v>246</v>
      </c>
      <c r="N170" s="2" t="s">
        <v>65</v>
      </c>
      <c r="O170" s="2" t="s">
        <v>11</v>
      </c>
      <c r="P170" s="2"/>
      <c r="Q170" s="2" t="s">
        <v>494</v>
      </c>
      <c r="R170" s="2"/>
    </row>
    <row r="171" spans="1:18">
      <c r="A171" s="2" t="s">
        <v>495</v>
      </c>
      <c r="B171" s="2" t="s">
        <v>496</v>
      </c>
      <c r="C171" s="2" t="s">
        <v>368</v>
      </c>
      <c r="D171" s="2">
        <v>-2729</v>
      </c>
      <c r="E171" s="2">
        <v>1000000</v>
      </c>
      <c r="F171" s="3">
        <f>IF(COUNT(D171,E171)=2,D171*E171,NA())</f>
        <v>-2729000000.0</v>
      </c>
      <c r="G171" s="2" t="s">
        <v>59</v>
      </c>
      <c r="H171" s="2" t="s">
        <v>60</v>
      </c>
      <c r="I171" s="2" t="s">
        <v>61</v>
      </c>
      <c r="J171" s="2" t="s">
        <v>62</v>
      </c>
      <c r="K171" s="2" t="s">
        <v>250</v>
      </c>
      <c r="L171" s="2" t="s">
        <v>69</v>
      </c>
      <c r="M171" s="2" t="s">
        <v>246</v>
      </c>
      <c r="N171" s="2" t="s">
        <v>70</v>
      </c>
      <c r="O171" s="2" t="s">
        <v>11</v>
      </c>
      <c r="P171" s="2" t="s">
        <v>71</v>
      </c>
      <c r="Q171" s="2" t="s">
        <v>494</v>
      </c>
      <c r="R171" s="2"/>
    </row>
    <row r="172" spans="1:18">
      <c r="A172" s="2" t="s">
        <v>497</v>
      </c>
      <c r="B172" s="2" t="s">
        <v>498</v>
      </c>
      <c r="C172" s="2" t="s">
        <v>368</v>
      </c>
      <c r="D172" s="2">
        <v>-1886</v>
      </c>
      <c r="E172" s="2">
        <v>1000000</v>
      </c>
      <c r="F172" s="3">
        <f>IF(COUNT(D172,E172)=2,D172*E172,NA())</f>
        <v>-1886000000.0</v>
      </c>
      <c r="G172" s="2" t="s">
        <v>59</v>
      </c>
      <c r="H172" s="2" t="s">
        <v>60</v>
      </c>
      <c r="I172" s="2" t="s">
        <v>61</v>
      </c>
      <c r="J172" s="2" t="s">
        <v>62</v>
      </c>
      <c r="K172" s="2" t="s">
        <v>245</v>
      </c>
      <c r="L172" s="2" t="s">
        <v>63</v>
      </c>
      <c r="M172" s="2" t="s">
        <v>246</v>
      </c>
      <c r="N172" s="2" t="s">
        <v>65</v>
      </c>
      <c r="O172" s="2" t="s">
        <v>11</v>
      </c>
      <c r="P172" s="2"/>
      <c r="Q172" s="2" t="s">
        <v>499</v>
      </c>
      <c r="R172" s="2"/>
    </row>
    <row r="173" spans="1:18">
      <c r="A173" s="2" t="s">
        <v>500</v>
      </c>
      <c r="B173" s="2" t="s">
        <v>501</v>
      </c>
      <c r="C173" s="2" t="s">
        <v>368</v>
      </c>
      <c r="D173" s="2">
        <v>-1708</v>
      </c>
      <c r="E173" s="2">
        <v>1000000</v>
      </c>
      <c r="F173" s="3">
        <f>IF(COUNT(D173,E173)=2,D173*E173,NA())</f>
        <v>-1708000000.0</v>
      </c>
      <c r="G173" s="2" t="s">
        <v>59</v>
      </c>
      <c r="H173" s="2" t="s">
        <v>60</v>
      </c>
      <c r="I173" s="2" t="s">
        <v>61</v>
      </c>
      <c r="J173" s="2" t="s">
        <v>62</v>
      </c>
      <c r="K173" s="2" t="s">
        <v>250</v>
      </c>
      <c r="L173" s="2" t="s">
        <v>69</v>
      </c>
      <c r="M173" s="2" t="s">
        <v>246</v>
      </c>
      <c r="N173" s="2" t="s">
        <v>70</v>
      </c>
      <c r="O173" s="2" t="s">
        <v>11</v>
      </c>
      <c r="P173" s="2" t="s">
        <v>71</v>
      </c>
      <c r="Q173" s="2" t="s">
        <v>499</v>
      </c>
      <c r="R173" s="2"/>
    </row>
    <row r="174" spans="1:18">
      <c r="A174" s="2" t="s">
        <v>502</v>
      </c>
      <c r="B174" s="2" t="s">
        <v>503</v>
      </c>
      <c r="C174" s="2" t="s">
        <v>368</v>
      </c>
      <c r="D174" s="2">
        <v>13</v>
      </c>
      <c r="E174" s="2">
        <v>1000000</v>
      </c>
      <c r="F174" s="3">
        <f>IF(COUNT(D174,E174)=2,D174*E174,NA())</f>
        <v>13000000.0</v>
      </c>
      <c r="G174" s="2" t="s">
        <v>59</v>
      </c>
      <c r="H174" s="2" t="s">
        <v>60</v>
      </c>
      <c r="I174" s="2" t="s">
        <v>61</v>
      </c>
      <c r="J174" s="2" t="s">
        <v>62</v>
      </c>
      <c r="K174" s="2" t="s">
        <v>245</v>
      </c>
      <c r="L174" s="2" t="s">
        <v>63</v>
      </c>
      <c r="M174" s="2" t="s">
        <v>246</v>
      </c>
      <c r="N174" s="2" t="s">
        <v>65</v>
      </c>
      <c r="O174" s="2" t="s">
        <v>11</v>
      </c>
      <c r="P174" s="2"/>
      <c r="Q174" s="2" t="s">
        <v>504</v>
      </c>
      <c r="R174" s="2"/>
    </row>
    <row r="175" spans="1:18">
      <c r="A175" s="2" t="s">
        <v>505</v>
      </c>
      <c r="B175" s="2" t="s">
        <v>506</v>
      </c>
      <c r="C175" s="2" t="s">
        <v>368</v>
      </c>
      <c r="D175" s="2">
        <v>15</v>
      </c>
      <c r="E175" s="2">
        <v>1000000</v>
      </c>
      <c r="F175" s="3">
        <f>IF(COUNT(D175,E175)=2,D175*E175,NA())</f>
        <v>15000000.0</v>
      </c>
      <c r="G175" s="2" t="s">
        <v>59</v>
      </c>
      <c r="H175" s="2" t="s">
        <v>60</v>
      </c>
      <c r="I175" s="2" t="s">
        <v>61</v>
      </c>
      <c r="J175" s="2" t="s">
        <v>62</v>
      </c>
      <c r="K175" s="2" t="s">
        <v>250</v>
      </c>
      <c r="L175" s="2" t="s">
        <v>69</v>
      </c>
      <c r="M175" s="2" t="s">
        <v>246</v>
      </c>
      <c r="N175" s="2" t="s">
        <v>70</v>
      </c>
      <c r="O175" s="2" t="s">
        <v>11</v>
      </c>
      <c r="P175" s="2" t="s">
        <v>71</v>
      </c>
      <c r="Q175" s="2" t="s">
        <v>504</v>
      </c>
      <c r="R175" s="2"/>
    </row>
    <row r="176" spans="1:18">
      <c r="A176" s="2" t="s">
        <v>507</v>
      </c>
      <c r="B176" s="2" t="s">
        <v>508</v>
      </c>
      <c r="C176" s="2" t="s">
        <v>368</v>
      </c>
      <c r="D176" s="2">
        <v>0</v>
      </c>
      <c r="E176" s="2">
        <v>1000000</v>
      </c>
      <c r="F176" s="3">
        <f>IF(COUNT(D176,E176)=2,D176*E176,NA())</f>
        <v>0.0</v>
      </c>
      <c r="G176" s="2" t="s">
        <v>59</v>
      </c>
      <c r="H176" s="2" t="s">
        <v>60</v>
      </c>
      <c r="I176" s="2" t="s">
        <v>61</v>
      </c>
      <c r="J176" s="2" t="s">
        <v>62</v>
      </c>
      <c r="K176" s="2" t="s">
        <v>245</v>
      </c>
      <c r="L176" s="2" t="s">
        <v>63</v>
      </c>
      <c r="M176" s="2" t="s">
        <v>246</v>
      </c>
      <c r="N176" s="2" t="s">
        <v>65</v>
      </c>
      <c r="O176" s="2" t="s">
        <v>11</v>
      </c>
      <c r="P176" s="2"/>
      <c r="Q176" s="2" t="s">
        <v>509</v>
      </c>
      <c r="R176" s="2"/>
    </row>
    <row r="177" spans="1:18">
      <c r="A177" s="2" t="s">
        <v>510</v>
      </c>
      <c r="B177" s="2" t="s">
        <v>511</v>
      </c>
      <c r="C177" s="2" t="s">
        <v>368</v>
      </c>
      <c r="D177" s="2">
        <v>-1</v>
      </c>
      <c r="E177" s="2">
        <v>1000000</v>
      </c>
      <c r="F177" s="3">
        <f>IF(COUNT(D177,E177)=2,D177*E177,NA())</f>
        <v>-1000000.0</v>
      </c>
      <c r="G177" s="2" t="s">
        <v>59</v>
      </c>
      <c r="H177" s="2" t="s">
        <v>60</v>
      </c>
      <c r="I177" s="2" t="s">
        <v>61</v>
      </c>
      <c r="J177" s="2" t="s">
        <v>62</v>
      </c>
      <c r="K177" s="2" t="s">
        <v>250</v>
      </c>
      <c r="L177" s="2" t="s">
        <v>69</v>
      </c>
      <c r="M177" s="2" t="s">
        <v>246</v>
      </c>
      <c r="N177" s="2" t="s">
        <v>70</v>
      </c>
      <c r="O177" s="2" t="s">
        <v>11</v>
      </c>
      <c r="P177" s="2" t="s">
        <v>71</v>
      </c>
      <c r="Q177" s="2" t="s">
        <v>509</v>
      </c>
      <c r="R177" s="2"/>
    </row>
    <row r="178" spans="1:18">
      <c r="A178" s="2" t="s">
        <v>512</v>
      </c>
      <c r="B178" s="2" t="s">
        <v>513</v>
      </c>
      <c r="C178" s="2" t="s">
        <v>514</v>
      </c>
      <c r="D178" s="2">
        <v>308</v>
      </c>
      <c r="E178" s="2">
        <v>1000000</v>
      </c>
      <c r="F178" s="3">
        <f>IF(COUNT(D178,E178)=2,D178*E178,NA())</f>
        <v>308000000.0</v>
      </c>
      <c r="G178" s="2" t="s">
        <v>59</v>
      </c>
      <c r="H178" s="2" t="s">
        <v>60</v>
      </c>
      <c r="I178" s="2" t="s">
        <v>61</v>
      </c>
      <c r="J178" s="2" t="s">
        <v>62</v>
      </c>
      <c r="K178" s="2"/>
      <c r="L178" s="2" t="s">
        <v>63</v>
      </c>
      <c r="M178" s="2" t="s">
        <v>64</v>
      </c>
      <c r="N178" s="2" t="s">
        <v>65</v>
      </c>
      <c r="O178" s="2" t="s">
        <v>11</v>
      </c>
      <c r="P178" s="2"/>
      <c r="Q178" s="2" t="s">
        <v>515</v>
      </c>
      <c r="R178" s="2"/>
    </row>
    <row r="179" spans="1:18">
      <c r="A179" s="2" t="s">
        <v>516</v>
      </c>
      <c r="B179" s="2" t="s">
        <v>517</v>
      </c>
      <c r="C179" s="2" t="s">
        <v>514</v>
      </c>
      <c r="D179" s="2">
        <v>295</v>
      </c>
      <c r="E179" s="2">
        <v>1000000</v>
      </c>
      <c r="F179" s="3">
        <f>IF(COUNT(D179,E179)=2,D179*E179,NA())</f>
        <v>295000000.0</v>
      </c>
      <c r="G179" s="2" t="s">
        <v>59</v>
      </c>
      <c r="H179" s="2" t="s">
        <v>60</v>
      </c>
      <c r="I179" s="2" t="s">
        <v>61</v>
      </c>
      <c r="J179" s="2" t="s">
        <v>62</v>
      </c>
      <c r="K179" s="2"/>
      <c r="L179" s="2" t="s">
        <v>69</v>
      </c>
      <c r="M179" s="2" t="s">
        <v>64</v>
      </c>
      <c r="N179" s="2" t="s">
        <v>70</v>
      </c>
      <c r="O179" s="2" t="s">
        <v>11</v>
      </c>
      <c r="P179" s="2" t="s">
        <v>71</v>
      </c>
      <c r="Q179" s="2" t="s">
        <v>515</v>
      </c>
      <c r="R179" s="2"/>
    </row>
    <row r="180" spans="1:18">
      <c r="A180" s="2" t="s">
        <v>518</v>
      </c>
      <c r="B180" s="2" t="s">
        <v>519</v>
      </c>
      <c r="C180" s="2" t="s">
        <v>520</v>
      </c>
      <c r="D180" s="2">
        <v>-133</v>
      </c>
      <c r="E180" s="2">
        <v>1000000</v>
      </c>
      <c r="F180" s="3">
        <f>IF(COUNT(D180,E180)=2,D180*E180,NA())</f>
        <v>-133000000.0</v>
      </c>
      <c r="G180" s="2" t="s">
        <v>59</v>
      </c>
      <c r="H180" s="2" t="s">
        <v>60</v>
      </c>
      <c r="I180" s="2" t="s">
        <v>61</v>
      </c>
      <c r="J180" s="2" t="s">
        <v>62</v>
      </c>
      <c r="K180" s="2"/>
      <c r="L180" s="2" t="s">
        <v>69</v>
      </c>
      <c r="M180" s="2" t="s">
        <v>64</v>
      </c>
      <c r="N180" s="2" t="s">
        <v>65</v>
      </c>
      <c r="O180" s="2" t="s">
        <v>11</v>
      </c>
      <c r="P180" s="2"/>
      <c r="Q180" s="2" t="s">
        <v>521</v>
      </c>
      <c r="R180" s="2"/>
    </row>
    <row r="181" spans="1:18">
      <c r="A181" s="2" t="s">
        <v>522</v>
      </c>
      <c r="B181" s="2" t="s">
        <v>523</v>
      </c>
      <c r="C181" s="2" t="s">
        <v>520</v>
      </c>
      <c r="D181" s="2">
        <v>6381</v>
      </c>
      <c r="E181" s="2">
        <v>1000000</v>
      </c>
      <c r="F181" s="3">
        <f>IF(COUNT(D181,E181)=2,D181*E181,NA())</f>
        <v>6381000000.0</v>
      </c>
      <c r="G181" s="2" t="s">
        <v>59</v>
      </c>
      <c r="H181" s="2" t="s">
        <v>60</v>
      </c>
      <c r="I181" s="2" t="s">
        <v>61</v>
      </c>
      <c r="J181" s="2" t="s">
        <v>62</v>
      </c>
      <c r="K181" s="2"/>
      <c r="L181" s="2" t="s">
        <v>524</v>
      </c>
      <c r="M181" s="2" t="s">
        <v>64</v>
      </c>
      <c r="N181" s="2" t="s">
        <v>70</v>
      </c>
      <c r="O181" s="2" t="s">
        <v>11</v>
      </c>
      <c r="P181" s="2" t="s">
        <v>71</v>
      </c>
      <c r="Q181" s="2" t="s">
        <v>521</v>
      </c>
      <c r="R181" s="2"/>
    </row>
    <row r="182" spans="1:18">
      <c r="A182" s="2" t="s">
        <v>525</v>
      </c>
      <c r="B182" s="2" t="s">
        <v>526</v>
      </c>
      <c r="C182" s="2" t="s">
        <v>368</v>
      </c>
      <c r="D182" s="2">
        <v>295</v>
      </c>
      <c r="E182" s="2">
        <v>1000000</v>
      </c>
      <c r="F182" s="3">
        <f>IF(COUNT(D182,E182)=2,D182*E182,NA())</f>
        <v>295000000.0</v>
      </c>
      <c r="G182" s="2" t="s">
        <v>59</v>
      </c>
      <c r="H182" s="2" t="s">
        <v>60</v>
      </c>
      <c r="I182" s="2" t="s">
        <v>61</v>
      </c>
      <c r="J182" s="2" t="s">
        <v>62</v>
      </c>
      <c r="K182" s="2"/>
      <c r="L182" s="2" t="s">
        <v>69</v>
      </c>
      <c r="M182" s="2" t="s">
        <v>64</v>
      </c>
      <c r="N182" s="2" t="s">
        <v>65</v>
      </c>
      <c r="O182" s="2" t="s">
        <v>11</v>
      </c>
      <c r="P182" s="2"/>
      <c r="Q182" s="2" t="s">
        <v>527</v>
      </c>
      <c r="R182" s="2"/>
    </row>
    <row r="183" spans="1:18">
      <c r="A183" s="2" t="s">
        <v>528</v>
      </c>
      <c r="B183" s="2" t="s">
        <v>529</v>
      </c>
      <c r="C183" s="2" t="s">
        <v>368</v>
      </c>
      <c r="D183" s="2">
        <v>281</v>
      </c>
      <c r="E183" s="2">
        <v>1000000</v>
      </c>
      <c r="F183" s="3">
        <f>IF(COUNT(D183,E183)=2,D183*E183,NA())</f>
        <v>281000000.0</v>
      </c>
      <c r="G183" s="2" t="s">
        <v>59</v>
      </c>
      <c r="H183" s="2" t="s">
        <v>60</v>
      </c>
      <c r="I183" s="2" t="s">
        <v>61</v>
      </c>
      <c r="J183" s="2" t="s">
        <v>62</v>
      </c>
      <c r="K183" s="2"/>
      <c r="L183" s="2" t="s">
        <v>524</v>
      </c>
      <c r="M183" s="2" t="s">
        <v>64</v>
      </c>
      <c r="N183" s="2" t="s">
        <v>65</v>
      </c>
      <c r="O183" s="2" t="s">
        <v>11</v>
      </c>
      <c r="P183" s="2"/>
      <c r="Q183" s="2" t="s">
        <v>527</v>
      </c>
      <c r="R183" s="2"/>
    </row>
    <row r="184" spans="1:18">
      <c r="A184" s="2" t="s">
        <v>530</v>
      </c>
      <c r="B184" s="2" t="s">
        <v>531</v>
      </c>
      <c r="C184" s="2" t="s">
        <v>520</v>
      </c>
      <c r="D184" s="2">
        <v>157</v>
      </c>
      <c r="E184" s="2">
        <v>1000000</v>
      </c>
      <c r="F184" s="3">
        <f>IF(COUNT(D184,E184)=2,D184*E184,NA())</f>
        <v>157000000.0</v>
      </c>
      <c r="G184" s="2" t="s">
        <v>59</v>
      </c>
      <c r="H184" s="2" t="s">
        <v>60</v>
      </c>
      <c r="I184" s="2" t="s">
        <v>61</v>
      </c>
      <c r="J184" s="2" t="s">
        <v>62</v>
      </c>
      <c r="K184" s="2" t="s">
        <v>245</v>
      </c>
      <c r="L184" s="2" t="s">
        <v>63</v>
      </c>
      <c r="M184" s="2" t="s">
        <v>246</v>
      </c>
      <c r="N184" s="2" t="s">
        <v>65</v>
      </c>
      <c r="O184" s="2" t="s">
        <v>11</v>
      </c>
      <c r="P184" s="2" t="s">
        <v>532</v>
      </c>
      <c r="Q184" s="2" t="s">
        <v>533</v>
      </c>
      <c r="R184" s="2"/>
    </row>
    <row r="185" spans="1:18">
      <c r="A185" s="2" t="s">
        <v>534</v>
      </c>
      <c r="B185" s="2" t="s">
        <v>535</v>
      </c>
      <c r="C185" s="2" t="s">
        <v>520</v>
      </c>
      <c r="D185" s="2">
        <v>156</v>
      </c>
      <c r="E185" s="2">
        <v>1000000</v>
      </c>
      <c r="F185" s="3">
        <f>IF(COUNT(D185,E185)=2,D185*E185,NA())</f>
        <v>156000000.0</v>
      </c>
      <c r="G185" s="2" t="s">
        <v>59</v>
      </c>
      <c r="H185" s="2" t="s">
        <v>60</v>
      </c>
      <c r="I185" s="2" t="s">
        <v>61</v>
      </c>
      <c r="J185" s="2" t="s">
        <v>62</v>
      </c>
      <c r="K185" s="2" t="s">
        <v>250</v>
      </c>
      <c r="L185" s="2" t="s">
        <v>69</v>
      </c>
      <c r="M185" s="2" t="s">
        <v>246</v>
      </c>
      <c r="N185" s="2" t="s">
        <v>70</v>
      </c>
      <c r="O185" s="2" t="s">
        <v>11</v>
      </c>
      <c r="P185" s="2" t="s">
        <v>536</v>
      </c>
      <c r="Q185" s="2" t="s">
        <v>533</v>
      </c>
      <c r="R185" s="2"/>
    </row>
    <row r="186" spans="1:18">
      <c r="A186" s="2" t="s">
        <v>537</v>
      </c>
      <c r="B186" s="2" t="s">
        <v>538</v>
      </c>
      <c r="C186" s="2" t="s">
        <v>520</v>
      </c>
      <c r="D186" s="2">
        <v>-23</v>
      </c>
      <c r="E186" s="2">
        <v>1000000</v>
      </c>
      <c r="F186" s="3">
        <f>IF(COUNT(D186,E186)=2,D186*E186,NA())</f>
        <v>-23000000.0</v>
      </c>
      <c r="G186" s="2" t="s">
        <v>59</v>
      </c>
      <c r="H186" s="2" t="s">
        <v>60</v>
      </c>
      <c r="I186" s="2" t="s">
        <v>61</v>
      </c>
      <c r="J186" s="2" t="s">
        <v>62</v>
      </c>
      <c r="K186" s="2" t="s">
        <v>245</v>
      </c>
      <c r="L186" s="2" t="s">
        <v>63</v>
      </c>
      <c r="M186" s="2" t="s">
        <v>246</v>
      </c>
      <c r="N186" s="2" t="s">
        <v>65</v>
      </c>
      <c r="O186" s="2" t="s">
        <v>11</v>
      </c>
      <c r="P186" s="2" t="s">
        <v>532</v>
      </c>
      <c r="Q186" s="2" t="s">
        <v>539</v>
      </c>
      <c r="R186" s="2"/>
    </row>
    <row r="187" spans="1:18">
      <c r="A187" s="2" t="s">
        <v>540</v>
      </c>
      <c r="B187" s="2" t="s">
        <v>541</v>
      </c>
      <c r="C187" s="2" t="s">
        <v>520</v>
      </c>
      <c r="D187" s="2">
        <v>-33</v>
      </c>
      <c r="E187" s="2">
        <v>1000000</v>
      </c>
      <c r="F187" s="3">
        <f>IF(COUNT(D187,E187)=2,D187*E187,NA())</f>
        <v>-33000000.0</v>
      </c>
      <c r="G187" s="2" t="s">
        <v>59</v>
      </c>
      <c r="H187" s="2" t="s">
        <v>60</v>
      </c>
      <c r="I187" s="2" t="s">
        <v>61</v>
      </c>
      <c r="J187" s="2" t="s">
        <v>62</v>
      </c>
      <c r="K187" s="2" t="s">
        <v>250</v>
      </c>
      <c r="L187" s="2" t="s">
        <v>69</v>
      </c>
      <c r="M187" s="2" t="s">
        <v>246</v>
      </c>
      <c r="N187" s="2" t="s">
        <v>70</v>
      </c>
      <c r="O187" s="2" t="s">
        <v>11</v>
      </c>
      <c r="P187" s="2" t="s">
        <v>536</v>
      </c>
      <c r="Q187" s="2" t="s">
        <v>539</v>
      </c>
      <c r="R187" s="2"/>
    </row>
    <row r="188" spans="1:18">
      <c r="A188" s="2" t="s">
        <v>542</v>
      </c>
      <c r="B188" s="2" t="s">
        <v>543</v>
      </c>
      <c r="C188" s="2" t="s">
        <v>520</v>
      </c>
      <c r="D188" s="2">
        <v>-2080</v>
      </c>
      <c r="E188" s="2">
        <v>1000000</v>
      </c>
      <c r="F188" s="3">
        <f>IF(COUNT(D188,E188)=2,D188*E188,NA())</f>
        <v>-2080000000.0</v>
      </c>
      <c r="G188" s="2" t="s">
        <v>59</v>
      </c>
      <c r="H188" s="2" t="s">
        <v>60</v>
      </c>
      <c r="I188" s="2" t="s">
        <v>61</v>
      </c>
      <c r="J188" s="2" t="s">
        <v>62</v>
      </c>
      <c r="K188" s="2" t="s">
        <v>245</v>
      </c>
      <c r="L188" s="2" t="s">
        <v>63</v>
      </c>
      <c r="M188" s="2" t="s">
        <v>246</v>
      </c>
      <c r="N188" s="2" t="s">
        <v>65</v>
      </c>
      <c r="O188" s="2" t="s">
        <v>11</v>
      </c>
      <c r="P188" s="2" t="s">
        <v>532</v>
      </c>
      <c r="Q188" s="2" t="s">
        <v>544</v>
      </c>
      <c r="R188" s="2"/>
    </row>
    <row r="189" spans="1:18">
      <c r="A189" s="2" t="s">
        <v>545</v>
      </c>
      <c r="B189" s="2" t="s">
        <v>546</v>
      </c>
      <c r="C189" s="2" t="s">
        <v>520</v>
      </c>
      <c r="D189" s="2">
        <v>-2733</v>
      </c>
      <c r="E189" s="2">
        <v>1000000</v>
      </c>
      <c r="F189" s="3">
        <f>IF(COUNT(D189,E189)=2,D189*E189,NA())</f>
        <v>-2733000000.0</v>
      </c>
      <c r="G189" s="2" t="s">
        <v>59</v>
      </c>
      <c r="H189" s="2" t="s">
        <v>60</v>
      </c>
      <c r="I189" s="2" t="s">
        <v>61</v>
      </c>
      <c r="J189" s="2" t="s">
        <v>62</v>
      </c>
      <c r="K189" s="2" t="s">
        <v>250</v>
      </c>
      <c r="L189" s="2" t="s">
        <v>69</v>
      </c>
      <c r="M189" s="2" t="s">
        <v>246</v>
      </c>
      <c r="N189" s="2" t="s">
        <v>70</v>
      </c>
      <c r="O189" s="2" t="s">
        <v>11</v>
      </c>
      <c r="P189" s="2" t="s">
        <v>536</v>
      </c>
      <c r="Q189" s="2" t="s">
        <v>544</v>
      </c>
      <c r="R189" s="2"/>
    </row>
    <row r="190" spans="1:18">
      <c r="A190" s="2" t="s">
        <v>547</v>
      </c>
      <c r="B190" s="2" t="s">
        <v>548</v>
      </c>
      <c r="C190" s="2" t="s">
        <v>549</v>
      </c>
      <c r="D190" s="2">
        <v>2173</v>
      </c>
      <c r="E190" s="2">
        <v>1000000</v>
      </c>
      <c r="F190" s="3">
        <f>IF(COUNT(D190,E190)=2,D190*E190,NA())</f>
        <v>2173000000.0</v>
      </c>
      <c r="G190" s="2" t="s">
        <v>59</v>
      </c>
      <c r="H190" s="2" t="s">
        <v>60</v>
      </c>
      <c r="I190" s="2" t="s">
        <v>61</v>
      </c>
      <c r="J190" s="2" t="s">
        <v>62</v>
      </c>
      <c r="K190" s="2" t="s">
        <v>245</v>
      </c>
      <c r="L190" s="2" t="s">
        <v>63</v>
      </c>
      <c r="M190" s="2" t="s">
        <v>246</v>
      </c>
      <c r="N190" s="2" t="s">
        <v>65</v>
      </c>
      <c r="O190" s="2" t="s">
        <v>11</v>
      </c>
      <c r="P190" s="2"/>
      <c r="Q190" s="2" t="s">
        <v>550</v>
      </c>
      <c r="R190" s="2"/>
    </row>
    <row r="191" spans="1:18">
      <c r="A191" s="2" t="s">
        <v>551</v>
      </c>
      <c r="B191" s="2" t="s">
        <v>552</v>
      </c>
      <c r="C191" s="2" t="s">
        <v>549</v>
      </c>
      <c r="D191" s="2">
        <v>2110</v>
      </c>
      <c r="E191" s="2">
        <v>1000000</v>
      </c>
      <c r="F191" s="3">
        <f>IF(COUNT(D191,E191)=2,D191*E191,NA())</f>
        <v>2110000000.0</v>
      </c>
      <c r="G191" s="2" t="s">
        <v>59</v>
      </c>
      <c r="H191" s="2" t="s">
        <v>60</v>
      </c>
      <c r="I191" s="2" t="s">
        <v>61</v>
      </c>
      <c r="J191" s="2" t="s">
        <v>62</v>
      </c>
      <c r="K191" s="2" t="s">
        <v>250</v>
      </c>
      <c r="L191" s="2" t="s">
        <v>69</v>
      </c>
      <c r="M191" s="2" t="s">
        <v>246</v>
      </c>
      <c r="N191" s="2" t="s">
        <v>70</v>
      </c>
      <c r="O191" s="2" t="s">
        <v>11</v>
      </c>
      <c r="P191" s="2" t="s">
        <v>71</v>
      </c>
      <c r="Q191" s="2" t="s">
        <v>550</v>
      </c>
      <c r="R191" s="2"/>
    </row>
    <row r="192" spans="1:18">
      <c r="A192" s="2" t="s">
        <v>553</v>
      </c>
      <c r="B192" s="2" t="s">
        <v>554</v>
      </c>
      <c r="C192" s="2" t="s">
        <v>549</v>
      </c>
      <c r="D192" s="2">
        <v>1250</v>
      </c>
      <c r="E192" s="2">
        <v>1000000</v>
      </c>
      <c r="F192" s="3">
        <f>IF(COUNT(D192,E192)=2,D192*E192,NA())</f>
        <v>1250000000.0</v>
      </c>
      <c r="G192" s="2" t="s">
        <v>59</v>
      </c>
      <c r="H192" s="2" t="s">
        <v>60</v>
      </c>
      <c r="I192" s="2" t="s">
        <v>61</v>
      </c>
      <c r="J192" s="2" t="s">
        <v>62</v>
      </c>
      <c r="K192" s="2" t="s">
        <v>245</v>
      </c>
      <c r="L192" s="2" t="s">
        <v>63</v>
      </c>
      <c r="M192" s="2" t="s">
        <v>246</v>
      </c>
      <c r="N192" s="2" t="s">
        <v>65</v>
      </c>
      <c r="O192" s="2" t="s">
        <v>11</v>
      </c>
      <c r="P192" s="2"/>
      <c r="Q192" s="2" t="s">
        <v>555</v>
      </c>
      <c r="R192" s="2"/>
    </row>
    <row r="193" spans="1:18">
      <c r="A193" s="2" t="s">
        <v>556</v>
      </c>
      <c r="B193" s="2" t="s">
        <v>557</v>
      </c>
      <c r="C193" s="2" t="s">
        <v>549</v>
      </c>
      <c r="D193" s="2">
        <v>2211</v>
      </c>
      <c r="E193" s="2">
        <v>1000000</v>
      </c>
      <c r="F193" s="3">
        <f>IF(COUNT(D193,E193)=2,D193*E193,NA())</f>
        <v>2211000000.0</v>
      </c>
      <c r="G193" s="2" t="s">
        <v>59</v>
      </c>
      <c r="H193" s="2" t="s">
        <v>60</v>
      </c>
      <c r="I193" s="2" t="s">
        <v>61</v>
      </c>
      <c r="J193" s="2" t="s">
        <v>62</v>
      </c>
      <c r="K193" s="2" t="s">
        <v>250</v>
      </c>
      <c r="L193" s="2" t="s">
        <v>69</v>
      </c>
      <c r="M193" s="2" t="s">
        <v>246</v>
      </c>
      <c r="N193" s="2" t="s">
        <v>70</v>
      </c>
      <c r="O193" s="2" t="s">
        <v>11</v>
      </c>
      <c r="P193" s="2" t="s">
        <v>71</v>
      </c>
      <c r="Q193" s="2" t="s">
        <v>555</v>
      </c>
      <c r="R193" s="2"/>
    </row>
    <row r="194" spans="1:18">
      <c r="A194" s="2" t="s">
        <v>558</v>
      </c>
      <c r="B194" s="2" t="s">
        <v>559</v>
      </c>
      <c r="C194" s="2" t="s">
        <v>549</v>
      </c>
      <c r="D194" s="2">
        <v>0</v>
      </c>
      <c r="E194" s="2">
        <v>1000000</v>
      </c>
      <c r="F194" s="3">
        <f>IF(COUNT(D194,E194)=2,D194*E194,NA())</f>
        <v>0.0</v>
      </c>
      <c r="G194" s="2" t="s">
        <v>59</v>
      </c>
      <c r="H194" s="2" t="s">
        <v>60</v>
      </c>
      <c r="I194" s="2" t="s">
        <v>61</v>
      </c>
      <c r="J194" s="2" t="s">
        <v>62</v>
      </c>
      <c r="K194" s="2" t="s">
        <v>245</v>
      </c>
      <c r="L194" s="2" t="s">
        <v>63</v>
      </c>
      <c r="M194" s="2" t="s">
        <v>246</v>
      </c>
      <c r="N194" s="2" t="s">
        <v>65</v>
      </c>
      <c r="O194" s="2" t="s">
        <v>11</v>
      </c>
      <c r="P194" s="2"/>
      <c r="Q194" s="2" t="s">
        <v>560</v>
      </c>
      <c r="R194" s="2"/>
    </row>
    <row r="195" spans="1:18">
      <c r="A195" s="2" t="s">
        <v>561</v>
      </c>
      <c r="B195" s="2" t="s">
        <v>562</v>
      </c>
      <c r="C195" s="2" t="s">
        <v>549</v>
      </c>
      <c r="D195" s="2">
        <v>4958</v>
      </c>
      <c r="E195" s="2">
        <v>1000000</v>
      </c>
      <c r="F195" s="3">
        <f>IF(COUNT(D195,E195)=2,D195*E195,NA())</f>
        <v>4958000000.0</v>
      </c>
      <c r="G195" s="2" t="s">
        <v>59</v>
      </c>
      <c r="H195" s="2" t="s">
        <v>60</v>
      </c>
      <c r="I195" s="2" t="s">
        <v>61</v>
      </c>
      <c r="J195" s="2" t="s">
        <v>62</v>
      </c>
      <c r="K195" s="2" t="s">
        <v>250</v>
      </c>
      <c r="L195" s="2" t="s">
        <v>69</v>
      </c>
      <c r="M195" s="2" t="s">
        <v>246</v>
      </c>
      <c r="N195" s="2" t="s">
        <v>70</v>
      </c>
      <c r="O195" s="2" t="s">
        <v>11</v>
      </c>
      <c r="P195" s="2" t="s">
        <v>71</v>
      </c>
      <c r="Q195" s="2" t="s">
        <v>560</v>
      </c>
      <c r="R195" s="2"/>
    </row>
    <row r="196" spans="1:18">
      <c r="A196" s="2" t="s">
        <v>563</v>
      </c>
      <c r="B196" s="2" t="s">
        <v>564</v>
      </c>
      <c r="C196" s="2" t="s">
        <v>549</v>
      </c>
      <c r="D196" s="2">
        <v>923</v>
      </c>
      <c r="E196" s="2">
        <v>1000000</v>
      </c>
      <c r="F196" s="3">
        <f>IF(COUNT(D196,E196)=2,D196*E196,NA())</f>
        <v>923000000.0</v>
      </c>
      <c r="G196" s="2" t="s">
        <v>59</v>
      </c>
      <c r="H196" s="2" t="s">
        <v>60</v>
      </c>
      <c r="I196" s="2" t="s">
        <v>61</v>
      </c>
      <c r="J196" s="2" t="s">
        <v>62</v>
      </c>
      <c r="K196" s="2" t="s">
        <v>245</v>
      </c>
      <c r="L196" s="2" t="s">
        <v>63</v>
      </c>
      <c r="M196" s="2" t="s">
        <v>246</v>
      </c>
      <c r="N196" s="2" t="s">
        <v>65</v>
      </c>
      <c r="O196" s="2" t="s">
        <v>11</v>
      </c>
      <c r="P196" s="2"/>
      <c r="Q196" s="2" t="s">
        <v>565</v>
      </c>
      <c r="R196" s="2"/>
    </row>
    <row r="197" spans="1:18">
      <c r="A197" s="2" t="s">
        <v>566</v>
      </c>
      <c r="B197" s="2" t="s">
        <v>567</v>
      </c>
      <c r="C197" s="2" t="s">
        <v>549</v>
      </c>
      <c r="D197" s="2">
        <v>-5059</v>
      </c>
      <c r="E197" s="2">
        <v>1000000</v>
      </c>
      <c r="F197" s="3">
        <f>IF(COUNT(D197,E197)=2,D197*E197,NA())</f>
        <v>-5059000000.0</v>
      </c>
      <c r="G197" s="2" t="s">
        <v>59</v>
      </c>
      <c r="H197" s="2" t="s">
        <v>60</v>
      </c>
      <c r="I197" s="2" t="s">
        <v>61</v>
      </c>
      <c r="J197" s="2" t="s">
        <v>62</v>
      </c>
      <c r="K197" s="2" t="s">
        <v>250</v>
      </c>
      <c r="L197" s="2" t="s">
        <v>69</v>
      </c>
      <c r="M197" s="2" t="s">
        <v>246</v>
      </c>
      <c r="N197" s="2" t="s">
        <v>70</v>
      </c>
      <c r="O197" s="2" t="s">
        <v>11</v>
      </c>
      <c r="P197" s="2" t="s">
        <v>71</v>
      </c>
      <c r="Q197" s="2" t="s">
        <v>565</v>
      </c>
      <c r="R197" s="2"/>
    </row>
    <row r="198" spans="1:18">
      <c r="A198" s="2" t="s">
        <v>568</v>
      </c>
      <c r="B198" s="2" t="s">
        <v>569</v>
      </c>
      <c r="C198" s="2" t="s">
        <v>549</v>
      </c>
      <c r="D198" s="2">
        <v>-7</v>
      </c>
      <c r="E198" s="2">
        <v>1000000</v>
      </c>
      <c r="F198" s="3">
        <f>IF(COUNT(D198,E198)=2,D198*E198,NA())</f>
        <v>-7000000.0</v>
      </c>
      <c r="G198" s="2" t="s">
        <v>59</v>
      </c>
      <c r="H198" s="2" t="s">
        <v>60</v>
      </c>
      <c r="I198" s="2" t="s">
        <v>61</v>
      </c>
      <c r="J198" s="2" t="s">
        <v>62</v>
      </c>
      <c r="K198" s="2" t="s">
        <v>245</v>
      </c>
      <c r="L198" s="2" t="s">
        <v>63</v>
      </c>
      <c r="M198" s="2" t="s">
        <v>246</v>
      </c>
      <c r="N198" s="2" t="s">
        <v>65</v>
      </c>
      <c r="O198" s="2" t="s">
        <v>11</v>
      </c>
      <c r="P198" s="2"/>
      <c r="Q198" s="2" t="s">
        <v>570</v>
      </c>
      <c r="R198" s="2"/>
    </row>
    <row r="199" spans="1:18">
      <c r="A199" s="2" t="s">
        <v>571</v>
      </c>
      <c r="B199" s="2" t="s">
        <v>572</v>
      </c>
      <c r="C199" s="2" t="s">
        <v>549</v>
      </c>
      <c r="D199" s="2">
        <v>-6</v>
      </c>
      <c r="E199" s="2">
        <v>1000000</v>
      </c>
      <c r="F199" s="3">
        <f>IF(COUNT(D199,E199)=2,D199*E199,NA())</f>
        <v>-6000000.0</v>
      </c>
      <c r="G199" s="2" t="s">
        <v>59</v>
      </c>
      <c r="H199" s="2" t="s">
        <v>60</v>
      </c>
      <c r="I199" s="2" t="s">
        <v>61</v>
      </c>
      <c r="J199" s="2" t="s">
        <v>62</v>
      </c>
      <c r="K199" s="2" t="s">
        <v>250</v>
      </c>
      <c r="L199" s="2" t="s">
        <v>69</v>
      </c>
      <c r="M199" s="2" t="s">
        <v>246</v>
      </c>
      <c r="N199" s="2" t="s">
        <v>70</v>
      </c>
      <c r="O199" s="2" t="s">
        <v>11</v>
      </c>
      <c r="P199" s="2" t="s">
        <v>71</v>
      </c>
      <c r="Q199" s="2" t="s">
        <v>570</v>
      </c>
      <c r="R199" s="2"/>
    </row>
    <row r="200" spans="1:18">
      <c r="A200" s="2" t="s">
        <v>573</v>
      </c>
      <c r="B200" s="2" t="s">
        <v>574</v>
      </c>
      <c r="C200" s="2" t="s">
        <v>549</v>
      </c>
      <c r="D200" s="2">
        <v>324</v>
      </c>
      <c r="E200" s="2">
        <v>1000000</v>
      </c>
      <c r="F200" s="3">
        <f>IF(COUNT(D200,E200)=2,D200*E200,NA())</f>
        <v>324000000.0</v>
      </c>
      <c r="G200" s="2" t="s">
        <v>59</v>
      </c>
      <c r="H200" s="2" t="s">
        <v>60</v>
      </c>
      <c r="I200" s="2" t="s">
        <v>61</v>
      </c>
      <c r="J200" s="2" t="s">
        <v>62</v>
      </c>
      <c r="K200" s="2"/>
      <c r="L200" s="2" t="s">
        <v>63</v>
      </c>
      <c r="M200" s="2" t="s">
        <v>64</v>
      </c>
      <c r="N200" s="2" t="s">
        <v>65</v>
      </c>
      <c r="O200" s="2" t="s">
        <v>11</v>
      </c>
      <c r="P200" s="2"/>
      <c r="Q200" s="2" t="s">
        <v>575</v>
      </c>
      <c r="R200" s="2"/>
    </row>
    <row r="201" spans="1:18">
      <c r="A201" s="2" t="s">
        <v>576</v>
      </c>
      <c r="B201" s="2" t="s">
        <v>577</v>
      </c>
      <c r="C201" s="2" t="s">
        <v>549</v>
      </c>
      <c r="D201" s="2">
        <v>349</v>
      </c>
      <c r="E201" s="2">
        <v>1000000</v>
      </c>
      <c r="F201" s="3">
        <f>IF(COUNT(D201,E201)=2,D201*E201,NA())</f>
        <v>349000000.0</v>
      </c>
      <c r="G201" s="2" t="s">
        <v>59</v>
      </c>
      <c r="H201" s="2" t="s">
        <v>60</v>
      </c>
      <c r="I201" s="2" t="s">
        <v>61</v>
      </c>
      <c r="J201" s="2" t="s">
        <v>62</v>
      </c>
      <c r="K201" s="2"/>
      <c r="L201" s="2" t="s">
        <v>69</v>
      </c>
      <c r="M201" s="2" t="s">
        <v>64</v>
      </c>
      <c r="N201" s="2" t="s">
        <v>70</v>
      </c>
      <c r="O201" s="2" t="s">
        <v>11</v>
      </c>
      <c r="P201" s="2" t="s">
        <v>71</v>
      </c>
      <c r="Q201" s="2" t="s">
        <v>575</v>
      </c>
      <c r="R201" s="2"/>
    </row>
    <row r="202" spans="1:18">
      <c r="A202" s="2" t="s">
        <v>578</v>
      </c>
      <c r="B202" s="2" t="s">
        <v>579</v>
      </c>
      <c r="C202" s="2" t="s">
        <v>549</v>
      </c>
      <c r="D202" s="2">
        <v>110</v>
      </c>
      <c r="E202" s="2">
        <v>1000000</v>
      </c>
      <c r="F202" s="3">
        <f>IF(COUNT(D202,E202)=2,D202*E202,NA())</f>
        <v>110000000.0</v>
      </c>
      <c r="G202" s="2" t="s">
        <v>59</v>
      </c>
      <c r="H202" s="2" t="s">
        <v>60</v>
      </c>
      <c r="I202" s="2" t="s">
        <v>61</v>
      </c>
      <c r="J202" s="2" t="s">
        <v>62</v>
      </c>
      <c r="K202" s="2"/>
      <c r="L202" s="2" t="s">
        <v>63</v>
      </c>
      <c r="M202" s="2" t="s">
        <v>64</v>
      </c>
      <c r="N202" s="2" t="s">
        <v>65</v>
      </c>
      <c r="O202" s="2" t="s">
        <v>11</v>
      </c>
      <c r="P202" s="2"/>
      <c r="Q202" s="2" t="s">
        <v>580</v>
      </c>
      <c r="R202" s="2"/>
    </row>
    <row r="203" spans="1:18">
      <c r="A203" s="2" t="s">
        <v>581</v>
      </c>
      <c r="B203" s="2" t="s">
        <v>582</v>
      </c>
      <c r="C203" s="2" t="s">
        <v>549</v>
      </c>
      <c r="D203" s="2">
        <v>80</v>
      </c>
      <c r="E203" s="2">
        <v>1000000</v>
      </c>
      <c r="F203" s="3">
        <f>IF(COUNT(D203,E203)=2,D203*E203,NA())</f>
        <v>80000000.0</v>
      </c>
      <c r="G203" s="2" t="s">
        <v>59</v>
      </c>
      <c r="H203" s="2" t="s">
        <v>60</v>
      </c>
      <c r="I203" s="2" t="s">
        <v>61</v>
      </c>
      <c r="J203" s="2" t="s">
        <v>62</v>
      </c>
      <c r="K203" s="2"/>
      <c r="L203" s="2" t="s">
        <v>69</v>
      </c>
      <c r="M203" s="2" t="s">
        <v>64</v>
      </c>
      <c r="N203" s="2" t="s">
        <v>70</v>
      </c>
      <c r="O203" s="2" t="s">
        <v>11</v>
      </c>
      <c r="P203" s="2" t="s">
        <v>71</v>
      </c>
      <c r="Q203" s="2" t="s">
        <v>580</v>
      </c>
      <c r="R203" s="2"/>
    </row>
    <row r="204" spans="1:18">
      <c r="A204" s="2" t="s">
        <v>583</v>
      </c>
      <c r="B204" s="2" t="s">
        <v>584</v>
      </c>
      <c r="C204" s="2" t="s">
        <v>549</v>
      </c>
      <c r="D204" s="2">
        <v>9766</v>
      </c>
      <c r="E204" s="2">
        <v>1000000</v>
      </c>
      <c r="F204" s="3">
        <f>IF(COUNT(D204,E204)=2,D204*E204,NA())</f>
        <v>9766000000.0</v>
      </c>
      <c r="G204" s="2" t="s">
        <v>59</v>
      </c>
      <c r="H204" s="2" t="s">
        <v>60</v>
      </c>
      <c r="I204" s="2" t="s">
        <v>61</v>
      </c>
      <c r="J204" s="2" t="s">
        <v>62</v>
      </c>
      <c r="K204" s="2"/>
      <c r="L204" s="2" t="s">
        <v>63</v>
      </c>
      <c r="M204" s="2" t="s">
        <v>64</v>
      </c>
      <c r="N204" s="2" t="s">
        <v>65</v>
      </c>
      <c r="O204" s="2" t="s">
        <v>11</v>
      </c>
      <c r="P204" s="2"/>
      <c r="Q204" s="2" t="s">
        <v>585</v>
      </c>
      <c r="R204" s="2"/>
    </row>
    <row r="205" spans="1:18">
      <c r="A205" s="2" t="s">
        <v>586</v>
      </c>
      <c r="B205" s="2" t="s">
        <v>587</v>
      </c>
      <c r="C205" s="2" t="s">
        <v>549</v>
      </c>
      <c r="D205" s="2">
        <v>8918</v>
      </c>
      <c r="E205" s="2">
        <v>1000000</v>
      </c>
      <c r="F205" s="3">
        <f>IF(COUNT(D205,E205)=2,D205*E205,NA())</f>
        <v>8918000000.0</v>
      </c>
      <c r="G205" s="2" t="s">
        <v>59</v>
      </c>
      <c r="H205" s="2" t="s">
        <v>60</v>
      </c>
      <c r="I205" s="2" t="s">
        <v>61</v>
      </c>
      <c r="J205" s="2" t="s">
        <v>62</v>
      </c>
      <c r="K205" s="2"/>
      <c r="L205" s="2" t="s">
        <v>69</v>
      </c>
      <c r="M205" s="2" t="s">
        <v>64</v>
      </c>
      <c r="N205" s="2" t="s">
        <v>70</v>
      </c>
      <c r="O205" s="2" t="s">
        <v>11</v>
      </c>
      <c r="P205" s="2" t="s">
        <v>71</v>
      </c>
      <c r="Q205" s="2" t="s">
        <v>585</v>
      </c>
      <c r="R205" s="2"/>
    </row>
    <row r="206" spans="1:18">
      <c r="A206" s="2" t="s">
        <v>588</v>
      </c>
      <c r="B206" s="2" t="s">
        <v>589</v>
      </c>
      <c r="C206" s="2" t="s">
        <v>549</v>
      </c>
      <c r="D206" s="2">
        <v>1706</v>
      </c>
      <c r="E206" s="2">
        <v>1000000</v>
      </c>
      <c r="F206" s="3">
        <f>IF(COUNT(D206,E206)=2,D206*E206,NA())</f>
        <v>1706000000.0</v>
      </c>
      <c r="G206" s="2" t="s">
        <v>59</v>
      </c>
      <c r="H206" s="2" t="s">
        <v>60</v>
      </c>
      <c r="I206" s="2" t="s">
        <v>61</v>
      </c>
      <c r="J206" s="2" t="s">
        <v>62</v>
      </c>
      <c r="K206" s="2"/>
      <c r="L206" s="2" t="s">
        <v>63</v>
      </c>
      <c r="M206" s="2" t="s">
        <v>64</v>
      </c>
      <c r="N206" s="2" t="s">
        <v>65</v>
      </c>
      <c r="O206" s="2" t="s">
        <v>11</v>
      </c>
      <c r="P206" s="2"/>
      <c r="Q206" s="2" t="s">
        <v>590</v>
      </c>
      <c r="R206" s="2"/>
    </row>
    <row r="207" spans="1:18">
      <c r="A207" s="2" t="s">
        <v>591</v>
      </c>
      <c r="B207" s="2" t="s">
        <v>592</v>
      </c>
      <c r="C207" s="2" t="s">
        <v>549</v>
      </c>
      <c r="D207" s="2">
        <v>1744</v>
      </c>
      <c r="E207" s="2">
        <v>1000000</v>
      </c>
      <c r="F207" s="3">
        <f>IF(COUNT(D207,E207)=2,D207*E207,NA())</f>
        <v>1744000000.0</v>
      </c>
      <c r="G207" s="2" t="s">
        <v>59</v>
      </c>
      <c r="H207" s="2" t="s">
        <v>60</v>
      </c>
      <c r="I207" s="2" t="s">
        <v>61</v>
      </c>
      <c r="J207" s="2" t="s">
        <v>62</v>
      </c>
      <c r="K207" s="2"/>
      <c r="L207" s="2" t="s">
        <v>69</v>
      </c>
      <c r="M207" s="2" t="s">
        <v>64</v>
      </c>
      <c r="N207" s="2" t="s">
        <v>70</v>
      </c>
      <c r="O207" s="2" t="s">
        <v>11</v>
      </c>
      <c r="P207" s="2" t="s">
        <v>71</v>
      </c>
      <c r="Q207" s="2" t="s">
        <v>590</v>
      </c>
      <c r="R207" s="2"/>
    </row>
    <row r="208" spans="1:18">
      <c r="A208" s="2" t="s">
        <v>593</v>
      </c>
      <c r="B208" s="2" t="s">
        <v>594</v>
      </c>
      <c r="C208" s="2" t="s">
        <v>549</v>
      </c>
      <c r="D208" s="2">
        <v>326</v>
      </c>
      <c r="E208" s="2">
        <v>1000000</v>
      </c>
      <c r="F208" s="3">
        <f>IF(COUNT(D208,E208)=2,D208*E208,NA())</f>
        <v>326000000.0</v>
      </c>
      <c r="G208" s="2" t="s">
        <v>59</v>
      </c>
      <c r="H208" s="2" t="s">
        <v>60</v>
      </c>
      <c r="I208" s="2" t="s">
        <v>61</v>
      </c>
      <c r="J208" s="2" t="s">
        <v>62</v>
      </c>
      <c r="K208" s="2"/>
      <c r="L208" s="2" t="s">
        <v>63</v>
      </c>
      <c r="M208" s="2" t="s">
        <v>64</v>
      </c>
      <c r="N208" s="2" t="s">
        <v>65</v>
      </c>
      <c r="O208" s="2" t="s">
        <v>11</v>
      </c>
      <c r="P208" s="2"/>
      <c r="Q208" s="2" t="s">
        <v>595</v>
      </c>
      <c r="R208" s="2"/>
    </row>
    <row r="209" spans="1:18">
      <c r="A209" s="2" t="s">
        <v>596</v>
      </c>
      <c r="B209" s="2" t="s">
        <v>597</v>
      </c>
      <c r="C209" s="2" t="s">
        <v>549</v>
      </c>
      <c r="D209" s="2">
        <v>306</v>
      </c>
      <c r="E209" s="2">
        <v>1000000</v>
      </c>
      <c r="F209" s="3">
        <f>IF(COUNT(D209,E209)=2,D209*E209,NA())</f>
        <v>306000000.0</v>
      </c>
      <c r="G209" s="2" t="s">
        <v>59</v>
      </c>
      <c r="H209" s="2" t="s">
        <v>60</v>
      </c>
      <c r="I209" s="2" t="s">
        <v>61</v>
      </c>
      <c r="J209" s="2" t="s">
        <v>62</v>
      </c>
      <c r="K209" s="2"/>
      <c r="L209" s="2" t="s">
        <v>69</v>
      </c>
      <c r="M209" s="2" t="s">
        <v>64</v>
      </c>
      <c r="N209" s="2" t="s">
        <v>70</v>
      </c>
      <c r="O209" s="2" t="s">
        <v>11</v>
      </c>
      <c r="P209" s="2" t="s">
        <v>71</v>
      </c>
      <c r="Q209" s="2" t="s">
        <v>595</v>
      </c>
      <c r="R209" s="2"/>
    </row>
    <row r="210" spans="1:18">
      <c r="A210" s="2" t="s">
        <v>598</v>
      </c>
      <c r="B210" s="2" t="s">
        <v>599</v>
      </c>
      <c r="C210" s="2" t="s">
        <v>549</v>
      </c>
      <c r="D210" s="2">
        <v>1507</v>
      </c>
      <c r="E210" s="2">
        <v>1000000</v>
      </c>
      <c r="F210" s="3">
        <f>IF(COUNT(D210,E210)=2,D210*E210,NA())</f>
        <v>1507000000.0</v>
      </c>
      <c r="G210" s="2" t="s">
        <v>59</v>
      </c>
      <c r="H210" s="2" t="s">
        <v>60</v>
      </c>
      <c r="I210" s="2" t="s">
        <v>61</v>
      </c>
      <c r="J210" s="2" t="s">
        <v>62</v>
      </c>
      <c r="K210" s="2"/>
      <c r="L210" s="2" t="s">
        <v>63</v>
      </c>
      <c r="M210" s="2" t="s">
        <v>64</v>
      </c>
      <c r="N210" s="2" t="s">
        <v>65</v>
      </c>
      <c r="O210" s="2" t="s">
        <v>11</v>
      </c>
      <c r="P210" s="2"/>
      <c r="Q210" s="2" t="s">
        <v>600</v>
      </c>
      <c r="R210" s="2"/>
    </row>
    <row r="211" spans="1:18">
      <c r="A211" s="2" t="s">
        <v>601</v>
      </c>
      <c r="B211" s="2" t="s">
        <v>602</v>
      </c>
      <c r="C211" s="2" t="s">
        <v>549</v>
      </c>
      <c r="D211" s="2">
        <v>0</v>
      </c>
      <c r="E211" s="2">
        <v>1000000</v>
      </c>
      <c r="F211" s="3">
        <f>IF(COUNT(D211,E211)=2,D211*E211,NA())</f>
        <v>0.0</v>
      </c>
      <c r="G211" s="2" t="s">
        <v>59</v>
      </c>
      <c r="H211" s="2" t="s">
        <v>60</v>
      </c>
      <c r="I211" s="2" t="s">
        <v>61</v>
      </c>
      <c r="J211" s="2" t="s">
        <v>62</v>
      </c>
      <c r="K211" s="2"/>
      <c r="L211" s="2" t="s">
        <v>69</v>
      </c>
      <c r="M211" s="2" t="s">
        <v>64</v>
      </c>
      <c r="N211" s="2" t="s">
        <v>70</v>
      </c>
      <c r="O211" s="2" t="s">
        <v>11</v>
      </c>
      <c r="P211" s="2" t="s">
        <v>71</v>
      </c>
      <c r="Q211" s="2" t="s">
        <v>600</v>
      </c>
      <c r="R211" s="2"/>
    </row>
    <row r="212" spans="1:18">
      <c r="A212" s="2" t="s">
        <v>603</v>
      </c>
      <c r="B212" s="2" t="s">
        <v>604</v>
      </c>
      <c r="C212" s="2" t="s">
        <v>549</v>
      </c>
      <c r="D212" s="2">
        <v>10725</v>
      </c>
      <c r="E212" s="2">
        <v>1000000</v>
      </c>
      <c r="F212" s="3">
        <f>IF(COUNT(D212,E212)=2,D212*E212,NA())</f>
        <v>10725000000.0</v>
      </c>
      <c r="G212" s="2" t="s">
        <v>59</v>
      </c>
      <c r="H212" s="2" t="s">
        <v>60</v>
      </c>
      <c r="I212" s="2" t="s">
        <v>61</v>
      </c>
      <c r="J212" s="2" t="s">
        <v>62</v>
      </c>
      <c r="K212" s="2"/>
      <c r="L212" s="2" t="s">
        <v>63</v>
      </c>
      <c r="M212" s="2" t="s">
        <v>64</v>
      </c>
      <c r="N212" s="2" t="s">
        <v>65</v>
      </c>
      <c r="O212" s="2" t="s">
        <v>11</v>
      </c>
      <c r="P212" s="2"/>
      <c r="Q212" s="2" t="s">
        <v>605</v>
      </c>
      <c r="R212" s="2"/>
    </row>
    <row r="213" spans="1:18">
      <c r="A213" s="2" t="s">
        <v>606</v>
      </c>
      <c r="B213" s="2" t="s">
        <v>607</v>
      </c>
      <c r="C213" s="2" t="s">
        <v>549</v>
      </c>
      <c r="D213" s="2">
        <v>11397</v>
      </c>
      <c r="E213" s="2">
        <v>1000000</v>
      </c>
      <c r="F213" s="3">
        <f>IF(COUNT(D213,E213)=2,D213*E213,NA())</f>
        <v>11397000000.0</v>
      </c>
      <c r="G213" s="2" t="s">
        <v>59</v>
      </c>
      <c r="H213" s="2" t="s">
        <v>60</v>
      </c>
      <c r="I213" s="2" t="s">
        <v>61</v>
      </c>
      <c r="J213" s="2" t="s">
        <v>62</v>
      </c>
      <c r="K213" s="2"/>
      <c r="L213" s="2" t="s">
        <v>69</v>
      </c>
      <c r="M213" s="2" t="s">
        <v>64</v>
      </c>
      <c r="N213" s="2" t="s">
        <v>70</v>
      </c>
      <c r="O213" s="2" t="s">
        <v>11</v>
      </c>
      <c r="P213" s="2" t="s">
        <v>71</v>
      </c>
      <c r="Q213" s="2" t="s">
        <v>605</v>
      </c>
      <c r="R213" s="2"/>
    </row>
    <row r="214" spans="1:18">
      <c r="A214" s="2" t="s">
        <v>608</v>
      </c>
      <c r="B214" s="2" t="s">
        <v>609</v>
      </c>
      <c r="C214" s="2" t="s">
        <v>549</v>
      </c>
      <c r="D214" s="2">
        <v>156</v>
      </c>
      <c r="E214" s="2">
        <v>1000000</v>
      </c>
      <c r="F214" s="3">
        <f>IF(COUNT(D214,E214)=2,D214*E214,NA())</f>
        <v>156000000.0</v>
      </c>
      <c r="G214" s="2" t="s">
        <v>59</v>
      </c>
      <c r="H214" s="2" t="s">
        <v>60</v>
      </c>
      <c r="I214" s="2" t="s">
        <v>61</v>
      </c>
      <c r="J214" s="2" t="s">
        <v>62</v>
      </c>
      <c r="K214" s="2"/>
      <c r="L214" s="2" t="s">
        <v>63</v>
      </c>
      <c r="M214" s="2" t="s">
        <v>64</v>
      </c>
      <c r="N214" s="2" t="s">
        <v>65</v>
      </c>
      <c r="O214" s="2" t="s">
        <v>11</v>
      </c>
      <c r="P214" s="2"/>
      <c r="Q214" s="2" t="s">
        <v>610</v>
      </c>
      <c r="R214" s="2"/>
    </row>
    <row r="215" spans="1:18">
      <c r="A215" s="2" t="s">
        <v>611</v>
      </c>
      <c r="B215" s="2" t="s">
        <v>612</v>
      </c>
      <c r="C215" s="2" t="s">
        <v>549</v>
      </c>
      <c r="D215" s="2">
        <v>144</v>
      </c>
      <c r="E215" s="2">
        <v>1000000</v>
      </c>
      <c r="F215" s="3">
        <f>IF(COUNT(D215,E215)=2,D215*E215,NA())</f>
        <v>144000000.0</v>
      </c>
      <c r="G215" s="2" t="s">
        <v>59</v>
      </c>
      <c r="H215" s="2" t="s">
        <v>60</v>
      </c>
      <c r="I215" s="2" t="s">
        <v>61</v>
      </c>
      <c r="J215" s="2" t="s">
        <v>62</v>
      </c>
      <c r="K215" s="2"/>
      <c r="L215" s="2" t="s">
        <v>69</v>
      </c>
      <c r="M215" s="2" t="s">
        <v>64</v>
      </c>
      <c r="N215" s="2" t="s">
        <v>70</v>
      </c>
      <c r="O215" s="2" t="s">
        <v>11</v>
      </c>
      <c r="P215" s="2" t="s">
        <v>71</v>
      </c>
      <c r="Q215" s="2" t="s">
        <v>610</v>
      </c>
      <c r="R215" s="2"/>
    </row>
    <row r="216" spans="1:18">
      <c r="A216" s="2" t="s">
        <v>613</v>
      </c>
      <c r="B216" s="2" t="s">
        <v>614</v>
      </c>
      <c r="C216" s="2" t="s">
        <v>549</v>
      </c>
      <c r="D216" s="2">
        <v>355</v>
      </c>
      <c r="E216" s="2">
        <v>1000000</v>
      </c>
      <c r="F216" s="3">
        <f>IF(COUNT(D216,E216)=2,D216*E216,NA())</f>
        <v>355000000.0</v>
      </c>
      <c r="G216" s="2" t="s">
        <v>59</v>
      </c>
      <c r="H216" s="2" t="s">
        <v>60</v>
      </c>
      <c r="I216" s="2" t="s">
        <v>61</v>
      </c>
      <c r="J216" s="2" t="s">
        <v>62</v>
      </c>
      <c r="K216" s="2"/>
      <c r="L216" s="2" t="s">
        <v>63</v>
      </c>
      <c r="M216" s="2" t="s">
        <v>64</v>
      </c>
      <c r="N216" s="2" t="s">
        <v>65</v>
      </c>
      <c r="O216" s="2" t="s">
        <v>11</v>
      </c>
      <c r="P216" s="2"/>
      <c r="Q216" s="2" t="s">
        <v>615</v>
      </c>
      <c r="R216" s="2"/>
    </row>
    <row r="217" spans="1:18">
      <c r="A217" s="2" t="s">
        <v>616</v>
      </c>
      <c r="B217" s="2" t="s">
        <v>617</v>
      </c>
      <c r="C217" s="2" t="s">
        <v>549</v>
      </c>
      <c r="D217" s="2">
        <v>336</v>
      </c>
      <c r="E217" s="2">
        <v>1000000</v>
      </c>
      <c r="F217" s="3">
        <f>IF(COUNT(D217,E217)=2,D217*E217,NA())</f>
        <v>336000000.0</v>
      </c>
      <c r="G217" s="2" t="s">
        <v>59</v>
      </c>
      <c r="H217" s="2" t="s">
        <v>60</v>
      </c>
      <c r="I217" s="2" t="s">
        <v>61</v>
      </c>
      <c r="J217" s="2" t="s">
        <v>62</v>
      </c>
      <c r="K217" s="2"/>
      <c r="L217" s="2" t="s">
        <v>69</v>
      </c>
      <c r="M217" s="2" t="s">
        <v>64</v>
      </c>
      <c r="N217" s="2" t="s">
        <v>70</v>
      </c>
      <c r="O217" s="2" t="s">
        <v>11</v>
      </c>
      <c r="P217" s="2" t="s">
        <v>71</v>
      </c>
      <c r="Q217" s="2" t="s">
        <v>615</v>
      </c>
      <c r="R217" s="2"/>
    </row>
    <row r="218" spans="1:18">
      <c r="A218" s="2" t="s">
        <v>618</v>
      </c>
      <c r="B218" s="2" t="s">
        <v>619</v>
      </c>
      <c r="C218" s="2" t="s">
        <v>549</v>
      </c>
      <c r="D218" s="2">
        <v>242</v>
      </c>
      <c r="E218" s="2">
        <v>1000000</v>
      </c>
      <c r="F218" s="3">
        <f>IF(COUNT(D218,E218)=2,D218*E218,NA())</f>
        <v>242000000.0</v>
      </c>
      <c r="G218" s="2" t="s">
        <v>59</v>
      </c>
      <c r="H218" s="2" t="s">
        <v>60</v>
      </c>
      <c r="I218" s="2" t="s">
        <v>61</v>
      </c>
      <c r="J218" s="2" t="s">
        <v>62</v>
      </c>
      <c r="K218" s="2"/>
      <c r="L218" s="2" t="s">
        <v>63</v>
      </c>
      <c r="M218" s="2" t="s">
        <v>64</v>
      </c>
      <c r="N218" s="2" t="s">
        <v>65</v>
      </c>
      <c r="O218" s="2" t="s">
        <v>11</v>
      </c>
      <c r="P218" s="2"/>
      <c r="Q218" s="2" t="s">
        <v>620</v>
      </c>
      <c r="R218" s="2"/>
    </row>
    <row r="219" spans="1:18">
      <c r="A219" s="2" t="s">
        <v>621</v>
      </c>
      <c r="B219" s="2" t="s">
        <v>622</v>
      </c>
      <c r="C219" s="2" t="s">
        <v>549</v>
      </c>
      <c r="D219" s="2">
        <v>223</v>
      </c>
      <c r="E219" s="2">
        <v>1000000</v>
      </c>
      <c r="F219" s="3">
        <f>IF(COUNT(D219,E219)=2,D219*E219,NA())</f>
        <v>223000000.0</v>
      </c>
      <c r="G219" s="2" t="s">
        <v>59</v>
      </c>
      <c r="H219" s="2" t="s">
        <v>60</v>
      </c>
      <c r="I219" s="2" t="s">
        <v>61</v>
      </c>
      <c r="J219" s="2" t="s">
        <v>62</v>
      </c>
      <c r="K219" s="2"/>
      <c r="L219" s="2" t="s">
        <v>69</v>
      </c>
      <c r="M219" s="2" t="s">
        <v>64</v>
      </c>
      <c r="N219" s="2" t="s">
        <v>70</v>
      </c>
      <c r="O219" s="2" t="s">
        <v>11</v>
      </c>
      <c r="P219" s="2" t="s">
        <v>71</v>
      </c>
      <c r="Q219" s="2" t="s">
        <v>620</v>
      </c>
      <c r="R219" s="2"/>
    </row>
    <row r="220" spans="1:18">
      <c r="A220" s="2" t="s">
        <v>623</v>
      </c>
      <c r="B220" s="2" t="s">
        <v>624</v>
      </c>
      <c r="C220" s="2" t="s">
        <v>549</v>
      </c>
      <c r="D220" s="2">
        <v>9</v>
      </c>
      <c r="E220" s="2">
        <v>1000000</v>
      </c>
      <c r="F220" s="3">
        <f>IF(COUNT(D220,E220)=2,D220*E220,NA())</f>
        <v>9000000.0</v>
      </c>
      <c r="G220" s="2" t="s">
        <v>59</v>
      </c>
      <c r="H220" s="2" t="s">
        <v>60</v>
      </c>
      <c r="I220" s="2" t="s">
        <v>61</v>
      </c>
      <c r="J220" s="2" t="s">
        <v>62</v>
      </c>
      <c r="K220" s="2"/>
      <c r="L220" s="2" t="s">
        <v>63</v>
      </c>
      <c r="M220" s="2" t="s">
        <v>64</v>
      </c>
      <c r="N220" s="2" t="s">
        <v>65</v>
      </c>
      <c r="O220" s="2" t="s">
        <v>11</v>
      </c>
      <c r="P220" s="2"/>
      <c r="Q220" s="2" t="s">
        <v>625</v>
      </c>
      <c r="R220" s="2"/>
    </row>
    <row r="221" spans="1:18">
      <c r="A221" s="2" t="s">
        <v>626</v>
      </c>
      <c r="B221" s="2" t="s">
        <v>627</v>
      </c>
      <c r="C221" s="2" t="s">
        <v>549</v>
      </c>
      <c r="D221" s="2">
        <v>7</v>
      </c>
      <c r="E221" s="2">
        <v>1000000</v>
      </c>
      <c r="F221" s="3">
        <f>IF(COUNT(D221,E221)=2,D221*E221,NA())</f>
        <v>7000000.0</v>
      </c>
      <c r="G221" s="2" t="s">
        <v>59</v>
      </c>
      <c r="H221" s="2" t="s">
        <v>60</v>
      </c>
      <c r="I221" s="2" t="s">
        <v>61</v>
      </c>
      <c r="J221" s="2" t="s">
        <v>62</v>
      </c>
      <c r="K221" s="2"/>
      <c r="L221" s="2" t="s">
        <v>69</v>
      </c>
      <c r="M221" s="2" t="s">
        <v>64</v>
      </c>
      <c r="N221" s="2" t="s">
        <v>70</v>
      </c>
      <c r="O221" s="2" t="s">
        <v>11</v>
      </c>
      <c r="P221" s="2" t="s">
        <v>71</v>
      </c>
      <c r="Q221" s="2" t="s">
        <v>625</v>
      </c>
      <c r="R221" s="2"/>
    </row>
    <row r="222" spans="1:18">
      <c r="A222" s="2" t="s">
        <v>628</v>
      </c>
      <c r="B222" s="2" t="s">
        <v>629</v>
      </c>
      <c r="C222" s="2" t="s">
        <v>549</v>
      </c>
      <c r="D222" s="2">
        <v>20</v>
      </c>
      <c r="E222" s="2">
        <v>1000000</v>
      </c>
      <c r="F222" s="3">
        <f>IF(COUNT(D222,E222)=2,D222*E222,NA())</f>
        <v>20000000.0</v>
      </c>
      <c r="G222" s="2" t="s">
        <v>59</v>
      </c>
      <c r="H222" s="2" t="s">
        <v>60</v>
      </c>
      <c r="I222" s="2" t="s">
        <v>61</v>
      </c>
      <c r="J222" s="2" t="s">
        <v>62</v>
      </c>
      <c r="K222" s="2"/>
      <c r="L222" s="2" t="s">
        <v>63</v>
      </c>
      <c r="M222" s="2" t="s">
        <v>64</v>
      </c>
      <c r="N222" s="2" t="s">
        <v>65</v>
      </c>
      <c r="O222" s="2" t="s">
        <v>11</v>
      </c>
      <c r="P222" s="2"/>
      <c r="Q222" s="2" t="s">
        <v>630</v>
      </c>
      <c r="R222" s="2"/>
    </row>
    <row r="223" spans="1:18">
      <c r="A223" s="2" t="s">
        <v>631</v>
      </c>
      <c r="B223" s="2" t="s">
        <v>632</v>
      </c>
      <c r="C223" s="2" t="s">
        <v>549</v>
      </c>
      <c r="D223" s="2">
        <v>20</v>
      </c>
      <c r="E223" s="2">
        <v>1000000</v>
      </c>
      <c r="F223" s="3">
        <f>IF(COUNT(D223,E223)=2,D223*E223,NA())</f>
        <v>20000000.0</v>
      </c>
      <c r="G223" s="2" t="s">
        <v>59</v>
      </c>
      <c r="H223" s="2" t="s">
        <v>60</v>
      </c>
      <c r="I223" s="2" t="s">
        <v>61</v>
      </c>
      <c r="J223" s="2" t="s">
        <v>62</v>
      </c>
      <c r="K223" s="2"/>
      <c r="L223" s="2" t="s">
        <v>69</v>
      </c>
      <c r="M223" s="2" t="s">
        <v>64</v>
      </c>
      <c r="N223" s="2" t="s">
        <v>70</v>
      </c>
      <c r="O223" s="2" t="s">
        <v>11</v>
      </c>
      <c r="P223" s="2" t="s">
        <v>71</v>
      </c>
      <c r="Q223" s="2" t="s">
        <v>630</v>
      </c>
      <c r="R223" s="2"/>
    </row>
    <row r="224" spans="1:18">
      <c r="A224" s="2" t="s">
        <v>633</v>
      </c>
      <c r="B224" s="2" t="s">
        <v>634</v>
      </c>
      <c r="C224" s="2" t="s">
        <v>549</v>
      </c>
      <c r="D224" s="2">
        <v>168</v>
      </c>
      <c r="E224" s="2">
        <v>1000000</v>
      </c>
      <c r="F224" s="3">
        <f>IF(COUNT(D224,E224)=2,D224*E224,NA())</f>
        <v>168000000.0</v>
      </c>
      <c r="G224" s="2" t="s">
        <v>59</v>
      </c>
      <c r="H224" s="2" t="s">
        <v>60</v>
      </c>
      <c r="I224" s="2" t="s">
        <v>61</v>
      </c>
      <c r="J224" s="2" t="s">
        <v>62</v>
      </c>
      <c r="K224" s="2"/>
      <c r="L224" s="2" t="s">
        <v>63</v>
      </c>
      <c r="M224" s="2" t="s">
        <v>64</v>
      </c>
      <c r="N224" s="2" t="s">
        <v>65</v>
      </c>
      <c r="O224" s="2" t="s">
        <v>11</v>
      </c>
      <c r="P224" s="2"/>
      <c r="Q224" s="2" t="s">
        <v>635</v>
      </c>
      <c r="R224" s="2"/>
    </row>
    <row r="225" spans="1:18">
      <c r="A225" s="2" t="s">
        <v>636</v>
      </c>
      <c r="B225" s="2" t="s">
        <v>637</v>
      </c>
      <c r="C225" s="2" t="s">
        <v>549</v>
      </c>
      <c r="D225" s="2">
        <v>173</v>
      </c>
      <c r="E225" s="2">
        <v>1000000</v>
      </c>
      <c r="F225" s="3">
        <f>IF(COUNT(D225,E225)=2,D225*E225,NA())</f>
        <v>173000000.0</v>
      </c>
      <c r="G225" s="2" t="s">
        <v>59</v>
      </c>
      <c r="H225" s="2" t="s">
        <v>60</v>
      </c>
      <c r="I225" s="2" t="s">
        <v>61</v>
      </c>
      <c r="J225" s="2" t="s">
        <v>62</v>
      </c>
      <c r="K225" s="2"/>
      <c r="L225" s="2" t="s">
        <v>69</v>
      </c>
      <c r="M225" s="2" t="s">
        <v>64</v>
      </c>
      <c r="N225" s="2" t="s">
        <v>70</v>
      </c>
      <c r="O225" s="2" t="s">
        <v>11</v>
      </c>
      <c r="P225" s="2" t="s">
        <v>71</v>
      </c>
      <c r="Q225" s="2" t="s">
        <v>635</v>
      </c>
      <c r="R225" s="2"/>
    </row>
    <row r="226" spans="1:18">
      <c r="A226" s="2" t="s">
        <v>638</v>
      </c>
      <c r="B226" s="2" t="s">
        <v>639</v>
      </c>
      <c r="C226" s="2" t="s">
        <v>549</v>
      </c>
      <c r="D226" s="2">
        <v>1364</v>
      </c>
      <c r="E226" s="2">
        <v>1000000</v>
      </c>
      <c r="F226" s="3">
        <f>IF(COUNT(D226,E226)=2,D226*E226,NA())</f>
        <v>1364000000.0</v>
      </c>
      <c r="G226" s="2" t="s">
        <v>59</v>
      </c>
      <c r="H226" s="2" t="s">
        <v>60</v>
      </c>
      <c r="I226" s="2" t="s">
        <v>61</v>
      </c>
      <c r="J226" s="2" t="s">
        <v>62</v>
      </c>
      <c r="K226" s="2"/>
      <c r="L226" s="2" t="s">
        <v>63</v>
      </c>
      <c r="M226" s="2" t="s">
        <v>64</v>
      </c>
      <c r="N226" s="2" t="s">
        <v>65</v>
      </c>
      <c r="O226" s="2" t="s">
        <v>11</v>
      </c>
      <c r="P226" s="2"/>
      <c r="Q226" s="2" t="s">
        <v>640</v>
      </c>
      <c r="R226" s="2"/>
    </row>
    <row r="227" spans="1:18">
      <c r="A227" s="2" t="s">
        <v>641</v>
      </c>
      <c r="B227" s="2" t="s">
        <v>642</v>
      </c>
      <c r="C227" s="2" t="s">
        <v>549</v>
      </c>
      <c r="D227" s="2">
        <v>1341</v>
      </c>
      <c r="E227" s="2">
        <v>1000000</v>
      </c>
      <c r="F227" s="3">
        <f>IF(COUNT(D227,E227)=2,D227*E227,NA())</f>
        <v>1341000000.0</v>
      </c>
      <c r="G227" s="2" t="s">
        <v>59</v>
      </c>
      <c r="H227" s="2" t="s">
        <v>60</v>
      </c>
      <c r="I227" s="2" t="s">
        <v>61</v>
      </c>
      <c r="J227" s="2" t="s">
        <v>62</v>
      </c>
      <c r="K227" s="2"/>
      <c r="L227" s="2" t="s">
        <v>69</v>
      </c>
      <c r="M227" s="2" t="s">
        <v>64</v>
      </c>
      <c r="N227" s="2" t="s">
        <v>70</v>
      </c>
      <c r="O227" s="2" t="s">
        <v>11</v>
      </c>
      <c r="P227" s="2" t="s">
        <v>71</v>
      </c>
      <c r="Q227" s="2" t="s">
        <v>640</v>
      </c>
      <c r="R227" s="2"/>
    </row>
    <row r="228" spans="1:18">
      <c r="A228" s="2" t="s">
        <v>643</v>
      </c>
      <c r="B228" s="2" t="s">
        <v>644</v>
      </c>
      <c r="C228" s="2" t="s">
        <v>549</v>
      </c>
      <c r="D228" s="2">
        <v>2314</v>
      </c>
      <c r="E228" s="2">
        <v>1000000</v>
      </c>
      <c r="F228" s="3">
        <f>IF(COUNT(D228,E228)=2,D228*E228,NA())</f>
        <v>2314000000.0</v>
      </c>
      <c r="G228" s="2" t="s">
        <v>59</v>
      </c>
      <c r="H228" s="2" t="s">
        <v>60</v>
      </c>
      <c r="I228" s="2" t="s">
        <v>61</v>
      </c>
      <c r="J228" s="2" t="s">
        <v>62</v>
      </c>
      <c r="K228" s="2"/>
      <c r="L228" s="2" t="s">
        <v>63</v>
      </c>
      <c r="M228" s="2" t="s">
        <v>64</v>
      </c>
      <c r="N228" s="2" t="s">
        <v>65</v>
      </c>
      <c r="O228" s="2" t="s">
        <v>11</v>
      </c>
      <c r="P228" s="2"/>
      <c r="Q228" s="2" t="s">
        <v>645</v>
      </c>
      <c r="R228" s="2"/>
    </row>
    <row r="229" spans="1:18">
      <c r="A229" s="2" t="s">
        <v>646</v>
      </c>
      <c r="B229" s="2" t="s">
        <v>647</v>
      </c>
      <c r="C229" s="2" t="s">
        <v>549</v>
      </c>
      <c r="D229" s="2">
        <v>2244</v>
      </c>
      <c r="E229" s="2">
        <v>1000000</v>
      </c>
      <c r="F229" s="3">
        <f>IF(COUNT(D229,E229)=2,D229*E229,NA())</f>
        <v>2244000000.0</v>
      </c>
      <c r="G229" s="2" t="s">
        <v>59</v>
      </c>
      <c r="H229" s="2" t="s">
        <v>60</v>
      </c>
      <c r="I229" s="2" t="s">
        <v>61</v>
      </c>
      <c r="J229" s="2" t="s">
        <v>62</v>
      </c>
      <c r="K229" s="2"/>
      <c r="L229" s="2" t="s">
        <v>69</v>
      </c>
      <c r="M229" s="2" t="s">
        <v>64</v>
      </c>
      <c r="N229" s="2" t="s">
        <v>70</v>
      </c>
      <c r="O229" s="2" t="s">
        <v>11</v>
      </c>
      <c r="P229" s="2" t="s">
        <v>71</v>
      </c>
      <c r="Q229" s="2" t="s">
        <v>645</v>
      </c>
      <c r="R229" s="2"/>
    </row>
    <row r="230" spans="1:18">
      <c r="A230" s="2" t="s">
        <v>648</v>
      </c>
      <c r="B230" s="2" t="s">
        <v>649</v>
      </c>
      <c r="C230" s="2" t="s">
        <v>549</v>
      </c>
      <c r="D230" s="2">
        <v>68</v>
      </c>
      <c r="E230" s="2">
        <v>1000000</v>
      </c>
      <c r="F230" s="3">
        <f>IF(COUNT(D230,E230)=2,D230*E230,NA())</f>
        <v>68000000.0</v>
      </c>
      <c r="G230" s="2" t="s">
        <v>59</v>
      </c>
      <c r="H230" s="2" t="s">
        <v>60</v>
      </c>
      <c r="I230" s="2" t="s">
        <v>61</v>
      </c>
      <c r="J230" s="2" t="s">
        <v>62</v>
      </c>
      <c r="K230" s="2" t="s">
        <v>245</v>
      </c>
      <c r="L230" s="2" t="s">
        <v>63</v>
      </c>
      <c r="M230" s="2" t="s">
        <v>246</v>
      </c>
      <c r="N230" s="2" t="s">
        <v>65</v>
      </c>
      <c r="O230" s="2" t="s">
        <v>11</v>
      </c>
      <c r="P230" s="2" t="s">
        <v>650</v>
      </c>
      <c r="Q230" s="2" t="s">
        <v>651</v>
      </c>
      <c r="R230" s="2"/>
    </row>
    <row r="231" spans="1:18">
      <c r="A231" s="2" t="s">
        <v>652</v>
      </c>
      <c r="B231" s="2" t="s">
        <v>653</v>
      </c>
      <c r="C231" s="2" t="s">
        <v>549</v>
      </c>
      <c r="D231" s="2">
        <v>0</v>
      </c>
      <c r="E231" s="2">
        <v>1000000</v>
      </c>
      <c r="F231" s="3">
        <f>IF(COUNT(D231,E231)=2,D231*E231,NA())</f>
        <v>0.0</v>
      </c>
      <c r="G231" s="2" t="s">
        <v>59</v>
      </c>
      <c r="H231" s="2" t="s">
        <v>60</v>
      </c>
      <c r="I231" s="2" t="s">
        <v>61</v>
      </c>
      <c r="J231" s="2" t="s">
        <v>62</v>
      </c>
      <c r="K231" s="2" t="s">
        <v>245</v>
      </c>
      <c r="L231" s="2" t="s">
        <v>63</v>
      </c>
      <c r="M231" s="2" t="s">
        <v>246</v>
      </c>
      <c r="N231" s="2" t="s">
        <v>65</v>
      </c>
      <c r="O231" s="2" t="s">
        <v>11</v>
      </c>
      <c r="P231" s="2"/>
      <c r="Q231" s="2" t="s">
        <v>654</v>
      </c>
      <c r="R231" s="2"/>
    </row>
    <row r="232" spans="1:18">
      <c r="A232" s="2" t="s">
        <v>655</v>
      </c>
      <c r="B232" s="2" t="s">
        <v>656</v>
      </c>
      <c r="C232" s="2" t="s">
        <v>657</v>
      </c>
      <c r="D232" s="2">
        <v>10085</v>
      </c>
      <c r="E232" s="2">
        <v>1000000</v>
      </c>
      <c r="F232" s="3">
        <f>IF(COUNT(D232,E232)=2,D232*E232,NA())</f>
        <v>10085000000.0</v>
      </c>
      <c r="G232" s="2" t="s">
        <v>59</v>
      </c>
      <c r="H232" s="2" t="s">
        <v>60</v>
      </c>
      <c r="I232" s="2" t="s">
        <v>61</v>
      </c>
      <c r="J232" s="2" t="s">
        <v>62</v>
      </c>
      <c r="K232" s="2"/>
      <c r="L232" s="2" t="s">
        <v>524</v>
      </c>
      <c r="M232" s="2" t="s">
        <v>64</v>
      </c>
      <c r="N232" s="2" t="s">
        <v>65</v>
      </c>
      <c r="O232" s="2" t="s">
        <v>11</v>
      </c>
      <c r="P232" s="2"/>
      <c r="Q232" s="2" t="s">
        <v>658</v>
      </c>
      <c r="R232" s="2"/>
    </row>
    <row r="233" spans="1:18">
      <c r="A233" s="2" t="s">
        <v>659</v>
      </c>
      <c r="B233" s="2" t="s">
        <v>660</v>
      </c>
      <c r="C233" s="2" t="s">
        <v>657</v>
      </c>
      <c r="D233" s="2">
        <v>5127</v>
      </c>
      <c r="E233" s="2">
        <v>1000000</v>
      </c>
      <c r="F233" s="3">
        <f>IF(COUNT(D233,E233)=2,D233*E233,NA())</f>
        <v>5127000000.0</v>
      </c>
      <c r="G233" s="2" t="s">
        <v>59</v>
      </c>
      <c r="H233" s="2" t="s">
        <v>60</v>
      </c>
      <c r="I233" s="2" t="s">
        <v>61</v>
      </c>
      <c r="J233" s="2" t="s">
        <v>62</v>
      </c>
      <c r="K233" s="2"/>
      <c r="L233" s="2" t="s">
        <v>69</v>
      </c>
      <c r="M233" s="2" t="s">
        <v>64</v>
      </c>
      <c r="N233" s="2" t="s">
        <v>65</v>
      </c>
      <c r="O233" s="2" t="s">
        <v>11</v>
      </c>
      <c r="P233" s="2"/>
      <c r="Q233" s="2" t="s">
        <v>659</v>
      </c>
      <c r="R233" s="2"/>
    </row>
    <row r="234" spans="1:18">
      <c r="A234" s="2" t="s">
        <v>661</v>
      </c>
      <c r="B234" s="2" t="s">
        <v>662</v>
      </c>
      <c r="C234" s="2" t="s">
        <v>663</v>
      </c>
      <c r="D234" s="2">
        <v>6568</v>
      </c>
      <c r="E234" s="2">
        <v>1000000</v>
      </c>
      <c r="F234" s="3">
        <f>IF(COUNT(D234,E234)=2,D234*E234,NA())</f>
        <v>6568000000.0</v>
      </c>
      <c r="G234" s="2" t="s">
        <v>59</v>
      </c>
      <c r="H234" s="2" t="s">
        <v>60</v>
      </c>
      <c r="I234" s="2" t="s">
        <v>61</v>
      </c>
      <c r="J234" s="2" t="s">
        <v>62</v>
      </c>
      <c r="K234" s="2" t="s">
        <v>250</v>
      </c>
      <c r="L234" s="2" t="s">
        <v>69</v>
      </c>
      <c r="M234" s="2" t="s">
        <v>246</v>
      </c>
      <c r="N234" s="2" t="s">
        <v>65</v>
      </c>
      <c r="O234" s="2" t="s">
        <v>11</v>
      </c>
      <c r="P234" s="2"/>
      <c r="Q234" s="2" t="s">
        <v>664</v>
      </c>
      <c r="R234" s="2"/>
    </row>
    <row r="235" spans="1:18">
      <c r="A235" s="2" t="s">
        <v>665</v>
      </c>
      <c r="B235" s="2" t="s">
        <v>666</v>
      </c>
      <c r="C235" s="2" t="s">
        <v>663</v>
      </c>
      <c r="D235" s="2">
        <v>-3879</v>
      </c>
      <c r="E235" s="2">
        <v>1000000</v>
      </c>
      <c r="F235" s="3">
        <f>IF(COUNT(D235,E235)=2,D235*E235,NA())</f>
        <v>-3879000000.0</v>
      </c>
      <c r="G235" s="2" t="s">
        <v>59</v>
      </c>
      <c r="H235" s="2" t="s">
        <v>60</v>
      </c>
      <c r="I235" s="2" t="s">
        <v>61</v>
      </c>
      <c r="J235" s="2" t="s">
        <v>62</v>
      </c>
      <c r="K235" s="2" t="s">
        <v>250</v>
      </c>
      <c r="L235" s="2" t="s">
        <v>69</v>
      </c>
      <c r="M235" s="2" t="s">
        <v>246</v>
      </c>
      <c r="N235" s="2" t="s">
        <v>65</v>
      </c>
      <c r="O235" s="2" t="s">
        <v>11</v>
      </c>
      <c r="P235" s="2"/>
      <c r="Q235" s="2" t="s">
        <v>667</v>
      </c>
      <c r="R235" s="2"/>
    </row>
    <row r="236" spans="1:18">
      <c r="A236" s="2" t="s">
        <v>668</v>
      </c>
      <c r="B236" s="2" t="s">
        <v>669</v>
      </c>
      <c r="C236" s="2" t="s">
        <v>663</v>
      </c>
      <c r="D236" s="2">
        <v>-24</v>
      </c>
      <c r="E236" s="2">
        <v>1000000</v>
      </c>
      <c r="F236" s="3">
        <f>IF(COUNT(D236,E236)=2,D236*E236,NA())</f>
        <v>-24000000.0</v>
      </c>
      <c r="G236" s="2" t="s">
        <v>59</v>
      </c>
      <c r="H236" s="2" t="s">
        <v>60</v>
      </c>
      <c r="I236" s="2" t="s">
        <v>61</v>
      </c>
      <c r="J236" s="2" t="s">
        <v>62</v>
      </c>
      <c r="K236" s="2" t="s">
        <v>250</v>
      </c>
      <c r="L236" s="2" t="s">
        <v>69</v>
      </c>
      <c r="M236" s="2" t="s">
        <v>246</v>
      </c>
      <c r="N236" s="2" t="s">
        <v>65</v>
      </c>
      <c r="O236" s="2" t="s">
        <v>11</v>
      </c>
      <c r="P236" s="2"/>
      <c r="Q236" s="2" t="s">
        <v>670</v>
      </c>
      <c r="R236" s="2"/>
    </row>
    <row r="237" spans="1:18">
      <c r="A237" s="2" t="s">
        <v>671</v>
      </c>
      <c r="B237" s="2" t="s">
        <v>672</v>
      </c>
      <c r="C237" s="2" t="s">
        <v>663</v>
      </c>
      <c r="D237" s="2">
        <v>-3903</v>
      </c>
      <c r="E237" s="2">
        <v>1000000</v>
      </c>
      <c r="F237" s="3">
        <f>IF(COUNT(D237,E237)=2,D237*E237,NA())</f>
        <v>-3903000000.0</v>
      </c>
      <c r="G237" s="2" t="s">
        <v>59</v>
      </c>
      <c r="H237" s="2" t="s">
        <v>60</v>
      </c>
      <c r="I237" s="2" t="s">
        <v>61</v>
      </c>
      <c r="J237" s="2" t="s">
        <v>62</v>
      </c>
      <c r="K237" s="2" t="s">
        <v>250</v>
      </c>
      <c r="L237" s="2" t="s">
        <v>69</v>
      </c>
      <c r="M237" s="2" t="s">
        <v>246</v>
      </c>
      <c r="N237" s="2" t="s">
        <v>65</v>
      </c>
      <c r="O237" s="2" t="s">
        <v>11</v>
      </c>
      <c r="P237" s="2"/>
      <c r="Q237" s="2" t="s">
        <v>673</v>
      </c>
      <c r="R237" s="2"/>
    </row>
    <row r="238" spans="1:18">
      <c r="A238" s="2" t="s">
        <v>674</v>
      </c>
      <c r="B238" s="2" t="s">
        <v>675</v>
      </c>
      <c r="C238" s="2" t="s">
        <v>676</v>
      </c>
      <c r="D238" s="2">
        <v>148</v>
      </c>
      <c r="E238" s="2">
        <v>1000000</v>
      </c>
      <c r="F238" s="3">
        <f>IF(COUNT(D238,E238)=2,D238*E238,NA())</f>
        <v>148000000.0</v>
      </c>
      <c r="G238" s="2" t="s">
        <v>59</v>
      </c>
      <c r="H238" s="2" t="s">
        <v>60</v>
      </c>
      <c r="I238" s="2" t="s">
        <v>61</v>
      </c>
      <c r="J238" s="2" t="s">
        <v>62</v>
      </c>
      <c r="K238" s="2" t="s">
        <v>250</v>
      </c>
      <c r="L238" s="2" t="s">
        <v>69</v>
      </c>
      <c r="M238" s="2" t="s">
        <v>246</v>
      </c>
      <c r="N238" s="2" t="s">
        <v>65</v>
      </c>
      <c r="O238" s="2" t="s">
        <v>11</v>
      </c>
      <c r="P238" s="2"/>
      <c r="Q238" s="2" t="s">
        <v>677</v>
      </c>
      <c r="R238" s="2"/>
    </row>
    <row r="239" spans="1:18">
      <c r="A239" s="2" t="s">
        <v>678</v>
      </c>
      <c r="B239" s="2" t="s">
        <v>679</v>
      </c>
      <c r="C239" s="2" t="s">
        <v>676</v>
      </c>
      <c r="D239" s="2">
        <v>106</v>
      </c>
      <c r="E239" s="2">
        <v>1000000</v>
      </c>
      <c r="F239" s="3">
        <f>IF(COUNT(D239,E239)=2,D239*E239,NA())</f>
        <v>106000000.0</v>
      </c>
      <c r="G239" s="2" t="s">
        <v>59</v>
      </c>
      <c r="H239" s="2" t="s">
        <v>60</v>
      </c>
      <c r="I239" s="2" t="s">
        <v>61</v>
      </c>
      <c r="J239" s="2" t="s">
        <v>62</v>
      </c>
      <c r="K239" s="2" t="s">
        <v>250</v>
      </c>
      <c r="L239" s="2" t="s">
        <v>69</v>
      </c>
      <c r="M239" s="2" t="s">
        <v>246</v>
      </c>
      <c r="N239" s="2" t="s">
        <v>65</v>
      </c>
      <c r="O239" s="2" t="s">
        <v>11</v>
      </c>
      <c r="P239" s="2"/>
      <c r="Q239" s="2" t="s">
        <v>680</v>
      </c>
      <c r="R239" s="2"/>
    </row>
    <row r="240" spans="1:18">
      <c r="A240" s="2" t="s">
        <v>681</v>
      </c>
      <c r="B240" s="2" t="s">
        <v>682</v>
      </c>
      <c r="C240" s="2" t="s">
        <v>683</v>
      </c>
      <c r="D240" s="2">
        <v>-235</v>
      </c>
      <c r="E240" s="2">
        <v>1000000</v>
      </c>
      <c r="F240" s="3">
        <f>IF(COUNT(D240,E240)=2,D240*E240,NA())</f>
        <v>-235000000.0</v>
      </c>
      <c r="G240" s="2" t="s">
        <v>59</v>
      </c>
      <c r="H240" s="2" t="s">
        <v>60</v>
      </c>
      <c r="I240" s="2" t="s">
        <v>61</v>
      </c>
      <c r="J240" s="2" t="s">
        <v>62</v>
      </c>
      <c r="K240" s="2" t="s">
        <v>245</v>
      </c>
      <c r="L240" s="2" t="s">
        <v>63</v>
      </c>
      <c r="M240" s="2" t="s">
        <v>246</v>
      </c>
      <c r="N240" s="2" t="s">
        <v>65</v>
      </c>
      <c r="O240" s="2" t="s">
        <v>11</v>
      </c>
      <c r="P240" s="2"/>
      <c r="Q240" s="2" t="s">
        <v>684</v>
      </c>
      <c r="R240" s="2"/>
    </row>
    <row r="241" spans="1:18">
      <c r="A241" s="2" t="s">
        <v>685</v>
      </c>
      <c r="B241" s="2" t="s">
        <v>686</v>
      </c>
      <c r="C241" s="2" t="s">
        <v>683</v>
      </c>
      <c r="D241" s="2">
        <v>-248</v>
      </c>
      <c r="E241" s="2">
        <v>1000000</v>
      </c>
      <c r="F241" s="3">
        <f>IF(COUNT(D241,E241)=2,D241*E241,NA())</f>
        <v>-248000000.0</v>
      </c>
      <c r="G241" s="2" t="s">
        <v>59</v>
      </c>
      <c r="H241" s="2" t="s">
        <v>60</v>
      </c>
      <c r="I241" s="2" t="s">
        <v>61</v>
      </c>
      <c r="J241" s="2" t="s">
        <v>62</v>
      </c>
      <c r="K241" s="2" t="s">
        <v>250</v>
      </c>
      <c r="L241" s="2" t="s">
        <v>69</v>
      </c>
      <c r="M241" s="2" t="s">
        <v>246</v>
      </c>
      <c r="N241" s="2" t="s">
        <v>70</v>
      </c>
      <c r="O241" s="2" t="s">
        <v>11</v>
      </c>
      <c r="P241" s="2" t="s">
        <v>71</v>
      </c>
      <c r="Q241" s="2" t="s">
        <v>684</v>
      </c>
      <c r="R241" s="2"/>
    </row>
    <row r="242" spans="1:18">
      <c r="A242" s="2" t="s">
        <v>687</v>
      </c>
      <c r="B242" s="2" t="s">
        <v>688</v>
      </c>
      <c r="C242" s="2" t="s">
        <v>683</v>
      </c>
      <c r="D242" s="2">
        <v>232</v>
      </c>
      <c r="E242" s="2">
        <v>1000000</v>
      </c>
      <c r="F242" s="3">
        <f>IF(COUNT(D242,E242)=2,D242*E242,NA())</f>
        <v>232000000.0</v>
      </c>
      <c r="G242" s="2" t="s">
        <v>59</v>
      </c>
      <c r="H242" s="2" t="s">
        <v>60</v>
      </c>
      <c r="I242" s="2" t="s">
        <v>61</v>
      </c>
      <c r="J242" s="2" t="s">
        <v>62</v>
      </c>
      <c r="K242" s="2" t="s">
        <v>245</v>
      </c>
      <c r="L242" s="2" t="s">
        <v>63</v>
      </c>
      <c r="M242" s="2" t="s">
        <v>246</v>
      </c>
      <c r="N242" s="2" t="s">
        <v>65</v>
      </c>
      <c r="O242" s="2" t="s">
        <v>11</v>
      </c>
      <c r="P242" s="2"/>
      <c r="Q242" s="2" t="s">
        <v>689</v>
      </c>
      <c r="R242" s="2"/>
    </row>
    <row r="243" spans="1:18">
      <c r="A243" s="2" t="s">
        <v>690</v>
      </c>
      <c r="B243" s="2" t="s">
        <v>691</v>
      </c>
      <c r="C243" s="2" t="s">
        <v>683</v>
      </c>
      <c r="D243" s="2">
        <v>246</v>
      </c>
      <c r="E243" s="2">
        <v>1000000</v>
      </c>
      <c r="F243" s="3">
        <f>IF(COUNT(D243,E243)=2,D243*E243,NA())</f>
        <v>246000000.0</v>
      </c>
      <c r="G243" s="2" t="s">
        <v>59</v>
      </c>
      <c r="H243" s="2" t="s">
        <v>60</v>
      </c>
      <c r="I243" s="2" t="s">
        <v>61</v>
      </c>
      <c r="J243" s="2" t="s">
        <v>62</v>
      </c>
      <c r="K243" s="2" t="s">
        <v>250</v>
      </c>
      <c r="L243" s="2" t="s">
        <v>69</v>
      </c>
      <c r="M243" s="2" t="s">
        <v>246</v>
      </c>
      <c r="N243" s="2" t="s">
        <v>70</v>
      </c>
      <c r="O243" s="2" t="s">
        <v>11</v>
      </c>
      <c r="P243" s="2" t="s">
        <v>71</v>
      </c>
      <c r="Q243" s="2" t="s">
        <v>689</v>
      </c>
      <c r="R243" s="2"/>
    </row>
    <row r="244" spans="1:18">
      <c r="A244" s="2" t="s">
        <v>692</v>
      </c>
      <c r="B244" s="2" t="s">
        <v>693</v>
      </c>
      <c r="C244" s="2" t="s">
        <v>683</v>
      </c>
      <c r="D244" s="2">
        <v>0</v>
      </c>
      <c r="E244" s="2">
        <v>1000000</v>
      </c>
      <c r="F244" s="3">
        <f>IF(COUNT(D244,E244)=2,D244*E244,NA())</f>
        <v>0.0</v>
      </c>
      <c r="G244" s="2" t="s">
        <v>59</v>
      </c>
      <c r="H244" s="2" t="s">
        <v>60</v>
      </c>
      <c r="I244" s="2" t="s">
        <v>61</v>
      </c>
      <c r="J244" s="2" t="s">
        <v>62</v>
      </c>
      <c r="K244" s="2" t="s">
        <v>245</v>
      </c>
      <c r="L244" s="2" t="s">
        <v>63</v>
      </c>
      <c r="M244" s="2" t="s">
        <v>246</v>
      </c>
      <c r="N244" s="2" t="s">
        <v>65</v>
      </c>
      <c r="O244" s="2" t="s">
        <v>11</v>
      </c>
      <c r="P244" s="2"/>
      <c r="Q244" s="2" t="s">
        <v>694</v>
      </c>
      <c r="R244" s="2"/>
    </row>
    <row r="245" spans="1:18">
      <c r="A245" s="2" t="s">
        <v>695</v>
      </c>
      <c r="B245" s="2" t="s">
        <v>696</v>
      </c>
      <c r="C245" s="2" t="s">
        <v>683</v>
      </c>
      <c r="D245" s="2">
        <v>-1</v>
      </c>
      <c r="E245" s="2">
        <v>1000000</v>
      </c>
      <c r="F245" s="3">
        <f>IF(COUNT(D245,E245)=2,D245*E245,NA())</f>
        <v>-1000000.0</v>
      </c>
      <c r="G245" s="2" t="s">
        <v>59</v>
      </c>
      <c r="H245" s="2" t="s">
        <v>60</v>
      </c>
      <c r="I245" s="2" t="s">
        <v>61</v>
      </c>
      <c r="J245" s="2" t="s">
        <v>62</v>
      </c>
      <c r="K245" s="2" t="s">
        <v>250</v>
      </c>
      <c r="L245" s="2" t="s">
        <v>69</v>
      </c>
      <c r="M245" s="2" t="s">
        <v>246</v>
      </c>
      <c r="N245" s="2" t="s">
        <v>70</v>
      </c>
      <c r="O245" s="2" t="s">
        <v>11</v>
      </c>
      <c r="P245" s="2" t="s">
        <v>71</v>
      </c>
      <c r="Q245" s="2" t="s">
        <v>694</v>
      </c>
      <c r="R245" s="2"/>
    </row>
    <row r="246" spans="1:18">
      <c r="A246" s="2" t="s">
        <v>697</v>
      </c>
      <c r="B246" s="2" t="s">
        <v>698</v>
      </c>
      <c r="C246" s="2" t="s">
        <v>683</v>
      </c>
      <c r="D246" s="2">
        <v>-3</v>
      </c>
      <c r="E246" s="2">
        <v>1000000</v>
      </c>
      <c r="F246" s="3">
        <f>IF(COUNT(D246,E246)=2,D246*E246,NA())</f>
        <v>-3000000.0</v>
      </c>
      <c r="G246" s="2" t="s">
        <v>59</v>
      </c>
      <c r="H246" s="2" t="s">
        <v>60</v>
      </c>
      <c r="I246" s="2" t="s">
        <v>61</v>
      </c>
      <c r="J246" s="2" t="s">
        <v>62</v>
      </c>
      <c r="K246" s="2" t="s">
        <v>245</v>
      </c>
      <c r="L246" s="2" t="s">
        <v>63</v>
      </c>
      <c r="M246" s="2" t="s">
        <v>246</v>
      </c>
      <c r="N246" s="2" t="s">
        <v>65</v>
      </c>
      <c r="O246" s="2" t="s">
        <v>11</v>
      </c>
      <c r="P246" s="2"/>
      <c r="Q246" s="2" t="s">
        <v>699</v>
      </c>
      <c r="R246" s="2"/>
    </row>
    <row r="247" spans="1:18">
      <c r="A247" s="2" t="s">
        <v>700</v>
      </c>
      <c r="B247" s="2" t="s">
        <v>701</v>
      </c>
      <c r="C247" s="2" t="s">
        <v>683</v>
      </c>
      <c r="D247" s="2">
        <v>-4</v>
      </c>
      <c r="E247" s="2">
        <v>1000000</v>
      </c>
      <c r="F247" s="3">
        <f>IF(COUNT(D247,E247)=2,D247*E247,NA())</f>
        <v>-4000000.0</v>
      </c>
      <c r="G247" s="2" t="s">
        <v>59</v>
      </c>
      <c r="H247" s="2" t="s">
        <v>60</v>
      </c>
      <c r="I247" s="2" t="s">
        <v>61</v>
      </c>
      <c r="J247" s="2" t="s">
        <v>62</v>
      </c>
      <c r="K247" s="2" t="s">
        <v>250</v>
      </c>
      <c r="L247" s="2" t="s">
        <v>69</v>
      </c>
      <c r="M247" s="2" t="s">
        <v>246</v>
      </c>
      <c r="N247" s="2" t="s">
        <v>70</v>
      </c>
      <c r="O247" s="2" t="s">
        <v>11</v>
      </c>
      <c r="P247" s="2" t="s">
        <v>71</v>
      </c>
      <c r="Q247" s="2" t="s">
        <v>699</v>
      </c>
      <c r="R247" s="2"/>
    </row>
    <row r="248" spans="1:18">
      <c r="A248" s="2" t="s">
        <v>702</v>
      </c>
      <c r="B248" s="2" t="s">
        <v>703</v>
      </c>
      <c r="C248" s="2" t="s">
        <v>683</v>
      </c>
      <c r="D248" s="2">
        <v>-10</v>
      </c>
      <c r="E248" s="2">
        <v>1000000</v>
      </c>
      <c r="F248" s="3">
        <f>IF(COUNT(D248,E248)=2,D248*E248,NA())</f>
        <v>-10000000.0</v>
      </c>
      <c r="G248" s="2" t="s">
        <v>59</v>
      </c>
      <c r="H248" s="2" t="s">
        <v>60</v>
      </c>
      <c r="I248" s="2" t="s">
        <v>61</v>
      </c>
      <c r="J248" s="2" t="s">
        <v>62</v>
      </c>
      <c r="K248" s="2" t="s">
        <v>245</v>
      </c>
      <c r="L248" s="2" t="s">
        <v>63</v>
      </c>
      <c r="M248" s="2" t="s">
        <v>246</v>
      </c>
      <c r="N248" s="2" t="s">
        <v>65</v>
      </c>
      <c r="O248" s="2" t="s">
        <v>11</v>
      </c>
      <c r="P248" s="2"/>
      <c r="Q248" s="2" t="s">
        <v>704</v>
      </c>
      <c r="R248" s="2"/>
    </row>
    <row r="249" spans="1:18">
      <c r="A249" s="2" t="s">
        <v>705</v>
      </c>
      <c r="B249" s="2" t="s">
        <v>706</v>
      </c>
      <c r="C249" s="2" t="s">
        <v>683</v>
      </c>
      <c r="D249" s="2">
        <v>-11</v>
      </c>
      <c r="E249" s="2">
        <v>1000000</v>
      </c>
      <c r="F249" s="3">
        <f>IF(COUNT(D249,E249)=2,D249*E249,NA())</f>
        <v>-11000000.0</v>
      </c>
      <c r="G249" s="2" t="s">
        <v>59</v>
      </c>
      <c r="H249" s="2" t="s">
        <v>60</v>
      </c>
      <c r="I249" s="2" t="s">
        <v>61</v>
      </c>
      <c r="J249" s="2" t="s">
        <v>62</v>
      </c>
      <c r="K249" s="2" t="s">
        <v>250</v>
      </c>
      <c r="L249" s="2" t="s">
        <v>69</v>
      </c>
      <c r="M249" s="2" t="s">
        <v>246</v>
      </c>
      <c r="N249" s="2" t="s">
        <v>70</v>
      </c>
      <c r="O249" s="2" t="s">
        <v>11</v>
      </c>
      <c r="P249" s="2" t="s">
        <v>71</v>
      </c>
      <c r="Q249" s="2" t="s">
        <v>704</v>
      </c>
      <c r="R249" s="2"/>
    </row>
    <row r="250" spans="1:18">
      <c r="A250" s="2" t="s">
        <v>707</v>
      </c>
      <c r="B250" s="2" t="s">
        <v>708</v>
      </c>
      <c r="C250" s="2" t="s">
        <v>709</v>
      </c>
      <c r="D250" s="2">
        <v>5</v>
      </c>
      <c r="E250" s="2">
        <v>1000000</v>
      </c>
      <c r="F250" s="3">
        <f>IF(COUNT(D250,E250)=2,D250*E250,NA())</f>
        <v>5000000.0</v>
      </c>
      <c r="G250" s="2" t="s">
        <v>59</v>
      </c>
      <c r="H250" s="2" t="s">
        <v>60</v>
      </c>
      <c r="I250" s="2" t="s">
        <v>61</v>
      </c>
      <c r="J250" s="2" t="s">
        <v>62</v>
      </c>
      <c r="K250" s="2"/>
      <c r="L250" s="2" t="s">
        <v>63</v>
      </c>
      <c r="M250" s="2" t="s">
        <v>64</v>
      </c>
      <c r="N250" s="2" t="s">
        <v>65</v>
      </c>
      <c r="O250" s="2" t="s">
        <v>11</v>
      </c>
      <c r="P250" s="2"/>
      <c r="Q250" s="2" t="s">
        <v>710</v>
      </c>
      <c r="R250" s="2"/>
    </row>
    <row r="251" spans="1:18">
      <c r="A251" s="2" t="s">
        <v>711</v>
      </c>
      <c r="B251" s="2" t="s">
        <v>712</v>
      </c>
      <c r="C251" s="2" t="s">
        <v>709</v>
      </c>
      <c r="D251" s="2">
        <v>5</v>
      </c>
      <c r="E251" s="2">
        <v>1000000</v>
      </c>
      <c r="F251" s="3">
        <f>IF(COUNT(D251,E251)=2,D251*E251,NA())</f>
        <v>5000000.0</v>
      </c>
      <c r="G251" s="2" t="s">
        <v>59</v>
      </c>
      <c r="H251" s="2" t="s">
        <v>60</v>
      </c>
      <c r="I251" s="2" t="s">
        <v>61</v>
      </c>
      <c r="J251" s="2" t="s">
        <v>62</v>
      </c>
      <c r="K251" s="2"/>
      <c r="L251" s="2" t="s">
        <v>69</v>
      </c>
      <c r="M251" s="2" t="s">
        <v>64</v>
      </c>
      <c r="N251" s="2" t="s">
        <v>70</v>
      </c>
      <c r="O251" s="2" t="s">
        <v>11</v>
      </c>
      <c r="P251" s="2" t="s">
        <v>71</v>
      </c>
      <c r="Q251" s="2" t="s">
        <v>710</v>
      </c>
      <c r="R251" s="2"/>
    </row>
    <row r="252" spans="1:18">
      <c r="A252" s="2" t="s">
        <v>713</v>
      </c>
      <c r="B252" s="2" t="s">
        <v>714</v>
      </c>
      <c r="C252" s="2" t="s">
        <v>709</v>
      </c>
      <c r="D252" s="2">
        <v>33</v>
      </c>
      <c r="E252" s="2">
        <v>1000000</v>
      </c>
      <c r="F252" s="3">
        <f>IF(COUNT(D252,E252)=2,D252*E252,NA())</f>
        <v>33000000.0</v>
      </c>
      <c r="G252" s="2" t="s">
        <v>59</v>
      </c>
      <c r="H252" s="2" t="s">
        <v>60</v>
      </c>
      <c r="I252" s="2" t="s">
        <v>61</v>
      </c>
      <c r="J252" s="2" t="s">
        <v>62</v>
      </c>
      <c r="K252" s="2"/>
      <c r="L252" s="2" t="s">
        <v>63</v>
      </c>
      <c r="M252" s="2" t="s">
        <v>64</v>
      </c>
      <c r="N252" s="2" t="s">
        <v>65</v>
      </c>
      <c r="O252" s="2" t="s">
        <v>11</v>
      </c>
      <c r="P252" s="2"/>
      <c r="Q252" s="2" t="s">
        <v>715</v>
      </c>
      <c r="R252" s="2"/>
    </row>
    <row r="253" spans="1:18">
      <c r="A253" s="2" t="s">
        <v>716</v>
      </c>
      <c r="B253" s="2" t="s">
        <v>717</v>
      </c>
      <c r="C253" s="2" t="s">
        <v>709</v>
      </c>
      <c r="D253" s="2">
        <v>19</v>
      </c>
      <c r="E253" s="2">
        <v>1000000</v>
      </c>
      <c r="F253" s="3">
        <f>IF(COUNT(D253,E253)=2,D253*E253,NA())</f>
        <v>19000000.0</v>
      </c>
      <c r="G253" s="2" t="s">
        <v>59</v>
      </c>
      <c r="H253" s="2" t="s">
        <v>60</v>
      </c>
      <c r="I253" s="2" t="s">
        <v>61</v>
      </c>
      <c r="J253" s="2" t="s">
        <v>62</v>
      </c>
      <c r="K253" s="2"/>
      <c r="L253" s="2" t="s">
        <v>69</v>
      </c>
      <c r="M253" s="2" t="s">
        <v>64</v>
      </c>
      <c r="N253" s="2" t="s">
        <v>70</v>
      </c>
      <c r="O253" s="2" t="s">
        <v>11</v>
      </c>
      <c r="P253" s="2" t="s">
        <v>71</v>
      </c>
      <c r="Q253" s="2" t="s">
        <v>715</v>
      </c>
      <c r="R253" s="2"/>
    </row>
    <row r="254" spans="1:18">
      <c r="A254" s="2" t="s">
        <v>718</v>
      </c>
      <c r="B254" s="2" t="s">
        <v>719</v>
      </c>
      <c r="C254" s="2" t="s">
        <v>709</v>
      </c>
      <c r="D254" s="2">
        <v>1</v>
      </c>
      <c r="E254" s="2">
        <v>1000000</v>
      </c>
      <c r="F254" s="3">
        <f>IF(COUNT(D254,E254)=2,D254*E254,NA())</f>
        <v>1000000.0</v>
      </c>
      <c r="G254" s="2" t="s">
        <v>59</v>
      </c>
      <c r="H254" s="2" t="s">
        <v>60</v>
      </c>
      <c r="I254" s="2" t="s">
        <v>61</v>
      </c>
      <c r="J254" s="2" t="s">
        <v>62</v>
      </c>
      <c r="K254" s="2"/>
      <c r="L254" s="2" t="s">
        <v>63</v>
      </c>
      <c r="M254" s="2" t="s">
        <v>64</v>
      </c>
      <c r="N254" s="2" t="s">
        <v>65</v>
      </c>
      <c r="O254" s="2" t="s">
        <v>11</v>
      </c>
      <c r="P254" s="2"/>
      <c r="Q254" s="2" t="s">
        <v>720</v>
      </c>
      <c r="R254" s="2"/>
    </row>
    <row r="255" spans="1:18">
      <c r="A255" s="2" t="s">
        <v>721</v>
      </c>
      <c r="B255" s="2" t="s">
        <v>722</v>
      </c>
      <c r="C255" s="2" t="s">
        <v>709</v>
      </c>
      <c r="D255" s="2">
        <v>1</v>
      </c>
      <c r="E255" s="2">
        <v>1000000</v>
      </c>
      <c r="F255" s="3">
        <f>IF(COUNT(D255,E255)=2,D255*E255,NA())</f>
        <v>1000000.0</v>
      </c>
      <c r="G255" s="2" t="s">
        <v>59</v>
      </c>
      <c r="H255" s="2" t="s">
        <v>60</v>
      </c>
      <c r="I255" s="2" t="s">
        <v>61</v>
      </c>
      <c r="J255" s="2" t="s">
        <v>62</v>
      </c>
      <c r="K255" s="2"/>
      <c r="L255" s="2" t="s">
        <v>69</v>
      </c>
      <c r="M255" s="2" t="s">
        <v>64</v>
      </c>
      <c r="N255" s="2" t="s">
        <v>70</v>
      </c>
      <c r="O255" s="2" t="s">
        <v>11</v>
      </c>
      <c r="P255" s="2" t="s">
        <v>71</v>
      </c>
      <c r="Q255" s="2" t="s">
        <v>720</v>
      </c>
      <c r="R255" s="2"/>
    </row>
    <row r="256" spans="1:18">
      <c r="A256" s="2" t="s">
        <v>723</v>
      </c>
      <c r="B256" s="2" t="s">
        <v>724</v>
      </c>
      <c r="C256" s="2" t="s">
        <v>709</v>
      </c>
      <c r="D256" s="2">
        <v>274</v>
      </c>
      <c r="E256" s="2">
        <v>1000000</v>
      </c>
      <c r="F256" s="3">
        <f>IF(COUNT(D256,E256)=2,D256*E256,NA())</f>
        <v>274000000.0</v>
      </c>
      <c r="G256" s="2" t="s">
        <v>59</v>
      </c>
      <c r="H256" s="2" t="s">
        <v>60</v>
      </c>
      <c r="I256" s="2" t="s">
        <v>61</v>
      </c>
      <c r="J256" s="2" t="s">
        <v>62</v>
      </c>
      <c r="K256" s="2"/>
      <c r="L256" s="2" t="s">
        <v>63</v>
      </c>
      <c r="M256" s="2" t="s">
        <v>64</v>
      </c>
      <c r="N256" s="2" t="s">
        <v>65</v>
      </c>
      <c r="O256" s="2" t="s">
        <v>11</v>
      </c>
      <c r="P256" s="2"/>
      <c r="Q256" s="2" t="s">
        <v>725</v>
      </c>
      <c r="R256" s="2"/>
    </row>
    <row r="257" spans="1:18">
      <c r="A257" s="2" t="s">
        <v>726</v>
      </c>
      <c r="B257" s="2" t="s">
        <v>727</v>
      </c>
      <c r="C257" s="2" t="s">
        <v>709</v>
      </c>
      <c r="D257" s="2">
        <v>275</v>
      </c>
      <c r="E257" s="2">
        <v>1000000</v>
      </c>
      <c r="F257" s="3">
        <f>IF(COUNT(D257,E257)=2,D257*E257,NA())</f>
        <v>275000000.0</v>
      </c>
      <c r="G257" s="2" t="s">
        <v>59</v>
      </c>
      <c r="H257" s="2" t="s">
        <v>60</v>
      </c>
      <c r="I257" s="2" t="s">
        <v>61</v>
      </c>
      <c r="J257" s="2" t="s">
        <v>62</v>
      </c>
      <c r="K257" s="2"/>
      <c r="L257" s="2" t="s">
        <v>69</v>
      </c>
      <c r="M257" s="2" t="s">
        <v>64</v>
      </c>
      <c r="N257" s="2" t="s">
        <v>70</v>
      </c>
      <c r="O257" s="2" t="s">
        <v>11</v>
      </c>
      <c r="P257" s="2" t="s">
        <v>71</v>
      </c>
      <c r="Q257" s="2" t="s">
        <v>725</v>
      </c>
      <c r="R257" s="2"/>
    </row>
    <row r="258" spans="1:18">
      <c r="A258" s="2" t="s">
        <v>728</v>
      </c>
      <c r="B258" s="2" t="s">
        <v>729</v>
      </c>
      <c r="C258" s="2" t="s">
        <v>709</v>
      </c>
      <c r="D258" s="2">
        <v>34</v>
      </c>
      <c r="E258" s="2">
        <v>1000000</v>
      </c>
      <c r="F258" s="3">
        <f>IF(COUNT(D258,E258)=2,D258*E258,NA())</f>
        <v>34000000.0</v>
      </c>
      <c r="G258" s="2" t="s">
        <v>59</v>
      </c>
      <c r="H258" s="2" t="s">
        <v>60</v>
      </c>
      <c r="I258" s="2" t="s">
        <v>61</v>
      </c>
      <c r="J258" s="2" t="s">
        <v>62</v>
      </c>
      <c r="K258" s="2"/>
      <c r="L258" s="2" t="s">
        <v>63</v>
      </c>
      <c r="M258" s="2" t="s">
        <v>64</v>
      </c>
      <c r="N258" s="2" t="s">
        <v>65</v>
      </c>
      <c r="O258" s="2" t="s">
        <v>11</v>
      </c>
      <c r="P258" s="2"/>
      <c r="Q258" s="2" t="s">
        <v>730</v>
      </c>
      <c r="R258" s="2"/>
    </row>
    <row r="259" spans="1:18">
      <c r="A259" s="2" t="s">
        <v>731</v>
      </c>
      <c r="B259" s="2" t="s">
        <v>732</v>
      </c>
      <c r="C259" s="2" t="s">
        <v>709</v>
      </c>
      <c r="D259" s="2">
        <v>20</v>
      </c>
      <c r="E259" s="2">
        <v>1000000</v>
      </c>
      <c r="F259" s="3">
        <f>IF(COUNT(D259,E259)=2,D259*E259,NA())</f>
        <v>20000000.0</v>
      </c>
      <c r="G259" s="2" t="s">
        <v>59</v>
      </c>
      <c r="H259" s="2" t="s">
        <v>60</v>
      </c>
      <c r="I259" s="2" t="s">
        <v>61</v>
      </c>
      <c r="J259" s="2" t="s">
        <v>62</v>
      </c>
      <c r="K259" s="2"/>
      <c r="L259" s="2" t="s">
        <v>69</v>
      </c>
      <c r="M259" s="2" t="s">
        <v>64</v>
      </c>
      <c r="N259" s="2" t="s">
        <v>70</v>
      </c>
      <c r="O259" s="2" t="s">
        <v>11</v>
      </c>
      <c r="P259" s="2" t="s">
        <v>71</v>
      </c>
      <c r="Q259" s="2" t="s">
        <v>730</v>
      </c>
      <c r="R259" s="2"/>
    </row>
    <row r="260" spans="1:18">
      <c r="A260" s="2" t="s">
        <v>733</v>
      </c>
      <c r="B260" s="2" t="s">
        <v>734</v>
      </c>
      <c r="C260" s="2" t="s">
        <v>735</v>
      </c>
      <c r="D260" s="2">
        <v>24337</v>
      </c>
      <c r="E260" s="2">
        <v>1000000</v>
      </c>
      <c r="F260" s="3">
        <f>IF(COUNT(D260,E260)=2,D260*E260,NA())</f>
        <v>24337000000.0</v>
      </c>
      <c r="G260" s="2" t="s">
        <v>59</v>
      </c>
      <c r="H260" s="2" t="s">
        <v>60</v>
      </c>
      <c r="I260" s="2" t="s">
        <v>61</v>
      </c>
      <c r="J260" s="2" t="s">
        <v>62</v>
      </c>
      <c r="K260" s="2"/>
      <c r="L260" s="2" t="s">
        <v>63</v>
      </c>
      <c r="M260" s="2" t="s">
        <v>64</v>
      </c>
      <c r="N260" s="2" t="s">
        <v>65</v>
      </c>
      <c r="O260" s="2" t="s">
        <v>11</v>
      </c>
      <c r="P260" s="2"/>
      <c r="Q260" s="2" t="s">
        <v>736</v>
      </c>
      <c r="R260" s="2"/>
    </row>
    <row r="261" spans="1:18">
      <c r="A261" s="2" t="s">
        <v>737</v>
      </c>
      <c r="B261" s="2" t="s">
        <v>738</v>
      </c>
      <c r="C261" s="2" t="s">
        <v>735</v>
      </c>
      <c r="D261" s="2">
        <v>1032</v>
      </c>
      <c r="E261" s="2">
        <v>1000000</v>
      </c>
      <c r="F261" s="3">
        <f>IF(COUNT(D261,E261)=2,D261*E261,NA())</f>
        <v>1032000000.0</v>
      </c>
      <c r="G261" s="2" t="s">
        <v>59</v>
      </c>
      <c r="H261" s="2" t="s">
        <v>60</v>
      </c>
      <c r="I261" s="2" t="s">
        <v>61</v>
      </c>
      <c r="J261" s="2" t="s">
        <v>62</v>
      </c>
      <c r="K261" s="2"/>
      <c r="L261" s="2" t="s">
        <v>63</v>
      </c>
      <c r="M261" s="2" t="s">
        <v>64</v>
      </c>
      <c r="N261" s="2" t="s">
        <v>65</v>
      </c>
      <c r="O261" s="2" t="s">
        <v>11</v>
      </c>
      <c r="P261" s="2"/>
      <c r="Q261" s="2" t="s">
        <v>739</v>
      </c>
      <c r="R261" s="2"/>
    </row>
    <row r="262" spans="1:18">
      <c r="A262" s="2" t="s">
        <v>740</v>
      </c>
      <c r="B262" s="2" t="s">
        <v>741</v>
      </c>
      <c r="C262" s="2" t="s">
        <v>735</v>
      </c>
      <c r="D262" s="2">
        <v>23305</v>
      </c>
      <c r="E262" s="2">
        <v>1000000</v>
      </c>
      <c r="F262" s="3">
        <f>IF(COUNT(D262,E262)=2,D262*E262,NA())</f>
        <v>23305000000.0</v>
      </c>
      <c r="G262" s="2" t="s">
        <v>59</v>
      </c>
      <c r="H262" s="2" t="s">
        <v>60</v>
      </c>
      <c r="I262" s="2" t="s">
        <v>61</v>
      </c>
      <c r="J262" s="2" t="s">
        <v>62</v>
      </c>
      <c r="K262" s="2"/>
      <c r="L262" s="2" t="s">
        <v>63</v>
      </c>
      <c r="M262" s="2" t="s">
        <v>64</v>
      </c>
      <c r="N262" s="2" t="s">
        <v>65</v>
      </c>
      <c r="O262" s="2" t="s">
        <v>11</v>
      </c>
      <c r="P262" s="2"/>
      <c r="Q262" s="2" t="s">
        <v>742</v>
      </c>
      <c r="R262" s="2"/>
    </row>
    <row r="263" spans="1:18">
      <c r="A263" s="2" t="s">
        <v>743</v>
      </c>
      <c r="B263" s="2" t="s">
        <v>744</v>
      </c>
      <c r="C263" s="2" t="s">
        <v>735</v>
      </c>
      <c r="D263" s="2">
        <v>1931</v>
      </c>
      <c r="E263" s="2">
        <v>1000000</v>
      </c>
      <c r="F263" s="3">
        <f>IF(COUNT(D263,E263)=2,D263*E263,NA())</f>
        <v>1931000000.0</v>
      </c>
      <c r="G263" s="2" t="s">
        <v>59</v>
      </c>
      <c r="H263" s="2" t="s">
        <v>60</v>
      </c>
      <c r="I263" s="2" t="s">
        <v>61</v>
      </c>
      <c r="J263" s="2" t="s">
        <v>62</v>
      </c>
      <c r="K263" s="2"/>
      <c r="L263" s="2" t="s">
        <v>63</v>
      </c>
      <c r="M263" s="2" t="s">
        <v>64</v>
      </c>
      <c r="N263" s="2" t="s">
        <v>65</v>
      </c>
      <c r="O263" s="2" t="s">
        <v>11</v>
      </c>
      <c r="P263" s="2"/>
      <c r="Q263" s="2" t="s">
        <v>745</v>
      </c>
      <c r="R263" s="2"/>
    </row>
    <row r="264" spans="1:18">
      <c r="A264" s="2" t="s">
        <v>746</v>
      </c>
      <c r="B264" s="2" t="s">
        <v>747</v>
      </c>
      <c r="C264" s="2" t="s">
        <v>735</v>
      </c>
      <c r="D264" s="2">
        <v>945</v>
      </c>
      <c r="E264" s="2">
        <v>1000000</v>
      </c>
      <c r="F264" s="3">
        <f>IF(COUNT(D264,E264)=2,D264*E264,NA())</f>
        <v>945000000.0</v>
      </c>
      <c r="G264" s="2" t="s">
        <v>59</v>
      </c>
      <c r="H264" s="2" t="s">
        <v>60</v>
      </c>
      <c r="I264" s="2" t="s">
        <v>61</v>
      </c>
      <c r="J264" s="2" t="s">
        <v>62</v>
      </c>
      <c r="K264" s="2"/>
      <c r="L264" s="2" t="s">
        <v>63</v>
      </c>
      <c r="M264" s="2" t="s">
        <v>64</v>
      </c>
      <c r="N264" s="2" t="s">
        <v>65</v>
      </c>
      <c r="O264" s="2" t="s">
        <v>11</v>
      </c>
      <c r="P264" s="2"/>
      <c r="Q264" s="2" t="s">
        <v>748</v>
      </c>
      <c r="R264" s="2"/>
    </row>
    <row r="265" spans="1:18">
      <c r="A265" s="2" t="s">
        <v>749</v>
      </c>
      <c r="B265" s="2" t="s">
        <v>750</v>
      </c>
      <c r="C265" s="2" t="s">
        <v>735</v>
      </c>
      <c r="D265" s="2">
        <v>1056</v>
      </c>
      <c r="E265" s="2">
        <v>1000000</v>
      </c>
      <c r="F265" s="3">
        <f>IF(COUNT(D265,E265)=2,D265*E265,NA())</f>
        <v>1056000000.0</v>
      </c>
      <c r="G265" s="2" t="s">
        <v>59</v>
      </c>
      <c r="H265" s="2" t="s">
        <v>60</v>
      </c>
      <c r="I265" s="2" t="s">
        <v>61</v>
      </c>
      <c r="J265" s="2" t="s">
        <v>62</v>
      </c>
      <c r="K265" s="2"/>
      <c r="L265" s="2" t="s">
        <v>63</v>
      </c>
      <c r="M265" s="2" t="s">
        <v>64</v>
      </c>
      <c r="N265" s="2" t="s">
        <v>65</v>
      </c>
      <c r="O265" s="2" t="s">
        <v>11</v>
      </c>
      <c r="P265" s="2"/>
      <c r="Q265" s="2" t="s">
        <v>751</v>
      </c>
      <c r="R265" s="2"/>
    </row>
    <row r="266" spans="1:18">
      <c r="A266" s="2" t="s">
        <v>752</v>
      </c>
      <c r="B266" s="2" t="s">
        <v>753</v>
      </c>
      <c r="C266" s="2" t="s">
        <v>735</v>
      </c>
      <c r="D266" s="2">
        <v>6015</v>
      </c>
      <c r="E266" s="2">
        <v>1000000</v>
      </c>
      <c r="F266" s="3">
        <f>IF(COUNT(D266,E266)=2,D266*E266,NA())</f>
        <v>6015000000.0</v>
      </c>
      <c r="G266" s="2" t="s">
        <v>59</v>
      </c>
      <c r="H266" s="2" t="s">
        <v>60</v>
      </c>
      <c r="I266" s="2" t="s">
        <v>61</v>
      </c>
      <c r="J266" s="2" t="s">
        <v>62</v>
      </c>
      <c r="K266" s="2"/>
      <c r="L266" s="2" t="s">
        <v>63</v>
      </c>
      <c r="M266" s="2" t="s">
        <v>64</v>
      </c>
      <c r="N266" s="2" t="s">
        <v>65</v>
      </c>
      <c r="O266" s="2" t="s">
        <v>11</v>
      </c>
      <c r="P266" s="2" t="s">
        <v>754</v>
      </c>
      <c r="Q266" s="2" t="s">
        <v>755</v>
      </c>
      <c r="R266" s="2"/>
    </row>
    <row r="267" spans="1:18">
      <c r="A267" s="2" t="s">
        <v>756</v>
      </c>
      <c r="B267" s="2" t="s">
        <v>757</v>
      </c>
      <c r="C267" s="2" t="s">
        <v>735</v>
      </c>
      <c r="D267" s="2">
        <v>748</v>
      </c>
      <c r="E267" s="2">
        <v>1000000</v>
      </c>
      <c r="F267" s="3">
        <f>IF(COUNT(D267,E267)=2,D267*E267,NA())</f>
        <v>748000000.0</v>
      </c>
      <c r="G267" s="2" t="s">
        <v>59</v>
      </c>
      <c r="H267" s="2" t="s">
        <v>60</v>
      </c>
      <c r="I267" s="2" t="s">
        <v>61</v>
      </c>
      <c r="J267" s="2" t="s">
        <v>62</v>
      </c>
      <c r="K267" s="2"/>
      <c r="L267" s="2" t="s">
        <v>63</v>
      </c>
      <c r="M267" s="2" t="s">
        <v>64</v>
      </c>
      <c r="N267" s="2" t="s">
        <v>65</v>
      </c>
      <c r="O267" s="2" t="s">
        <v>11</v>
      </c>
      <c r="P267" s="2"/>
      <c r="Q267" s="2" t="s">
        <v>758</v>
      </c>
      <c r="R267" s="2"/>
    </row>
    <row r="268" spans="1:18">
      <c r="A268" s="2" t="s">
        <v>759</v>
      </c>
      <c r="B268" s="2" t="s">
        <v>760</v>
      </c>
      <c r="C268" s="2" t="s">
        <v>735</v>
      </c>
      <c r="D268" s="2">
        <v>750</v>
      </c>
      <c r="E268" s="2">
        <v>1000000</v>
      </c>
      <c r="F268" s="3">
        <f>IF(COUNT(D268,E268)=2,D268*E268,NA())</f>
        <v>750000000.0</v>
      </c>
      <c r="G268" s="2" t="s">
        <v>59</v>
      </c>
      <c r="H268" s="2" t="s">
        <v>60</v>
      </c>
      <c r="I268" s="2" t="s">
        <v>61</v>
      </c>
      <c r="J268" s="2" t="s">
        <v>62</v>
      </c>
      <c r="K268" s="2"/>
      <c r="L268" s="2" t="s">
        <v>63</v>
      </c>
      <c r="M268" s="2" t="s">
        <v>64</v>
      </c>
      <c r="N268" s="2" t="s">
        <v>65</v>
      </c>
      <c r="O268" s="2" t="s">
        <v>11</v>
      </c>
      <c r="P268" s="2"/>
      <c r="Q268" s="2" t="s">
        <v>761</v>
      </c>
      <c r="R268" s="2"/>
    </row>
    <row r="269" spans="1:18">
      <c r="A269" s="2" t="s">
        <v>762</v>
      </c>
      <c r="B269" s="2" t="s">
        <v>763</v>
      </c>
      <c r="C269" s="2" t="s">
        <v>735</v>
      </c>
      <c r="D269" s="2">
        <v>610</v>
      </c>
      <c r="E269" s="2">
        <v>1000000</v>
      </c>
      <c r="F269" s="3">
        <f>IF(COUNT(D269,E269)=2,D269*E269,NA())</f>
        <v>610000000.0</v>
      </c>
      <c r="G269" s="2" t="s">
        <v>59</v>
      </c>
      <c r="H269" s="2" t="s">
        <v>60</v>
      </c>
      <c r="I269" s="2" t="s">
        <v>61</v>
      </c>
      <c r="J269" s="2" t="s">
        <v>62</v>
      </c>
      <c r="K269" s="2"/>
      <c r="L269" s="2" t="s">
        <v>63</v>
      </c>
      <c r="M269" s="2" t="s">
        <v>64</v>
      </c>
      <c r="N269" s="2" t="s">
        <v>65</v>
      </c>
      <c r="O269" s="2" t="s">
        <v>11</v>
      </c>
      <c r="P269" s="2"/>
      <c r="Q269" s="2" t="s">
        <v>764</v>
      </c>
      <c r="R269" s="2"/>
    </row>
    <row r="270" spans="1:18">
      <c r="A270" s="2" t="s">
        <v>765</v>
      </c>
      <c r="B270" s="2" t="s">
        <v>766</v>
      </c>
      <c r="C270" s="2" t="s">
        <v>767</v>
      </c>
      <c r="D270" s="2">
        <v>5.9</v>
      </c>
      <c r="E270" s="2">
        <v>1</v>
      </c>
      <c r="F270" s="3">
        <f>IF(COUNT(D270,E270)=2,D270*E270,NA())</f>
        <v>5.9</v>
      </c>
      <c r="G270" s="2" t="s">
        <v>768</v>
      </c>
      <c r="H270" s="2"/>
      <c r="I270" s="2" t="s">
        <v>61</v>
      </c>
      <c r="J270" s="2" t="s">
        <v>769</v>
      </c>
      <c r="K270" s="2"/>
      <c r="L270" s="2" t="s">
        <v>63</v>
      </c>
      <c r="M270" s="2" t="s">
        <v>64</v>
      </c>
      <c r="N270" s="2" t="s">
        <v>65</v>
      </c>
      <c r="O270" s="2" t="s">
        <v>770</v>
      </c>
      <c r="P270" s="2"/>
      <c r="Q270" s="2" t="s">
        <v>771</v>
      </c>
      <c r="R270" s="2" t="s">
        <v>772</v>
      </c>
    </row>
    <row r="271" spans="1:18">
      <c r="A271" s="2" t="s">
        <v>773</v>
      </c>
      <c r="B271" s="2" t="s">
        <v>774</v>
      </c>
      <c r="C271" s="2" t="s">
        <v>775</v>
      </c>
      <c r="D271" s="2">
        <v>6.5</v>
      </c>
      <c r="E271" s="2">
        <v>1</v>
      </c>
      <c r="F271" s="3">
        <f>IF(COUNT(D271,E271)=2,D271*E271,NA())</f>
        <v>6.5</v>
      </c>
      <c r="G271" s="2" t="s">
        <v>768</v>
      </c>
      <c r="H271" s="2"/>
      <c r="I271" s="2" t="s">
        <v>61</v>
      </c>
      <c r="J271" s="2" t="s">
        <v>769</v>
      </c>
      <c r="K271" s="2"/>
      <c r="L271" s="2" t="s">
        <v>63</v>
      </c>
      <c r="M271" s="2" t="s">
        <v>64</v>
      </c>
      <c r="N271" s="2" t="s">
        <v>65</v>
      </c>
      <c r="O271" s="2" t="s">
        <v>770</v>
      </c>
      <c r="P271" s="2"/>
      <c r="Q271" s="2" t="s">
        <v>776</v>
      </c>
      <c r="R271" s="2" t="s">
        <v>772</v>
      </c>
    </row>
    <row r="272" spans="1:18">
      <c r="A272" s="2" t="s">
        <v>777</v>
      </c>
      <c r="B272" s="2" t="s">
        <v>778</v>
      </c>
      <c r="C272" s="2" t="s">
        <v>767</v>
      </c>
      <c r="D272" s="2">
        <v>0.2</v>
      </c>
      <c r="E272" s="2">
        <v>1</v>
      </c>
      <c r="F272" s="3">
        <f>IF(COUNT(D272,E272)=2,D272*E272,NA())</f>
        <v>0.2</v>
      </c>
      <c r="G272" s="2" t="s">
        <v>768</v>
      </c>
      <c r="H272" s="2"/>
      <c r="I272" s="2" t="s">
        <v>61</v>
      </c>
      <c r="J272" s="2" t="s">
        <v>769</v>
      </c>
      <c r="K272" s="2"/>
      <c r="L272" s="2" t="s">
        <v>63</v>
      </c>
      <c r="M272" s="2" t="s">
        <v>64</v>
      </c>
      <c r="N272" s="2" t="s">
        <v>65</v>
      </c>
      <c r="O272" s="2" t="s">
        <v>770</v>
      </c>
      <c r="P272" s="2"/>
      <c r="Q272" s="2" t="s">
        <v>779</v>
      </c>
      <c r="R272" s="2" t="s">
        <v>772</v>
      </c>
    </row>
    <row r="273" spans="1:18">
      <c r="A273" s="2" t="s">
        <v>780</v>
      </c>
      <c r="B273" s="2" t="s">
        <v>781</v>
      </c>
      <c r="C273" s="2" t="s">
        <v>775</v>
      </c>
      <c r="D273" s="2">
        <v>3.5</v>
      </c>
      <c r="E273" s="2">
        <v>1</v>
      </c>
      <c r="F273" s="3">
        <f>IF(COUNT(D273,E273)=2,D273*E273,NA())</f>
        <v>3.5</v>
      </c>
      <c r="G273" s="2" t="s">
        <v>768</v>
      </c>
      <c r="H273" s="2"/>
      <c r="I273" s="2" t="s">
        <v>61</v>
      </c>
      <c r="J273" s="2" t="s">
        <v>769</v>
      </c>
      <c r="K273" s="2"/>
      <c r="L273" s="2" t="s">
        <v>63</v>
      </c>
      <c r="M273" s="2" t="s">
        <v>64</v>
      </c>
      <c r="N273" s="2" t="s">
        <v>65</v>
      </c>
      <c r="O273" s="2" t="s">
        <v>770</v>
      </c>
      <c r="P273" s="2"/>
      <c r="Q273" s="2" t="s">
        <v>782</v>
      </c>
      <c r="R273" s="2" t="s">
        <v>772</v>
      </c>
    </row>
    <row r="274" spans="1:18">
      <c r="A274" s="2" t="s">
        <v>783</v>
      </c>
      <c r="B274" s="2" t="s">
        <v>784</v>
      </c>
      <c r="C274" s="2" t="s">
        <v>785</v>
      </c>
      <c r="D274" s="2">
        <v>1836</v>
      </c>
      <c r="E274" s="2">
        <v>1000000</v>
      </c>
      <c r="F274" s="3">
        <f>IF(COUNT(D274,E274)=2,D274*E274,NA())</f>
        <v>1836000000.0</v>
      </c>
      <c r="G274" s="2" t="s">
        <v>59</v>
      </c>
      <c r="H274" s="2" t="s">
        <v>60</v>
      </c>
      <c r="I274" s="2" t="s">
        <v>61</v>
      </c>
      <c r="J274" s="2" t="s">
        <v>62</v>
      </c>
      <c r="K274" s="2"/>
      <c r="L274" s="2" t="s">
        <v>786</v>
      </c>
      <c r="M274" s="2" t="s">
        <v>64</v>
      </c>
      <c r="N274" s="2" t="s">
        <v>65</v>
      </c>
      <c r="O274" s="2" t="s">
        <v>11</v>
      </c>
      <c r="P274" s="2"/>
      <c r="Q274" s="2" t="s">
        <v>783</v>
      </c>
      <c r="R274" s="2"/>
    </row>
    <row r="275" spans="1:18">
      <c r="A275" s="2" t="s">
        <v>787</v>
      </c>
      <c r="B275" s="2" t="s">
        <v>788</v>
      </c>
      <c r="C275" s="2" t="s">
        <v>785</v>
      </c>
      <c r="D275" s="2">
        <v>10770</v>
      </c>
      <c r="E275" s="2">
        <v>1000000</v>
      </c>
      <c r="F275" s="3">
        <f>IF(COUNT(D275,E275)=2,D275*E275,NA())</f>
        <v>10770000000.0</v>
      </c>
      <c r="G275" s="2" t="s">
        <v>59</v>
      </c>
      <c r="H275" s="2" t="s">
        <v>60</v>
      </c>
      <c r="I275" s="2" t="s">
        <v>61</v>
      </c>
      <c r="J275" s="2" t="s">
        <v>62</v>
      </c>
      <c r="K275" s="2"/>
      <c r="L275" s="2" t="s">
        <v>786</v>
      </c>
      <c r="M275" s="2" t="s">
        <v>64</v>
      </c>
      <c r="N275" s="2" t="s">
        <v>65</v>
      </c>
      <c r="O275" s="2" t="s">
        <v>11</v>
      </c>
      <c r="P275" s="2"/>
      <c r="Q275" s="2" t="s">
        <v>787</v>
      </c>
      <c r="R275" s="2"/>
    </row>
    <row r="276" spans="1:18">
      <c r="A276" s="2" t="s">
        <v>789</v>
      </c>
      <c r="B276" s="2" t="s">
        <v>790</v>
      </c>
      <c r="C276" s="2" t="s">
        <v>785</v>
      </c>
      <c r="D276" s="2">
        <v>2278</v>
      </c>
      <c r="E276" s="2">
        <v>1000000</v>
      </c>
      <c r="F276" s="3">
        <f>IF(COUNT(D276,E276)=2,D276*E276,NA())</f>
        <v>2278000000.0</v>
      </c>
      <c r="G276" s="2" t="s">
        <v>59</v>
      </c>
      <c r="H276" s="2" t="s">
        <v>60</v>
      </c>
      <c r="I276" s="2" t="s">
        <v>61</v>
      </c>
      <c r="J276" s="2" t="s">
        <v>62</v>
      </c>
      <c r="K276" s="2"/>
      <c r="L276" s="2" t="s">
        <v>786</v>
      </c>
      <c r="M276" s="2" t="s">
        <v>64</v>
      </c>
      <c r="N276" s="2" t="s">
        <v>65</v>
      </c>
      <c r="O276" s="2" t="s">
        <v>11</v>
      </c>
      <c r="P276" s="2"/>
      <c r="Q276" s="2" t="s">
        <v>789</v>
      </c>
      <c r="R276" s="2"/>
    </row>
    <row r="277" spans="1:18">
      <c r="A277" s="2" t="s">
        <v>791</v>
      </c>
      <c r="B277" s="2" t="s">
        <v>792</v>
      </c>
      <c r="C277" s="2" t="s">
        <v>793</v>
      </c>
      <c r="D277" s="2">
        <v>55</v>
      </c>
      <c r="E277" s="2">
        <v>1000000</v>
      </c>
      <c r="F277" s="3">
        <f>IF(COUNT(D277,E277)=2,D277*E277,NA())</f>
        <v>55000000.0</v>
      </c>
      <c r="G277" s="2" t="s">
        <v>59</v>
      </c>
      <c r="H277" s="2" t="s">
        <v>60</v>
      </c>
      <c r="I277" s="2" t="s">
        <v>61</v>
      </c>
      <c r="J277" s="2" t="s">
        <v>62</v>
      </c>
      <c r="K277" s="2"/>
      <c r="L277" s="2" t="s">
        <v>786</v>
      </c>
      <c r="M277" s="2" t="s">
        <v>64</v>
      </c>
      <c r="N277" s="2" t="s">
        <v>65</v>
      </c>
      <c r="O277" s="2" t="s">
        <v>11</v>
      </c>
      <c r="P277" s="2"/>
      <c r="Q277" s="2" t="s">
        <v>791</v>
      </c>
      <c r="R277" s="2"/>
    </row>
    <row r="278" spans="1:18">
      <c r="A278" s="2" t="s">
        <v>794</v>
      </c>
      <c r="B278" s="2" t="s">
        <v>795</v>
      </c>
      <c r="C278" s="2" t="s">
        <v>793</v>
      </c>
      <c r="D278" s="2">
        <v>167</v>
      </c>
      <c r="E278" s="2">
        <v>1000000</v>
      </c>
      <c r="F278" s="3">
        <f>IF(COUNT(D278,E278)=2,D278*E278,NA())</f>
        <v>167000000.0</v>
      </c>
      <c r="G278" s="2" t="s">
        <v>59</v>
      </c>
      <c r="H278" s="2" t="s">
        <v>60</v>
      </c>
      <c r="I278" s="2" t="s">
        <v>61</v>
      </c>
      <c r="J278" s="2" t="s">
        <v>62</v>
      </c>
      <c r="K278" s="2"/>
      <c r="L278" s="2" t="s">
        <v>786</v>
      </c>
      <c r="M278" s="2" t="s">
        <v>64</v>
      </c>
      <c r="N278" s="2" t="s">
        <v>65</v>
      </c>
      <c r="O278" s="2" t="s">
        <v>11</v>
      </c>
      <c r="P278" s="2"/>
      <c r="Q278" s="2" t="s">
        <v>794</v>
      </c>
      <c r="R278" s="2"/>
    </row>
    <row r="279" spans="1:18">
      <c r="A279" s="2" t="s">
        <v>796</v>
      </c>
      <c r="B279" s="2" t="s">
        <v>797</v>
      </c>
      <c r="C279" s="2" t="s">
        <v>793</v>
      </c>
      <c r="D279" s="2">
        <v>5</v>
      </c>
      <c r="E279" s="2">
        <v>1000000</v>
      </c>
      <c r="F279" s="3">
        <f>IF(COUNT(D279,E279)=2,D279*E279,NA())</f>
        <v>5000000.0</v>
      </c>
      <c r="G279" s="2" t="s">
        <v>59</v>
      </c>
      <c r="H279" s="2" t="s">
        <v>60</v>
      </c>
      <c r="I279" s="2" t="s">
        <v>61</v>
      </c>
      <c r="J279" s="2" t="s">
        <v>62</v>
      </c>
      <c r="K279" s="2"/>
      <c r="L279" s="2" t="s">
        <v>786</v>
      </c>
      <c r="M279" s="2" t="s">
        <v>64</v>
      </c>
      <c r="N279" s="2" t="s">
        <v>65</v>
      </c>
      <c r="O279" s="2" t="s">
        <v>11</v>
      </c>
      <c r="P279" s="2"/>
      <c r="Q279" s="2" t="s">
        <v>796</v>
      </c>
      <c r="R279" s="2"/>
    </row>
    <row r="280" spans="1:18">
      <c r="A280" s="2" t="s">
        <v>798</v>
      </c>
      <c r="B280" s="2" t="s">
        <v>799</v>
      </c>
      <c r="C280" s="2" t="s">
        <v>793</v>
      </c>
      <c r="D280" s="2">
        <v>97</v>
      </c>
      <c r="E280" s="2">
        <v>1000000</v>
      </c>
      <c r="F280" s="3">
        <f>IF(COUNT(D280,E280)=2,D280*E280,NA())</f>
        <v>97000000.0</v>
      </c>
      <c r="G280" s="2" t="s">
        <v>59</v>
      </c>
      <c r="H280" s="2" t="s">
        <v>60</v>
      </c>
      <c r="I280" s="2" t="s">
        <v>61</v>
      </c>
      <c r="J280" s="2" t="s">
        <v>62</v>
      </c>
      <c r="K280" s="2"/>
      <c r="L280" s="2" t="s">
        <v>786</v>
      </c>
      <c r="M280" s="2" t="s">
        <v>64</v>
      </c>
      <c r="N280" s="2" t="s">
        <v>65</v>
      </c>
      <c r="O280" s="2" t="s">
        <v>11</v>
      </c>
      <c r="P280" s="2"/>
      <c r="Q280" s="2" t="s">
        <v>798</v>
      </c>
      <c r="R280" s="2"/>
    </row>
    <row r="281" spans="1:18">
      <c r="A281" s="2" t="s">
        <v>800</v>
      </c>
      <c r="B281" s="2" t="s">
        <v>801</v>
      </c>
      <c r="C281" s="2" t="s">
        <v>793</v>
      </c>
      <c r="D281" s="2">
        <v>1</v>
      </c>
      <c r="E281" s="2">
        <v>1000000</v>
      </c>
      <c r="F281" s="3">
        <f>IF(COUNT(D281,E281)=2,D281*E281,NA())</f>
        <v>1000000.0</v>
      </c>
      <c r="G281" s="2" t="s">
        <v>59</v>
      </c>
      <c r="H281" s="2" t="s">
        <v>60</v>
      </c>
      <c r="I281" s="2" t="s">
        <v>61</v>
      </c>
      <c r="J281" s="2" t="s">
        <v>62</v>
      </c>
      <c r="K281" s="2"/>
      <c r="L281" s="2" t="s">
        <v>786</v>
      </c>
      <c r="M281" s="2" t="s">
        <v>64</v>
      </c>
      <c r="N281" s="2" t="s">
        <v>65</v>
      </c>
      <c r="O281" s="2" t="s">
        <v>11</v>
      </c>
      <c r="P281" s="2"/>
      <c r="Q281" s="2" t="s">
        <v>800</v>
      </c>
      <c r="R281" s="2"/>
    </row>
    <row r="282" spans="1:18">
      <c r="A282" s="2" t="s">
        <v>802</v>
      </c>
      <c r="B282" s="2" t="s">
        <v>803</v>
      </c>
      <c r="C282" s="2" t="s">
        <v>793</v>
      </c>
      <c r="D282" s="2">
        <v>325</v>
      </c>
      <c r="E282" s="2">
        <v>1000000</v>
      </c>
      <c r="F282" s="3">
        <f>IF(COUNT(D282,E282)=2,D282*E282,NA())</f>
        <v>325000000.0</v>
      </c>
      <c r="G282" s="2" t="s">
        <v>59</v>
      </c>
      <c r="H282" s="2" t="s">
        <v>60</v>
      </c>
      <c r="I282" s="2" t="s">
        <v>61</v>
      </c>
      <c r="J282" s="2" t="s">
        <v>62</v>
      </c>
      <c r="K282" s="2"/>
      <c r="L282" s="2" t="s">
        <v>786</v>
      </c>
      <c r="M282" s="2" t="s">
        <v>64</v>
      </c>
      <c r="N282" s="2" t="s">
        <v>65</v>
      </c>
      <c r="O282" s="2" t="s">
        <v>11</v>
      </c>
      <c r="P282" s="2"/>
      <c r="Q282" s="2" t="s">
        <v>802</v>
      </c>
      <c r="R282" s="2"/>
    </row>
    <row r="283" spans="1:18">
      <c r="A283" s="2" t="s">
        <v>804</v>
      </c>
      <c r="B283" s="2" t="s">
        <v>805</v>
      </c>
      <c r="C283" s="2" t="s">
        <v>793</v>
      </c>
      <c r="D283" s="2">
        <v>24682</v>
      </c>
      <c r="E283" s="2">
        <v>1000000</v>
      </c>
      <c r="F283" s="3">
        <f>IF(COUNT(D283,E283)=2,D283*E283,NA())</f>
        <v>24682000000.0</v>
      </c>
      <c r="G283" s="2" t="s">
        <v>59</v>
      </c>
      <c r="H283" s="2" t="s">
        <v>60</v>
      </c>
      <c r="I283" s="2" t="s">
        <v>61</v>
      </c>
      <c r="J283" s="2" t="s">
        <v>62</v>
      </c>
      <c r="K283" s="2"/>
      <c r="L283" s="2" t="s">
        <v>786</v>
      </c>
      <c r="M283" s="2" t="s">
        <v>64</v>
      </c>
      <c r="N283" s="2" t="s">
        <v>65</v>
      </c>
      <c r="O283" s="2" t="s">
        <v>11</v>
      </c>
      <c r="P283" s="2"/>
      <c r="Q283" s="2" t="s">
        <v>804</v>
      </c>
      <c r="R283" s="2"/>
    </row>
    <row r="284" spans="1:18">
      <c r="A284" s="2" t="s">
        <v>806</v>
      </c>
      <c r="B284" s="2" t="s">
        <v>807</v>
      </c>
      <c r="C284" s="2" t="s">
        <v>793</v>
      </c>
      <c r="D284" s="2">
        <v>3148</v>
      </c>
      <c r="E284" s="2">
        <v>1000000</v>
      </c>
      <c r="F284" s="3">
        <f>IF(COUNT(D284,E284)=2,D284*E284,NA())</f>
        <v>3148000000.0</v>
      </c>
      <c r="G284" s="2" t="s">
        <v>59</v>
      </c>
      <c r="H284" s="2" t="s">
        <v>60</v>
      </c>
      <c r="I284" s="2" t="s">
        <v>61</v>
      </c>
      <c r="J284" s="2" t="s">
        <v>62</v>
      </c>
      <c r="K284" s="2"/>
      <c r="L284" s="2" t="s">
        <v>786</v>
      </c>
      <c r="M284" s="2" t="s">
        <v>64</v>
      </c>
      <c r="N284" s="2" t="s">
        <v>65</v>
      </c>
      <c r="O284" s="2" t="s">
        <v>11</v>
      </c>
      <c r="P284" s="2"/>
      <c r="Q284" s="2" t="s">
        <v>806</v>
      </c>
      <c r="R284" s="2"/>
    </row>
    <row r="285" spans="1:18">
      <c r="A285" s="2" t="s">
        <v>808</v>
      </c>
      <c r="B285" s="2" t="s">
        <v>809</v>
      </c>
      <c r="C285" s="2" t="s">
        <v>793</v>
      </c>
      <c r="D285" s="2">
        <v>21534</v>
      </c>
      <c r="E285" s="2">
        <v>1000000</v>
      </c>
      <c r="F285" s="3">
        <f>IF(COUNT(D285,E285)=2,D285*E285,NA())</f>
        <v>21534000000.0</v>
      </c>
      <c r="G285" s="2" t="s">
        <v>59</v>
      </c>
      <c r="H285" s="2" t="s">
        <v>60</v>
      </c>
      <c r="I285" s="2" t="s">
        <v>61</v>
      </c>
      <c r="J285" s="2" t="s">
        <v>62</v>
      </c>
      <c r="K285" s="2"/>
      <c r="L285" s="2" t="s">
        <v>786</v>
      </c>
      <c r="M285" s="2" t="s">
        <v>64</v>
      </c>
      <c r="N285" s="2" t="s">
        <v>65</v>
      </c>
      <c r="O285" s="2" t="s">
        <v>11</v>
      </c>
      <c r="P285" s="2"/>
      <c r="Q285" s="2" t="s">
        <v>808</v>
      </c>
      <c r="R285" s="2"/>
    </row>
    <row r="286" spans="1:18">
      <c r="A286" s="2" t="s">
        <v>810</v>
      </c>
      <c r="B286" s="2" t="s">
        <v>811</v>
      </c>
      <c r="C286" s="2" t="s">
        <v>793</v>
      </c>
      <c r="D286" s="2">
        <v>1892</v>
      </c>
      <c r="E286" s="2">
        <v>1000000</v>
      </c>
      <c r="F286" s="3">
        <f>IF(COUNT(D286,E286)=2,D286*E286,NA())</f>
        <v>1892000000.0</v>
      </c>
      <c r="G286" s="2" t="s">
        <v>59</v>
      </c>
      <c r="H286" s="2" t="s">
        <v>60</v>
      </c>
      <c r="I286" s="2" t="s">
        <v>61</v>
      </c>
      <c r="J286" s="2" t="s">
        <v>62</v>
      </c>
      <c r="K286" s="2"/>
      <c r="L286" s="2" t="s">
        <v>786</v>
      </c>
      <c r="M286" s="2" t="s">
        <v>64</v>
      </c>
      <c r="N286" s="2" t="s">
        <v>65</v>
      </c>
      <c r="O286" s="2" t="s">
        <v>11</v>
      </c>
      <c r="P286" s="2"/>
      <c r="Q286" s="2" t="s">
        <v>810</v>
      </c>
      <c r="R286" s="2"/>
    </row>
    <row r="287" spans="1:18">
      <c r="A287" s="2" t="s">
        <v>812</v>
      </c>
      <c r="B287" s="2" t="s">
        <v>813</v>
      </c>
      <c r="C287" s="2" t="s">
        <v>793</v>
      </c>
      <c r="D287" s="2">
        <v>4726</v>
      </c>
      <c r="E287" s="2">
        <v>1000000</v>
      </c>
      <c r="F287" s="3">
        <f>IF(COUNT(D287,E287)=2,D287*E287,NA())</f>
        <v>4726000000.0</v>
      </c>
      <c r="G287" s="2" t="s">
        <v>59</v>
      </c>
      <c r="H287" s="2" t="s">
        <v>60</v>
      </c>
      <c r="I287" s="2" t="s">
        <v>61</v>
      </c>
      <c r="J287" s="2" t="s">
        <v>62</v>
      </c>
      <c r="K287" s="2"/>
      <c r="L287" s="2" t="s">
        <v>786</v>
      </c>
      <c r="M287" s="2" t="s">
        <v>64</v>
      </c>
      <c r="N287" s="2" t="s">
        <v>65</v>
      </c>
      <c r="O287" s="2" t="s">
        <v>11</v>
      </c>
      <c r="P287" s="2"/>
      <c r="Q287" s="2" t="s">
        <v>812</v>
      </c>
      <c r="R287" s="2"/>
    </row>
    <row r="288" spans="1:18">
      <c r="A288" s="2" t="s">
        <v>814</v>
      </c>
      <c r="B288" s="2" t="s">
        <v>815</v>
      </c>
      <c r="C288" s="2" t="s">
        <v>785</v>
      </c>
      <c r="D288" s="2">
        <v>345</v>
      </c>
      <c r="E288" s="2">
        <v>1000000</v>
      </c>
      <c r="F288" s="3">
        <f>IF(COUNT(D288,E288)=2,D288*E288,NA())</f>
        <v>345000000.0</v>
      </c>
      <c r="G288" s="2" t="s">
        <v>59</v>
      </c>
      <c r="H288" s="2" t="s">
        <v>60</v>
      </c>
      <c r="I288" s="2" t="s">
        <v>61</v>
      </c>
      <c r="J288" s="2" t="s">
        <v>62</v>
      </c>
      <c r="K288" s="2" t="s">
        <v>816</v>
      </c>
      <c r="L288" s="2" t="s">
        <v>786</v>
      </c>
      <c r="M288" s="2" t="s">
        <v>246</v>
      </c>
      <c r="N288" s="2" t="s">
        <v>65</v>
      </c>
      <c r="O288" s="2" t="s">
        <v>11</v>
      </c>
      <c r="P288" s="2"/>
      <c r="Q288" s="2" t="s">
        <v>814</v>
      </c>
      <c r="R288" s="2"/>
    </row>
    <row r="289" spans="1:18">
      <c r="A289" s="2" t="s">
        <v>817</v>
      </c>
      <c r="B289" s="2" t="s">
        <v>818</v>
      </c>
      <c r="C289" s="2" t="s">
        <v>785</v>
      </c>
      <c r="D289" s="2">
        <v>16</v>
      </c>
      <c r="E289" s="2">
        <v>1000000</v>
      </c>
      <c r="F289" s="3">
        <f>IF(COUNT(D289,E289)=2,D289*E289,NA())</f>
        <v>16000000.0</v>
      </c>
      <c r="G289" s="2" t="s">
        <v>59</v>
      </c>
      <c r="H289" s="2" t="s">
        <v>60</v>
      </c>
      <c r="I289" s="2" t="s">
        <v>61</v>
      </c>
      <c r="J289" s="2" t="s">
        <v>62</v>
      </c>
      <c r="K289" s="2" t="s">
        <v>816</v>
      </c>
      <c r="L289" s="2" t="s">
        <v>786</v>
      </c>
      <c r="M289" s="2" t="s">
        <v>246</v>
      </c>
      <c r="N289" s="2" t="s">
        <v>65</v>
      </c>
      <c r="O289" s="2" t="s">
        <v>11</v>
      </c>
      <c r="P289" s="2"/>
      <c r="Q289" s="2" t="s">
        <v>817</v>
      </c>
      <c r="R289" s="2"/>
    </row>
    <row r="290" spans="1:18">
      <c r="A290" s="2" t="s">
        <v>819</v>
      </c>
      <c r="B290" s="2" t="s">
        <v>820</v>
      </c>
      <c r="C290" s="2" t="s">
        <v>785</v>
      </c>
      <c r="D290" s="2">
        <v>565</v>
      </c>
      <c r="E290" s="2">
        <v>1000000</v>
      </c>
      <c r="F290" s="3">
        <f>IF(COUNT(D290,E290)=2,D290*E290,NA())</f>
        <v>565000000.0</v>
      </c>
      <c r="G290" s="2" t="s">
        <v>59</v>
      </c>
      <c r="H290" s="2" t="s">
        <v>60</v>
      </c>
      <c r="I290" s="2" t="s">
        <v>61</v>
      </c>
      <c r="J290" s="2" t="s">
        <v>62</v>
      </c>
      <c r="K290" s="2" t="s">
        <v>816</v>
      </c>
      <c r="L290" s="2" t="s">
        <v>786</v>
      </c>
      <c r="M290" s="2" t="s">
        <v>246</v>
      </c>
      <c r="N290" s="2" t="s">
        <v>65</v>
      </c>
      <c r="O290" s="2" t="s">
        <v>11</v>
      </c>
      <c r="P290" s="2"/>
      <c r="Q290" s="2" t="s">
        <v>819</v>
      </c>
      <c r="R290" s="2"/>
    </row>
    <row r="291" spans="1:18">
      <c r="A291" s="2" t="s">
        <v>821</v>
      </c>
      <c r="B291" s="2" t="s">
        <v>822</v>
      </c>
      <c r="C291" s="2" t="s">
        <v>785</v>
      </c>
      <c r="D291" s="2">
        <v>287</v>
      </c>
      <c r="E291" s="2">
        <v>1000000</v>
      </c>
      <c r="F291" s="3">
        <f>IF(COUNT(D291,E291)=2,D291*E291,NA())</f>
        <v>287000000.0</v>
      </c>
      <c r="G291" s="2" t="s">
        <v>59</v>
      </c>
      <c r="H291" s="2" t="s">
        <v>60</v>
      </c>
      <c r="I291" s="2" t="s">
        <v>61</v>
      </c>
      <c r="J291" s="2" t="s">
        <v>62</v>
      </c>
      <c r="K291" s="2" t="s">
        <v>816</v>
      </c>
      <c r="L291" s="2" t="s">
        <v>786</v>
      </c>
      <c r="M291" s="2" t="s">
        <v>246</v>
      </c>
      <c r="N291" s="2" t="s">
        <v>65</v>
      </c>
      <c r="O291" s="2" t="s">
        <v>11</v>
      </c>
      <c r="P291" s="2"/>
      <c r="Q291" s="2" t="s">
        <v>821</v>
      </c>
      <c r="R291" s="2"/>
    </row>
    <row r="292" spans="1:18">
      <c r="A292" s="2" t="s">
        <v>823</v>
      </c>
      <c r="B292" s="2" t="s">
        <v>824</v>
      </c>
      <c r="C292" s="2" t="s">
        <v>785</v>
      </c>
      <c r="D292" s="2">
        <v>278</v>
      </c>
      <c r="E292" s="2">
        <v>1000000</v>
      </c>
      <c r="F292" s="3">
        <f>IF(COUNT(D292,E292)=2,D292*E292,NA())</f>
        <v>278000000.0</v>
      </c>
      <c r="G292" s="2" t="s">
        <v>59</v>
      </c>
      <c r="H292" s="2" t="s">
        <v>60</v>
      </c>
      <c r="I292" s="2" t="s">
        <v>61</v>
      </c>
      <c r="J292" s="2" t="s">
        <v>62</v>
      </c>
      <c r="K292" s="2" t="s">
        <v>816</v>
      </c>
      <c r="L292" s="2" t="s">
        <v>786</v>
      </c>
      <c r="M292" s="2" t="s">
        <v>246</v>
      </c>
      <c r="N292" s="2" t="s">
        <v>65</v>
      </c>
      <c r="O292" s="2" t="s">
        <v>11</v>
      </c>
      <c r="P292" s="2"/>
      <c r="Q292" s="2" t="s">
        <v>823</v>
      </c>
      <c r="R292" s="2"/>
    </row>
    <row r="293" spans="1:18">
      <c r="A293" s="2" t="s">
        <v>825</v>
      </c>
      <c r="B293" s="2" t="s">
        <v>826</v>
      </c>
      <c r="C293" s="2" t="s">
        <v>785</v>
      </c>
      <c r="D293" s="2">
        <v>-2</v>
      </c>
      <c r="E293" s="2">
        <v>1000000</v>
      </c>
      <c r="F293" s="3">
        <f>IF(COUNT(D293,E293)=2,D293*E293,NA())</f>
        <v>-2000000.0</v>
      </c>
      <c r="G293" s="2" t="s">
        <v>59</v>
      </c>
      <c r="H293" s="2" t="s">
        <v>60</v>
      </c>
      <c r="I293" s="2" t="s">
        <v>61</v>
      </c>
      <c r="J293" s="2" t="s">
        <v>62</v>
      </c>
      <c r="K293" s="2" t="s">
        <v>816</v>
      </c>
      <c r="L293" s="2" t="s">
        <v>786</v>
      </c>
      <c r="M293" s="2" t="s">
        <v>246</v>
      </c>
      <c r="N293" s="2" t="s">
        <v>65</v>
      </c>
      <c r="O293" s="2" t="s">
        <v>11</v>
      </c>
      <c r="P293" s="2"/>
      <c r="Q293" s="2" t="s">
        <v>825</v>
      </c>
      <c r="R293" s="2"/>
    </row>
    <row r="294" spans="1:18">
      <c r="A294" s="2" t="s">
        <v>827</v>
      </c>
      <c r="B294" s="2" t="s">
        <v>828</v>
      </c>
      <c r="C294" s="2" t="s">
        <v>785</v>
      </c>
      <c r="D294" s="2">
        <v>276</v>
      </c>
      <c r="E294" s="2">
        <v>1000000</v>
      </c>
      <c r="F294" s="3">
        <f>IF(COUNT(D294,E294)=2,D294*E294,NA())</f>
        <v>276000000.0</v>
      </c>
      <c r="G294" s="2" t="s">
        <v>59</v>
      </c>
      <c r="H294" s="2" t="s">
        <v>60</v>
      </c>
      <c r="I294" s="2" t="s">
        <v>61</v>
      </c>
      <c r="J294" s="2" t="s">
        <v>62</v>
      </c>
      <c r="K294" s="2" t="s">
        <v>816</v>
      </c>
      <c r="L294" s="2" t="s">
        <v>786</v>
      </c>
      <c r="M294" s="2" t="s">
        <v>246</v>
      </c>
      <c r="N294" s="2" t="s">
        <v>65</v>
      </c>
      <c r="O294" s="2" t="s">
        <v>11</v>
      </c>
      <c r="P294" s="2"/>
      <c r="Q294" s="2" t="s">
        <v>827</v>
      </c>
      <c r="R294" s="2"/>
    </row>
    <row r="295" spans="1:18">
      <c r="A295" s="2" t="s">
        <v>829</v>
      </c>
      <c r="B295" s="2" t="s">
        <v>830</v>
      </c>
      <c r="C295" s="2" t="s">
        <v>831</v>
      </c>
      <c r="D295" s="2">
        <v>819</v>
      </c>
      <c r="E295" s="2">
        <v>1000000</v>
      </c>
      <c r="F295" s="3">
        <f>IF(COUNT(D295,E295)=2,D295*E295,NA())</f>
        <v>819000000.0</v>
      </c>
      <c r="G295" s="2" t="s">
        <v>59</v>
      </c>
      <c r="H295" s="2" t="s">
        <v>60</v>
      </c>
      <c r="I295" s="2" t="s">
        <v>61</v>
      </c>
      <c r="J295" s="2" t="s">
        <v>62</v>
      </c>
      <c r="K295" s="2"/>
      <c r="L295" s="2" t="s">
        <v>832</v>
      </c>
      <c r="M295" s="2" t="s">
        <v>64</v>
      </c>
      <c r="N295" s="2" t="s">
        <v>65</v>
      </c>
      <c r="O295" s="2" t="s">
        <v>11</v>
      </c>
      <c r="P295" s="2"/>
      <c r="Q295" s="2" t="s">
        <v>829</v>
      </c>
      <c r="R295" s="2"/>
    </row>
    <row r="296" spans="1:18">
      <c r="A296" s="2" t="s">
        <v>833</v>
      </c>
      <c r="B296" s="2" t="s">
        <v>834</v>
      </c>
      <c r="C296" s="2" t="s">
        <v>785</v>
      </c>
      <c r="D296" s="2">
        <v>830</v>
      </c>
      <c r="E296" s="2">
        <v>1000000</v>
      </c>
      <c r="F296" s="3">
        <f>IF(COUNT(D296,E296)=2,D296*E296,NA())</f>
        <v>830000000.0</v>
      </c>
      <c r="G296" s="2" t="s">
        <v>59</v>
      </c>
      <c r="H296" s="2" t="s">
        <v>60</v>
      </c>
      <c r="I296" s="2" t="s">
        <v>61</v>
      </c>
      <c r="J296" s="2" t="s">
        <v>62</v>
      </c>
      <c r="K296" s="2"/>
      <c r="L296" s="2" t="s">
        <v>832</v>
      </c>
      <c r="M296" s="2" t="s">
        <v>64</v>
      </c>
      <c r="N296" s="2" t="s">
        <v>65</v>
      </c>
      <c r="O296" s="2" t="s">
        <v>11</v>
      </c>
      <c r="P296" s="2" t="s">
        <v>835</v>
      </c>
      <c r="Q296" s="2" t="s">
        <v>833</v>
      </c>
      <c r="R296" s="2"/>
    </row>
    <row r="297" spans="1:18">
      <c r="A297" s="2" t="s">
        <v>836</v>
      </c>
      <c r="B297" s="2" t="s">
        <v>837</v>
      </c>
      <c r="C297" s="2" t="s">
        <v>838</v>
      </c>
      <c r="D297" s="2">
        <v>830</v>
      </c>
      <c r="E297" s="2">
        <v>1000000</v>
      </c>
      <c r="F297" s="3">
        <f>IF(COUNT(D297,E297)=2,D297*E297,NA())</f>
        <v>830000000.0</v>
      </c>
      <c r="G297" s="2" t="s">
        <v>59</v>
      </c>
      <c r="H297" s="2" t="s">
        <v>60</v>
      </c>
      <c r="I297" s="2" t="s">
        <v>61</v>
      </c>
      <c r="J297" s="2" t="s">
        <v>62</v>
      </c>
      <c r="K297" s="2" t="s">
        <v>245</v>
      </c>
      <c r="L297" s="2" t="s">
        <v>832</v>
      </c>
      <c r="M297" s="2" t="s">
        <v>246</v>
      </c>
      <c r="N297" s="2" t="s">
        <v>65</v>
      </c>
      <c r="O297" s="2" t="s">
        <v>11</v>
      </c>
      <c r="P297" s="2"/>
      <c r="Q297" s="2" t="s">
        <v>836</v>
      </c>
      <c r="R297" s="2"/>
    </row>
    <row r="298" spans="1:18">
      <c r="A298" s="2" t="s">
        <v>839</v>
      </c>
      <c r="B298" s="2" t="s">
        <v>840</v>
      </c>
      <c r="C298" s="2" t="s">
        <v>838</v>
      </c>
      <c r="D298" s="2">
        <v>11</v>
      </c>
      <c r="E298" s="2">
        <v>1000000</v>
      </c>
      <c r="F298" s="3">
        <f>IF(COUNT(D298,E298)=2,D298*E298,NA())</f>
        <v>11000000.0</v>
      </c>
      <c r="G298" s="2" t="s">
        <v>59</v>
      </c>
      <c r="H298" s="2" t="s">
        <v>60</v>
      </c>
      <c r="I298" s="2" t="s">
        <v>61</v>
      </c>
      <c r="J298" s="2" t="s">
        <v>62</v>
      </c>
      <c r="K298" s="2" t="s">
        <v>245</v>
      </c>
      <c r="L298" s="2" t="s">
        <v>832</v>
      </c>
      <c r="M298" s="2" t="s">
        <v>246</v>
      </c>
      <c r="N298" s="2" t="s">
        <v>65</v>
      </c>
      <c r="O298" s="2" t="s">
        <v>11</v>
      </c>
      <c r="P298" s="2"/>
      <c r="Q298" s="2" t="s">
        <v>839</v>
      </c>
      <c r="R298" s="2"/>
    </row>
    <row r="299" spans="1:18">
      <c r="A299" s="2" t="s">
        <v>841</v>
      </c>
      <c r="B299" s="2" t="s">
        <v>842</v>
      </c>
      <c r="C299" s="2" t="s">
        <v>843</v>
      </c>
      <c r="D299" s="2">
        <v>8500</v>
      </c>
      <c r="E299" s="2">
        <v>1000000</v>
      </c>
      <c r="F299" s="3">
        <f>IF(COUNT(D299,E299)=2,D299*E299,NA())</f>
        <v>8500000000.0</v>
      </c>
      <c r="G299" s="2" t="s">
        <v>59</v>
      </c>
      <c r="H299" s="2" t="s">
        <v>60</v>
      </c>
      <c r="I299" s="2" t="s">
        <v>61</v>
      </c>
      <c r="J299" s="2" t="s">
        <v>62</v>
      </c>
      <c r="K299" s="2"/>
      <c r="L299" s="2" t="s">
        <v>844</v>
      </c>
      <c r="M299" s="2" t="s">
        <v>64</v>
      </c>
      <c r="N299" s="2" t="s">
        <v>65</v>
      </c>
      <c r="O299" s="2" t="s">
        <v>845</v>
      </c>
      <c r="P299" s="2" t="s">
        <v>846</v>
      </c>
      <c r="Q299" s="2" t="s">
        <v>841</v>
      </c>
      <c r="R299" s="2"/>
    </row>
    <row r="300" spans="1:18">
      <c r="A300" s="2" t="s">
        <v>847</v>
      </c>
      <c r="B300" s="2" t="s">
        <v>848</v>
      </c>
      <c r="C300" s="2" t="s">
        <v>843</v>
      </c>
      <c r="D300" s="2">
        <v>124</v>
      </c>
      <c r="E300" s="2">
        <v>1000000</v>
      </c>
      <c r="F300" s="3">
        <f>IF(COUNT(D300,E300)=2,D300*E300,NA())</f>
        <v>124000000.0</v>
      </c>
      <c r="G300" s="2" t="s">
        <v>59</v>
      </c>
      <c r="H300" s="2" t="s">
        <v>60</v>
      </c>
      <c r="I300" s="2" t="s">
        <v>61</v>
      </c>
      <c r="J300" s="2" t="s">
        <v>62</v>
      </c>
      <c r="K300" s="2"/>
      <c r="L300" s="2" t="s">
        <v>844</v>
      </c>
      <c r="M300" s="2" t="s">
        <v>64</v>
      </c>
      <c r="N300" s="2" t="s">
        <v>65</v>
      </c>
      <c r="O300" s="2" t="s">
        <v>845</v>
      </c>
      <c r="P300" s="2" t="s">
        <v>846</v>
      </c>
      <c r="Q300" s="2" t="s">
        <v>847</v>
      </c>
      <c r="R300" s="2"/>
    </row>
    <row r="301" spans="1:18">
      <c r="A301" s="2" t="s">
        <v>849</v>
      </c>
      <c r="B301" s="2" t="s">
        <v>850</v>
      </c>
      <c r="C301" s="2" t="s">
        <v>843</v>
      </c>
      <c r="D301" s="2">
        <v>74</v>
      </c>
      <c r="E301" s="2">
        <v>1000000</v>
      </c>
      <c r="F301" s="3">
        <f>IF(COUNT(D301,E301)=2,D301*E301,NA())</f>
        <v>74000000.0</v>
      </c>
      <c r="G301" s="2" t="s">
        <v>59</v>
      </c>
      <c r="H301" s="2" t="s">
        <v>60</v>
      </c>
      <c r="I301" s="2" t="s">
        <v>61</v>
      </c>
      <c r="J301" s="2" t="s">
        <v>62</v>
      </c>
      <c r="K301" s="2"/>
      <c r="L301" s="2" t="s">
        <v>844</v>
      </c>
      <c r="M301" s="2" t="s">
        <v>64</v>
      </c>
      <c r="N301" s="2" t="s">
        <v>65</v>
      </c>
      <c r="O301" s="2" t="s">
        <v>845</v>
      </c>
      <c r="P301" s="2" t="s">
        <v>846</v>
      </c>
      <c r="Q301" s="2" t="s">
        <v>849</v>
      </c>
      <c r="R301" s="2"/>
    </row>
    <row r="302" spans="1:18">
      <c r="A302" s="2" t="s">
        <v>851</v>
      </c>
      <c r="B302" s="2" t="s">
        <v>852</v>
      </c>
      <c r="C302" s="2" t="s">
        <v>843</v>
      </c>
      <c r="D302" s="2">
        <v>3300</v>
      </c>
      <c r="E302" s="2">
        <v>1000000</v>
      </c>
      <c r="F302" s="3">
        <f>IF(COUNT(D302,E302)=2,D302*E302,NA())</f>
        <v>3300000000.0</v>
      </c>
      <c r="G302" s="2" t="s">
        <v>59</v>
      </c>
      <c r="H302" s="2" t="s">
        <v>60</v>
      </c>
      <c r="I302" s="2" t="s">
        <v>61</v>
      </c>
      <c r="J302" s="2" t="s">
        <v>62</v>
      </c>
      <c r="K302" s="2"/>
      <c r="L302" s="2" t="s">
        <v>844</v>
      </c>
      <c r="M302" s="2" t="s">
        <v>64</v>
      </c>
      <c r="N302" s="2" t="s">
        <v>65</v>
      </c>
      <c r="O302" s="2" t="s">
        <v>845</v>
      </c>
      <c r="P302" s="2" t="s">
        <v>846</v>
      </c>
      <c r="Q302" s="2" t="s">
        <v>851</v>
      </c>
      <c r="R302" s="2"/>
    </row>
    <row r="303" spans="1:18">
      <c r="A303" s="2" t="s">
        <v>853</v>
      </c>
      <c r="B303" s="2" t="s">
        <v>854</v>
      </c>
      <c r="C303" s="2" t="s">
        <v>843</v>
      </c>
      <c r="D303" s="2">
        <v>1800</v>
      </c>
      <c r="E303" s="2">
        <v>1000000</v>
      </c>
      <c r="F303" s="3">
        <f>IF(COUNT(D303,E303)=2,D303*E303,NA())</f>
        <v>1800000000.0</v>
      </c>
      <c r="G303" s="2" t="s">
        <v>59</v>
      </c>
      <c r="H303" s="2" t="s">
        <v>60</v>
      </c>
      <c r="I303" s="2" t="s">
        <v>61</v>
      </c>
      <c r="J303" s="2" t="s">
        <v>62</v>
      </c>
      <c r="K303" s="2"/>
      <c r="L303" s="2" t="s">
        <v>844</v>
      </c>
      <c r="M303" s="2" t="s">
        <v>64</v>
      </c>
      <c r="N303" s="2" t="s">
        <v>65</v>
      </c>
      <c r="O303" s="2" t="s">
        <v>845</v>
      </c>
      <c r="P303" s="2" t="s">
        <v>855</v>
      </c>
      <c r="Q303" s="2" t="s">
        <v>853</v>
      </c>
      <c r="R303" s="2"/>
    </row>
    <row r="304" spans="1:18">
      <c r="A304" s="2" t="s">
        <v>856</v>
      </c>
      <c r="B304" s="2" t="s">
        <v>857</v>
      </c>
      <c r="C304" s="2" t="s">
        <v>843</v>
      </c>
      <c r="D304" s="2">
        <v>2100</v>
      </c>
      <c r="E304" s="2">
        <v>1000000</v>
      </c>
      <c r="F304" s="3">
        <f>IF(COUNT(D304,E304)=2,D304*E304,NA())</f>
        <v>2100000000.0</v>
      </c>
      <c r="G304" s="2" t="s">
        <v>59</v>
      </c>
      <c r="H304" s="2" t="s">
        <v>60</v>
      </c>
      <c r="I304" s="2" t="s">
        <v>61</v>
      </c>
      <c r="J304" s="2" t="s">
        <v>62</v>
      </c>
      <c r="K304" s="2"/>
      <c r="L304" s="2" t="s">
        <v>844</v>
      </c>
      <c r="M304" s="2" t="s">
        <v>64</v>
      </c>
      <c r="N304" s="2" t="s">
        <v>65</v>
      </c>
      <c r="O304" s="2" t="s">
        <v>845</v>
      </c>
      <c r="P304" s="2" t="s">
        <v>855</v>
      </c>
      <c r="Q304" s="2" t="s">
        <v>856</v>
      </c>
      <c r="R304" s="2"/>
    </row>
    <row r="305" spans="1:18">
      <c r="A305" s="2" t="s">
        <v>858</v>
      </c>
      <c r="B305" s="2" t="s">
        <v>859</v>
      </c>
      <c r="C305" s="2" t="s">
        <v>843</v>
      </c>
      <c r="D305" s="2">
        <v>1000</v>
      </c>
      <c r="E305" s="2">
        <v>1000000</v>
      </c>
      <c r="F305" s="3">
        <f>IF(COUNT(D305,E305)=2,D305*E305,NA())</f>
        <v>1000000000.0</v>
      </c>
      <c r="G305" s="2" t="s">
        <v>59</v>
      </c>
      <c r="H305" s="2" t="s">
        <v>60</v>
      </c>
      <c r="I305" s="2" t="s">
        <v>61</v>
      </c>
      <c r="J305" s="2" t="s">
        <v>62</v>
      </c>
      <c r="K305" s="2"/>
      <c r="L305" s="2" t="s">
        <v>844</v>
      </c>
      <c r="M305" s="2" t="s">
        <v>64</v>
      </c>
      <c r="N305" s="2" t="s">
        <v>65</v>
      </c>
      <c r="O305" s="2" t="s">
        <v>845</v>
      </c>
      <c r="P305" s="2" t="s">
        <v>855</v>
      </c>
      <c r="Q305" s="2" t="s">
        <v>858</v>
      </c>
      <c r="R305" s="2"/>
    </row>
    <row r="306" spans="1:18">
      <c r="A306" s="2" t="s">
        <v>860</v>
      </c>
      <c r="B306" s="2" t="s">
        <v>861</v>
      </c>
      <c r="C306" s="2" t="s">
        <v>862</v>
      </c>
      <c r="D306" s="2">
        <v>4500</v>
      </c>
      <c r="E306" s="2">
        <v>1000000</v>
      </c>
      <c r="F306" s="3">
        <f>IF(COUNT(D306,E306)=2,D306*E306,NA())</f>
        <v>4500000000.0</v>
      </c>
      <c r="G306" s="2" t="s">
        <v>59</v>
      </c>
      <c r="H306" s="2" t="s">
        <v>60</v>
      </c>
      <c r="I306" s="2" t="s">
        <v>61</v>
      </c>
      <c r="J306" s="2" t="s">
        <v>863</v>
      </c>
      <c r="K306" s="2"/>
      <c r="L306" s="2" t="s">
        <v>844</v>
      </c>
      <c r="M306" s="2" t="s">
        <v>64</v>
      </c>
      <c r="N306" s="2" t="s">
        <v>65</v>
      </c>
      <c r="O306" s="2" t="s">
        <v>864</v>
      </c>
      <c r="P306" s="2"/>
      <c r="Q306" s="2" t="s">
        <v>860</v>
      </c>
      <c r="R306" s="2"/>
    </row>
    <row r="307" spans="1:18">
      <c r="A307" s="2" t="s">
        <v>865</v>
      </c>
      <c r="B307" s="2" t="s">
        <v>866</v>
      </c>
      <c r="C307" s="2" t="s">
        <v>862</v>
      </c>
      <c r="D307" s="2">
        <v>39.4</v>
      </c>
      <c r="E307" s="2">
        <v>1000000</v>
      </c>
      <c r="F307" s="3">
        <f>IF(COUNT(D307,E307)=2,D307*E307,NA())</f>
        <v>39400000.0</v>
      </c>
      <c r="G307" s="2" t="s">
        <v>59</v>
      </c>
      <c r="H307" s="2" t="s">
        <v>60</v>
      </c>
      <c r="I307" s="2" t="s">
        <v>61</v>
      </c>
      <c r="J307" s="2" t="s">
        <v>863</v>
      </c>
      <c r="K307" s="2"/>
      <c r="L307" s="2" t="s">
        <v>844</v>
      </c>
      <c r="M307" s="2" t="s">
        <v>64</v>
      </c>
      <c r="N307" s="2" t="s">
        <v>65</v>
      </c>
      <c r="O307" s="2" t="s">
        <v>864</v>
      </c>
      <c r="P307" s="2"/>
      <c r="Q307" s="2" t="s">
        <v>865</v>
      </c>
      <c r="R307" s="2"/>
    </row>
    <row r="308" spans="1:18">
      <c r="A308" s="2" t="s">
        <v>867</v>
      </c>
      <c r="B308" s="2" t="s">
        <v>868</v>
      </c>
      <c r="C308" s="2" t="s">
        <v>862</v>
      </c>
      <c r="D308" s="2">
        <v>7</v>
      </c>
      <c r="E308" s="2">
        <v>1</v>
      </c>
      <c r="F308" s="3">
        <f>IF(COUNT(D308,E308)=2,D308*E308,NA())</f>
        <v>7.0</v>
      </c>
      <c r="G308" s="2" t="s">
        <v>768</v>
      </c>
      <c r="H308" s="2"/>
      <c r="I308" s="2" t="s">
        <v>61</v>
      </c>
      <c r="J308" s="2" t="s">
        <v>769</v>
      </c>
      <c r="K308" s="2"/>
      <c r="L308" s="2" t="s">
        <v>844</v>
      </c>
      <c r="M308" s="2" t="s">
        <v>64</v>
      </c>
      <c r="N308" s="2" t="s">
        <v>65</v>
      </c>
      <c r="O308" s="2" t="s">
        <v>770</v>
      </c>
      <c r="P308" s="2"/>
      <c r="Q308" s="2" t="s">
        <v>867</v>
      </c>
      <c r="R308" s="2" t="s">
        <v>772</v>
      </c>
    </row>
    <row r="309" spans="1:18">
      <c r="A309" s="2" t="s">
        <v>869</v>
      </c>
      <c r="B309" s="2" t="s">
        <v>870</v>
      </c>
      <c r="C309" s="2" t="s">
        <v>871</v>
      </c>
      <c r="D309" s="2">
        <v>1500</v>
      </c>
      <c r="E309" s="2">
        <v>1000000</v>
      </c>
      <c r="F309" s="3">
        <f>IF(COUNT(D309,E309)=2,D309*E309,NA())</f>
        <v>1500000000.0</v>
      </c>
      <c r="G309" s="2" t="s">
        <v>59</v>
      </c>
      <c r="H309" s="2" t="s">
        <v>60</v>
      </c>
      <c r="I309" s="2" t="s">
        <v>61</v>
      </c>
      <c r="J309" s="2" t="s">
        <v>62</v>
      </c>
      <c r="K309" s="2"/>
      <c r="L309" s="2" t="s">
        <v>872</v>
      </c>
      <c r="M309" s="2" t="s">
        <v>64</v>
      </c>
      <c r="N309" s="2" t="s">
        <v>65</v>
      </c>
      <c r="O309" s="2" t="s">
        <v>11</v>
      </c>
      <c r="P309" s="2"/>
      <c r="Q309" s="2" t="s">
        <v>869</v>
      </c>
      <c r="R309" s="2"/>
    </row>
    <row r="310" spans="1:18">
      <c r="A310" s="2" t="s">
        <v>873</v>
      </c>
      <c r="B310" s="2" t="s">
        <v>874</v>
      </c>
      <c r="C310" s="2" t="s">
        <v>875</v>
      </c>
      <c r="D310" s="2">
        <v>165</v>
      </c>
      <c r="E310" s="2">
        <v>1000000</v>
      </c>
      <c r="F310" s="3">
        <f>IF(COUNT(D310,E310)=2,D310*E310,NA())</f>
        <v>165000000.0</v>
      </c>
      <c r="G310" s="2" t="s">
        <v>59</v>
      </c>
      <c r="H310" s="2" t="s">
        <v>60</v>
      </c>
      <c r="I310" s="2" t="s">
        <v>61</v>
      </c>
      <c r="J310" s="2" t="s">
        <v>62</v>
      </c>
      <c r="K310" s="2"/>
      <c r="L310" s="2" t="s">
        <v>63</v>
      </c>
      <c r="M310" s="2" t="s">
        <v>64</v>
      </c>
      <c r="N310" s="2" t="s">
        <v>65</v>
      </c>
      <c r="O310" s="2" t="s">
        <v>11</v>
      </c>
      <c r="P310" s="2" t="s">
        <v>876</v>
      </c>
      <c r="Q310" s="2" t="s">
        <v>873</v>
      </c>
      <c r="R310" s="2"/>
    </row>
    <row r="311" spans="1:18">
      <c r="A311" s="2" t="s">
        <v>877</v>
      </c>
      <c r="B311" s="2" t="s">
        <v>878</v>
      </c>
      <c r="C311" s="2"/>
      <c r="D311" s="2"/>
      <c r="E311" s="2">
        <v>1</v>
      </c>
      <c r="F311" s="3" t="e">
        <f>IF(COUNT(D311,E311)=2,D311*E311,NA())</f>
        <v>#N/A</v>
      </c>
      <c r="G311" s="2" t="s">
        <v>768</v>
      </c>
      <c r="H311" s="2"/>
      <c r="I311" s="2" t="s">
        <v>61</v>
      </c>
      <c r="J311" s="2" t="s">
        <v>62</v>
      </c>
      <c r="K311" s="2"/>
      <c r="L311" s="2" t="s">
        <v>69</v>
      </c>
      <c r="M311" s="2" t="s">
        <v>64</v>
      </c>
      <c r="N311" s="2" t="s">
        <v>879</v>
      </c>
      <c r="O311" s="2" t="s">
        <v>11</v>
      </c>
      <c r="P311" s="2" t="s">
        <v>880</v>
      </c>
      <c r="Q311" s="2" t="s">
        <v>877</v>
      </c>
      <c r="R311" s="2"/>
    </row>
    <row r="312" spans="1:18">
      <c r="A312" s="2" t="s">
        <v>881</v>
      </c>
      <c r="B312" s="2" t="s">
        <v>882</v>
      </c>
      <c r="C312" s="2"/>
      <c r="D312" s="2"/>
      <c r="E312" s="2">
        <v>1000000</v>
      </c>
      <c r="F312" s="3" t="e">
        <f>IF(COUNT(D312,E312)=2,D312*E312,NA())</f>
        <v>#N/A</v>
      </c>
      <c r="G312" s="2" t="s">
        <v>59</v>
      </c>
      <c r="H312" s="2" t="s">
        <v>60</v>
      </c>
      <c r="I312" s="2" t="s">
        <v>61</v>
      </c>
      <c r="J312" s="2" t="s">
        <v>62</v>
      </c>
      <c r="K312" s="2"/>
      <c r="L312" s="2" t="s">
        <v>69</v>
      </c>
      <c r="M312" s="2" t="s">
        <v>64</v>
      </c>
      <c r="N312" s="2" t="s">
        <v>879</v>
      </c>
      <c r="O312" s="2" t="s">
        <v>11</v>
      </c>
      <c r="P312" s="2" t="s">
        <v>883</v>
      </c>
      <c r="Q312" s="2" t="s">
        <v>881</v>
      </c>
      <c r="R312" s="2"/>
    </row>
    <row r="313" spans="1:18">
      <c r="A313" s="2" t="s">
        <v>884</v>
      </c>
      <c r="B313" s="2" t="s">
        <v>885</v>
      </c>
      <c r="C313" s="2"/>
      <c r="D313" s="2"/>
      <c r="E313" s="2">
        <v>1000000</v>
      </c>
      <c r="F313" s="3" t="e">
        <f>IF(COUNT(D313,E313)=2,D313*E313,NA())</f>
        <v>#N/A</v>
      </c>
      <c r="G313" s="2" t="s">
        <v>59</v>
      </c>
      <c r="H313" s="2" t="s">
        <v>60</v>
      </c>
      <c r="I313" s="2" t="s">
        <v>61</v>
      </c>
      <c r="J313" s="2" t="s">
        <v>62</v>
      </c>
      <c r="K313" s="2"/>
      <c r="L313" s="2" t="s">
        <v>63</v>
      </c>
      <c r="M313" s="2" t="s">
        <v>64</v>
      </c>
      <c r="N313" s="2" t="s">
        <v>879</v>
      </c>
      <c r="O313" s="2" t="s">
        <v>11</v>
      </c>
      <c r="P313" s="2" t="s">
        <v>886</v>
      </c>
      <c r="Q313" s="2" t="s">
        <v>884</v>
      </c>
      <c r="R313" s="2"/>
    </row>
    <row r="314" spans="1:18">
      <c r="A314" s="2" t="s">
        <v>887</v>
      </c>
      <c r="B314" s="2" t="s">
        <v>888</v>
      </c>
      <c r="C314" s="2"/>
      <c r="D314" s="2"/>
      <c r="E314" s="2">
        <v>1000000</v>
      </c>
      <c r="F314" s="3" t="e">
        <f>IF(COUNT(D314,E314)=2,D314*E314,NA())</f>
        <v>#N/A</v>
      </c>
      <c r="G314" s="2" t="s">
        <v>59</v>
      </c>
      <c r="H314" s="2" t="s">
        <v>60</v>
      </c>
      <c r="I314" s="2" t="s">
        <v>61</v>
      </c>
      <c r="J314" s="2" t="s">
        <v>62</v>
      </c>
      <c r="K314" s="2" t="s">
        <v>889</v>
      </c>
      <c r="L314" s="2" t="s">
        <v>7</v>
      </c>
      <c r="M314" s="2" t="s">
        <v>246</v>
      </c>
      <c r="N314" s="2" t="s">
        <v>879</v>
      </c>
      <c r="O314" s="2" t="s">
        <v>11</v>
      </c>
      <c r="P314" s="2" t="s">
        <v>890</v>
      </c>
      <c r="Q314" s="2" t="s">
        <v>887</v>
      </c>
      <c r="R314" s="2"/>
    </row>
    <row r="315" spans="1:18">
      <c r="A315" s="2" t="s">
        <v>891</v>
      </c>
      <c r="B315" s="2" t="s">
        <v>892</v>
      </c>
      <c r="C315" s="2"/>
      <c r="D315" s="2"/>
      <c r="E315" s="2">
        <v>1000000</v>
      </c>
      <c r="F315" s="3" t="e">
        <f>IF(COUNT(D315,E315)=2,D315*E315,NA())</f>
        <v>#N/A</v>
      </c>
      <c r="G315" s="2" t="s">
        <v>59</v>
      </c>
      <c r="H315" s="2" t="s">
        <v>60</v>
      </c>
      <c r="I315" s="2" t="s">
        <v>61</v>
      </c>
      <c r="J315" s="2" t="s">
        <v>769</v>
      </c>
      <c r="K315" s="2"/>
      <c r="L315" s="2" t="s">
        <v>844</v>
      </c>
      <c r="M315" s="2" t="s">
        <v>64</v>
      </c>
      <c r="N315" s="2" t="s">
        <v>879</v>
      </c>
      <c r="O315" s="2" t="s">
        <v>770</v>
      </c>
      <c r="P315" s="2" t="s">
        <v>893</v>
      </c>
      <c r="Q315" s="2" t="s">
        <v>891</v>
      </c>
      <c r="R315" s="2"/>
    </row>
    <row r="316" spans="1:18">
      <c r="A316" s="2" t="s">
        <v>894</v>
      </c>
      <c r="B316" s="2" t="s">
        <v>895</v>
      </c>
      <c r="C316" s="2" t="s">
        <v>896</v>
      </c>
      <c r="D316" s="2">
        <v>8500</v>
      </c>
      <c r="E316" s="2">
        <v>1000000</v>
      </c>
      <c r="F316" s="3">
        <f>IF(COUNT(D316,E316)=2,D316*E316,NA())</f>
        <v>8500000000.0</v>
      </c>
      <c r="G316" s="2" t="s">
        <v>59</v>
      </c>
      <c r="H316" s="2" t="s">
        <v>60</v>
      </c>
      <c r="I316" s="2" t="s">
        <v>61</v>
      </c>
      <c r="J316" s="2" t="s">
        <v>62</v>
      </c>
      <c r="K316" s="2"/>
      <c r="L316" s="2" t="s">
        <v>63</v>
      </c>
      <c r="M316" s="2" t="s">
        <v>64</v>
      </c>
      <c r="N316" s="2" t="s">
        <v>897</v>
      </c>
      <c r="O316" s="2" t="s">
        <v>898</v>
      </c>
      <c r="P316" s="2" t="s">
        <v>899</v>
      </c>
      <c r="Q316" s="2" t="s">
        <v>894</v>
      </c>
      <c r="R316" s="2"/>
    </row>
    <row r="317" spans="1:18">
      <c r="A317" s="2" t="s">
        <v>900</v>
      </c>
      <c r="B317" s="2" t="s">
        <v>901</v>
      </c>
      <c r="C317" s="2" t="s">
        <v>896</v>
      </c>
      <c r="D317" s="2">
        <v>124</v>
      </c>
      <c r="E317" s="2">
        <v>1000000</v>
      </c>
      <c r="F317" s="3">
        <f>IF(COUNT(D317,E317)=2,D317*E317,NA())</f>
        <v>124000000.0</v>
      </c>
      <c r="G317" s="2" t="s">
        <v>59</v>
      </c>
      <c r="H317" s="2" t="s">
        <v>60</v>
      </c>
      <c r="I317" s="2" t="s">
        <v>61</v>
      </c>
      <c r="J317" s="2" t="s">
        <v>62</v>
      </c>
      <c r="K317" s="2"/>
      <c r="L317" s="2" t="s">
        <v>63</v>
      </c>
      <c r="M317" s="2" t="s">
        <v>64</v>
      </c>
      <c r="N317" s="2" t="s">
        <v>897</v>
      </c>
      <c r="O317" s="2" t="s">
        <v>898</v>
      </c>
      <c r="P317" s="2" t="s">
        <v>899</v>
      </c>
      <c r="Q317" s="2" t="s">
        <v>900</v>
      </c>
      <c r="R317" s="2"/>
    </row>
    <row r="318" spans="1:18">
      <c r="A318" s="2" t="s">
        <v>902</v>
      </c>
      <c r="B318" s="2" t="s">
        <v>903</v>
      </c>
      <c r="C318" s="2" t="s">
        <v>896</v>
      </c>
      <c r="D318" s="2">
        <v>127</v>
      </c>
      <c r="E318" s="2">
        <v>1000000</v>
      </c>
      <c r="F318" s="3">
        <f>IF(COUNT(D318,E318)=2,D318*E318,NA())</f>
        <v>127000000.0</v>
      </c>
      <c r="G318" s="2" t="s">
        <v>59</v>
      </c>
      <c r="H318" s="2" t="s">
        <v>60</v>
      </c>
      <c r="I318" s="2" t="s">
        <v>61</v>
      </c>
      <c r="J318" s="2" t="s">
        <v>62</v>
      </c>
      <c r="K318" s="2"/>
      <c r="L318" s="2" t="s">
        <v>63</v>
      </c>
      <c r="M318" s="2" t="s">
        <v>64</v>
      </c>
      <c r="N318" s="2" t="s">
        <v>897</v>
      </c>
      <c r="O318" s="2" t="s">
        <v>898</v>
      </c>
      <c r="P318" s="2" t="s">
        <v>899</v>
      </c>
      <c r="Q318" s="2" t="s">
        <v>902</v>
      </c>
      <c r="R318" s="2"/>
    </row>
    <row r="319" spans="1:18">
      <c r="A319" s="2" t="s">
        <v>904</v>
      </c>
      <c r="B319" s="2" t="s">
        <v>905</v>
      </c>
      <c r="C319" s="2" t="s">
        <v>896</v>
      </c>
      <c r="D319" s="2">
        <v>2002</v>
      </c>
      <c r="E319" s="2">
        <v>1000000</v>
      </c>
      <c r="F319" s="3">
        <f>IF(COUNT(D319,E319)=2,D319*E319,NA())</f>
        <v>2002000000.0</v>
      </c>
      <c r="G319" s="2" t="s">
        <v>59</v>
      </c>
      <c r="H319" s="2" t="s">
        <v>60</v>
      </c>
      <c r="I319" s="2" t="s">
        <v>61</v>
      </c>
      <c r="J319" s="2" t="s">
        <v>62</v>
      </c>
      <c r="K319" s="2"/>
      <c r="L319" s="2" t="s">
        <v>63</v>
      </c>
      <c r="M319" s="2" t="s">
        <v>64</v>
      </c>
      <c r="N319" s="2" t="s">
        <v>897</v>
      </c>
      <c r="O319" s="2" t="s">
        <v>898</v>
      </c>
      <c r="P319" s="2" t="s">
        <v>899</v>
      </c>
      <c r="Q319" s="2" t="s">
        <v>904</v>
      </c>
      <c r="R319" s="2"/>
    </row>
    <row r="320" spans="1:18">
      <c r="A320" s="2" t="s">
        <v>906</v>
      </c>
      <c r="B320" s="2" t="s">
        <v>907</v>
      </c>
      <c r="C320" s="2" t="s">
        <v>896</v>
      </c>
      <c r="D320" s="2">
        <v>6247</v>
      </c>
      <c r="E320" s="2">
        <v>1000000</v>
      </c>
      <c r="F320" s="3">
        <f>IF(COUNT(D320,E320)=2,D320*E320,NA())</f>
        <v>6247000000.0</v>
      </c>
      <c r="G320" s="2" t="s">
        <v>59</v>
      </c>
      <c r="H320" s="2" t="s">
        <v>60</v>
      </c>
      <c r="I320" s="2" t="s">
        <v>61</v>
      </c>
      <c r="J320" s="2" t="s">
        <v>62</v>
      </c>
      <c r="K320" s="2"/>
      <c r="L320" s="2" t="s">
        <v>63</v>
      </c>
      <c r="M320" s="2" t="s">
        <v>64</v>
      </c>
      <c r="N320" s="2" t="s">
        <v>897</v>
      </c>
      <c r="O320" s="2" t="s">
        <v>898</v>
      </c>
      <c r="P320" s="2" t="s">
        <v>899</v>
      </c>
      <c r="Q320" s="2" t="s">
        <v>906</v>
      </c>
      <c r="R320" s="2"/>
    </row>
    <row r="321" spans="1:18">
      <c r="A321" s="2" t="s">
        <v>908</v>
      </c>
      <c r="B321" s="2" t="s">
        <v>909</v>
      </c>
      <c r="C321" s="2" t="s">
        <v>896</v>
      </c>
      <c r="D321" s="2">
        <v>99</v>
      </c>
      <c r="E321" s="2">
        <v>1000000</v>
      </c>
      <c r="F321" s="3">
        <f>IF(COUNT(D321,E321)=2,D321*E321,NA())</f>
        <v>99000000.0</v>
      </c>
      <c r="G321" s="2" t="s">
        <v>59</v>
      </c>
      <c r="H321" s="2" t="s">
        <v>60</v>
      </c>
      <c r="I321" s="2" t="s">
        <v>61</v>
      </c>
      <c r="J321" s="2" t="s">
        <v>62</v>
      </c>
      <c r="K321" s="2"/>
      <c r="L321" s="2" t="s">
        <v>63</v>
      </c>
      <c r="M321" s="2" t="s">
        <v>64</v>
      </c>
      <c r="N321" s="2" t="s">
        <v>65</v>
      </c>
      <c r="O321" s="2" t="s">
        <v>898</v>
      </c>
      <c r="P321" s="2" t="s">
        <v>910</v>
      </c>
      <c r="Q321" s="2" t="s">
        <v>908</v>
      </c>
      <c r="R321" s="2"/>
    </row>
    <row r="322" spans="1:18">
      <c r="A322" s="2" t="s">
        <v>911</v>
      </c>
      <c r="B322" s="2" t="s">
        <v>912</v>
      </c>
      <c r="C322" s="2" t="s">
        <v>896</v>
      </c>
      <c r="D322" s="2">
        <v>6346</v>
      </c>
      <c r="E322" s="2">
        <v>1000000</v>
      </c>
      <c r="F322" s="3">
        <f>IF(COUNT(D322,E322)=2,D322*E322,NA())</f>
        <v>6346000000.0</v>
      </c>
      <c r="G322" s="2" t="s">
        <v>59</v>
      </c>
      <c r="H322" s="2" t="s">
        <v>60</v>
      </c>
      <c r="I322" s="2" t="s">
        <v>61</v>
      </c>
      <c r="J322" s="2" t="s">
        <v>62</v>
      </c>
      <c r="K322" s="2"/>
      <c r="L322" s="2" t="s">
        <v>63</v>
      </c>
      <c r="M322" s="2" t="s">
        <v>64</v>
      </c>
      <c r="N322" s="2" t="s">
        <v>897</v>
      </c>
      <c r="O322" s="2" t="s">
        <v>898</v>
      </c>
      <c r="P322" s="2" t="s">
        <v>899</v>
      </c>
      <c r="Q322" s="2" t="s">
        <v>911</v>
      </c>
      <c r="R322" s="2"/>
    </row>
    <row r="323" spans="1:18">
      <c r="A323" s="2" t="s">
        <v>913</v>
      </c>
      <c r="B323" s="2" t="s">
        <v>914</v>
      </c>
      <c r="C323" s="2" t="s">
        <v>896</v>
      </c>
      <c r="D323" s="2">
        <v>434</v>
      </c>
      <c r="E323" s="2">
        <v>1000000</v>
      </c>
      <c r="F323" s="3">
        <f>IF(COUNT(D323,E323)=2,D323*E323,NA())</f>
        <v>434000000.0</v>
      </c>
      <c r="G323" s="2" t="s">
        <v>59</v>
      </c>
      <c r="H323" s="2" t="s">
        <v>60</v>
      </c>
      <c r="I323" s="2" t="s">
        <v>61</v>
      </c>
      <c r="J323" s="2" t="s">
        <v>62</v>
      </c>
      <c r="K323" s="2"/>
      <c r="L323" s="2" t="s">
        <v>63</v>
      </c>
      <c r="M323" s="2" t="s">
        <v>64</v>
      </c>
      <c r="N323" s="2" t="s">
        <v>897</v>
      </c>
      <c r="O323" s="2" t="s">
        <v>898</v>
      </c>
      <c r="P323" s="2" t="s">
        <v>899</v>
      </c>
      <c r="Q323" s="2" t="s">
        <v>913</v>
      </c>
      <c r="R323" s="2"/>
    </row>
    <row r="324" spans="1:18">
      <c r="A324" s="2" t="s">
        <v>915</v>
      </c>
      <c r="B324" s="2" t="s">
        <v>916</v>
      </c>
      <c r="C324" s="2" t="s">
        <v>896</v>
      </c>
      <c r="D324" s="2">
        <v>10291</v>
      </c>
      <c r="E324" s="2">
        <v>1000000</v>
      </c>
      <c r="F324" s="3">
        <f>IF(COUNT(D324,E324)=2,D324*E324,NA())</f>
        <v>10291000000.0</v>
      </c>
      <c r="G324" s="2" t="s">
        <v>59</v>
      </c>
      <c r="H324" s="2" t="s">
        <v>60</v>
      </c>
      <c r="I324" s="2" t="s">
        <v>61</v>
      </c>
      <c r="J324" s="2" t="s">
        <v>62</v>
      </c>
      <c r="K324" s="2"/>
      <c r="L324" s="2" t="s">
        <v>63</v>
      </c>
      <c r="M324" s="2" t="s">
        <v>64</v>
      </c>
      <c r="N324" s="2" t="s">
        <v>897</v>
      </c>
      <c r="O324" s="2" t="s">
        <v>898</v>
      </c>
      <c r="P324" s="2" t="s">
        <v>899</v>
      </c>
      <c r="Q324" s="2" t="s">
        <v>915</v>
      </c>
      <c r="R324" s="2"/>
    </row>
    <row r="325" spans="1:18">
      <c r="A325" s="2" t="s">
        <v>917</v>
      </c>
      <c r="B325" s="2" t="s">
        <v>918</v>
      </c>
      <c r="C325" s="2" t="s">
        <v>896</v>
      </c>
      <c r="D325" s="2">
        <v>-4478</v>
      </c>
      <c r="E325" s="2">
        <v>1000000</v>
      </c>
      <c r="F325" s="3">
        <f>IF(COUNT(D325,E325)=2,D325*E325,NA())</f>
        <v>-4478000000.0</v>
      </c>
      <c r="G325" s="2" t="s">
        <v>59</v>
      </c>
      <c r="H325" s="2" t="s">
        <v>60</v>
      </c>
      <c r="I325" s="2" t="s">
        <v>61</v>
      </c>
      <c r="J325" s="2" t="s">
        <v>62</v>
      </c>
      <c r="K325" s="2"/>
      <c r="L325" s="2" t="s">
        <v>63</v>
      </c>
      <c r="M325" s="2" t="s">
        <v>64</v>
      </c>
      <c r="N325" s="2" t="s">
        <v>897</v>
      </c>
      <c r="O325" s="2" t="s">
        <v>898</v>
      </c>
      <c r="P325" s="2" t="s">
        <v>899</v>
      </c>
      <c r="Q325" s="2" t="s">
        <v>917</v>
      </c>
      <c r="R325" s="2"/>
    </row>
    <row r="326" spans="1:18">
      <c r="A326" s="2" t="s">
        <v>919</v>
      </c>
      <c r="B326" s="2" t="s">
        <v>920</v>
      </c>
      <c r="C326" s="2" t="s">
        <v>896</v>
      </c>
      <c r="D326" s="2">
        <v>-91</v>
      </c>
      <c r="E326" s="2">
        <v>1000000</v>
      </c>
      <c r="F326" s="3">
        <f>IF(COUNT(D326,E326)=2,D326*E326,NA())</f>
        <v>-91000000.0</v>
      </c>
      <c r="G326" s="2" t="s">
        <v>59</v>
      </c>
      <c r="H326" s="2" t="s">
        <v>60</v>
      </c>
      <c r="I326" s="2" t="s">
        <v>61</v>
      </c>
      <c r="J326" s="2" t="s">
        <v>62</v>
      </c>
      <c r="K326" s="2"/>
      <c r="L326" s="2" t="s">
        <v>63</v>
      </c>
      <c r="M326" s="2" t="s">
        <v>64</v>
      </c>
      <c r="N326" s="2" t="s">
        <v>897</v>
      </c>
      <c r="O326" s="2" t="s">
        <v>898</v>
      </c>
      <c r="P326" s="2" t="s">
        <v>899</v>
      </c>
      <c r="Q326" s="2" t="s">
        <v>919</v>
      </c>
      <c r="R326" s="2"/>
    </row>
    <row r="327" spans="1:18">
      <c r="A327" s="2" t="s">
        <v>921</v>
      </c>
      <c r="B327" s="2" t="s">
        <v>922</v>
      </c>
      <c r="C327" s="2" t="s">
        <v>896</v>
      </c>
      <c r="D327" s="2">
        <v>-1911</v>
      </c>
      <c r="E327" s="2">
        <v>1000000</v>
      </c>
      <c r="F327" s="3">
        <f>IF(COUNT(D327,E327)=2,D327*E327,NA())</f>
        <v>-1911000000.0</v>
      </c>
      <c r="G327" s="2" t="s">
        <v>59</v>
      </c>
      <c r="H327" s="2" t="s">
        <v>60</v>
      </c>
      <c r="I327" s="2" t="s">
        <v>61</v>
      </c>
      <c r="J327" s="2" t="s">
        <v>62</v>
      </c>
      <c r="K327" s="2"/>
      <c r="L327" s="2" t="s">
        <v>63</v>
      </c>
      <c r="M327" s="2" t="s">
        <v>64</v>
      </c>
      <c r="N327" s="2" t="s">
        <v>897</v>
      </c>
      <c r="O327" s="2" t="s">
        <v>898</v>
      </c>
      <c r="P327" s="2" t="s">
        <v>899</v>
      </c>
      <c r="Q327" s="2" t="s">
        <v>921</v>
      </c>
      <c r="R327" s="2"/>
    </row>
    <row r="328" spans="1:18">
      <c r="A328" s="2" t="s">
        <v>923</v>
      </c>
      <c r="B328" s="2" t="s">
        <v>924</v>
      </c>
      <c r="C328" s="2" t="s">
        <v>896</v>
      </c>
      <c r="D328" s="2">
        <v>-1</v>
      </c>
      <c r="E328" s="2">
        <v>1000000</v>
      </c>
      <c r="F328" s="3">
        <f>IF(COUNT(D328,E328)=2,D328*E328,NA())</f>
        <v>-1000000.0</v>
      </c>
      <c r="G328" s="2" t="s">
        <v>59</v>
      </c>
      <c r="H328" s="2" t="s">
        <v>60</v>
      </c>
      <c r="I328" s="2" t="s">
        <v>61</v>
      </c>
      <c r="J328" s="2" t="s">
        <v>62</v>
      </c>
      <c r="K328" s="2"/>
      <c r="L328" s="2" t="s">
        <v>63</v>
      </c>
      <c r="M328" s="2" t="s">
        <v>64</v>
      </c>
      <c r="N328" s="2" t="s">
        <v>897</v>
      </c>
      <c r="O328" s="2" t="s">
        <v>898</v>
      </c>
      <c r="P328" s="2" t="s">
        <v>899</v>
      </c>
      <c r="Q328" s="2" t="s">
        <v>923</v>
      </c>
      <c r="R328" s="2"/>
    </row>
    <row r="329" spans="1:18">
      <c r="A329" s="2" t="s">
        <v>925</v>
      </c>
      <c r="B329" s="2" t="s">
        <v>926</v>
      </c>
      <c r="C329" s="2" t="s">
        <v>896</v>
      </c>
      <c r="D329" s="2">
        <v>762</v>
      </c>
      <c r="E329" s="2">
        <v>1000000</v>
      </c>
      <c r="F329" s="3">
        <f>IF(COUNT(D329,E329)=2,D329*E329,NA())</f>
        <v>762000000.0</v>
      </c>
      <c r="G329" s="2" t="s">
        <v>59</v>
      </c>
      <c r="H329" s="2" t="s">
        <v>60</v>
      </c>
      <c r="I329" s="2" t="s">
        <v>61</v>
      </c>
      <c r="J329" s="2" t="s">
        <v>62</v>
      </c>
      <c r="K329" s="2"/>
      <c r="L329" s="2" t="s">
        <v>63</v>
      </c>
      <c r="M329" s="2" t="s">
        <v>64</v>
      </c>
      <c r="N329" s="2" t="s">
        <v>897</v>
      </c>
      <c r="O329" s="2" t="s">
        <v>898</v>
      </c>
      <c r="P329" s="2" t="s">
        <v>899</v>
      </c>
      <c r="Q329" s="2" t="s">
        <v>925</v>
      </c>
      <c r="R329" s="2"/>
    </row>
    <row r="330" spans="1:18">
      <c r="A330" s="2" t="s">
        <v>927</v>
      </c>
      <c r="B330" s="2" t="s">
        <v>928</v>
      </c>
      <c r="C330" s="2" t="s">
        <v>896</v>
      </c>
      <c r="D330" s="2">
        <v>1552</v>
      </c>
      <c r="E330" s="2">
        <v>1000000</v>
      </c>
      <c r="F330" s="3">
        <f>IF(COUNT(D330,E330)=2,D330*E330,NA())</f>
        <v>1552000000.0</v>
      </c>
      <c r="G330" s="2" t="s">
        <v>59</v>
      </c>
      <c r="H330" s="2" t="s">
        <v>60</v>
      </c>
      <c r="I330" s="2" t="s">
        <v>61</v>
      </c>
      <c r="J330" s="2" t="s">
        <v>62</v>
      </c>
      <c r="K330" s="2"/>
      <c r="L330" s="2" t="s">
        <v>63</v>
      </c>
      <c r="M330" s="2" t="s">
        <v>64</v>
      </c>
      <c r="N330" s="2" t="s">
        <v>897</v>
      </c>
      <c r="O330" s="2" t="s">
        <v>898</v>
      </c>
      <c r="P330" s="2" t="s">
        <v>899</v>
      </c>
      <c r="Q330" s="2" t="s">
        <v>927</v>
      </c>
      <c r="R330" s="2"/>
    </row>
    <row r="331" spans="1:18">
      <c r="A331" s="2" t="s">
        <v>929</v>
      </c>
      <c r="B331" s="2" t="s">
        <v>930</v>
      </c>
      <c r="C331" s="2" t="s">
        <v>896</v>
      </c>
      <c r="D331" s="2">
        <v>-4317</v>
      </c>
      <c r="E331" s="2">
        <v>1000000</v>
      </c>
      <c r="F331" s="3">
        <f>IF(COUNT(D331,E331)=2,D331*E331,NA())</f>
        <v>-4317000000.0</v>
      </c>
      <c r="G331" s="2" t="s">
        <v>59</v>
      </c>
      <c r="H331" s="2" t="s">
        <v>60</v>
      </c>
      <c r="I331" s="2" t="s">
        <v>61</v>
      </c>
      <c r="J331" s="2" t="s">
        <v>62</v>
      </c>
      <c r="K331" s="2"/>
      <c r="L331" s="2" t="s">
        <v>63</v>
      </c>
      <c r="M331" s="2" t="s">
        <v>64</v>
      </c>
      <c r="N331" s="2" t="s">
        <v>897</v>
      </c>
      <c r="O331" s="2" t="s">
        <v>898</v>
      </c>
      <c r="P331" s="2" t="s">
        <v>899</v>
      </c>
      <c r="Q331" s="2" t="s">
        <v>929</v>
      </c>
      <c r="R331" s="2"/>
    </row>
    <row r="332" spans="1:18">
      <c r="A332" s="2" t="s">
        <v>931</v>
      </c>
      <c r="B332" s="2" t="s">
        <v>932</v>
      </c>
      <c r="C332" s="2" t="s">
        <v>896</v>
      </c>
      <c r="D332" s="2">
        <v>-161</v>
      </c>
      <c r="E332" s="2">
        <v>1000000</v>
      </c>
      <c r="F332" s="3">
        <f>IF(COUNT(D332,E332)=2,D332*E332,NA())</f>
        <v>-161000000.0</v>
      </c>
      <c r="G332" s="2" t="s">
        <v>59</v>
      </c>
      <c r="H332" s="2" t="s">
        <v>60</v>
      </c>
      <c r="I332" s="2" t="s">
        <v>61</v>
      </c>
      <c r="J332" s="2" t="s">
        <v>62</v>
      </c>
      <c r="K332" s="2"/>
      <c r="L332" s="2" t="s">
        <v>63</v>
      </c>
      <c r="M332" s="2" t="s">
        <v>64</v>
      </c>
      <c r="N332" s="2" t="s">
        <v>897</v>
      </c>
      <c r="O332" s="2" t="s">
        <v>898</v>
      </c>
      <c r="P332" s="2" t="s">
        <v>899</v>
      </c>
      <c r="Q332" s="2" t="s">
        <v>931</v>
      </c>
      <c r="R332" s="2"/>
    </row>
    <row r="333" spans="1:18">
      <c r="A333" s="2" t="s">
        <v>933</v>
      </c>
      <c r="B333" s="2" t="s">
        <v>934</v>
      </c>
      <c r="C333" s="2" t="s">
        <v>896</v>
      </c>
      <c r="D333" s="2">
        <v>-1635</v>
      </c>
      <c r="E333" s="2">
        <v>1000000</v>
      </c>
      <c r="F333" s="3">
        <f>IF(COUNT(D333,E333)=2,D333*E333,NA())</f>
        <v>-1635000000.0</v>
      </c>
      <c r="G333" s="2" t="s">
        <v>59</v>
      </c>
      <c r="H333" s="2" t="s">
        <v>60</v>
      </c>
      <c r="I333" s="2" t="s">
        <v>61</v>
      </c>
      <c r="J333" s="2" t="s">
        <v>62</v>
      </c>
      <c r="K333" s="2"/>
      <c r="L333" s="2" t="s">
        <v>63</v>
      </c>
      <c r="M333" s="2" t="s">
        <v>64</v>
      </c>
      <c r="N333" s="2" t="s">
        <v>65</v>
      </c>
      <c r="O333" s="2" t="s">
        <v>898</v>
      </c>
      <c r="P333" s="2" t="s">
        <v>910</v>
      </c>
      <c r="Q333" s="2" t="s">
        <v>933</v>
      </c>
      <c r="R333" s="2"/>
    </row>
    <row r="334" spans="1:18">
      <c r="A334" s="2" t="s">
        <v>935</v>
      </c>
      <c r="B334" s="2" t="s">
        <v>936</v>
      </c>
      <c r="C334" s="2" t="s">
        <v>896</v>
      </c>
      <c r="D334" s="2">
        <v>-1796</v>
      </c>
      <c r="E334" s="2">
        <v>1000000</v>
      </c>
      <c r="F334" s="3">
        <f>IF(COUNT(D334,E334)=2,D334*E334,NA())</f>
        <v>-1796000000.0</v>
      </c>
      <c r="G334" s="2" t="s">
        <v>59</v>
      </c>
      <c r="H334" s="2" t="s">
        <v>60</v>
      </c>
      <c r="I334" s="2" t="s">
        <v>61</v>
      </c>
      <c r="J334" s="2" t="s">
        <v>62</v>
      </c>
      <c r="K334" s="2"/>
      <c r="L334" s="2" t="s">
        <v>63</v>
      </c>
      <c r="M334" s="2" t="s">
        <v>64</v>
      </c>
      <c r="N334" s="2" t="s">
        <v>897</v>
      </c>
      <c r="O334" s="2" t="s">
        <v>898</v>
      </c>
      <c r="P334" s="2" t="s">
        <v>899</v>
      </c>
      <c r="Q334" s="2" t="s">
        <v>935</v>
      </c>
      <c r="R334" s="2"/>
    </row>
    <row r="335" spans="1:18">
      <c r="A335" s="2" t="s">
        <v>937</v>
      </c>
      <c r="B335" s="2" t="s">
        <v>938</v>
      </c>
      <c r="C335" s="2" t="s">
        <v>939</v>
      </c>
      <c r="D335" s="2">
        <v>1103</v>
      </c>
      <c r="E335" s="2">
        <v>1000000</v>
      </c>
      <c r="F335" s="3">
        <f>IF(COUNT(D335,E335)=2,D335*E335,NA())</f>
        <v>1103000000.0</v>
      </c>
      <c r="G335" s="2" t="s">
        <v>59</v>
      </c>
      <c r="H335" s="2" t="s">
        <v>60</v>
      </c>
      <c r="I335" s="2" t="s">
        <v>61</v>
      </c>
      <c r="J335" s="2" t="s">
        <v>62</v>
      </c>
      <c r="K335" s="2" t="s">
        <v>245</v>
      </c>
      <c r="L335" s="2" t="s">
        <v>63</v>
      </c>
      <c r="M335" s="2" t="s">
        <v>246</v>
      </c>
      <c r="N335" s="2" t="s">
        <v>65</v>
      </c>
      <c r="O335" s="2" t="s">
        <v>898</v>
      </c>
      <c r="P335" s="2" t="s">
        <v>910</v>
      </c>
      <c r="Q335" s="2" t="s">
        <v>937</v>
      </c>
      <c r="R335" s="2"/>
    </row>
    <row r="336" spans="1:18">
      <c r="A336" s="2" t="s">
        <v>940</v>
      </c>
      <c r="B336" s="2" t="s">
        <v>941</v>
      </c>
      <c r="C336" s="2" t="s">
        <v>939</v>
      </c>
      <c r="D336" s="2">
        <v>-972</v>
      </c>
      <c r="E336" s="2">
        <v>1000000</v>
      </c>
      <c r="F336" s="3">
        <f>IF(COUNT(D336,E336)=2,D336*E336,NA())</f>
        <v>-972000000.0</v>
      </c>
      <c r="G336" s="2" t="s">
        <v>59</v>
      </c>
      <c r="H336" s="2" t="s">
        <v>60</v>
      </c>
      <c r="I336" s="2" t="s">
        <v>61</v>
      </c>
      <c r="J336" s="2" t="s">
        <v>62</v>
      </c>
      <c r="K336" s="2" t="s">
        <v>245</v>
      </c>
      <c r="L336" s="2" t="s">
        <v>63</v>
      </c>
      <c r="M336" s="2" t="s">
        <v>246</v>
      </c>
      <c r="N336" s="2" t="s">
        <v>65</v>
      </c>
      <c r="O336" s="2" t="s">
        <v>898</v>
      </c>
      <c r="P336" s="2" t="s">
        <v>910</v>
      </c>
      <c r="Q336" s="2" t="s">
        <v>940</v>
      </c>
      <c r="R336" s="2"/>
    </row>
    <row r="337" spans="1:18">
      <c r="A337" s="2" t="s">
        <v>942</v>
      </c>
      <c r="B337" s="2" t="s">
        <v>943</v>
      </c>
      <c r="C337" s="2" t="s">
        <v>939</v>
      </c>
      <c r="D337" s="2">
        <v>85</v>
      </c>
      <c r="E337" s="2">
        <v>1000000</v>
      </c>
      <c r="F337" s="3">
        <f>IF(COUNT(D337,E337)=2,D337*E337,NA())</f>
        <v>85000000.0</v>
      </c>
      <c r="G337" s="2" t="s">
        <v>59</v>
      </c>
      <c r="H337" s="2" t="s">
        <v>60</v>
      </c>
      <c r="I337" s="2" t="s">
        <v>61</v>
      </c>
      <c r="J337" s="2" t="s">
        <v>62</v>
      </c>
      <c r="K337" s="2" t="s">
        <v>245</v>
      </c>
      <c r="L337" s="2" t="s">
        <v>63</v>
      </c>
      <c r="M337" s="2" t="s">
        <v>246</v>
      </c>
      <c r="N337" s="2" t="s">
        <v>897</v>
      </c>
      <c r="O337" s="2" t="s">
        <v>898</v>
      </c>
      <c r="P337" s="2" t="s">
        <v>899</v>
      </c>
      <c r="Q337" s="2" t="s">
        <v>942</v>
      </c>
      <c r="R337" s="2"/>
    </row>
    <row r="338" spans="1:18">
      <c r="A338" s="2" t="s">
        <v>944</v>
      </c>
      <c r="B338" s="2" t="s">
        <v>945</v>
      </c>
      <c r="C338" s="2" t="s">
        <v>939</v>
      </c>
      <c r="D338" s="2">
        <v>-887</v>
      </c>
      <c r="E338" s="2">
        <v>1000000</v>
      </c>
      <c r="F338" s="3">
        <f>IF(COUNT(D338,E338)=2,D338*E338,NA())</f>
        <v>-887000000.0</v>
      </c>
      <c r="G338" s="2" t="s">
        <v>59</v>
      </c>
      <c r="H338" s="2" t="s">
        <v>60</v>
      </c>
      <c r="I338" s="2" t="s">
        <v>61</v>
      </c>
      <c r="J338" s="2" t="s">
        <v>62</v>
      </c>
      <c r="K338" s="2" t="s">
        <v>245</v>
      </c>
      <c r="L338" s="2" t="s">
        <v>63</v>
      </c>
      <c r="M338" s="2" t="s">
        <v>246</v>
      </c>
      <c r="N338" s="2" t="s">
        <v>897</v>
      </c>
      <c r="O338" s="2" t="s">
        <v>898</v>
      </c>
      <c r="P338" s="2" t="s">
        <v>899</v>
      </c>
      <c r="Q338" s="2" t="s">
        <v>944</v>
      </c>
      <c r="R338" s="2"/>
    </row>
    <row r="339" spans="1:18">
      <c r="A339" s="2" t="s">
        <v>946</v>
      </c>
      <c r="B339" s="2" t="s">
        <v>947</v>
      </c>
      <c r="C339" s="2" t="s">
        <v>939</v>
      </c>
      <c r="D339" s="2">
        <v>1188</v>
      </c>
      <c r="E339" s="2">
        <v>1000000</v>
      </c>
      <c r="F339" s="3">
        <f>IF(COUNT(D339,E339)=2,D339*E339,NA())</f>
        <v>1188000000.0</v>
      </c>
      <c r="G339" s="2" t="s">
        <v>59</v>
      </c>
      <c r="H339" s="2" t="s">
        <v>60</v>
      </c>
      <c r="I339" s="2" t="s">
        <v>61</v>
      </c>
      <c r="J339" s="2" t="s">
        <v>62</v>
      </c>
      <c r="K339" s="2" t="s">
        <v>245</v>
      </c>
      <c r="L339" s="2" t="s">
        <v>63</v>
      </c>
      <c r="M339" s="2" t="s">
        <v>246</v>
      </c>
      <c r="N339" s="2" t="s">
        <v>897</v>
      </c>
      <c r="O339" s="2" t="s">
        <v>898</v>
      </c>
      <c r="P339" s="2" t="s">
        <v>899</v>
      </c>
      <c r="Q339" s="2" t="s">
        <v>946</v>
      </c>
      <c r="R339" s="2"/>
    </row>
    <row r="340" spans="1:18">
      <c r="A340" s="2" t="s">
        <v>948</v>
      </c>
      <c r="B340" s="2" t="s">
        <v>949</v>
      </c>
      <c r="C340" s="2" t="s">
        <v>657</v>
      </c>
      <c r="D340" s="2">
        <v>4958</v>
      </c>
      <c r="E340" s="2">
        <v>1000000</v>
      </c>
      <c r="F340" s="3">
        <f>IF(COUNT(D340,E340)=2,D340*E340,NA())</f>
        <v>4958000000.0</v>
      </c>
      <c r="G340" s="2" t="s">
        <v>59</v>
      </c>
      <c r="H340" s="2" t="s">
        <v>60</v>
      </c>
      <c r="I340" s="2" t="s">
        <v>61</v>
      </c>
      <c r="J340" s="2" t="s">
        <v>950</v>
      </c>
      <c r="K340" s="2"/>
      <c r="L340" s="2" t="s">
        <v>524</v>
      </c>
      <c r="M340" s="2" t="s">
        <v>64</v>
      </c>
      <c r="N340" s="2" t="s">
        <v>65</v>
      </c>
      <c r="O340" s="2" t="s">
        <v>11</v>
      </c>
      <c r="P340" s="2" t="s">
        <v>951</v>
      </c>
      <c r="Q340" s="2" t="s">
        <v>948</v>
      </c>
      <c r="R340" s="2"/>
    </row>
    <row r="341" spans="1:18">
      <c r="A341" s="2" t="s">
        <v>952</v>
      </c>
      <c r="B341" s="2" t="s">
        <v>953</v>
      </c>
      <c r="C341" s="2" t="s">
        <v>657</v>
      </c>
      <c r="D341" s="2">
        <v>4958</v>
      </c>
      <c r="E341" s="2">
        <v>1000000</v>
      </c>
      <c r="F341" s="3">
        <f>IF(COUNT(D341,E341)=2,D341*E341,NA())</f>
        <v>4958000000.0</v>
      </c>
      <c r="G341" s="2" t="s">
        <v>59</v>
      </c>
      <c r="H341" s="2" t="s">
        <v>60</v>
      </c>
      <c r="I341" s="2" t="s">
        <v>61</v>
      </c>
      <c r="J341" s="2" t="s">
        <v>950</v>
      </c>
      <c r="K341" s="2" t="s">
        <v>250</v>
      </c>
      <c r="L341" s="2" t="s">
        <v>69</v>
      </c>
      <c r="M341" s="2" t="s">
        <v>246</v>
      </c>
      <c r="N341" s="2" t="s">
        <v>65</v>
      </c>
      <c r="O341" s="2" t="s">
        <v>11</v>
      </c>
      <c r="P341" s="2" t="s">
        <v>951</v>
      </c>
      <c r="Q341" s="2" t="s">
        <v>952</v>
      </c>
      <c r="R341" s="2"/>
    </row>
    <row r="342" spans="1:18">
      <c r="A342" s="2" t="s">
        <v>954</v>
      </c>
      <c r="B342" s="2" t="s">
        <v>955</v>
      </c>
      <c r="C342" s="2" t="s">
        <v>657</v>
      </c>
      <c r="D342" s="2">
        <v>0</v>
      </c>
      <c r="E342" s="2">
        <v>1000000</v>
      </c>
      <c r="F342" s="3">
        <f>IF(COUNT(D342,E342)=2,D342*E342,NA())</f>
        <v>0.0</v>
      </c>
      <c r="G342" s="2" t="s">
        <v>59</v>
      </c>
      <c r="H342" s="2" t="s">
        <v>60</v>
      </c>
      <c r="I342" s="2" t="s">
        <v>61</v>
      </c>
      <c r="J342" s="2" t="s">
        <v>950</v>
      </c>
      <c r="K342" s="2"/>
      <c r="L342" s="2" t="s">
        <v>69</v>
      </c>
      <c r="M342" s="2" t="s">
        <v>64</v>
      </c>
      <c r="N342" s="2" t="s">
        <v>65</v>
      </c>
      <c r="O342" s="2" t="s">
        <v>11</v>
      </c>
      <c r="P342" s="2" t="s">
        <v>951</v>
      </c>
      <c r="Q342" s="2" t="s">
        <v>954</v>
      </c>
      <c r="R342" s="2"/>
    </row>
    <row r="343" spans="1:18">
      <c r="A343" s="2" t="s">
        <v>956</v>
      </c>
      <c r="B343" s="2" t="s">
        <v>957</v>
      </c>
      <c r="C343" s="2" t="s">
        <v>657</v>
      </c>
      <c r="D343" s="2">
        <v>5127</v>
      </c>
      <c r="E343" s="2">
        <v>1000000</v>
      </c>
      <c r="F343" s="3">
        <f>IF(COUNT(D343,E343)=2,D343*E343,NA())</f>
        <v>5127000000.0</v>
      </c>
      <c r="G343" s="2" t="s">
        <v>59</v>
      </c>
      <c r="H343" s="2" t="s">
        <v>60</v>
      </c>
      <c r="I343" s="2" t="s">
        <v>61</v>
      </c>
      <c r="J343" s="2" t="s">
        <v>958</v>
      </c>
      <c r="K343" s="2"/>
      <c r="L343" s="2" t="s">
        <v>69</v>
      </c>
      <c r="M343" s="2" t="s">
        <v>64</v>
      </c>
      <c r="N343" s="2" t="s">
        <v>65</v>
      </c>
      <c r="O343" s="2" t="s">
        <v>11</v>
      </c>
      <c r="P343" s="2" t="s">
        <v>959</v>
      </c>
      <c r="Q343" s="2" t="s">
        <v>956</v>
      </c>
      <c r="R343" s="2"/>
    </row>
    <row r="344" spans="1:18">
      <c r="A344" s="2" t="s">
        <v>960</v>
      </c>
      <c r="B344" s="2" t="s">
        <v>961</v>
      </c>
      <c r="C344" s="2" t="s">
        <v>962</v>
      </c>
      <c r="D344" s="2">
        <v>4250</v>
      </c>
      <c r="E344" s="2">
        <v>1000000</v>
      </c>
      <c r="F344" s="3">
        <f>IF(COUNT(D344,E344)=2,D344*E344,NA())</f>
        <v>4250000000.0</v>
      </c>
      <c r="G344" s="2" t="s">
        <v>59</v>
      </c>
      <c r="H344" s="2" t="s">
        <v>60</v>
      </c>
      <c r="I344" s="2" t="s">
        <v>61</v>
      </c>
      <c r="J344" s="2" t="s">
        <v>62</v>
      </c>
      <c r="K344" s="2"/>
      <c r="L344" s="2" t="s">
        <v>963</v>
      </c>
      <c r="M344" s="2" t="s">
        <v>64</v>
      </c>
      <c r="N344" s="2" t="s">
        <v>65</v>
      </c>
      <c r="O344" s="2" t="s">
        <v>964</v>
      </c>
      <c r="P344" s="2" t="s">
        <v>965</v>
      </c>
      <c r="Q344" s="2" t="s">
        <v>960</v>
      </c>
      <c r="R344" s="2"/>
    </row>
    <row r="345" spans="1:18">
      <c r="A345" s="2" t="s">
        <v>966</v>
      </c>
      <c r="B345" s="2" t="s">
        <v>967</v>
      </c>
      <c r="C345" s="2" t="s">
        <v>962</v>
      </c>
      <c r="D345" s="2">
        <v>4250</v>
      </c>
      <c r="E345" s="2">
        <v>1000000</v>
      </c>
      <c r="F345" s="3">
        <f>IF(COUNT(D345,E345)=2,D345*E345,NA())</f>
        <v>4250000000.0</v>
      </c>
      <c r="G345" s="2" t="s">
        <v>59</v>
      </c>
      <c r="H345" s="2" t="s">
        <v>60</v>
      </c>
      <c r="I345" s="2" t="s">
        <v>61</v>
      </c>
      <c r="J345" s="2" t="s">
        <v>62</v>
      </c>
      <c r="K345" s="2"/>
      <c r="L345" s="2" t="s">
        <v>963</v>
      </c>
      <c r="M345" s="2" t="s">
        <v>64</v>
      </c>
      <c r="N345" s="2" t="s">
        <v>65</v>
      </c>
      <c r="O345" s="2" t="s">
        <v>964</v>
      </c>
      <c r="P345" s="2" t="s">
        <v>965</v>
      </c>
      <c r="Q345" s="2" t="s">
        <v>966</v>
      </c>
      <c r="R345" s="2"/>
    </row>
    <row r="346" spans="1:18">
      <c r="A346" s="2" t="s">
        <v>968</v>
      </c>
      <c r="B346" s="2" t="s">
        <v>969</v>
      </c>
      <c r="C346" s="2" t="s">
        <v>970</v>
      </c>
      <c r="D346" s="2">
        <v>599</v>
      </c>
      <c r="E346" s="2">
        <v>1000000</v>
      </c>
      <c r="F346" s="3">
        <f>IF(COUNT(D346,E346)=2,D346*E346,NA())</f>
        <v>599000000.0</v>
      </c>
      <c r="G346" s="2" t="s">
        <v>59</v>
      </c>
      <c r="H346" s="2" t="s">
        <v>60</v>
      </c>
      <c r="I346" s="2" t="s">
        <v>61</v>
      </c>
      <c r="J346" s="2" t="s">
        <v>62</v>
      </c>
      <c r="K346" s="2" t="s">
        <v>245</v>
      </c>
      <c r="L346" s="2" t="s">
        <v>63</v>
      </c>
      <c r="M346" s="2" t="s">
        <v>246</v>
      </c>
      <c r="N346" s="2" t="s">
        <v>65</v>
      </c>
      <c r="O346" s="2" t="s">
        <v>11</v>
      </c>
      <c r="P346" s="2"/>
      <c r="Q346" s="2" t="s">
        <v>968</v>
      </c>
      <c r="R346" s="2"/>
    </row>
    <row r="347" spans="1:18">
      <c r="A347" s="2" t="s">
        <v>971</v>
      </c>
      <c r="B347" s="2" t="s">
        <v>972</v>
      </c>
      <c r="C347" s="2" t="s">
        <v>970</v>
      </c>
      <c r="D347" s="2">
        <v>147</v>
      </c>
      <c r="E347" s="2">
        <v>1000000</v>
      </c>
      <c r="F347" s="3">
        <f>IF(COUNT(D347,E347)=2,D347*E347,NA())</f>
        <v>147000000.0</v>
      </c>
      <c r="G347" s="2" t="s">
        <v>59</v>
      </c>
      <c r="H347" s="2" t="s">
        <v>60</v>
      </c>
      <c r="I347" s="2" t="s">
        <v>61</v>
      </c>
      <c r="J347" s="2" t="s">
        <v>62</v>
      </c>
      <c r="K347" s="2" t="s">
        <v>245</v>
      </c>
      <c r="L347" s="2" t="s">
        <v>63</v>
      </c>
      <c r="M347" s="2" t="s">
        <v>246</v>
      </c>
      <c r="N347" s="2" t="s">
        <v>65</v>
      </c>
      <c r="O347" s="2" t="s">
        <v>11</v>
      </c>
      <c r="P347" s="2"/>
      <c r="Q347" s="2" t="s">
        <v>971</v>
      </c>
      <c r="R347" s="2"/>
    </row>
    <row r="348" spans="1:18">
      <c r="A348" s="2" t="s">
        <v>973</v>
      </c>
      <c r="B348" s="2" t="s">
        <v>974</v>
      </c>
      <c r="C348" s="2" t="s">
        <v>975</v>
      </c>
      <c r="D348" s="2">
        <v>519</v>
      </c>
      <c r="E348" s="2">
        <v>1000000</v>
      </c>
      <c r="F348" s="3">
        <f>IF(COUNT(D348,E348)=2,D348*E348,NA())</f>
        <v>519000000.0</v>
      </c>
      <c r="G348" s="2" t="s">
        <v>59</v>
      </c>
      <c r="H348" s="2" t="s">
        <v>60</v>
      </c>
      <c r="I348" s="2" t="s">
        <v>61</v>
      </c>
      <c r="J348" s="2" t="s">
        <v>62</v>
      </c>
      <c r="K348" s="2" t="s">
        <v>245</v>
      </c>
      <c r="L348" s="2" t="s">
        <v>63</v>
      </c>
      <c r="M348" s="2" t="s">
        <v>246</v>
      </c>
      <c r="N348" s="2" t="s">
        <v>65</v>
      </c>
      <c r="O348" s="2" t="s">
        <v>11</v>
      </c>
      <c r="P348" s="2"/>
      <c r="Q348" s="2" t="s">
        <v>973</v>
      </c>
      <c r="R348" s="2"/>
    </row>
    <row r="349" spans="1:18">
      <c r="A349" s="2" t="s">
        <v>976</v>
      </c>
      <c r="B349" s="2" t="s">
        <v>977</v>
      </c>
      <c r="C349" s="2" t="s">
        <v>978</v>
      </c>
      <c r="D349" s="2">
        <v>956</v>
      </c>
      <c r="E349" s="2">
        <v>1000000</v>
      </c>
      <c r="F349" s="3">
        <f>IF(COUNT(D349,E349)=2,D349*E349,NA())</f>
        <v>956000000.0</v>
      </c>
      <c r="G349" s="2" t="s">
        <v>59</v>
      </c>
      <c r="H349" s="2" t="s">
        <v>60</v>
      </c>
      <c r="I349" s="2" t="s">
        <v>61</v>
      </c>
      <c r="J349" s="2" t="s">
        <v>62</v>
      </c>
      <c r="K349" s="2" t="s">
        <v>245</v>
      </c>
      <c r="L349" s="2" t="s">
        <v>63</v>
      </c>
      <c r="M349" s="2" t="s">
        <v>246</v>
      </c>
      <c r="N349" s="2" t="s">
        <v>65</v>
      </c>
      <c r="O349" s="2" t="s">
        <v>11</v>
      </c>
      <c r="P349" s="2"/>
      <c r="Q349" s="2" t="s">
        <v>976</v>
      </c>
      <c r="R349" s="2"/>
    </row>
    <row r="350" spans="1:18">
      <c r="A350" s="2" t="s">
        <v>979</v>
      </c>
      <c r="B350" s="2" t="s">
        <v>980</v>
      </c>
      <c r="C350" s="2" t="s">
        <v>978</v>
      </c>
      <c r="D350" s="2">
        <v>31</v>
      </c>
      <c r="E350" s="2">
        <v>1000000</v>
      </c>
      <c r="F350" s="3">
        <f>IF(COUNT(D350,E350)=2,D350*E350,NA())</f>
        <v>31000000.0</v>
      </c>
      <c r="G350" s="2" t="s">
        <v>59</v>
      </c>
      <c r="H350" s="2" t="s">
        <v>60</v>
      </c>
      <c r="I350" s="2" t="s">
        <v>61</v>
      </c>
      <c r="J350" s="2" t="s">
        <v>62</v>
      </c>
      <c r="K350" s="2" t="s">
        <v>245</v>
      </c>
      <c r="L350" s="2" t="s">
        <v>63</v>
      </c>
      <c r="M350" s="2" t="s">
        <v>246</v>
      </c>
      <c r="N350" s="2" t="s">
        <v>65</v>
      </c>
      <c r="O350" s="2" t="s">
        <v>11</v>
      </c>
      <c r="P350" s="2"/>
      <c r="Q350" s="2" t="s">
        <v>979</v>
      </c>
      <c r="R350" s="2"/>
    </row>
    <row r="351" spans="1:18">
      <c r="A351" s="2" t="s">
        <v>981</v>
      </c>
      <c r="B351" s="2" t="s">
        <v>982</v>
      </c>
      <c r="C351" s="2" t="s">
        <v>978</v>
      </c>
      <c r="D351" s="2">
        <v>15</v>
      </c>
      <c r="E351" s="2">
        <v>1000000</v>
      </c>
      <c r="F351" s="3">
        <f>IF(COUNT(D351,E351)=2,D351*E351,NA())</f>
        <v>15000000.0</v>
      </c>
      <c r="G351" s="2" t="s">
        <v>59</v>
      </c>
      <c r="H351" s="2" t="s">
        <v>60</v>
      </c>
      <c r="I351" s="2" t="s">
        <v>61</v>
      </c>
      <c r="J351" s="2" t="s">
        <v>62</v>
      </c>
      <c r="K351" s="2" t="s">
        <v>245</v>
      </c>
      <c r="L351" s="2" t="s">
        <v>63</v>
      </c>
      <c r="M351" s="2" t="s">
        <v>246</v>
      </c>
      <c r="N351" s="2" t="s">
        <v>65</v>
      </c>
      <c r="O351" s="2" t="s">
        <v>11</v>
      </c>
      <c r="P351" s="2"/>
      <c r="Q351" s="2" t="s">
        <v>981</v>
      </c>
      <c r="R351" s="2"/>
    </row>
    <row r="352" spans="1:18">
      <c r="A352" s="2" t="s">
        <v>983</v>
      </c>
      <c r="B352" s="2" t="s">
        <v>984</v>
      </c>
      <c r="C352" s="2" t="s">
        <v>985</v>
      </c>
      <c r="D352" s="2">
        <v>965</v>
      </c>
      <c r="E352" s="2">
        <v>1000000</v>
      </c>
      <c r="F352" s="3">
        <f>IF(COUNT(D352,E352)=2,D352*E352,NA())</f>
        <v>965000000.0</v>
      </c>
      <c r="G352" s="2" t="s">
        <v>59</v>
      </c>
      <c r="H352" s="2" t="s">
        <v>60</v>
      </c>
      <c r="I352" s="2" t="s">
        <v>61</v>
      </c>
      <c r="J352" s="2" t="s">
        <v>62</v>
      </c>
      <c r="K352" s="2" t="s">
        <v>245</v>
      </c>
      <c r="L352" s="2" t="s">
        <v>63</v>
      </c>
      <c r="M352" s="2" t="s">
        <v>246</v>
      </c>
      <c r="N352" s="2" t="s">
        <v>65</v>
      </c>
      <c r="O352" s="2" t="s">
        <v>11</v>
      </c>
      <c r="P352" s="2"/>
      <c r="Q352" s="2" t="s">
        <v>983</v>
      </c>
      <c r="R352" s="2"/>
    </row>
    <row r="353" spans="1:18">
      <c r="A353" s="2" t="s">
        <v>986</v>
      </c>
      <c r="B353" s="2" t="s">
        <v>987</v>
      </c>
      <c r="C353" s="2" t="s">
        <v>978</v>
      </c>
      <c r="D353" s="2">
        <v>15</v>
      </c>
      <c r="E353" s="2">
        <v>1000000</v>
      </c>
      <c r="F353" s="3">
        <f>IF(COUNT(D353,E353)=2,D353*E353,NA())</f>
        <v>15000000.0</v>
      </c>
      <c r="G353" s="2" t="s">
        <v>59</v>
      </c>
      <c r="H353" s="2" t="s">
        <v>60</v>
      </c>
      <c r="I353" s="2" t="s">
        <v>61</v>
      </c>
      <c r="J353" s="2" t="s">
        <v>62</v>
      </c>
      <c r="K353" s="2" t="s">
        <v>245</v>
      </c>
      <c r="L353" s="2" t="s">
        <v>63</v>
      </c>
      <c r="M353" s="2" t="s">
        <v>246</v>
      </c>
      <c r="N353" s="2" t="s">
        <v>65</v>
      </c>
      <c r="O353" s="2" t="s">
        <v>11</v>
      </c>
      <c r="P353" s="2"/>
      <c r="Q353" s="2" t="s">
        <v>986</v>
      </c>
      <c r="R353" s="2"/>
    </row>
    <row r="354" spans="1:18">
      <c r="A354" s="2" t="s">
        <v>988</v>
      </c>
      <c r="B354" s="2" t="s">
        <v>989</v>
      </c>
      <c r="C354" s="2" t="s">
        <v>990</v>
      </c>
      <c r="D354" s="2">
        <v>61</v>
      </c>
      <c r="E354" s="2">
        <v>1000000</v>
      </c>
      <c r="F354" s="3">
        <f>IF(COUNT(D354,E354)=2,D354*E354,NA())</f>
        <v>61000000.0</v>
      </c>
      <c r="G354" s="2" t="s">
        <v>59</v>
      </c>
      <c r="H354" s="2" t="s">
        <v>60</v>
      </c>
      <c r="I354" s="2" t="s">
        <v>61</v>
      </c>
      <c r="J354" s="2" t="s">
        <v>62</v>
      </c>
      <c r="K354" s="2" t="s">
        <v>245</v>
      </c>
      <c r="L354" s="2" t="s">
        <v>63</v>
      </c>
      <c r="M354" s="2" t="s">
        <v>246</v>
      </c>
      <c r="N354" s="2" t="s">
        <v>65</v>
      </c>
      <c r="O354" s="2" t="s">
        <v>11</v>
      </c>
      <c r="P354" s="2"/>
      <c r="Q354" s="2" t="s">
        <v>988</v>
      </c>
      <c r="R354" s="2"/>
    </row>
    <row r="355" spans="1:18">
      <c r="A355" s="2" t="s">
        <v>991</v>
      </c>
      <c r="B355" s="2" t="s">
        <v>992</v>
      </c>
      <c r="C355" s="2" t="s">
        <v>990</v>
      </c>
      <c r="D355" s="2">
        <v>12</v>
      </c>
      <c r="E355" s="2">
        <v>1000000</v>
      </c>
      <c r="F355" s="3">
        <f>IF(COUNT(D355,E355)=2,D355*E355,NA())</f>
        <v>12000000.0</v>
      </c>
      <c r="G355" s="2" t="s">
        <v>59</v>
      </c>
      <c r="H355" s="2" t="s">
        <v>60</v>
      </c>
      <c r="I355" s="2" t="s">
        <v>61</v>
      </c>
      <c r="J355" s="2" t="s">
        <v>62</v>
      </c>
      <c r="K355" s="2" t="s">
        <v>245</v>
      </c>
      <c r="L355" s="2" t="s">
        <v>63</v>
      </c>
      <c r="M355" s="2" t="s">
        <v>246</v>
      </c>
      <c r="N355" s="2" t="s">
        <v>65</v>
      </c>
      <c r="O355" s="2" t="s">
        <v>11</v>
      </c>
      <c r="P355" s="2"/>
      <c r="Q355" s="2" t="s">
        <v>991</v>
      </c>
      <c r="R355" s="2"/>
    </row>
    <row r="356" spans="1:18">
      <c r="A356" s="2" t="s">
        <v>993</v>
      </c>
      <c r="B356" s="2" t="s">
        <v>994</v>
      </c>
      <c r="C356" s="2" t="s">
        <v>995</v>
      </c>
      <c r="D356" s="2">
        <v>25</v>
      </c>
      <c r="E356" s="2">
        <v>1000000</v>
      </c>
      <c r="F356" s="3">
        <f>IF(COUNT(D356,E356)=2,D356*E356,NA())</f>
        <v>25000000.0</v>
      </c>
      <c r="G356" s="2" t="s">
        <v>59</v>
      </c>
      <c r="H356" s="2" t="s">
        <v>60</v>
      </c>
      <c r="I356" s="2" t="s">
        <v>61</v>
      </c>
      <c r="J356" s="2" t="s">
        <v>62</v>
      </c>
      <c r="K356" s="2" t="s">
        <v>245</v>
      </c>
      <c r="L356" s="2" t="s">
        <v>63</v>
      </c>
      <c r="M356" s="2" t="s">
        <v>246</v>
      </c>
      <c r="N356" s="2" t="s">
        <v>65</v>
      </c>
      <c r="O356" s="2" t="s">
        <v>11</v>
      </c>
      <c r="P356" s="2"/>
      <c r="Q356" s="2" t="s">
        <v>993</v>
      </c>
      <c r="R356" s="2"/>
    </row>
    <row r="357" spans="1:18">
      <c r="A357" s="2" t="s">
        <v>996</v>
      </c>
      <c r="B357" s="2" t="s">
        <v>997</v>
      </c>
      <c r="C357" s="2" t="s">
        <v>995</v>
      </c>
      <c r="D357" s="2">
        <v>4</v>
      </c>
      <c r="E357" s="2">
        <v>1000000</v>
      </c>
      <c r="F357" s="3">
        <f>IF(COUNT(D357,E357)=2,D357*E357,NA())</f>
        <v>4000000.0</v>
      </c>
      <c r="G357" s="2" t="s">
        <v>59</v>
      </c>
      <c r="H357" s="2" t="s">
        <v>60</v>
      </c>
      <c r="I357" s="2" t="s">
        <v>61</v>
      </c>
      <c r="J357" s="2" t="s">
        <v>62</v>
      </c>
      <c r="K357" s="2" t="s">
        <v>245</v>
      </c>
      <c r="L357" s="2" t="s">
        <v>63</v>
      </c>
      <c r="M357" s="2" t="s">
        <v>246</v>
      </c>
      <c r="N357" s="2" t="s">
        <v>65</v>
      </c>
      <c r="O357" s="2" t="s">
        <v>11</v>
      </c>
      <c r="P357" s="2" t="s">
        <v>998</v>
      </c>
      <c r="Q357" s="2" t="s">
        <v>996</v>
      </c>
      <c r="R357" s="2"/>
    </row>
    <row r="358" spans="1:18">
      <c r="A358" s="2" t="s">
        <v>999</v>
      </c>
      <c r="B358" s="2" t="s">
        <v>1000</v>
      </c>
      <c r="C358" s="2" t="s">
        <v>995</v>
      </c>
      <c r="D358" s="2">
        <v>488</v>
      </c>
      <c r="E358" s="2">
        <v>1000000</v>
      </c>
      <c r="F358" s="3">
        <f>IF(COUNT(D358,E358)=2,D358*E358,NA())</f>
        <v>488000000.0</v>
      </c>
      <c r="G358" s="2" t="s">
        <v>59</v>
      </c>
      <c r="H358" s="2" t="s">
        <v>60</v>
      </c>
      <c r="I358" s="2" t="s">
        <v>61</v>
      </c>
      <c r="J358" s="2" t="s">
        <v>62</v>
      </c>
      <c r="K358" s="2" t="s">
        <v>245</v>
      </c>
      <c r="L358" s="2" t="s">
        <v>63</v>
      </c>
      <c r="M358" s="2" t="s">
        <v>246</v>
      </c>
      <c r="N358" s="2" t="s">
        <v>65</v>
      </c>
      <c r="O358" s="2" t="s">
        <v>11</v>
      </c>
      <c r="P358" s="2"/>
      <c r="Q358" s="2" t="s">
        <v>999</v>
      </c>
      <c r="R358" s="2"/>
    </row>
    <row r="359" spans="1:18">
      <c r="A359" s="2" t="s">
        <v>1001</v>
      </c>
      <c r="B359" s="2" t="s">
        <v>1002</v>
      </c>
      <c r="C359" s="2" t="s">
        <v>995</v>
      </c>
      <c r="D359" s="2">
        <v>177</v>
      </c>
      <c r="E359" s="2">
        <v>1000000</v>
      </c>
      <c r="F359" s="3">
        <f>IF(COUNT(D359,E359)=2,D359*E359,NA())</f>
        <v>177000000.0</v>
      </c>
      <c r="G359" s="2" t="s">
        <v>59</v>
      </c>
      <c r="H359" s="2" t="s">
        <v>60</v>
      </c>
      <c r="I359" s="2" t="s">
        <v>61</v>
      </c>
      <c r="J359" s="2" t="s">
        <v>62</v>
      </c>
      <c r="K359" s="2" t="s">
        <v>245</v>
      </c>
      <c r="L359" s="2" t="s">
        <v>63</v>
      </c>
      <c r="M359" s="2" t="s">
        <v>246</v>
      </c>
      <c r="N359" s="2" t="s">
        <v>65</v>
      </c>
      <c r="O359" s="2" t="s">
        <v>11</v>
      </c>
      <c r="P359" s="2"/>
      <c r="Q359" s="2" t="s">
        <v>1001</v>
      </c>
      <c r="R359" s="2"/>
    </row>
    <row r="360" spans="1:18">
      <c r="A360" s="2" t="s">
        <v>1003</v>
      </c>
      <c r="B360" s="2" t="s">
        <v>1004</v>
      </c>
      <c r="C360" s="2" t="s">
        <v>970</v>
      </c>
      <c r="D360" s="2">
        <v>5.2</v>
      </c>
      <c r="E360" s="2">
        <v>0.01</v>
      </c>
      <c r="F360" s="3">
        <f>IF(COUNT(D360,E360)=2,D360*E360,NA())</f>
        <v>0.052</v>
      </c>
      <c r="G360" s="2" t="s">
        <v>768</v>
      </c>
      <c r="H360" s="2"/>
      <c r="I360" s="2" t="s">
        <v>61</v>
      </c>
      <c r="J360" s="2" t="s">
        <v>62</v>
      </c>
      <c r="K360" s="2"/>
      <c r="L360" s="2" t="s">
        <v>63</v>
      </c>
      <c r="M360" s="2" t="s">
        <v>64</v>
      </c>
      <c r="N360" s="2" t="s">
        <v>65</v>
      </c>
      <c r="O360" s="2" t="s">
        <v>11</v>
      </c>
      <c r="P360" s="2"/>
      <c r="Q360" s="2" t="s">
        <v>1003</v>
      </c>
      <c r="R360" s="2"/>
    </row>
    <row r="361" spans="1:18">
      <c r="A361" s="2" t="s">
        <v>1005</v>
      </c>
      <c r="B361" s="2" t="s">
        <v>1006</v>
      </c>
      <c r="C361" s="2" t="s">
        <v>995</v>
      </c>
      <c r="D361" s="2">
        <v>301</v>
      </c>
      <c r="E361" s="2">
        <v>1000000</v>
      </c>
      <c r="F361" s="3">
        <f>IF(COUNT(D361,E361)=2,D361*E361,NA())</f>
        <v>301000000.0</v>
      </c>
      <c r="G361" s="2" t="s">
        <v>59</v>
      </c>
      <c r="H361" s="2" t="s">
        <v>60</v>
      </c>
      <c r="I361" s="2" t="s">
        <v>61</v>
      </c>
      <c r="J361" s="2" t="s">
        <v>62</v>
      </c>
      <c r="K361" s="2"/>
      <c r="L361" s="2" t="s">
        <v>69</v>
      </c>
      <c r="M361" s="2" t="s">
        <v>64</v>
      </c>
      <c r="N361" s="2" t="s">
        <v>65</v>
      </c>
      <c r="O361" s="2" t="s">
        <v>11</v>
      </c>
      <c r="P361" s="2"/>
      <c r="Q361" s="2" t="s">
        <v>1005</v>
      </c>
      <c r="R361" s="2"/>
    </row>
    <row r="362" spans="1:18">
      <c r="A362" s="2" t="s">
        <v>1007</v>
      </c>
      <c r="B362" s="2" t="s">
        <v>1008</v>
      </c>
      <c r="C362" s="2" t="s">
        <v>995</v>
      </c>
      <c r="D362" s="2">
        <v>322</v>
      </c>
      <c r="E362" s="2">
        <v>1000000</v>
      </c>
      <c r="F362" s="3">
        <f>IF(COUNT(D362,E362)=2,D362*E362,NA())</f>
        <v>322000000.0</v>
      </c>
      <c r="G362" s="2" t="s">
        <v>59</v>
      </c>
      <c r="H362" s="2" t="s">
        <v>60</v>
      </c>
      <c r="I362" s="2" t="s">
        <v>61</v>
      </c>
      <c r="J362" s="2" t="s">
        <v>62</v>
      </c>
      <c r="K362" s="2"/>
      <c r="L362" s="2" t="s">
        <v>63</v>
      </c>
      <c r="M362" s="2" t="s">
        <v>64</v>
      </c>
      <c r="N362" s="2" t="s">
        <v>65</v>
      </c>
      <c r="O362" s="2" t="s">
        <v>11</v>
      </c>
      <c r="P362" s="2"/>
      <c r="Q362" s="2" t="s">
        <v>1007</v>
      </c>
      <c r="R362" s="2"/>
    </row>
    <row r="363" spans="1:18">
      <c r="A363" s="2" t="s">
        <v>1009</v>
      </c>
      <c r="B363" s="2" t="s">
        <v>1010</v>
      </c>
      <c r="C363" s="2" t="s">
        <v>978</v>
      </c>
      <c r="D363" s="2">
        <v>15</v>
      </c>
      <c r="E363" s="2">
        <v>1000000</v>
      </c>
      <c r="F363" s="3">
        <f>IF(COUNT(D363,E363)=2,D363*E363,NA())</f>
        <v>15000000.0</v>
      </c>
      <c r="G363" s="2" t="s">
        <v>59</v>
      </c>
      <c r="H363" s="2" t="s">
        <v>60</v>
      </c>
      <c r="I363" s="2" t="s">
        <v>61</v>
      </c>
      <c r="J363" s="2" t="s">
        <v>62</v>
      </c>
      <c r="K363" s="2" t="s">
        <v>245</v>
      </c>
      <c r="L363" s="2" t="s">
        <v>63</v>
      </c>
      <c r="M363" s="2" t="s">
        <v>897</v>
      </c>
      <c r="N363" s="2" t="s">
        <v>897</v>
      </c>
      <c r="O363" s="2" t="s">
        <v>11</v>
      </c>
      <c r="P363" s="2" t="s">
        <v>1011</v>
      </c>
      <c r="Q363" s="2" t="s">
        <v>1009</v>
      </c>
      <c r="R363" s="2"/>
    </row>
    <row r="364" spans="1:18">
      <c r="A364" s="2" t="s">
        <v>1012</v>
      </c>
      <c r="B364" s="2" t="s">
        <v>1013</v>
      </c>
      <c r="C364" s="2" t="s">
        <v>1014</v>
      </c>
      <c r="D364" s="2">
        <v>509</v>
      </c>
      <c r="E364" s="2">
        <v>1000000</v>
      </c>
      <c r="F364" s="3">
        <f>IF(COUNT(D364,E364)=2,D364*E364,NA())</f>
        <v>509000000.0</v>
      </c>
      <c r="G364" s="2" t="s">
        <v>59</v>
      </c>
      <c r="H364" s="2" t="s">
        <v>60</v>
      </c>
      <c r="I364" s="2" t="s">
        <v>61</v>
      </c>
      <c r="J364" s="2" t="s">
        <v>62</v>
      </c>
      <c r="K364" s="2" t="s">
        <v>816</v>
      </c>
      <c r="L364" s="2" t="s">
        <v>786</v>
      </c>
      <c r="M364" s="2" t="s">
        <v>246</v>
      </c>
      <c r="N364" s="2" t="s">
        <v>65</v>
      </c>
      <c r="O364" s="2" t="s">
        <v>11</v>
      </c>
      <c r="P364" s="2"/>
      <c r="Q364" s="2" t="s">
        <v>1012</v>
      </c>
      <c r="R364" s="2"/>
    </row>
    <row r="365" spans="1:18">
      <c r="A365" s="2" t="s">
        <v>1015</v>
      </c>
      <c r="B365" s="2" t="s">
        <v>1016</v>
      </c>
      <c r="C365" s="2" t="s">
        <v>1014</v>
      </c>
      <c r="D365" s="2">
        <v>213</v>
      </c>
      <c r="E365" s="2">
        <v>1000000</v>
      </c>
      <c r="F365" s="3">
        <f>IF(COUNT(D365,E365)=2,D365*E365,NA())</f>
        <v>213000000.0</v>
      </c>
      <c r="G365" s="2" t="s">
        <v>59</v>
      </c>
      <c r="H365" s="2" t="s">
        <v>60</v>
      </c>
      <c r="I365" s="2" t="s">
        <v>61</v>
      </c>
      <c r="J365" s="2" t="s">
        <v>62</v>
      </c>
      <c r="K365" s="2" t="s">
        <v>816</v>
      </c>
      <c r="L365" s="2" t="s">
        <v>786</v>
      </c>
      <c r="M365" s="2" t="s">
        <v>246</v>
      </c>
      <c r="N365" s="2" t="s">
        <v>65</v>
      </c>
      <c r="O365" s="2" t="s">
        <v>11</v>
      </c>
      <c r="P365" s="2"/>
      <c r="Q365" s="2" t="s">
        <v>1015</v>
      </c>
      <c r="R365" s="2"/>
    </row>
    <row r="366" spans="1:18">
      <c r="A366" s="2" t="s">
        <v>1017</v>
      </c>
      <c r="B366" s="2" t="s">
        <v>1018</v>
      </c>
      <c r="C366" s="2" t="s">
        <v>1014</v>
      </c>
      <c r="D366" s="2">
        <v>641</v>
      </c>
      <c r="E366" s="2">
        <v>1000000</v>
      </c>
      <c r="F366" s="3">
        <f>IF(COUNT(D366,E366)=2,D366*E366,NA())</f>
        <v>641000000.0</v>
      </c>
      <c r="G366" s="2" t="s">
        <v>59</v>
      </c>
      <c r="H366" s="2" t="s">
        <v>60</v>
      </c>
      <c r="I366" s="2" t="s">
        <v>61</v>
      </c>
      <c r="J366" s="2" t="s">
        <v>62</v>
      </c>
      <c r="K366" s="2" t="s">
        <v>245</v>
      </c>
      <c r="L366" s="2" t="s">
        <v>832</v>
      </c>
      <c r="M366" s="2" t="s">
        <v>246</v>
      </c>
      <c r="N366" s="2" t="s">
        <v>65</v>
      </c>
      <c r="O366" s="2" t="s">
        <v>11</v>
      </c>
      <c r="P366" s="2"/>
      <c r="Q366" s="2" t="s">
        <v>1017</v>
      </c>
      <c r="R366" s="2"/>
    </row>
    <row r="367" spans="1:18">
      <c r="A367" s="2" t="s">
        <v>1019</v>
      </c>
      <c r="B367" s="2" t="s">
        <v>1020</v>
      </c>
      <c r="C367" s="2" t="s">
        <v>1014</v>
      </c>
      <c r="D367" s="2">
        <v>270</v>
      </c>
      <c r="E367" s="2">
        <v>1000000</v>
      </c>
      <c r="F367" s="3">
        <f>IF(COUNT(D367,E367)=2,D367*E367,NA())</f>
        <v>270000000.0</v>
      </c>
      <c r="G367" s="2" t="s">
        <v>59</v>
      </c>
      <c r="H367" s="2" t="s">
        <v>60</v>
      </c>
      <c r="I367" s="2" t="s">
        <v>61</v>
      </c>
      <c r="J367" s="2" t="s">
        <v>62</v>
      </c>
      <c r="K367" s="2" t="s">
        <v>245</v>
      </c>
      <c r="L367" s="2" t="s">
        <v>832</v>
      </c>
      <c r="M367" s="2" t="s">
        <v>246</v>
      </c>
      <c r="N367" s="2" t="s">
        <v>65</v>
      </c>
      <c r="O367" s="2" t="s">
        <v>11</v>
      </c>
      <c r="P367" s="2"/>
      <c r="Q367" s="2" t="s">
        <v>1019</v>
      </c>
      <c r="R367" s="2"/>
    </row>
    <row r="368" spans="1:18">
      <c r="A368" s="2" t="s">
        <v>1021</v>
      </c>
      <c r="B368" s="2" t="s">
        <v>1022</v>
      </c>
      <c r="C368" s="2" t="s">
        <v>1023</v>
      </c>
      <c r="D368" s="2">
        <v>964</v>
      </c>
      <c r="E368" s="2">
        <v>1000000</v>
      </c>
      <c r="F368" s="3">
        <f>IF(COUNT(D368,E368)=2,D368*E368,NA())</f>
        <v>964000000.0</v>
      </c>
      <c r="G368" s="2" t="s">
        <v>59</v>
      </c>
      <c r="H368" s="2" t="s">
        <v>60</v>
      </c>
      <c r="I368" s="2" t="s">
        <v>61</v>
      </c>
      <c r="J368" s="2" t="s">
        <v>62</v>
      </c>
      <c r="K368" s="2" t="s">
        <v>245</v>
      </c>
      <c r="L368" s="2" t="s">
        <v>832</v>
      </c>
      <c r="M368" s="2" t="s">
        <v>246</v>
      </c>
      <c r="N368" s="2" t="s">
        <v>65</v>
      </c>
      <c r="O368" s="2" t="s">
        <v>1024</v>
      </c>
      <c r="P368" s="2"/>
      <c r="Q368" s="2" t="s">
        <v>1021</v>
      </c>
      <c r="R368" s="2"/>
    </row>
    <row r="369" spans="1:18">
      <c r="A369" s="2" t="s">
        <v>1025</v>
      </c>
      <c r="B369" s="2" t="s">
        <v>1026</v>
      </c>
      <c r="C369" s="2" t="s">
        <v>1023</v>
      </c>
      <c r="D369" s="2">
        <v>30</v>
      </c>
      <c r="E369" s="2">
        <v>1000000</v>
      </c>
      <c r="F369" s="3">
        <f>IF(COUNT(D369,E369)=2,D369*E369,NA())</f>
        <v>30000000.0</v>
      </c>
      <c r="G369" s="2" t="s">
        <v>59</v>
      </c>
      <c r="H369" s="2" t="s">
        <v>60</v>
      </c>
      <c r="I369" s="2" t="s">
        <v>61</v>
      </c>
      <c r="J369" s="2" t="s">
        <v>62</v>
      </c>
      <c r="K369" s="2" t="s">
        <v>816</v>
      </c>
      <c r="L369" s="2" t="s">
        <v>786</v>
      </c>
      <c r="M369" s="2" t="s">
        <v>246</v>
      </c>
      <c r="N369" s="2" t="s">
        <v>65</v>
      </c>
      <c r="O369" s="2" t="s">
        <v>1024</v>
      </c>
      <c r="P369" s="2"/>
      <c r="Q369" s="2" t="s">
        <v>1025</v>
      </c>
      <c r="R369" s="2"/>
    </row>
    <row r="370" spans="1:18">
      <c r="A370" s="2" t="s">
        <v>1027</v>
      </c>
      <c r="B370" s="2" t="s">
        <v>1028</v>
      </c>
      <c r="C370" s="2" t="s">
        <v>1023</v>
      </c>
      <c r="D370" s="2">
        <v>-49</v>
      </c>
      <c r="E370" s="2">
        <v>1000000</v>
      </c>
      <c r="F370" s="3">
        <f>IF(COUNT(D370,E370)=2,D370*E370,NA())</f>
        <v>-49000000.0</v>
      </c>
      <c r="G370" s="2" t="s">
        <v>59</v>
      </c>
      <c r="H370" s="2" t="s">
        <v>60</v>
      </c>
      <c r="I370" s="2" t="s">
        <v>61</v>
      </c>
      <c r="J370" s="2" t="s">
        <v>62</v>
      </c>
      <c r="K370" s="2" t="s">
        <v>816</v>
      </c>
      <c r="L370" s="2" t="s">
        <v>786</v>
      </c>
      <c r="M370" s="2" t="s">
        <v>246</v>
      </c>
      <c r="N370" s="2" t="s">
        <v>65</v>
      </c>
      <c r="O370" s="2" t="s">
        <v>1024</v>
      </c>
      <c r="P370" s="2"/>
      <c r="Q370" s="2" t="s">
        <v>1027</v>
      </c>
      <c r="R370" s="2"/>
    </row>
    <row r="371" spans="1:18">
      <c r="A371" s="2" t="s">
        <v>1029</v>
      </c>
      <c r="B371" s="2" t="s">
        <v>1030</v>
      </c>
      <c r="C371" s="2" t="s">
        <v>1023</v>
      </c>
      <c r="D371" s="2">
        <v>-5</v>
      </c>
      <c r="E371" s="2">
        <v>1000000</v>
      </c>
      <c r="F371" s="3">
        <f>IF(COUNT(D371,E371)=2,D371*E371,NA())</f>
        <v>-5000000.0</v>
      </c>
      <c r="G371" s="2" t="s">
        <v>59</v>
      </c>
      <c r="H371" s="2" t="s">
        <v>60</v>
      </c>
      <c r="I371" s="2" t="s">
        <v>61</v>
      </c>
      <c r="J371" s="2" t="s">
        <v>62</v>
      </c>
      <c r="K371" s="2" t="s">
        <v>816</v>
      </c>
      <c r="L371" s="2" t="s">
        <v>786</v>
      </c>
      <c r="M371" s="2" t="s">
        <v>246</v>
      </c>
      <c r="N371" s="2" t="s">
        <v>65</v>
      </c>
      <c r="O371" s="2" t="s">
        <v>1024</v>
      </c>
      <c r="P371" s="2"/>
      <c r="Q371" s="2" t="s">
        <v>1029</v>
      </c>
      <c r="R371" s="2"/>
    </row>
    <row r="372" spans="1:18">
      <c r="A372" s="2" t="s">
        <v>1031</v>
      </c>
      <c r="B372" s="2" t="s">
        <v>1032</v>
      </c>
      <c r="C372" s="2" t="s">
        <v>1033</v>
      </c>
      <c r="D372" s="2">
        <v>775</v>
      </c>
      <c r="E372" s="2">
        <v>1000000</v>
      </c>
      <c r="F372" s="3">
        <f>IF(COUNT(D372,E372)=2,D372*E372,NA())</f>
        <v>775000000.0</v>
      </c>
      <c r="G372" s="2" t="s">
        <v>59</v>
      </c>
      <c r="H372" s="2" t="s">
        <v>60</v>
      </c>
      <c r="I372" s="2" t="s">
        <v>61</v>
      </c>
      <c r="J372" s="2" t="s">
        <v>62</v>
      </c>
      <c r="K372" s="2"/>
      <c r="L372" s="2" t="s">
        <v>63</v>
      </c>
      <c r="M372" s="2" t="s">
        <v>64</v>
      </c>
      <c r="N372" s="2" t="s">
        <v>65</v>
      </c>
      <c r="O372" s="2" t="s">
        <v>1034</v>
      </c>
      <c r="P372" s="2" t="s">
        <v>1035</v>
      </c>
      <c r="Q372" s="2" t="s">
        <v>1031</v>
      </c>
      <c r="R372" s="2"/>
    </row>
    <row r="373" spans="1:18">
      <c r="A373" s="2" t="s">
        <v>1036</v>
      </c>
      <c r="B373" s="2" t="s">
        <v>1037</v>
      </c>
      <c r="C373" s="2" t="s">
        <v>1033</v>
      </c>
      <c r="D373" s="2">
        <v>861</v>
      </c>
      <c r="E373" s="2">
        <v>1000000</v>
      </c>
      <c r="F373" s="3">
        <f>IF(COUNT(D373,E373)=2,D373*E373,NA())</f>
        <v>861000000.0</v>
      </c>
      <c r="G373" s="2" t="s">
        <v>59</v>
      </c>
      <c r="H373" s="2" t="s">
        <v>60</v>
      </c>
      <c r="I373" s="2" t="s">
        <v>61</v>
      </c>
      <c r="J373" s="2" t="s">
        <v>62</v>
      </c>
      <c r="K373" s="2"/>
      <c r="L373" s="2" t="s">
        <v>63</v>
      </c>
      <c r="M373" s="2" t="s">
        <v>64</v>
      </c>
      <c r="N373" s="2" t="s">
        <v>65</v>
      </c>
      <c r="O373" s="2" t="s">
        <v>1034</v>
      </c>
      <c r="P373" s="2" t="s">
        <v>1035</v>
      </c>
      <c r="Q373" s="2" t="s">
        <v>1036</v>
      </c>
      <c r="R373" s="2"/>
    </row>
    <row r="374" spans="1:18">
      <c r="A374" s="2" t="s">
        <v>1038</v>
      </c>
      <c r="B374" s="2" t="s">
        <v>1039</v>
      </c>
      <c r="C374" s="2" t="s">
        <v>1040</v>
      </c>
      <c r="D374" s="2">
        <v>12045</v>
      </c>
      <c r="E374" s="2">
        <v>1</v>
      </c>
      <c r="F374" s="3">
        <f>IF(COUNT(D374,E374)=2,D374*E374,NA())</f>
        <v>12045.0</v>
      </c>
      <c r="G374" s="2" t="s">
        <v>1041</v>
      </c>
      <c r="H374" s="2"/>
      <c r="I374" s="2" t="s">
        <v>61</v>
      </c>
      <c r="J374" s="2" t="s">
        <v>62</v>
      </c>
      <c r="K374" s="2"/>
      <c r="L374" s="2" t="s">
        <v>63</v>
      </c>
      <c r="M374" s="2" t="s">
        <v>64</v>
      </c>
      <c r="N374" s="2" t="s">
        <v>65</v>
      </c>
      <c r="O374" s="2" t="s">
        <v>1042</v>
      </c>
      <c r="P374" s="2"/>
      <c r="Q374" s="2" t="s">
        <v>1038</v>
      </c>
      <c r="R374" s="2" t="s">
        <v>1043</v>
      </c>
    </row>
    <row r="375" spans="1:18">
      <c r="A375" s="2" t="s">
        <v>1044</v>
      </c>
      <c r="B375" s="2" t="s">
        <v>1045</v>
      </c>
      <c r="C375" s="2" t="s">
        <v>1040</v>
      </c>
      <c r="D375" s="2">
        <v>39804</v>
      </c>
      <c r="E375" s="2">
        <v>1</v>
      </c>
      <c r="F375" s="3">
        <f>IF(COUNT(D375,E375)=2,D375*E375,NA())</f>
        <v>39804.0</v>
      </c>
      <c r="G375" s="2" t="s">
        <v>1041</v>
      </c>
      <c r="H375" s="2"/>
      <c r="I375" s="2" t="s">
        <v>61</v>
      </c>
      <c r="J375" s="2" t="s">
        <v>62</v>
      </c>
      <c r="K375" s="2"/>
      <c r="L375" s="2" t="s">
        <v>63</v>
      </c>
      <c r="M375" s="2" t="s">
        <v>64</v>
      </c>
      <c r="N375" s="2" t="s">
        <v>65</v>
      </c>
      <c r="O375" s="2" t="s">
        <v>1042</v>
      </c>
      <c r="P375" s="2"/>
      <c r="Q375" s="2" t="s">
        <v>1044</v>
      </c>
      <c r="R375" s="2" t="s">
        <v>1043</v>
      </c>
    </row>
    <row r="376" spans="1:18">
      <c r="A376" s="2" t="s">
        <v>1046</v>
      </c>
      <c r="B376" s="2" t="s">
        <v>1047</v>
      </c>
      <c r="C376" s="2" t="s">
        <v>1040</v>
      </c>
      <c r="D376" s="2">
        <v>1280</v>
      </c>
      <c r="E376" s="2">
        <v>1000000</v>
      </c>
      <c r="F376" s="3">
        <f>IF(COUNT(D376,E376)=2,D376*E376,NA())</f>
        <v>1280000000.0</v>
      </c>
      <c r="G376" s="2" t="s">
        <v>59</v>
      </c>
      <c r="H376" s="2" t="s">
        <v>60</v>
      </c>
      <c r="I376" s="2" t="s">
        <v>61</v>
      </c>
      <c r="J376" s="2" t="s">
        <v>62</v>
      </c>
      <c r="K376" s="2" t="s">
        <v>1048</v>
      </c>
      <c r="L376" s="2" t="s">
        <v>63</v>
      </c>
      <c r="M376" s="2" t="s">
        <v>246</v>
      </c>
      <c r="N376" s="2" t="s">
        <v>65</v>
      </c>
      <c r="O376" s="2" t="s">
        <v>1049</v>
      </c>
      <c r="P376" s="2" t="s">
        <v>1050</v>
      </c>
      <c r="Q376" s="2" t="s">
        <v>1046</v>
      </c>
      <c r="R376" s="2"/>
    </row>
    <row r="377" spans="1:18">
      <c r="A377" s="2" t="s">
        <v>1051</v>
      </c>
      <c r="B377" s="2" t="s">
        <v>1052</v>
      </c>
      <c r="C377" s="2" t="s">
        <v>1040</v>
      </c>
      <c r="D377" s="2">
        <v>2999</v>
      </c>
      <c r="E377" s="2">
        <v>1000000</v>
      </c>
      <c r="F377" s="3">
        <f>IF(COUNT(D377,E377)=2,D377*E377,NA())</f>
        <v>2999000000.0</v>
      </c>
      <c r="G377" s="2" t="s">
        <v>59</v>
      </c>
      <c r="H377" s="2" t="s">
        <v>60</v>
      </c>
      <c r="I377" s="2" t="s">
        <v>61</v>
      </c>
      <c r="J377" s="2" t="s">
        <v>62</v>
      </c>
      <c r="K377" s="2" t="s">
        <v>1048</v>
      </c>
      <c r="L377" s="2" t="s">
        <v>63</v>
      </c>
      <c r="M377" s="2" t="s">
        <v>246</v>
      </c>
      <c r="N377" s="2" t="s">
        <v>65</v>
      </c>
      <c r="O377" s="2" t="s">
        <v>1049</v>
      </c>
      <c r="P377" s="2" t="s">
        <v>1050</v>
      </c>
      <c r="Q377" s="2" t="s">
        <v>1051</v>
      </c>
      <c r="R377" s="2"/>
    </row>
    <row r="378" spans="1:18">
      <c r="A378" s="2" t="s">
        <v>1053</v>
      </c>
      <c r="B378" s="2" t="s">
        <v>1054</v>
      </c>
      <c r="C378" s="2" t="s">
        <v>1014</v>
      </c>
      <c r="D378" s="2">
        <v>14</v>
      </c>
      <c r="E378" s="2">
        <v>1000000</v>
      </c>
      <c r="F378" s="3">
        <f>IF(COUNT(D378,E378)=2,D378*E378,NA())</f>
        <v>14000000.0</v>
      </c>
      <c r="G378" s="2" t="s">
        <v>59</v>
      </c>
      <c r="H378" s="2" t="s">
        <v>60</v>
      </c>
      <c r="I378" s="2" t="s">
        <v>61</v>
      </c>
      <c r="J378" s="2" t="s">
        <v>62</v>
      </c>
      <c r="K378" s="2" t="s">
        <v>816</v>
      </c>
      <c r="L378" s="2" t="s">
        <v>786</v>
      </c>
      <c r="M378" s="2" t="s">
        <v>246</v>
      </c>
      <c r="N378" s="2" t="s">
        <v>65</v>
      </c>
      <c r="O378" s="2" t="s">
        <v>11</v>
      </c>
      <c r="P378" s="2" t="s">
        <v>1055</v>
      </c>
      <c r="Q378" s="2" t="s">
        <v>1053</v>
      </c>
      <c r="R378" s="2"/>
    </row>
    <row r="379" spans="1:18">
      <c r="A379" s="2" t="s">
        <v>1056</v>
      </c>
      <c r="B379" s="2" t="s">
        <v>1057</v>
      </c>
      <c r="C379" s="2" t="s">
        <v>1014</v>
      </c>
      <c r="D379" s="2">
        <v>12</v>
      </c>
      <c r="E379" s="2">
        <v>1000000</v>
      </c>
      <c r="F379" s="3">
        <f>IF(COUNT(D379,E379)=2,D379*E379,NA())</f>
        <v>12000000.0</v>
      </c>
      <c r="G379" s="2" t="s">
        <v>59</v>
      </c>
      <c r="H379" s="2" t="s">
        <v>60</v>
      </c>
      <c r="I379" s="2" t="s">
        <v>61</v>
      </c>
      <c r="J379" s="2" t="s">
        <v>62</v>
      </c>
      <c r="K379" s="2" t="s">
        <v>816</v>
      </c>
      <c r="L379" s="2" t="s">
        <v>786</v>
      </c>
      <c r="M379" s="2" t="s">
        <v>246</v>
      </c>
      <c r="N379" s="2" t="s">
        <v>65</v>
      </c>
      <c r="O379" s="2" t="s">
        <v>11</v>
      </c>
      <c r="P379" s="2" t="s">
        <v>1055</v>
      </c>
      <c r="Q379" s="2" t="s">
        <v>1056</v>
      </c>
      <c r="R379" s="2"/>
    </row>
    <row r="380" spans="1:18">
      <c r="A380" s="2" t="s">
        <v>1058</v>
      </c>
      <c r="B380" s="2" t="s">
        <v>1059</v>
      </c>
      <c r="C380" s="2" t="s">
        <v>1014</v>
      </c>
      <c r="D380" s="2">
        <v>2</v>
      </c>
      <c r="E380" s="2">
        <v>1000000</v>
      </c>
      <c r="F380" s="3">
        <f>IF(COUNT(D380,E380)=2,D380*E380,NA())</f>
        <v>2000000.0</v>
      </c>
      <c r="G380" s="2" t="s">
        <v>59</v>
      </c>
      <c r="H380" s="2" t="s">
        <v>60</v>
      </c>
      <c r="I380" s="2" t="s">
        <v>61</v>
      </c>
      <c r="J380" s="2" t="s">
        <v>62</v>
      </c>
      <c r="K380" s="2"/>
      <c r="L380" s="2" t="s">
        <v>786</v>
      </c>
      <c r="M380" s="2" t="s">
        <v>64</v>
      </c>
      <c r="N380" s="2" t="s">
        <v>65</v>
      </c>
      <c r="O380" s="2" t="s">
        <v>11</v>
      </c>
      <c r="P380" s="2" t="s">
        <v>1055</v>
      </c>
      <c r="Q380" s="2" t="s">
        <v>1058</v>
      </c>
      <c r="R380" s="2"/>
    </row>
    <row r="381" spans="1:18">
      <c r="A381" s="2" t="s">
        <v>1060</v>
      </c>
      <c r="B381" s="2" t="s">
        <v>1061</v>
      </c>
      <c r="C381" s="2" t="s">
        <v>1014</v>
      </c>
      <c r="D381" s="2">
        <v>4</v>
      </c>
      <c r="E381" s="2">
        <v>1000000</v>
      </c>
      <c r="F381" s="3">
        <f>IF(COUNT(D381,E381)=2,D381*E381,NA())</f>
        <v>4000000.0</v>
      </c>
      <c r="G381" s="2" t="s">
        <v>59</v>
      </c>
      <c r="H381" s="2" t="s">
        <v>60</v>
      </c>
      <c r="I381" s="2" t="s">
        <v>61</v>
      </c>
      <c r="J381" s="2" t="s">
        <v>62</v>
      </c>
      <c r="K381" s="2" t="s">
        <v>816</v>
      </c>
      <c r="L381" s="2" t="s">
        <v>786</v>
      </c>
      <c r="M381" s="2" t="s">
        <v>246</v>
      </c>
      <c r="N381" s="2" t="s">
        <v>65</v>
      </c>
      <c r="O381" s="2" t="s">
        <v>11</v>
      </c>
      <c r="P381" s="2" t="s">
        <v>1055</v>
      </c>
      <c r="Q381" s="2" t="s">
        <v>1060</v>
      </c>
      <c r="R381" s="2"/>
    </row>
    <row r="382" spans="1:18">
      <c r="A382" s="2" t="s">
        <v>1062</v>
      </c>
      <c r="B382" s="2" t="s">
        <v>1063</v>
      </c>
      <c r="C382" s="2" t="s">
        <v>1014</v>
      </c>
      <c r="D382" s="2">
        <v>12</v>
      </c>
      <c r="E382" s="2">
        <v>1000000</v>
      </c>
      <c r="F382" s="3">
        <f>IF(COUNT(D382,E382)=2,D382*E382,NA())</f>
        <v>12000000.0</v>
      </c>
      <c r="G382" s="2" t="s">
        <v>59</v>
      </c>
      <c r="H382" s="2" t="s">
        <v>60</v>
      </c>
      <c r="I382" s="2" t="s">
        <v>61</v>
      </c>
      <c r="J382" s="2" t="s">
        <v>62</v>
      </c>
      <c r="K382" s="2"/>
      <c r="L382" s="2" t="s">
        <v>786</v>
      </c>
      <c r="M382" s="2" t="s">
        <v>64</v>
      </c>
      <c r="N382" s="2" t="s">
        <v>65</v>
      </c>
      <c r="O382" s="2" t="s">
        <v>11</v>
      </c>
      <c r="P382" s="2" t="s">
        <v>1055</v>
      </c>
      <c r="Q382" s="2" t="s">
        <v>1062</v>
      </c>
      <c r="R382" s="2"/>
    </row>
    <row r="383" spans="1:18">
      <c r="A383" s="2" t="s">
        <v>1064</v>
      </c>
      <c r="B383" s="2" t="s">
        <v>1065</v>
      </c>
      <c r="C383" s="2" t="s">
        <v>1066</v>
      </c>
      <c r="D383" s="2">
        <v>4044</v>
      </c>
      <c r="E383" s="2">
        <v>1000000</v>
      </c>
      <c r="F383" s="3">
        <f>IF(COUNT(D383,E383)=2,D383*E383,NA())</f>
        <v>4044000000.0</v>
      </c>
      <c r="G383" s="2" t="s">
        <v>59</v>
      </c>
      <c r="H383" s="2" t="s">
        <v>60</v>
      </c>
      <c r="I383" s="2" t="s">
        <v>61</v>
      </c>
      <c r="J383" s="2" t="s">
        <v>1067</v>
      </c>
      <c r="K383" s="2" t="s">
        <v>245</v>
      </c>
      <c r="L383" s="2" t="s">
        <v>63</v>
      </c>
      <c r="M383" s="2" t="s">
        <v>246</v>
      </c>
      <c r="N383" s="2" t="s">
        <v>65</v>
      </c>
      <c r="O383" s="2" t="s">
        <v>1068</v>
      </c>
      <c r="P383" s="2" t="s">
        <v>1069</v>
      </c>
      <c r="Q383" s="2" t="s">
        <v>1064</v>
      </c>
      <c r="R383" s="2"/>
    </row>
    <row r="384" spans="1:18">
      <c r="A384" s="2" t="s">
        <v>1070</v>
      </c>
      <c r="B384" s="2" t="s">
        <v>1071</v>
      </c>
      <c r="C384" s="2" t="s">
        <v>1066</v>
      </c>
      <c r="D384" s="2">
        <v>4004</v>
      </c>
      <c r="E384" s="2">
        <v>1000000</v>
      </c>
      <c r="F384" s="3">
        <f>IF(COUNT(D384,E384)=2,D384*E384,NA())</f>
        <v>4004000000.0</v>
      </c>
      <c r="G384" s="2" t="s">
        <v>59</v>
      </c>
      <c r="H384" s="2" t="s">
        <v>60</v>
      </c>
      <c r="I384" s="2" t="s">
        <v>61</v>
      </c>
      <c r="J384" s="2" t="s">
        <v>1067</v>
      </c>
      <c r="K384" s="2" t="s">
        <v>245</v>
      </c>
      <c r="L384" s="2" t="s">
        <v>63</v>
      </c>
      <c r="M384" s="2" t="s">
        <v>246</v>
      </c>
      <c r="N384" s="2" t="s">
        <v>65</v>
      </c>
      <c r="O384" s="2" t="s">
        <v>1068</v>
      </c>
      <c r="P384" s="2" t="s">
        <v>1069</v>
      </c>
      <c r="Q384" s="2" t="s">
        <v>1070</v>
      </c>
      <c r="R384" s="2"/>
    </row>
    <row r="385" spans="1:18">
      <c r="A385" s="2" t="s">
        <v>1072</v>
      </c>
      <c r="B385" s="2" t="s">
        <v>1073</v>
      </c>
      <c r="C385" s="2" t="s">
        <v>1066</v>
      </c>
      <c r="D385" s="2">
        <v>3968</v>
      </c>
      <c r="E385" s="2">
        <v>1000000</v>
      </c>
      <c r="F385" s="3">
        <f>IF(COUNT(D385,E385)=2,D385*E385,NA())</f>
        <v>3968000000.0</v>
      </c>
      <c r="G385" s="2" t="s">
        <v>59</v>
      </c>
      <c r="H385" s="2" t="s">
        <v>60</v>
      </c>
      <c r="I385" s="2" t="s">
        <v>61</v>
      </c>
      <c r="J385" s="2" t="s">
        <v>1067</v>
      </c>
      <c r="K385" s="2" t="s">
        <v>245</v>
      </c>
      <c r="L385" s="2" t="s">
        <v>63</v>
      </c>
      <c r="M385" s="2" t="s">
        <v>246</v>
      </c>
      <c r="N385" s="2" t="s">
        <v>65</v>
      </c>
      <c r="O385" s="2" t="s">
        <v>1068</v>
      </c>
      <c r="P385" s="2" t="s">
        <v>1069</v>
      </c>
      <c r="Q385" s="2" t="s">
        <v>1072</v>
      </c>
      <c r="R385" s="2"/>
    </row>
    <row r="386" spans="1:18">
      <c r="A386" s="2" t="s">
        <v>1074</v>
      </c>
      <c r="B386" s="2" t="s">
        <v>1075</v>
      </c>
      <c r="C386" s="2" t="s">
        <v>1066</v>
      </c>
      <c r="D386" s="2">
        <v>70</v>
      </c>
      <c r="E386" s="2">
        <v>0.01</v>
      </c>
      <c r="F386" s="3">
        <f>IF(COUNT(D386,E386)=2,D386*E386,NA())</f>
        <v>0.7</v>
      </c>
      <c r="G386" s="2" t="s">
        <v>768</v>
      </c>
      <c r="H386" s="2"/>
      <c r="I386" s="2" t="s">
        <v>61</v>
      </c>
      <c r="J386" s="2" t="s">
        <v>1067</v>
      </c>
      <c r="K386" s="2" t="s">
        <v>245</v>
      </c>
      <c r="L386" s="2" t="s">
        <v>63</v>
      </c>
      <c r="M386" s="2" t="s">
        <v>768</v>
      </c>
      <c r="N386" s="2" t="s">
        <v>65</v>
      </c>
      <c r="O386" s="2" t="s">
        <v>1068</v>
      </c>
      <c r="P386" s="2" t="s">
        <v>1076</v>
      </c>
      <c r="Q386" s="2" t="s">
        <v>1074</v>
      </c>
      <c r="R386" s="2"/>
    </row>
    <row r="387" spans="1:18">
      <c r="A387" s="2" t="s">
        <v>1077</v>
      </c>
      <c r="B387" s="2" t="s">
        <v>1078</v>
      </c>
      <c r="C387" s="2" t="s">
        <v>1066</v>
      </c>
      <c r="D387" s="2">
        <v>30</v>
      </c>
      <c r="E387" s="2">
        <v>0.01</v>
      </c>
      <c r="F387" s="3">
        <f>IF(COUNT(D387,E387)=2,D387*E387,NA())</f>
        <v>0.3</v>
      </c>
      <c r="G387" s="2" t="s">
        <v>768</v>
      </c>
      <c r="H387" s="2"/>
      <c r="I387" s="2" t="s">
        <v>61</v>
      </c>
      <c r="J387" s="2" t="s">
        <v>1067</v>
      </c>
      <c r="K387" s="2" t="s">
        <v>245</v>
      </c>
      <c r="L387" s="2" t="s">
        <v>63</v>
      </c>
      <c r="M387" s="2" t="s">
        <v>768</v>
      </c>
      <c r="N387" s="2" t="s">
        <v>65</v>
      </c>
      <c r="O387" s="2" t="s">
        <v>1068</v>
      </c>
      <c r="P387" s="2" t="s">
        <v>1076</v>
      </c>
      <c r="Q387" s="2" t="s">
        <v>1077</v>
      </c>
      <c r="R387" s="2"/>
    </row>
    <row r="388" spans="1:18">
      <c r="A388" s="2" t="s">
        <v>1079</v>
      </c>
      <c r="B388" s="2" t="s">
        <v>1080</v>
      </c>
      <c r="C388" s="2" t="s">
        <v>1066</v>
      </c>
      <c r="D388" s="2">
        <v>124</v>
      </c>
      <c r="E388" s="2">
        <v>0.01</v>
      </c>
      <c r="F388" s="3">
        <f>IF(COUNT(D388,E388)=2,D388*E388,NA())</f>
        <v>1.24</v>
      </c>
      <c r="G388" s="2" t="s">
        <v>768</v>
      </c>
      <c r="H388" s="2"/>
      <c r="I388" s="2" t="s">
        <v>61</v>
      </c>
      <c r="J388" s="2" t="s">
        <v>1067</v>
      </c>
      <c r="K388" s="2" t="s">
        <v>245</v>
      </c>
      <c r="L388" s="2" t="s">
        <v>63</v>
      </c>
      <c r="M388" s="2" t="s">
        <v>768</v>
      </c>
      <c r="N388" s="2" t="s">
        <v>65</v>
      </c>
      <c r="O388" s="2" t="s">
        <v>1068</v>
      </c>
      <c r="P388" s="2" t="s">
        <v>1076</v>
      </c>
      <c r="Q388" s="2" t="s">
        <v>1079</v>
      </c>
      <c r="R388" s="2"/>
    </row>
    <row r="389" spans="1:18">
      <c r="A389" s="2" t="s">
        <v>1081</v>
      </c>
      <c r="B389" s="2" t="s">
        <v>1082</v>
      </c>
      <c r="C389" s="2" t="s">
        <v>1066</v>
      </c>
      <c r="D389" s="2">
        <v>86.7</v>
      </c>
      <c r="E389" s="2">
        <v>0.01</v>
      </c>
      <c r="F389" s="3">
        <f>IF(COUNT(D389,E389)=2,D389*E389,NA())</f>
        <v>0.867</v>
      </c>
      <c r="G389" s="2" t="s">
        <v>768</v>
      </c>
      <c r="H389" s="2"/>
      <c r="I389" s="2" t="s">
        <v>61</v>
      </c>
      <c r="J389" s="2" t="s">
        <v>1067</v>
      </c>
      <c r="K389" s="2" t="s">
        <v>245</v>
      </c>
      <c r="L389" s="2" t="s">
        <v>63</v>
      </c>
      <c r="M389" s="2" t="s">
        <v>768</v>
      </c>
      <c r="N389" s="2" t="s">
        <v>65</v>
      </c>
      <c r="O389" s="2" t="s">
        <v>1068</v>
      </c>
      <c r="P389" s="2" t="s">
        <v>1076</v>
      </c>
      <c r="Q389" s="2" t="s">
        <v>1081</v>
      </c>
      <c r="R389" s="2"/>
    </row>
    <row r="390" spans="1:18">
      <c r="A390" s="2" t="s">
        <v>1083</v>
      </c>
      <c r="B390" s="2" t="s">
        <v>1084</v>
      </c>
      <c r="C390" s="2" t="s">
        <v>1066</v>
      </c>
      <c r="D390" s="2">
        <v>52.5</v>
      </c>
      <c r="E390" s="2">
        <v>0.01</v>
      </c>
      <c r="F390" s="3">
        <f>IF(COUNT(D390,E390)=2,D390*E390,NA())</f>
        <v>0.525</v>
      </c>
      <c r="G390" s="2" t="s">
        <v>768</v>
      </c>
      <c r="H390" s="2"/>
      <c r="I390" s="2" t="s">
        <v>61</v>
      </c>
      <c r="J390" s="2" t="s">
        <v>1067</v>
      </c>
      <c r="K390" s="2" t="s">
        <v>245</v>
      </c>
      <c r="L390" s="2" t="s">
        <v>63</v>
      </c>
      <c r="M390" s="2" t="s">
        <v>768</v>
      </c>
      <c r="N390" s="2" t="s">
        <v>65</v>
      </c>
      <c r="O390" s="2" t="s">
        <v>1068</v>
      </c>
      <c r="P390" s="2" t="s">
        <v>1076</v>
      </c>
      <c r="Q390" s="2" t="s">
        <v>1083</v>
      </c>
      <c r="R390" s="2"/>
    </row>
    <row r="391" spans="1:18">
      <c r="A391" s="2" t="s">
        <v>1085</v>
      </c>
      <c r="B391" s="2" t="s">
        <v>1086</v>
      </c>
      <c r="C391" s="2" t="s">
        <v>1066</v>
      </c>
      <c r="D391" s="2">
        <v>139.16</v>
      </c>
      <c r="E391" s="2">
        <v>0.01</v>
      </c>
      <c r="F391" s="3">
        <f>IF(COUNT(D391,E391)=2,D391*E391,NA())</f>
        <v>1.3916</v>
      </c>
      <c r="G391" s="2" t="s">
        <v>768</v>
      </c>
      <c r="H391" s="2"/>
      <c r="I391" s="2" t="s">
        <v>61</v>
      </c>
      <c r="J391" s="2" t="s">
        <v>1067</v>
      </c>
      <c r="K391" s="2" t="s">
        <v>245</v>
      </c>
      <c r="L391" s="2" t="s">
        <v>63</v>
      </c>
      <c r="M391" s="2" t="s">
        <v>768</v>
      </c>
      <c r="N391" s="2" t="s">
        <v>65</v>
      </c>
      <c r="O391" s="2" t="s">
        <v>1068</v>
      </c>
      <c r="P391" s="2" t="s">
        <v>1076</v>
      </c>
      <c r="Q391" s="2" t="s">
        <v>1085</v>
      </c>
      <c r="R391" s="2"/>
    </row>
    <row r="392" spans="1:18">
      <c r="A392" s="2" t="s">
        <v>1087</v>
      </c>
      <c r="B392" s="2" t="s">
        <v>1088</v>
      </c>
      <c r="C392" s="2" t="s">
        <v>1066</v>
      </c>
      <c r="D392" s="2">
        <v>591780</v>
      </c>
      <c r="E392" s="2">
        <v>1</v>
      </c>
      <c r="F392" s="3">
        <f>IF(COUNT(D392,E392)=2,D392*E392,NA())</f>
        <v>591780.0</v>
      </c>
      <c r="G392" s="2" t="s">
        <v>59</v>
      </c>
      <c r="H392" s="2" t="s">
        <v>60</v>
      </c>
      <c r="I392" s="2" t="s">
        <v>61</v>
      </c>
      <c r="J392" s="2" t="s">
        <v>1067</v>
      </c>
      <c r="K392" s="2" t="s">
        <v>245</v>
      </c>
      <c r="L392" s="2" t="s">
        <v>63</v>
      </c>
      <c r="M392" s="2" t="s">
        <v>246</v>
      </c>
      <c r="N392" s="2" t="s">
        <v>65</v>
      </c>
      <c r="O392" s="2" t="s">
        <v>1068</v>
      </c>
      <c r="P392" s="2" t="s">
        <v>1089</v>
      </c>
      <c r="Q392" s="2" t="s">
        <v>1087</v>
      </c>
      <c r="R392" s="2"/>
    </row>
    <row r="393" spans="1:18">
      <c r="A393" s="2" t="s">
        <v>1090</v>
      </c>
      <c r="B393" s="2" t="s">
        <v>1091</v>
      </c>
      <c r="C393" s="2" t="s">
        <v>1066</v>
      </c>
      <c r="D393" s="2">
        <v>823522</v>
      </c>
      <c r="E393" s="2">
        <v>1</v>
      </c>
      <c r="F393" s="3">
        <f>IF(COUNT(D393,E393)=2,D393*E393,NA())</f>
        <v>823522.0</v>
      </c>
      <c r="G393" s="2" t="s">
        <v>59</v>
      </c>
      <c r="H393" s="2" t="s">
        <v>60</v>
      </c>
      <c r="I393" s="2" t="s">
        <v>61</v>
      </c>
      <c r="J393" s="2" t="s">
        <v>1067</v>
      </c>
      <c r="K393" s="2" t="s">
        <v>245</v>
      </c>
      <c r="L393" s="2" t="s">
        <v>63</v>
      </c>
      <c r="M393" s="2" t="s">
        <v>246</v>
      </c>
      <c r="N393" s="2" t="s">
        <v>65</v>
      </c>
      <c r="O393" s="2" t="s">
        <v>1068</v>
      </c>
      <c r="P393" s="2" t="s">
        <v>1092</v>
      </c>
      <c r="Q393" s="2" t="s">
        <v>1090</v>
      </c>
      <c r="R393" s="2"/>
    </row>
    <row r="394" spans="1:18">
      <c r="A394" s="2" t="s">
        <v>1093</v>
      </c>
      <c r="B394" s="2" t="s">
        <v>1094</v>
      </c>
      <c r="C394" s="2" t="s">
        <v>1095</v>
      </c>
      <c r="D394" s="2">
        <v>2863</v>
      </c>
      <c r="E394" s="2">
        <v>1000000</v>
      </c>
      <c r="F394" s="3">
        <f>IF(COUNT(D394,E394)=2,D394*E394,NA())</f>
        <v>2863000000.0</v>
      </c>
      <c r="G394" s="2" t="s">
        <v>59</v>
      </c>
      <c r="H394" s="2" t="s">
        <v>60</v>
      </c>
      <c r="I394" s="2" t="s">
        <v>61</v>
      </c>
      <c r="J394" s="2" t="s">
        <v>1096</v>
      </c>
      <c r="K394" s="2" t="s">
        <v>245</v>
      </c>
      <c r="L394" s="2" t="s">
        <v>63</v>
      </c>
      <c r="M394" s="2" t="s">
        <v>246</v>
      </c>
      <c r="N394" s="2" t="s">
        <v>65</v>
      </c>
      <c r="O394" s="2" t="s">
        <v>1097</v>
      </c>
      <c r="P394" s="2" t="s">
        <v>1098</v>
      </c>
      <c r="Q394" s="2" t="s">
        <v>1093</v>
      </c>
      <c r="R394" s="2"/>
    </row>
    <row r="395" spans="1:18">
      <c r="A395" s="2" t="s">
        <v>1099</v>
      </c>
      <c r="B395" s="2" t="s">
        <v>1100</v>
      </c>
      <c r="C395" s="2" t="s">
        <v>1101</v>
      </c>
      <c r="D395" s="2">
        <v>12</v>
      </c>
      <c r="E395" s="2">
        <v>1</v>
      </c>
      <c r="F395" s="3">
        <f>IF(COUNT(D395,E395)=2,D395*E395,NA())</f>
        <v>12.0</v>
      </c>
      <c r="G395" s="2" t="s">
        <v>1041</v>
      </c>
      <c r="H395" s="2"/>
      <c r="I395" s="2" t="s">
        <v>61</v>
      </c>
      <c r="J395" s="2" t="s">
        <v>1102</v>
      </c>
      <c r="K395" s="2" t="s">
        <v>245</v>
      </c>
      <c r="L395" s="2" t="s">
        <v>63</v>
      </c>
      <c r="M395" s="2" t="s">
        <v>246</v>
      </c>
      <c r="N395" s="2" t="s">
        <v>65</v>
      </c>
      <c r="O395" s="2" t="s">
        <v>1103</v>
      </c>
      <c r="P395" s="2" t="s">
        <v>1104</v>
      </c>
      <c r="Q395" s="2" t="s">
        <v>1099</v>
      </c>
      <c r="R395" s="2" t="s">
        <v>1105</v>
      </c>
    </row>
    <row r="396" spans="1:18">
      <c r="A396" s="2" t="s">
        <v>1106</v>
      </c>
      <c r="B396" s="2" t="s">
        <v>1107</v>
      </c>
      <c r="C396" s="2" t="s">
        <v>1101</v>
      </c>
      <c r="D396" s="2">
        <v>8</v>
      </c>
      <c r="E396" s="2">
        <v>1</v>
      </c>
      <c r="F396" s="3">
        <f>IF(COUNT(D396,E396)=2,D396*E396,NA())</f>
        <v>8.0</v>
      </c>
      <c r="G396" s="2" t="s">
        <v>1041</v>
      </c>
      <c r="H396" s="2"/>
      <c r="I396" s="2" t="s">
        <v>61</v>
      </c>
      <c r="J396" s="2" t="s">
        <v>1102</v>
      </c>
      <c r="K396" s="2" t="s">
        <v>245</v>
      </c>
      <c r="L396" s="2" t="s">
        <v>63</v>
      </c>
      <c r="M396" s="2" t="s">
        <v>246</v>
      </c>
      <c r="N396" s="2" t="s">
        <v>65</v>
      </c>
      <c r="O396" s="2" t="s">
        <v>1103</v>
      </c>
      <c r="P396" s="2" t="s">
        <v>1104</v>
      </c>
      <c r="Q396" s="2" t="s">
        <v>1106</v>
      </c>
      <c r="R396" s="2" t="s">
        <v>1105</v>
      </c>
    </row>
    <row r="397" spans="1:18">
      <c r="A397" s="2" t="s">
        <v>1108</v>
      </c>
      <c r="B397" s="2" t="s">
        <v>1109</v>
      </c>
      <c r="C397" s="2" t="s">
        <v>1101</v>
      </c>
      <c r="D397" s="2">
        <v>3</v>
      </c>
      <c r="E397" s="2">
        <v>1</v>
      </c>
      <c r="F397" s="3">
        <f>IF(COUNT(D397,E397)=2,D397*E397,NA())</f>
        <v>3.0</v>
      </c>
      <c r="G397" s="2" t="s">
        <v>1041</v>
      </c>
      <c r="H397" s="2"/>
      <c r="I397" s="2" t="s">
        <v>61</v>
      </c>
      <c r="J397" s="2" t="s">
        <v>1102</v>
      </c>
      <c r="K397" s="2" t="s">
        <v>245</v>
      </c>
      <c r="L397" s="2" t="s">
        <v>63</v>
      </c>
      <c r="M397" s="2" t="s">
        <v>246</v>
      </c>
      <c r="N397" s="2" t="s">
        <v>65</v>
      </c>
      <c r="O397" s="2" t="s">
        <v>1103</v>
      </c>
      <c r="P397" s="2" t="s">
        <v>1104</v>
      </c>
      <c r="Q397" s="2" t="s">
        <v>1108</v>
      </c>
      <c r="R397" s="2" t="s">
        <v>1105</v>
      </c>
    </row>
    <row r="398" spans="1:18">
      <c r="A398" s="2" t="s">
        <v>1110</v>
      </c>
      <c r="B398" s="2" t="s">
        <v>1111</v>
      </c>
      <c r="C398" s="2" t="s">
        <v>1112</v>
      </c>
      <c r="D398" s="2">
        <v>258</v>
      </c>
      <c r="E398" s="2">
        <v>1000000</v>
      </c>
      <c r="F398" s="3">
        <f>IF(COUNT(D398,E398)=2,D398*E398,NA())</f>
        <v>258000000.0</v>
      </c>
      <c r="G398" s="2" t="s">
        <v>59</v>
      </c>
      <c r="H398" s="2" t="s">
        <v>60</v>
      </c>
      <c r="I398" s="2" t="s">
        <v>61</v>
      </c>
      <c r="J398" s="2" t="s">
        <v>1113</v>
      </c>
      <c r="K398" s="2"/>
      <c r="L398" s="2" t="s">
        <v>786</v>
      </c>
      <c r="M398" s="2" t="s">
        <v>64</v>
      </c>
      <c r="N398" s="2" t="s">
        <v>65</v>
      </c>
      <c r="O398" s="2" t="s">
        <v>11</v>
      </c>
      <c r="P398" s="2" t="s">
        <v>1114</v>
      </c>
      <c r="Q398" s="2" t="s">
        <v>1110</v>
      </c>
      <c r="R398" s="2"/>
    </row>
    <row r="399" spans="1:18">
      <c r="A399" s="2" t="s">
        <v>1115</v>
      </c>
      <c r="B399" s="2" t="s">
        <v>1116</v>
      </c>
      <c r="C399" s="2" t="s">
        <v>1112</v>
      </c>
      <c r="D399" s="2">
        <v>4939</v>
      </c>
      <c r="E399" s="2">
        <v>1000000</v>
      </c>
      <c r="F399" s="3">
        <f>IF(COUNT(D399,E399)=2,D399*E399,NA())</f>
        <v>4939000000.0</v>
      </c>
      <c r="G399" s="2" t="s">
        <v>59</v>
      </c>
      <c r="H399" s="2" t="s">
        <v>60</v>
      </c>
      <c r="I399" s="2" t="s">
        <v>61</v>
      </c>
      <c r="J399" s="2" t="s">
        <v>1113</v>
      </c>
      <c r="K399" s="2"/>
      <c r="L399" s="2" t="s">
        <v>786</v>
      </c>
      <c r="M399" s="2" t="s">
        <v>64</v>
      </c>
      <c r="N399" s="2" t="s">
        <v>65</v>
      </c>
      <c r="O399" s="2" t="s">
        <v>11</v>
      </c>
      <c r="P399" s="2" t="s">
        <v>1114</v>
      </c>
      <c r="Q399" s="2" t="s">
        <v>1115</v>
      </c>
      <c r="R399" s="2"/>
    </row>
    <row r="400" spans="1:18">
      <c r="A400" s="2" t="s">
        <v>1117</v>
      </c>
      <c r="B400" s="2" t="s">
        <v>1118</v>
      </c>
      <c r="C400" s="2" t="s">
        <v>1119</v>
      </c>
      <c r="D400" s="2">
        <v>122</v>
      </c>
      <c r="E400" s="2">
        <v>1000000</v>
      </c>
      <c r="F400" s="3">
        <f>IF(COUNT(D400,E400)=2,D400*E400,NA())</f>
        <v>122000000.0</v>
      </c>
      <c r="G400" s="2" t="s">
        <v>59</v>
      </c>
      <c r="H400" s="2" t="s">
        <v>60</v>
      </c>
      <c r="I400" s="2" t="s">
        <v>61</v>
      </c>
      <c r="J400" s="2" t="s">
        <v>1113</v>
      </c>
      <c r="K400" s="2"/>
      <c r="L400" s="2" t="s">
        <v>786</v>
      </c>
      <c r="M400" s="2" t="s">
        <v>64</v>
      </c>
      <c r="N400" s="2" t="s">
        <v>65</v>
      </c>
      <c r="O400" s="2" t="s">
        <v>11</v>
      </c>
      <c r="P400" s="2" t="s">
        <v>1114</v>
      </c>
      <c r="Q400" s="2" t="s">
        <v>1117</v>
      </c>
      <c r="R400" s="2"/>
    </row>
    <row r="401" spans="1:18">
      <c r="A401" s="2" t="s">
        <v>1120</v>
      </c>
      <c r="B401" s="2" t="s">
        <v>1121</v>
      </c>
      <c r="C401" s="2" t="s">
        <v>1119</v>
      </c>
      <c r="D401" s="2">
        <v>24804</v>
      </c>
      <c r="E401" s="2">
        <v>1000000</v>
      </c>
      <c r="F401" s="3">
        <f>IF(COUNT(D401,E401)=2,D401*E401,NA())</f>
        <v>24804000000.0</v>
      </c>
      <c r="G401" s="2" t="s">
        <v>59</v>
      </c>
      <c r="H401" s="2" t="s">
        <v>60</v>
      </c>
      <c r="I401" s="2" t="s">
        <v>61</v>
      </c>
      <c r="J401" s="2" t="s">
        <v>1113</v>
      </c>
      <c r="K401" s="2"/>
      <c r="L401" s="2" t="s">
        <v>786</v>
      </c>
      <c r="M401" s="2" t="s">
        <v>64</v>
      </c>
      <c r="N401" s="2" t="s">
        <v>65</v>
      </c>
      <c r="O401" s="2" t="s">
        <v>11</v>
      </c>
      <c r="P401" s="2" t="s">
        <v>1114</v>
      </c>
      <c r="Q401" s="2" t="s">
        <v>1120</v>
      </c>
      <c r="R401" s="2"/>
    </row>
    <row r="402" spans="1:18">
      <c r="A402" s="2" t="s">
        <v>1122</v>
      </c>
      <c r="B402" s="2" t="s">
        <v>1123</v>
      </c>
      <c r="C402" s="2" t="s">
        <v>1112</v>
      </c>
      <c r="D402" s="2">
        <v>24805</v>
      </c>
      <c r="E402" s="2">
        <v>1000000</v>
      </c>
      <c r="F402" s="3">
        <f>IF(COUNT(D402,E402)=2,D402*E402,NA())</f>
        <v>24805000000.0</v>
      </c>
      <c r="G402" s="2" t="s">
        <v>59</v>
      </c>
      <c r="H402" s="2" t="s">
        <v>60</v>
      </c>
      <c r="I402" s="2" t="s">
        <v>61</v>
      </c>
      <c r="J402" s="2" t="s">
        <v>1113</v>
      </c>
      <c r="K402" s="2"/>
      <c r="L402" s="2" t="s">
        <v>786</v>
      </c>
      <c r="M402" s="2" t="s">
        <v>64</v>
      </c>
      <c r="N402" s="2" t="s">
        <v>65</v>
      </c>
      <c r="O402" s="2" t="s">
        <v>11</v>
      </c>
      <c r="P402" s="2" t="s">
        <v>1124</v>
      </c>
      <c r="Q402" s="2" t="s">
        <v>1122</v>
      </c>
      <c r="R402" s="2"/>
    </row>
    <row r="403" spans="1:18">
      <c r="A403" s="2" t="s">
        <v>1125</v>
      </c>
      <c r="B403" s="2" t="s">
        <v>1126</v>
      </c>
      <c r="C403" s="2" t="s">
        <v>1112</v>
      </c>
      <c r="D403" s="2">
        <v>123</v>
      </c>
      <c r="E403" s="2">
        <v>1000000</v>
      </c>
      <c r="F403" s="3">
        <f>IF(COUNT(D403,E403)=2,D403*E403,NA())</f>
        <v>123000000.0</v>
      </c>
      <c r="G403" s="2" t="s">
        <v>59</v>
      </c>
      <c r="H403" s="2" t="s">
        <v>60</v>
      </c>
      <c r="I403" s="2" t="s">
        <v>61</v>
      </c>
      <c r="J403" s="2" t="s">
        <v>1113</v>
      </c>
      <c r="K403" s="2"/>
      <c r="L403" s="2" t="s">
        <v>786</v>
      </c>
      <c r="M403" s="2" t="s">
        <v>64</v>
      </c>
      <c r="N403" s="2" t="s">
        <v>65</v>
      </c>
      <c r="O403" s="2" t="s">
        <v>11</v>
      </c>
      <c r="P403" s="2" t="s">
        <v>1124</v>
      </c>
      <c r="Q403" s="2" t="s">
        <v>1125</v>
      </c>
      <c r="R403" s="2"/>
    </row>
    <row r="404" spans="1:18">
      <c r="A404" s="2" t="s">
        <v>1127</v>
      </c>
      <c r="B404" s="2" t="s">
        <v>1128</v>
      </c>
      <c r="C404" s="2" t="s">
        <v>1112</v>
      </c>
      <c r="D404" s="2">
        <v>-57</v>
      </c>
      <c r="E404" s="2">
        <v>1000000</v>
      </c>
      <c r="F404" s="3">
        <f>IF(COUNT(D404,E404)=2,D404*E404,NA())</f>
        <v>-57000000.0</v>
      </c>
      <c r="G404" s="2" t="s">
        <v>59</v>
      </c>
      <c r="H404" s="2" t="s">
        <v>60</v>
      </c>
      <c r="I404" s="2" t="s">
        <v>61</v>
      </c>
      <c r="J404" s="2" t="s">
        <v>1113</v>
      </c>
      <c r="K404" s="2" t="s">
        <v>816</v>
      </c>
      <c r="L404" s="2" t="s">
        <v>786</v>
      </c>
      <c r="M404" s="2" t="s">
        <v>246</v>
      </c>
      <c r="N404" s="2" t="s">
        <v>65</v>
      </c>
      <c r="O404" s="2" t="s">
        <v>11</v>
      </c>
      <c r="P404" s="2" t="s">
        <v>1114</v>
      </c>
      <c r="Q404" s="2" t="s">
        <v>1127</v>
      </c>
      <c r="R404" s="2"/>
    </row>
    <row r="405" spans="1:18">
      <c r="A405" s="2" t="s">
        <v>1129</v>
      </c>
      <c r="B405" s="2" t="s">
        <v>1130</v>
      </c>
      <c r="C405" s="2" t="s">
        <v>1112</v>
      </c>
      <c r="D405" s="2">
        <v>-473</v>
      </c>
      <c r="E405" s="2">
        <v>1000000</v>
      </c>
      <c r="F405" s="3">
        <f>IF(COUNT(D405,E405)=2,D405*E405,NA())</f>
        <v>-473000000.0</v>
      </c>
      <c r="G405" s="2" t="s">
        <v>59</v>
      </c>
      <c r="H405" s="2" t="s">
        <v>60</v>
      </c>
      <c r="I405" s="2" t="s">
        <v>61</v>
      </c>
      <c r="J405" s="2" t="s">
        <v>1113</v>
      </c>
      <c r="K405" s="2" t="s">
        <v>816</v>
      </c>
      <c r="L405" s="2" t="s">
        <v>786</v>
      </c>
      <c r="M405" s="2" t="s">
        <v>246</v>
      </c>
      <c r="N405" s="2" t="s">
        <v>65</v>
      </c>
      <c r="O405" s="2" t="s">
        <v>11</v>
      </c>
      <c r="P405" s="2" t="s">
        <v>1114</v>
      </c>
      <c r="Q405" s="2" t="s">
        <v>1129</v>
      </c>
      <c r="R405" s="2"/>
    </row>
    <row r="406" spans="1:18">
      <c r="A406" s="2" t="s">
        <v>1131</v>
      </c>
      <c r="B406" s="2" t="s">
        <v>1132</v>
      </c>
      <c r="C406" s="2" t="s">
        <v>1112</v>
      </c>
      <c r="D406" s="2">
        <v>-25</v>
      </c>
      <c r="E406" s="2">
        <v>1000000</v>
      </c>
      <c r="F406" s="3">
        <f>IF(COUNT(D406,E406)=2,D406*E406,NA())</f>
        <v>-25000000.0</v>
      </c>
      <c r="G406" s="2" t="s">
        <v>59</v>
      </c>
      <c r="H406" s="2" t="s">
        <v>60</v>
      </c>
      <c r="I406" s="2" t="s">
        <v>61</v>
      </c>
      <c r="J406" s="2" t="s">
        <v>1113</v>
      </c>
      <c r="K406" s="2" t="s">
        <v>816</v>
      </c>
      <c r="L406" s="2" t="s">
        <v>786</v>
      </c>
      <c r="M406" s="2" t="s">
        <v>246</v>
      </c>
      <c r="N406" s="2" t="s">
        <v>65</v>
      </c>
      <c r="O406" s="2" t="s">
        <v>11</v>
      </c>
      <c r="P406" s="2" t="s">
        <v>1114</v>
      </c>
      <c r="Q406" s="2" t="s">
        <v>1131</v>
      </c>
      <c r="R406" s="2"/>
    </row>
    <row r="407" spans="1:18">
      <c r="A407" s="2" t="s">
        <v>1133</v>
      </c>
      <c r="B407" s="2" t="s">
        <v>1134</v>
      </c>
      <c r="C407" s="2" t="s">
        <v>1112</v>
      </c>
      <c r="D407" s="2">
        <v>-256</v>
      </c>
      <c r="E407" s="2">
        <v>1000000</v>
      </c>
      <c r="F407" s="3">
        <f>IF(COUNT(D407,E407)=2,D407*E407,NA())</f>
        <v>-256000000.0</v>
      </c>
      <c r="G407" s="2" t="s">
        <v>59</v>
      </c>
      <c r="H407" s="2" t="s">
        <v>60</v>
      </c>
      <c r="I407" s="2" t="s">
        <v>61</v>
      </c>
      <c r="J407" s="2" t="s">
        <v>1135</v>
      </c>
      <c r="K407" s="2" t="s">
        <v>816</v>
      </c>
      <c r="L407" s="2" t="s">
        <v>786</v>
      </c>
      <c r="M407" s="2" t="s">
        <v>246</v>
      </c>
      <c r="N407" s="2" t="s">
        <v>65</v>
      </c>
      <c r="O407" s="2" t="s">
        <v>11</v>
      </c>
      <c r="P407" s="2" t="s">
        <v>1114</v>
      </c>
      <c r="Q407" s="2" t="s">
        <v>1133</v>
      </c>
      <c r="R407" s="2"/>
    </row>
    <row r="408" spans="1:18">
      <c r="A408" s="2" t="s">
        <v>1136</v>
      </c>
      <c r="B408" s="2" t="s">
        <v>1137</v>
      </c>
      <c r="C408" s="2" t="s">
        <v>1138</v>
      </c>
      <c r="D408" s="2">
        <v>318</v>
      </c>
      <c r="E408" s="2">
        <v>1000000</v>
      </c>
      <c r="F408" s="3">
        <f>IF(COUNT(D408,E408)=2,D408*E408,NA())</f>
        <v>318000000.0</v>
      </c>
      <c r="G408" s="2" t="s">
        <v>59</v>
      </c>
      <c r="H408" s="2" t="s">
        <v>60</v>
      </c>
      <c r="I408" s="2" t="s">
        <v>61</v>
      </c>
      <c r="J408" s="2" t="s">
        <v>1113</v>
      </c>
      <c r="K408" s="2" t="s">
        <v>816</v>
      </c>
      <c r="L408" s="2" t="s">
        <v>786</v>
      </c>
      <c r="M408" s="2" t="s">
        <v>246</v>
      </c>
      <c r="N408" s="2" t="s">
        <v>65</v>
      </c>
      <c r="O408" s="2" t="s">
        <v>11</v>
      </c>
      <c r="P408" s="2" t="s">
        <v>1114</v>
      </c>
      <c r="Q408" s="2" t="s">
        <v>1136</v>
      </c>
      <c r="R408" s="2"/>
    </row>
    <row r="409" spans="1:18">
      <c r="A409" s="2" t="s">
        <v>1139</v>
      </c>
      <c r="B409" s="2" t="s">
        <v>1140</v>
      </c>
      <c r="C409" s="2" t="s">
        <v>1119</v>
      </c>
      <c r="D409" s="2">
        <v>239</v>
      </c>
      <c r="E409" s="2">
        <v>1000000</v>
      </c>
      <c r="F409" s="3">
        <f>IF(COUNT(D409,E409)=2,D409*E409,NA())</f>
        <v>239000000.0</v>
      </c>
      <c r="G409" s="2" t="s">
        <v>59</v>
      </c>
      <c r="H409" s="2" t="s">
        <v>60</v>
      </c>
      <c r="I409" s="2" t="s">
        <v>61</v>
      </c>
      <c r="J409" s="2" t="s">
        <v>1113</v>
      </c>
      <c r="K409" s="2" t="s">
        <v>816</v>
      </c>
      <c r="L409" s="2" t="s">
        <v>786</v>
      </c>
      <c r="M409" s="2" t="s">
        <v>246</v>
      </c>
      <c r="N409" s="2" t="s">
        <v>65</v>
      </c>
      <c r="O409" s="2" t="s">
        <v>11</v>
      </c>
      <c r="P409" s="2" t="s">
        <v>1114</v>
      </c>
      <c r="Q409" s="2" t="s">
        <v>1139</v>
      </c>
      <c r="R409" s="2"/>
    </row>
    <row r="410" spans="1:18">
      <c r="A410" s="2" t="s">
        <v>1141</v>
      </c>
      <c r="B410" s="2" t="s">
        <v>1142</v>
      </c>
      <c r="C410" s="2" t="s">
        <v>1138</v>
      </c>
      <c r="D410" s="2">
        <v>4</v>
      </c>
      <c r="E410" s="2">
        <v>1000000</v>
      </c>
      <c r="F410" s="3">
        <f>IF(COUNT(D410,E410)=2,D410*E410,NA())</f>
        <v>4000000.0</v>
      </c>
      <c r="G410" s="2" t="s">
        <v>59</v>
      </c>
      <c r="H410" s="2" t="s">
        <v>60</v>
      </c>
      <c r="I410" s="2" t="s">
        <v>61</v>
      </c>
      <c r="J410" s="2" t="s">
        <v>1113</v>
      </c>
      <c r="K410" s="2" t="s">
        <v>816</v>
      </c>
      <c r="L410" s="2" t="s">
        <v>786</v>
      </c>
      <c r="M410" s="2" t="s">
        <v>246</v>
      </c>
      <c r="N410" s="2" t="s">
        <v>65</v>
      </c>
      <c r="O410" s="2" t="s">
        <v>11</v>
      </c>
      <c r="P410" s="2" t="s">
        <v>1114</v>
      </c>
      <c r="Q410" s="2" t="s">
        <v>1141</v>
      </c>
      <c r="R410" s="2"/>
    </row>
    <row r="411" spans="1:18">
      <c r="A411" s="2" t="s">
        <v>1143</v>
      </c>
      <c r="B411" s="2" t="s">
        <v>1144</v>
      </c>
      <c r="C411" s="2" t="s">
        <v>1119</v>
      </c>
      <c r="D411" s="2">
        <v>675</v>
      </c>
      <c r="E411" s="2">
        <v>1000000</v>
      </c>
      <c r="F411" s="3">
        <f>IF(COUNT(D411,E411)=2,D411*E411,NA())</f>
        <v>675000000.0</v>
      </c>
      <c r="G411" s="2" t="s">
        <v>59</v>
      </c>
      <c r="H411" s="2" t="s">
        <v>60</v>
      </c>
      <c r="I411" s="2" t="s">
        <v>61</v>
      </c>
      <c r="J411" s="2" t="s">
        <v>1113</v>
      </c>
      <c r="K411" s="2" t="s">
        <v>816</v>
      </c>
      <c r="L411" s="2" t="s">
        <v>786</v>
      </c>
      <c r="M411" s="2" t="s">
        <v>246</v>
      </c>
      <c r="N411" s="2" t="s">
        <v>65</v>
      </c>
      <c r="O411" s="2" t="s">
        <v>1145</v>
      </c>
      <c r="P411" s="2" t="s">
        <v>1114</v>
      </c>
      <c r="Q411" s="2" t="s">
        <v>1143</v>
      </c>
      <c r="R411" s="2"/>
    </row>
    <row r="412" spans="1:18">
      <c r="A412" s="2" t="s">
        <v>1146</v>
      </c>
      <c r="B412" s="2" t="s">
        <v>1147</v>
      </c>
      <c r="C412" s="2" t="s">
        <v>1119</v>
      </c>
      <c r="D412" s="2">
        <v>21</v>
      </c>
      <c r="E412" s="2">
        <v>1000000</v>
      </c>
      <c r="F412" s="3">
        <f>IF(COUNT(D412,E412)=2,D412*E412,NA())</f>
        <v>21000000.0</v>
      </c>
      <c r="G412" s="2" t="s">
        <v>59</v>
      </c>
      <c r="H412" s="2" t="s">
        <v>60</v>
      </c>
      <c r="I412" s="2" t="s">
        <v>61</v>
      </c>
      <c r="J412" s="2" t="s">
        <v>1113</v>
      </c>
      <c r="K412" s="2" t="s">
        <v>816</v>
      </c>
      <c r="L412" s="2" t="s">
        <v>786</v>
      </c>
      <c r="M412" s="2" t="s">
        <v>246</v>
      </c>
      <c r="N412" s="2" t="s">
        <v>65</v>
      </c>
      <c r="O412" s="2" t="s">
        <v>11</v>
      </c>
      <c r="P412" s="2" t="s">
        <v>1114</v>
      </c>
      <c r="Q412" s="2" t="s">
        <v>1146</v>
      </c>
      <c r="R412" s="2"/>
    </row>
    <row r="413" spans="1:18">
      <c r="A413" s="2" t="s">
        <v>1148</v>
      </c>
      <c r="B413" s="2" t="s">
        <v>1149</v>
      </c>
      <c r="C413" s="2" t="s">
        <v>1119</v>
      </c>
      <c r="D413" s="2">
        <v>-3</v>
      </c>
      <c r="E413" s="2">
        <v>1000000</v>
      </c>
      <c r="F413" s="3">
        <f>IF(COUNT(D413,E413)=2,D413*E413,NA())</f>
        <v>-3000000.0</v>
      </c>
      <c r="G413" s="2" t="s">
        <v>59</v>
      </c>
      <c r="H413" s="2" t="s">
        <v>60</v>
      </c>
      <c r="I413" s="2" t="s">
        <v>61</v>
      </c>
      <c r="J413" s="2" t="s">
        <v>1113</v>
      </c>
      <c r="K413" s="2" t="s">
        <v>816</v>
      </c>
      <c r="L413" s="2" t="s">
        <v>786</v>
      </c>
      <c r="M413" s="2" t="s">
        <v>246</v>
      </c>
      <c r="N413" s="2" t="s">
        <v>65</v>
      </c>
      <c r="O413" s="2" t="s">
        <v>11</v>
      </c>
      <c r="P413" s="2" t="s">
        <v>1114</v>
      </c>
      <c r="Q413" s="2" t="s">
        <v>1148</v>
      </c>
      <c r="R413" s="2"/>
    </row>
    <row r="414" spans="1:18">
      <c r="A414" s="2" t="s">
        <v>1150</v>
      </c>
      <c r="B414" s="2" t="s">
        <v>1151</v>
      </c>
      <c r="C414" s="2" t="s">
        <v>1119</v>
      </c>
      <c r="D414" s="2">
        <v>14</v>
      </c>
      <c r="E414" s="2">
        <v>1000000</v>
      </c>
      <c r="F414" s="3">
        <f>IF(COUNT(D414,E414)=2,D414*E414,NA())</f>
        <v>14000000.0</v>
      </c>
      <c r="G414" s="2" t="s">
        <v>59</v>
      </c>
      <c r="H414" s="2" t="s">
        <v>60</v>
      </c>
      <c r="I414" s="2" t="s">
        <v>61</v>
      </c>
      <c r="J414" s="2" t="s">
        <v>1113</v>
      </c>
      <c r="K414" s="2" t="s">
        <v>816</v>
      </c>
      <c r="L414" s="2" t="s">
        <v>786</v>
      </c>
      <c r="M414" s="2" t="s">
        <v>246</v>
      </c>
      <c r="N414" s="2" t="s">
        <v>65</v>
      </c>
      <c r="O414" s="2" t="s">
        <v>11</v>
      </c>
      <c r="P414" s="2" t="s">
        <v>1114</v>
      </c>
      <c r="Q414" s="2" t="s">
        <v>1150</v>
      </c>
      <c r="R414" s="2"/>
    </row>
    <row r="415" spans="1:18">
      <c r="A415" s="2" t="s">
        <v>1152</v>
      </c>
      <c r="B415" s="2" t="s">
        <v>1153</v>
      </c>
      <c r="C415" s="2" t="s">
        <v>1119</v>
      </c>
      <c r="D415" s="2">
        <v>14</v>
      </c>
      <c r="E415" s="2">
        <v>1000000</v>
      </c>
      <c r="F415" s="3">
        <f>IF(COUNT(D415,E415)=2,D415*E415,NA())</f>
        <v>14000000.0</v>
      </c>
      <c r="G415" s="2" t="s">
        <v>59</v>
      </c>
      <c r="H415" s="2" t="s">
        <v>60</v>
      </c>
      <c r="I415" s="2" t="s">
        <v>61</v>
      </c>
      <c r="J415" s="2" t="s">
        <v>1113</v>
      </c>
      <c r="K415" s="2" t="s">
        <v>816</v>
      </c>
      <c r="L415" s="2" t="s">
        <v>786</v>
      </c>
      <c r="M415" s="2" t="s">
        <v>246</v>
      </c>
      <c r="N415" s="2" t="s">
        <v>65</v>
      </c>
      <c r="O415" s="2" t="s">
        <v>11</v>
      </c>
      <c r="P415" s="2" t="s">
        <v>1114</v>
      </c>
      <c r="Q415" s="2" t="s">
        <v>1152</v>
      </c>
      <c r="R415" s="2"/>
    </row>
    <row r="416" spans="1:18">
      <c r="A416" s="2" t="s">
        <v>1154</v>
      </c>
      <c r="B416" s="2" t="s">
        <v>1155</v>
      </c>
      <c r="C416" s="2" t="s">
        <v>1112</v>
      </c>
      <c r="D416" s="2">
        <v>32</v>
      </c>
      <c r="E416" s="2">
        <v>1000000</v>
      </c>
      <c r="F416" s="3">
        <f>IF(COUNT(D416,E416)=2,D416*E416,NA())</f>
        <v>32000000.0</v>
      </c>
      <c r="G416" s="2" t="s">
        <v>59</v>
      </c>
      <c r="H416" s="2" t="s">
        <v>60</v>
      </c>
      <c r="I416" s="2" t="s">
        <v>61</v>
      </c>
      <c r="J416" s="2" t="s">
        <v>1156</v>
      </c>
      <c r="K416" s="2" t="s">
        <v>816</v>
      </c>
      <c r="L416" s="2" t="s">
        <v>786</v>
      </c>
      <c r="M416" s="2" t="s">
        <v>246</v>
      </c>
      <c r="N416" s="2" t="s">
        <v>65</v>
      </c>
      <c r="O416" s="2" t="s">
        <v>11</v>
      </c>
      <c r="P416" s="2" t="s">
        <v>1157</v>
      </c>
      <c r="Q416" s="2" t="s">
        <v>1154</v>
      </c>
      <c r="R416" s="2"/>
    </row>
    <row r="417" spans="1:18">
      <c r="A417" s="2" t="s">
        <v>1158</v>
      </c>
      <c r="B417" s="2" t="s">
        <v>1159</v>
      </c>
      <c r="C417" s="2" t="s">
        <v>1112</v>
      </c>
      <c r="D417" s="2">
        <v>7</v>
      </c>
      <c r="E417" s="2">
        <v>1000000</v>
      </c>
      <c r="F417" s="3">
        <f>IF(COUNT(D417,E417)=2,D417*E417,NA())</f>
        <v>7000000.0</v>
      </c>
      <c r="G417" s="2" t="s">
        <v>59</v>
      </c>
      <c r="H417" s="2" t="s">
        <v>60</v>
      </c>
      <c r="I417" s="2" t="s">
        <v>61</v>
      </c>
      <c r="J417" s="2" t="s">
        <v>1113</v>
      </c>
      <c r="K417" s="2" t="s">
        <v>816</v>
      </c>
      <c r="L417" s="2" t="s">
        <v>786</v>
      </c>
      <c r="M417" s="2" t="s">
        <v>246</v>
      </c>
      <c r="N417" s="2" t="s">
        <v>65</v>
      </c>
      <c r="O417" s="2" t="s">
        <v>11</v>
      </c>
      <c r="P417" s="2" t="s">
        <v>1114</v>
      </c>
      <c r="Q417" s="2" t="s">
        <v>1158</v>
      </c>
      <c r="R417" s="2"/>
    </row>
    <row r="418" spans="1:18">
      <c r="A418" s="2" t="s">
        <v>1160</v>
      </c>
      <c r="B418" s="2" t="s">
        <v>1161</v>
      </c>
      <c r="C418" s="2" t="s">
        <v>1112</v>
      </c>
      <c r="D418" s="2">
        <v>90</v>
      </c>
      <c r="E418" s="2">
        <v>1000000</v>
      </c>
      <c r="F418" s="3">
        <f>IF(COUNT(D418,E418)=2,D418*E418,NA())</f>
        <v>90000000.0</v>
      </c>
      <c r="G418" s="2" t="s">
        <v>59</v>
      </c>
      <c r="H418" s="2" t="s">
        <v>60</v>
      </c>
      <c r="I418" s="2" t="s">
        <v>61</v>
      </c>
      <c r="J418" s="2" t="s">
        <v>1113</v>
      </c>
      <c r="K418" s="2" t="s">
        <v>816</v>
      </c>
      <c r="L418" s="2" t="s">
        <v>786</v>
      </c>
      <c r="M418" s="2" t="s">
        <v>246</v>
      </c>
      <c r="N418" s="2" t="s">
        <v>65</v>
      </c>
      <c r="O418" s="2" t="s">
        <v>11</v>
      </c>
      <c r="P418" s="2" t="s">
        <v>1114</v>
      </c>
      <c r="Q418" s="2" t="s">
        <v>1160</v>
      </c>
      <c r="R418" s="2"/>
    </row>
    <row r="419" spans="1:18">
      <c r="A419" s="2" t="s">
        <v>1162</v>
      </c>
      <c r="B419" s="2" t="s">
        <v>1163</v>
      </c>
      <c r="C419" s="2" t="s">
        <v>1112</v>
      </c>
      <c r="D419" s="2">
        <v>18</v>
      </c>
      <c r="E419" s="2">
        <v>1000000</v>
      </c>
      <c r="F419" s="3">
        <f>IF(COUNT(D419,E419)=2,D419*E419,NA())</f>
        <v>18000000.0</v>
      </c>
      <c r="G419" s="2" t="s">
        <v>59</v>
      </c>
      <c r="H419" s="2" t="s">
        <v>60</v>
      </c>
      <c r="I419" s="2" t="s">
        <v>61</v>
      </c>
      <c r="J419" s="2" t="s">
        <v>1113</v>
      </c>
      <c r="K419" s="2" t="s">
        <v>816</v>
      </c>
      <c r="L419" s="2" t="s">
        <v>786</v>
      </c>
      <c r="M419" s="2" t="s">
        <v>246</v>
      </c>
      <c r="N419" s="2" t="s">
        <v>65</v>
      </c>
      <c r="O419" s="2" t="s">
        <v>11</v>
      </c>
      <c r="P419" s="2" t="s">
        <v>1114</v>
      </c>
      <c r="Q419" s="2" t="s">
        <v>1162</v>
      </c>
      <c r="R419" s="2"/>
    </row>
    <row r="420" spans="1:18">
      <c r="A420" s="2" t="s">
        <v>1164</v>
      </c>
      <c r="B420" s="2" t="s">
        <v>1165</v>
      </c>
      <c r="C420" s="2" t="s">
        <v>1112</v>
      </c>
      <c r="D420" s="2">
        <v>235</v>
      </c>
      <c r="E420" s="2">
        <v>1000000</v>
      </c>
      <c r="F420" s="3">
        <f>IF(COUNT(D420,E420)=2,D420*E420,NA())</f>
        <v>235000000.0</v>
      </c>
      <c r="G420" s="2" t="s">
        <v>59</v>
      </c>
      <c r="H420" s="2" t="s">
        <v>60</v>
      </c>
      <c r="I420" s="2" t="s">
        <v>61</v>
      </c>
      <c r="J420" s="2" t="s">
        <v>1113</v>
      </c>
      <c r="K420" s="2"/>
      <c r="L420" s="2" t="s">
        <v>63</v>
      </c>
      <c r="M420" s="2" t="s">
        <v>64</v>
      </c>
      <c r="N420" s="2" t="s">
        <v>65</v>
      </c>
      <c r="O420" s="2" t="s">
        <v>1166</v>
      </c>
      <c r="P420" s="2" t="s">
        <v>1114</v>
      </c>
      <c r="Q420" s="2" t="s">
        <v>1164</v>
      </c>
      <c r="R420" s="2"/>
    </row>
    <row r="421" spans="1:18">
      <c r="A421" s="2" t="s">
        <v>1167</v>
      </c>
      <c r="B421" s="2" t="s">
        <v>1168</v>
      </c>
      <c r="C421" s="2" t="s">
        <v>1112</v>
      </c>
      <c r="D421" s="2">
        <v>156</v>
      </c>
      <c r="E421" s="2">
        <v>1000000</v>
      </c>
      <c r="F421" s="3">
        <f>IF(COUNT(D421,E421)=2,D421*E421,NA())</f>
        <v>156000000.0</v>
      </c>
      <c r="G421" s="2" t="s">
        <v>59</v>
      </c>
      <c r="H421" s="2" t="s">
        <v>60</v>
      </c>
      <c r="I421" s="2" t="s">
        <v>61</v>
      </c>
      <c r="J421" s="2" t="s">
        <v>1113</v>
      </c>
      <c r="K421" s="2"/>
      <c r="L421" s="2" t="s">
        <v>786</v>
      </c>
      <c r="M421" s="2" t="s">
        <v>64</v>
      </c>
      <c r="N421" s="2" t="s">
        <v>65</v>
      </c>
      <c r="O421" s="2" t="s">
        <v>11</v>
      </c>
      <c r="P421" s="2" t="s">
        <v>1114</v>
      </c>
      <c r="Q421" s="2" t="s">
        <v>1167</v>
      </c>
      <c r="R421" s="2"/>
    </row>
    <row r="422" spans="1:18">
      <c r="A422" s="2" t="s">
        <v>1169</v>
      </c>
      <c r="B422" s="2" t="s">
        <v>1170</v>
      </c>
      <c r="C422" s="2" t="s">
        <v>1171</v>
      </c>
      <c r="D422" s="2">
        <v>2665</v>
      </c>
      <c r="E422" s="2">
        <v>1000000</v>
      </c>
      <c r="F422" s="3">
        <f>IF(COUNT(D422,E422)=2,D422*E422,NA())</f>
        <v>2665000000.0</v>
      </c>
      <c r="G422" s="2" t="s">
        <v>59</v>
      </c>
      <c r="H422" s="2" t="s">
        <v>60</v>
      </c>
      <c r="I422" s="2" t="s">
        <v>61</v>
      </c>
      <c r="J422" s="2" t="s">
        <v>1113</v>
      </c>
      <c r="K422" s="2" t="s">
        <v>816</v>
      </c>
      <c r="L422" s="2" t="s">
        <v>1172</v>
      </c>
      <c r="M422" s="2" t="s">
        <v>897</v>
      </c>
      <c r="N422" s="2" t="s">
        <v>65</v>
      </c>
      <c r="O422" s="2" t="s">
        <v>1166</v>
      </c>
      <c r="P422" s="2" t="s">
        <v>1173</v>
      </c>
      <c r="Q422" s="2" t="s">
        <v>1169</v>
      </c>
      <c r="R422" s="2"/>
    </row>
    <row r="423" spans="1:18">
      <c r="A423" s="2" t="s">
        <v>1174</v>
      </c>
      <c r="B423" s="2" t="s">
        <v>1175</v>
      </c>
      <c r="C423" s="2" t="s">
        <v>1171</v>
      </c>
      <c r="D423" s="2">
        <v>2715</v>
      </c>
      <c r="E423" s="2">
        <v>1000000</v>
      </c>
      <c r="F423" s="3">
        <f>IF(COUNT(D423,E423)=2,D423*E423,NA())</f>
        <v>2715000000.0</v>
      </c>
      <c r="G423" s="2" t="s">
        <v>59</v>
      </c>
      <c r="H423" s="2" t="s">
        <v>60</v>
      </c>
      <c r="I423" s="2" t="s">
        <v>61</v>
      </c>
      <c r="J423" s="2" t="s">
        <v>1113</v>
      </c>
      <c r="K423" s="2" t="s">
        <v>816</v>
      </c>
      <c r="L423" s="2" t="s">
        <v>1172</v>
      </c>
      <c r="M423" s="2" t="s">
        <v>897</v>
      </c>
      <c r="N423" s="2" t="s">
        <v>65</v>
      </c>
      <c r="O423" s="2" t="s">
        <v>1166</v>
      </c>
      <c r="P423" s="2" t="s">
        <v>1173</v>
      </c>
      <c r="Q423" s="2" t="s">
        <v>1174</v>
      </c>
      <c r="R423" s="2"/>
    </row>
    <row r="424" spans="1:18">
      <c r="A424" s="2" t="s">
        <v>1176</v>
      </c>
      <c r="B424" s="2" t="s">
        <v>1177</v>
      </c>
      <c r="C424" s="2" t="s">
        <v>1171</v>
      </c>
      <c r="D424" s="2">
        <v>775</v>
      </c>
      <c r="E424" s="2">
        <v>1000000</v>
      </c>
      <c r="F424" s="3">
        <f>IF(COUNT(D424,E424)=2,D424*E424,NA())</f>
        <v>775000000.0</v>
      </c>
      <c r="G424" s="2" t="s">
        <v>59</v>
      </c>
      <c r="H424" s="2" t="s">
        <v>60</v>
      </c>
      <c r="I424" s="2" t="s">
        <v>61</v>
      </c>
      <c r="J424" s="2" t="s">
        <v>1113</v>
      </c>
      <c r="K424" s="2" t="s">
        <v>816</v>
      </c>
      <c r="L424" s="2" t="s">
        <v>1172</v>
      </c>
      <c r="M424" s="2" t="s">
        <v>897</v>
      </c>
      <c r="N424" s="2" t="s">
        <v>65</v>
      </c>
      <c r="O424" s="2" t="s">
        <v>1166</v>
      </c>
      <c r="P424" s="2" t="s">
        <v>1173</v>
      </c>
      <c r="Q424" s="2" t="s">
        <v>1176</v>
      </c>
      <c r="R424" s="2"/>
    </row>
    <row r="425" spans="1:18">
      <c r="A425" s="2" t="s">
        <v>1178</v>
      </c>
      <c r="B425" s="2" t="s">
        <v>1179</v>
      </c>
      <c r="C425" s="2" t="s">
        <v>1171</v>
      </c>
      <c r="D425" s="2">
        <v>815</v>
      </c>
      <c r="E425" s="2">
        <v>1000000</v>
      </c>
      <c r="F425" s="3">
        <f>IF(COUNT(D425,E425)=2,D425*E425,NA())</f>
        <v>815000000.0</v>
      </c>
      <c r="G425" s="2" t="s">
        <v>59</v>
      </c>
      <c r="H425" s="2" t="s">
        <v>60</v>
      </c>
      <c r="I425" s="2" t="s">
        <v>61</v>
      </c>
      <c r="J425" s="2" t="s">
        <v>1113</v>
      </c>
      <c r="K425" s="2" t="s">
        <v>816</v>
      </c>
      <c r="L425" s="2" t="s">
        <v>1172</v>
      </c>
      <c r="M425" s="2" t="s">
        <v>897</v>
      </c>
      <c r="N425" s="2" t="s">
        <v>65</v>
      </c>
      <c r="O425" s="2" t="s">
        <v>1166</v>
      </c>
      <c r="P425" s="2" t="s">
        <v>1173</v>
      </c>
      <c r="Q425" s="2" t="s">
        <v>1178</v>
      </c>
      <c r="R425" s="2"/>
    </row>
    <row r="426" spans="1:18">
      <c r="A426" s="2" t="s">
        <v>1180</v>
      </c>
      <c r="B426" s="2" t="s">
        <v>1181</v>
      </c>
      <c r="C426" s="2" t="s">
        <v>1171</v>
      </c>
      <c r="D426" s="2">
        <v>25</v>
      </c>
      <c r="E426" s="2">
        <v>1000000</v>
      </c>
      <c r="F426" s="3">
        <f>IF(COUNT(D426,E426)=2,D426*E426,NA())</f>
        <v>25000000.0</v>
      </c>
      <c r="G426" s="2" t="s">
        <v>59</v>
      </c>
      <c r="H426" s="2" t="s">
        <v>60</v>
      </c>
      <c r="I426" s="2" t="s">
        <v>61</v>
      </c>
      <c r="J426" s="2" t="s">
        <v>1113</v>
      </c>
      <c r="K426" s="2" t="s">
        <v>816</v>
      </c>
      <c r="L426" s="2" t="s">
        <v>1172</v>
      </c>
      <c r="M426" s="2" t="s">
        <v>897</v>
      </c>
      <c r="N426" s="2" t="s">
        <v>65</v>
      </c>
      <c r="O426" s="2" t="s">
        <v>1166</v>
      </c>
      <c r="P426" s="2" t="s">
        <v>1173</v>
      </c>
      <c r="Q426" s="2" t="s">
        <v>1180</v>
      </c>
      <c r="R426" s="2"/>
    </row>
    <row r="427" spans="1:18">
      <c r="A427" s="2" t="s">
        <v>1182</v>
      </c>
      <c r="B427" s="2" t="s">
        <v>1183</v>
      </c>
      <c r="C427" s="2" t="s">
        <v>1171</v>
      </c>
      <c r="D427" s="2">
        <v>35</v>
      </c>
      <c r="E427" s="2">
        <v>1000000</v>
      </c>
      <c r="F427" s="3">
        <f>IF(COUNT(D427,E427)=2,D427*E427,NA())</f>
        <v>35000000.0</v>
      </c>
      <c r="G427" s="2" t="s">
        <v>59</v>
      </c>
      <c r="H427" s="2" t="s">
        <v>60</v>
      </c>
      <c r="I427" s="2" t="s">
        <v>61</v>
      </c>
      <c r="J427" s="2" t="s">
        <v>1113</v>
      </c>
      <c r="K427" s="2" t="s">
        <v>816</v>
      </c>
      <c r="L427" s="2" t="s">
        <v>1172</v>
      </c>
      <c r="M427" s="2" t="s">
        <v>897</v>
      </c>
      <c r="N427" s="2" t="s">
        <v>65</v>
      </c>
      <c r="O427" s="2" t="s">
        <v>1166</v>
      </c>
      <c r="P427" s="2" t="s">
        <v>1173</v>
      </c>
      <c r="Q427" s="2" t="s">
        <v>1182</v>
      </c>
      <c r="R427" s="2"/>
    </row>
    <row r="428" spans="1:18">
      <c r="A428" s="2" t="s">
        <v>1184</v>
      </c>
      <c r="B428" s="2" t="s">
        <v>1185</v>
      </c>
      <c r="C428" s="2" t="s">
        <v>1171</v>
      </c>
      <c r="D428" s="2">
        <v>5</v>
      </c>
      <c r="E428" s="2">
        <v>1000000</v>
      </c>
      <c r="F428" s="3">
        <f>IF(COUNT(D428,E428)=2,D428*E428,NA())</f>
        <v>5000000.0</v>
      </c>
      <c r="G428" s="2" t="s">
        <v>59</v>
      </c>
      <c r="H428" s="2" t="s">
        <v>60</v>
      </c>
      <c r="I428" s="2" t="s">
        <v>61</v>
      </c>
      <c r="J428" s="2" t="s">
        <v>1113</v>
      </c>
      <c r="K428" s="2" t="s">
        <v>816</v>
      </c>
      <c r="L428" s="2" t="s">
        <v>1172</v>
      </c>
      <c r="M428" s="2" t="s">
        <v>897</v>
      </c>
      <c r="N428" s="2" t="s">
        <v>65</v>
      </c>
      <c r="O428" s="2" t="s">
        <v>1166</v>
      </c>
      <c r="P428" s="2" t="s">
        <v>1173</v>
      </c>
      <c r="Q428" s="2" t="s">
        <v>1184</v>
      </c>
      <c r="R428" s="2"/>
    </row>
    <row r="429" spans="1:18">
      <c r="A429" s="2" t="s">
        <v>1186</v>
      </c>
      <c r="B429" s="2" t="s">
        <v>1187</v>
      </c>
      <c r="C429" s="2" t="s">
        <v>1171</v>
      </c>
      <c r="D429" s="2">
        <v>15</v>
      </c>
      <c r="E429" s="2">
        <v>1000000</v>
      </c>
      <c r="F429" s="3">
        <f>IF(COUNT(D429,E429)=2,D429*E429,NA())</f>
        <v>15000000.0</v>
      </c>
      <c r="G429" s="2" t="s">
        <v>59</v>
      </c>
      <c r="H429" s="2" t="s">
        <v>60</v>
      </c>
      <c r="I429" s="2" t="s">
        <v>61</v>
      </c>
      <c r="J429" s="2" t="s">
        <v>1113</v>
      </c>
      <c r="K429" s="2" t="s">
        <v>816</v>
      </c>
      <c r="L429" s="2" t="s">
        <v>1172</v>
      </c>
      <c r="M429" s="2" t="s">
        <v>897</v>
      </c>
      <c r="N429" s="2" t="s">
        <v>65</v>
      </c>
      <c r="O429" s="2" t="s">
        <v>1166</v>
      </c>
      <c r="P429" s="2" t="s">
        <v>1173</v>
      </c>
      <c r="Q429" s="2" t="s">
        <v>1186</v>
      </c>
      <c r="R429" s="2"/>
    </row>
    <row r="430" spans="1:18">
      <c r="A430" s="2" t="s">
        <v>1188</v>
      </c>
      <c r="B430" s="2" t="s">
        <v>1189</v>
      </c>
      <c r="C430" s="2" t="s">
        <v>1171</v>
      </c>
      <c r="D430" s="2">
        <v>792</v>
      </c>
      <c r="E430" s="2">
        <v>1000000</v>
      </c>
      <c r="F430" s="3">
        <f>IF(COUNT(D430,E430)=2,D430*E430,NA())</f>
        <v>792000000.0</v>
      </c>
      <c r="G430" s="2" t="s">
        <v>59</v>
      </c>
      <c r="H430" s="2" t="s">
        <v>60</v>
      </c>
      <c r="I430" s="2" t="s">
        <v>61</v>
      </c>
      <c r="J430" s="2" t="s">
        <v>1113</v>
      </c>
      <c r="K430" s="2" t="s">
        <v>816</v>
      </c>
      <c r="L430" s="2" t="s">
        <v>1172</v>
      </c>
      <c r="M430" s="2" t="s">
        <v>897</v>
      </c>
      <c r="N430" s="2" t="s">
        <v>65</v>
      </c>
      <c r="O430" s="2" t="s">
        <v>1166</v>
      </c>
      <c r="P430" s="2" t="s">
        <v>1173</v>
      </c>
      <c r="Q430" s="2" t="s">
        <v>1188</v>
      </c>
      <c r="R430" s="2"/>
    </row>
    <row r="431" spans="1:18">
      <c r="A431" s="2" t="s">
        <v>1190</v>
      </c>
      <c r="B431" s="2" t="s">
        <v>1191</v>
      </c>
      <c r="C431" s="2" t="s">
        <v>1171</v>
      </c>
      <c r="D431" s="2">
        <v>837</v>
      </c>
      <c r="E431" s="2">
        <v>1000000</v>
      </c>
      <c r="F431" s="3">
        <f>IF(COUNT(D431,E431)=2,D431*E431,NA())</f>
        <v>837000000.0</v>
      </c>
      <c r="G431" s="2" t="s">
        <v>59</v>
      </c>
      <c r="H431" s="2" t="s">
        <v>60</v>
      </c>
      <c r="I431" s="2" t="s">
        <v>61</v>
      </c>
      <c r="J431" s="2" t="s">
        <v>1113</v>
      </c>
      <c r="K431" s="2" t="s">
        <v>816</v>
      </c>
      <c r="L431" s="2" t="s">
        <v>1172</v>
      </c>
      <c r="M431" s="2" t="s">
        <v>897</v>
      </c>
      <c r="N431" s="2" t="s">
        <v>65</v>
      </c>
      <c r="O431" s="2" t="s">
        <v>1166</v>
      </c>
      <c r="P431" s="2" t="s">
        <v>1173</v>
      </c>
      <c r="Q431" s="2" t="s">
        <v>1190</v>
      </c>
      <c r="R431" s="2"/>
    </row>
    <row r="432" spans="1:18">
      <c r="A432" s="2" t="s">
        <v>1192</v>
      </c>
      <c r="B432" s="2" t="s">
        <v>1193</v>
      </c>
      <c r="C432" s="2" t="s">
        <v>1171</v>
      </c>
      <c r="D432" s="2">
        <v>627</v>
      </c>
      <c r="E432" s="2">
        <v>1000000</v>
      </c>
      <c r="F432" s="3">
        <f>IF(COUNT(D432,E432)=2,D432*E432,NA())</f>
        <v>627000000.0</v>
      </c>
      <c r="G432" s="2" t="s">
        <v>59</v>
      </c>
      <c r="H432" s="2" t="s">
        <v>60</v>
      </c>
      <c r="I432" s="2" t="s">
        <v>61</v>
      </c>
      <c r="J432" s="2" t="s">
        <v>1113</v>
      </c>
      <c r="K432" s="2" t="s">
        <v>816</v>
      </c>
      <c r="L432" s="2" t="s">
        <v>1172</v>
      </c>
      <c r="M432" s="2" t="s">
        <v>897</v>
      </c>
      <c r="N432" s="2" t="s">
        <v>65</v>
      </c>
      <c r="O432" s="2" t="s">
        <v>1166</v>
      </c>
      <c r="P432" s="2" t="s">
        <v>1173</v>
      </c>
      <c r="Q432" s="2" t="s">
        <v>1192</v>
      </c>
      <c r="R432" s="2"/>
    </row>
    <row r="433" spans="1:18">
      <c r="A433" s="2" t="s">
        <v>1194</v>
      </c>
      <c r="B433" s="2" t="s">
        <v>1195</v>
      </c>
      <c r="C433" s="2" t="s">
        <v>1171</v>
      </c>
      <c r="D433" s="2">
        <v>722</v>
      </c>
      <c r="E433" s="2">
        <v>1000000</v>
      </c>
      <c r="F433" s="3">
        <f>IF(COUNT(D433,E433)=2,D433*E433,NA())</f>
        <v>722000000.0</v>
      </c>
      <c r="G433" s="2" t="s">
        <v>59</v>
      </c>
      <c r="H433" s="2" t="s">
        <v>60</v>
      </c>
      <c r="I433" s="2" t="s">
        <v>61</v>
      </c>
      <c r="J433" s="2" t="s">
        <v>1113</v>
      </c>
      <c r="K433" s="2" t="s">
        <v>816</v>
      </c>
      <c r="L433" s="2" t="s">
        <v>1172</v>
      </c>
      <c r="M433" s="2" t="s">
        <v>897</v>
      </c>
      <c r="N433" s="2" t="s">
        <v>65</v>
      </c>
      <c r="O433" s="2" t="s">
        <v>1166</v>
      </c>
      <c r="P433" s="2" t="s">
        <v>1173</v>
      </c>
      <c r="Q433" s="2" t="s">
        <v>1194</v>
      </c>
      <c r="R433" s="2"/>
    </row>
    <row r="434" spans="1:18">
      <c r="A434" s="2" t="s">
        <v>1196</v>
      </c>
      <c r="B434" s="2" t="s">
        <v>1197</v>
      </c>
      <c r="C434" s="2" t="s">
        <v>1171</v>
      </c>
      <c r="D434" s="2">
        <v>88</v>
      </c>
      <c r="E434" s="2">
        <v>1000000</v>
      </c>
      <c r="F434" s="3">
        <f>IF(COUNT(D434,E434)=2,D434*E434,NA())</f>
        <v>88000000.0</v>
      </c>
      <c r="G434" s="2" t="s">
        <v>59</v>
      </c>
      <c r="H434" s="2" t="s">
        <v>60</v>
      </c>
      <c r="I434" s="2" t="s">
        <v>61</v>
      </c>
      <c r="J434" s="2" t="s">
        <v>1113</v>
      </c>
      <c r="K434" s="2" t="s">
        <v>816</v>
      </c>
      <c r="L434" s="2" t="s">
        <v>1172</v>
      </c>
      <c r="M434" s="2" t="s">
        <v>897</v>
      </c>
      <c r="N434" s="2" t="s">
        <v>65</v>
      </c>
      <c r="O434" s="2" t="s">
        <v>1166</v>
      </c>
      <c r="P434" s="2" t="s">
        <v>1173</v>
      </c>
      <c r="Q434" s="2" t="s">
        <v>1196</v>
      </c>
      <c r="R434" s="2"/>
    </row>
    <row r="435" spans="1:18">
      <c r="A435" s="2" t="s">
        <v>1198</v>
      </c>
      <c r="B435" s="2" t="s">
        <v>1199</v>
      </c>
      <c r="C435" s="2" t="s">
        <v>1171</v>
      </c>
      <c r="D435" s="2">
        <v>92</v>
      </c>
      <c r="E435" s="2">
        <v>1000000</v>
      </c>
      <c r="F435" s="3">
        <f>IF(COUNT(D435,E435)=2,D435*E435,NA())</f>
        <v>92000000.0</v>
      </c>
      <c r="G435" s="2" t="s">
        <v>59</v>
      </c>
      <c r="H435" s="2" t="s">
        <v>60</v>
      </c>
      <c r="I435" s="2" t="s">
        <v>61</v>
      </c>
      <c r="J435" s="2" t="s">
        <v>1113</v>
      </c>
      <c r="K435" s="2" t="s">
        <v>816</v>
      </c>
      <c r="L435" s="2" t="s">
        <v>1172</v>
      </c>
      <c r="M435" s="2" t="s">
        <v>897</v>
      </c>
      <c r="N435" s="2" t="s">
        <v>65</v>
      </c>
      <c r="O435" s="2" t="s">
        <v>1166</v>
      </c>
      <c r="P435" s="2" t="s">
        <v>1173</v>
      </c>
      <c r="Q435" s="2" t="s">
        <v>1198</v>
      </c>
      <c r="R435" s="2"/>
    </row>
    <row r="436" spans="1:18">
      <c r="A436" s="2" t="s">
        <v>1200</v>
      </c>
      <c r="B436" s="2" t="s">
        <v>1201</v>
      </c>
      <c r="C436" s="2" t="s">
        <v>1171</v>
      </c>
      <c r="D436" s="2">
        <v>10</v>
      </c>
      <c r="E436" s="2">
        <v>1000000</v>
      </c>
      <c r="F436" s="3">
        <f>IF(COUNT(D436,E436)=2,D436*E436,NA())</f>
        <v>10000000.0</v>
      </c>
      <c r="G436" s="2" t="s">
        <v>59</v>
      </c>
      <c r="H436" s="2" t="s">
        <v>60</v>
      </c>
      <c r="I436" s="2" t="s">
        <v>61</v>
      </c>
      <c r="J436" s="2" t="s">
        <v>1113</v>
      </c>
      <c r="K436" s="2" t="s">
        <v>816</v>
      </c>
      <c r="L436" s="2" t="s">
        <v>1172</v>
      </c>
      <c r="M436" s="2" t="s">
        <v>897</v>
      </c>
      <c r="N436" s="2" t="s">
        <v>65</v>
      </c>
      <c r="O436" s="2" t="s">
        <v>1166</v>
      </c>
      <c r="P436" s="2" t="s">
        <v>1173</v>
      </c>
      <c r="Q436" s="2" t="s">
        <v>1200</v>
      </c>
      <c r="R436" s="2"/>
    </row>
    <row r="437" spans="1:18">
      <c r="A437" s="2" t="s">
        <v>1202</v>
      </c>
      <c r="B437" s="2" t="s">
        <v>1203</v>
      </c>
      <c r="C437" s="2" t="s">
        <v>1171</v>
      </c>
      <c r="D437" s="2">
        <v>20</v>
      </c>
      <c r="E437" s="2">
        <v>1000000</v>
      </c>
      <c r="F437" s="3">
        <f>IF(COUNT(D437,E437)=2,D437*E437,NA())</f>
        <v>20000000.0</v>
      </c>
      <c r="G437" s="2" t="s">
        <v>59</v>
      </c>
      <c r="H437" s="2" t="s">
        <v>60</v>
      </c>
      <c r="I437" s="2" t="s">
        <v>61</v>
      </c>
      <c r="J437" s="2" t="s">
        <v>1113</v>
      </c>
      <c r="K437" s="2" t="s">
        <v>816</v>
      </c>
      <c r="L437" s="2" t="s">
        <v>1172</v>
      </c>
      <c r="M437" s="2" t="s">
        <v>897</v>
      </c>
      <c r="N437" s="2" t="s">
        <v>65</v>
      </c>
      <c r="O437" s="2" t="s">
        <v>1166</v>
      </c>
      <c r="P437" s="2" t="s">
        <v>1173</v>
      </c>
      <c r="Q437" s="2" t="s">
        <v>1202</v>
      </c>
      <c r="R437" s="2"/>
    </row>
    <row r="438" spans="1:18">
      <c r="A438" s="2" t="s">
        <v>1204</v>
      </c>
      <c r="B438" s="2" t="s">
        <v>1205</v>
      </c>
      <c r="C438" s="2" t="s">
        <v>1171</v>
      </c>
      <c r="D438" s="2">
        <v>14</v>
      </c>
      <c r="E438" s="2">
        <v>1000000</v>
      </c>
      <c r="F438" s="3">
        <f>IF(COUNT(D438,E438)=2,D438*E438,NA())</f>
        <v>14000000.0</v>
      </c>
      <c r="G438" s="2" t="s">
        <v>59</v>
      </c>
      <c r="H438" s="2" t="s">
        <v>60</v>
      </c>
      <c r="I438" s="2" t="s">
        <v>61</v>
      </c>
      <c r="J438" s="2" t="s">
        <v>1113</v>
      </c>
      <c r="K438" s="2" t="s">
        <v>816</v>
      </c>
      <c r="L438" s="2" t="s">
        <v>1172</v>
      </c>
      <c r="M438" s="2" t="s">
        <v>897</v>
      </c>
      <c r="N438" s="2" t="s">
        <v>65</v>
      </c>
      <c r="O438" s="2" t="s">
        <v>1166</v>
      </c>
      <c r="P438" s="2" t="s">
        <v>1173</v>
      </c>
      <c r="Q438" s="2" t="s">
        <v>1204</v>
      </c>
      <c r="R438" s="2"/>
    </row>
    <row r="439" spans="1:18">
      <c r="A439" s="2" t="s">
        <v>1206</v>
      </c>
      <c r="B439" s="2" t="s">
        <v>1207</v>
      </c>
      <c r="C439" s="2" t="s">
        <v>1171</v>
      </c>
      <c r="D439" s="2">
        <v>16</v>
      </c>
      <c r="E439" s="2">
        <v>1000000</v>
      </c>
      <c r="F439" s="3">
        <f>IF(COUNT(D439,E439)=2,D439*E439,NA())</f>
        <v>16000000.0</v>
      </c>
      <c r="G439" s="2" t="s">
        <v>59</v>
      </c>
      <c r="H439" s="2" t="s">
        <v>60</v>
      </c>
      <c r="I439" s="2" t="s">
        <v>61</v>
      </c>
      <c r="J439" s="2" t="s">
        <v>1113</v>
      </c>
      <c r="K439" s="2" t="s">
        <v>816</v>
      </c>
      <c r="L439" s="2" t="s">
        <v>1172</v>
      </c>
      <c r="M439" s="2" t="s">
        <v>897</v>
      </c>
      <c r="N439" s="2" t="s">
        <v>65</v>
      </c>
      <c r="O439" s="2" t="s">
        <v>1166</v>
      </c>
      <c r="P439" s="2" t="s">
        <v>1173</v>
      </c>
      <c r="Q439" s="2" t="s">
        <v>1206</v>
      </c>
      <c r="R439" s="2"/>
    </row>
    <row r="440" spans="1:18">
      <c r="A440" s="2" t="s">
        <v>1208</v>
      </c>
      <c r="B440" s="2" t="s">
        <v>1209</v>
      </c>
      <c r="C440" s="2" t="s">
        <v>1171</v>
      </c>
      <c r="D440" s="2">
        <v>25</v>
      </c>
      <c r="E440" s="2">
        <v>1000000</v>
      </c>
      <c r="F440" s="3">
        <f>IF(COUNT(D440,E440)=2,D440*E440,NA())</f>
        <v>25000000.0</v>
      </c>
      <c r="G440" s="2" t="s">
        <v>59</v>
      </c>
      <c r="H440" s="2" t="s">
        <v>60</v>
      </c>
      <c r="I440" s="2" t="s">
        <v>61</v>
      </c>
      <c r="J440" s="2" t="s">
        <v>1113</v>
      </c>
      <c r="K440" s="2" t="s">
        <v>816</v>
      </c>
      <c r="L440" s="2" t="s">
        <v>1172</v>
      </c>
      <c r="M440" s="2" t="s">
        <v>897</v>
      </c>
      <c r="N440" s="2" t="s">
        <v>65</v>
      </c>
      <c r="O440" s="2" t="s">
        <v>1166</v>
      </c>
      <c r="P440" s="2" t="s">
        <v>1173</v>
      </c>
      <c r="Q440" s="2" t="s">
        <v>1208</v>
      </c>
      <c r="R440" s="2"/>
    </row>
    <row r="441" spans="1:18">
      <c r="A441" s="2" t="s">
        <v>1210</v>
      </c>
      <c r="B441" s="2" t="s">
        <v>1211</v>
      </c>
      <c r="C441" s="2" t="s">
        <v>1171</v>
      </c>
      <c r="D441" s="2">
        <v>35</v>
      </c>
      <c r="E441" s="2">
        <v>1000000</v>
      </c>
      <c r="F441" s="3">
        <f>IF(COUNT(D441,E441)=2,D441*E441,NA())</f>
        <v>35000000.0</v>
      </c>
      <c r="G441" s="2" t="s">
        <v>59</v>
      </c>
      <c r="H441" s="2" t="s">
        <v>60</v>
      </c>
      <c r="I441" s="2" t="s">
        <v>61</v>
      </c>
      <c r="J441" s="2" t="s">
        <v>1113</v>
      </c>
      <c r="K441" s="2" t="s">
        <v>816</v>
      </c>
      <c r="L441" s="2" t="s">
        <v>1172</v>
      </c>
      <c r="M441" s="2" t="s">
        <v>897</v>
      </c>
      <c r="N441" s="2" t="s">
        <v>65</v>
      </c>
      <c r="O441" s="2" t="s">
        <v>1166</v>
      </c>
      <c r="P441" s="2" t="s">
        <v>1173</v>
      </c>
      <c r="Q441" s="2" t="s">
        <v>1210</v>
      </c>
      <c r="R441" s="2"/>
    </row>
    <row r="442" spans="1:18">
      <c r="A442" s="2" t="s">
        <v>1212</v>
      </c>
      <c r="B442" s="2" t="s">
        <v>1213</v>
      </c>
      <c r="C442" s="2" t="s">
        <v>1171</v>
      </c>
      <c r="D442" s="2">
        <v>11</v>
      </c>
      <c r="E442" s="2">
        <v>1000000</v>
      </c>
      <c r="F442" s="3">
        <f>IF(COUNT(D442,E442)=2,D442*E442,NA())</f>
        <v>11000000.0</v>
      </c>
      <c r="G442" s="2" t="s">
        <v>59</v>
      </c>
      <c r="H442" s="2" t="s">
        <v>60</v>
      </c>
      <c r="I442" s="2" t="s">
        <v>61</v>
      </c>
      <c r="J442" s="2" t="s">
        <v>1113</v>
      </c>
      <c r="K442" s="2" t="s">
        <v>816</v>
      </c>
      <c r="L442" s="2" t="s">
        <v>1172</v>
      </c>
      <c r="M442" s="2" t="s">
        <v>897</v>
      </c>
      <c r="N442" s="2" t="s">
        <v>65</v>
      </c>
      <c r="O442" s="2" t="s">
        <v>1166</v>
      </c>
      <c r="P442" s="2" t="s">
        <v>1173</v>
      </c>
      <c r="Q442" s="2" t="s">
        <v>1212</v>
      </c>
      <c r="R442" s="2"/>
    </row>
    <row r="443" spans="1:18">
      <c r="A443" s="2" t="s">
        <v>1214</v>
      </c>
      <c r="B443" s="2" t="s">
        <v>1215</v>
      </c>
      <c r="C443" s="2" t="s">
        <v>1171</v>
      </c>
      <c r="D443" s="2">
        <v>19</v>
      </c>
      <c r="E443" s="2">
        <v>1000000</v>
      </c>
      <c r="F443" s="3">
        <f>IF(COUNT(D443,E443)=2,D443*E443,NA())</f>
        <v>19000000.0</v>
      </c>
      <c r="G443" s="2" t="s">
        <v>59</v>
      </c>
      <c r="H443" s="2" t="s">
        <v>60</v>
      </c>
      <c r="I443" s="2" t="s">
        <v>61</v>
      </c>
      <c r="J443" s="2" t="s">
        <v>1113</v>
      </c>
      <c r="K443" s="2" t="s">
        <v>816</v>
      </c>
      <c r="L443" s="2" t="s">
        <v>1172</v>
      </c>
      <c r="M443" s="2" t="s">
        <v>897</v>
      </c>
      <c r="N443" s="2" t="s">
        <v>65</v>
      </c>
      <c r="O443" s="2" t="s">
        <v>1166</v>
      </c>
      <c r="P443" s="2" t="s">
        <v>1173</v>
      </c>
      <c r="Q443" s="2" t="s">
        <v>1214</v>
      </c>
      <c r="R443" s="2"/>
    </row>
    <row r="444" spans="1:18">
      <c r="A444" s="2" t="s">
        <v>1216</v>
      </c>
      <c r="B444" s="2" t="s">
        <v>1217</v>
      </c>
      <c r="C444" s="2" t="s">
        <v>1171</v>
      </c>
      <c r="D444" s="2">
        <v>0</v>
      </c>
      <c r="E444" s="2">
        <v>1000000</v>
      </c>
      <c r="F444" s="3">
        <f>IF(COUNT(D444,E444)=2,D444*E444,NA())</f>
        <v>0.0</v>
      </c>
      <c r="G444" s="2" t="s">
        <v>59</v>
      </c>
      <c r="H444" s="2" t="s">
        <v>60</v>
      </c>
      <c r="I444" s="2" t="s">
        <v>61</v>
      </c>
      <c r="J444" s="2" t="s">
        <v>1113</v>
      </c>
      <c r="K444" s="2" t="s">
        <v>816</v>
      </c>
      <c r="L444" s="2" t="s">
        <v>1172</v>
      </c>
      <c r="M444" s="2" t="s">
        <v>897</v>
      </c>
      <c r="N444" s="2" t="s">
        <v>65</v>
      </c>
      <c r="O444" s="2" t="s">
        <v>1166</v>
      </c>
      <c r="P444" s="2" t="s">
        <v>1173</v>
      </c>
      <c r="Q444" s="2" t="s">
        <v>1216</v>
      </c>
      <c r="R444" s="2"/>
    </row>
    <row r="445" spans="1:18">
      <c r="A445" s="2" t="s">
        <v>1218</v>
      </c>
      <c r="B445" s="2" t="s">
        <v>1219</v>
      </c>
      <c r="C445" s="2" t="s">
        <v>1171</v>
      </c>
      <c r="D445" s="2">
        <v>9</v>
      </c>
      <c r="E445" s="2">
        <v>1000000</v>
      </c>
      <c r="F445" s="3">
        <f>IF(COUNT(D445,E445)=2,D445*E445,NA())</f>
        <v>9000000.0</v>
      </c>
      <c r="G445" s="2" t="s">
        <v>59</v>
      </c>
      <c r="H445" s="2" t="s">
        <v>60</v>
      </c>
      <c r="I445" s="2" t="s">
        <v>61</v>
      </c>
      <c r="J445" s="2" t="s">
        <v>1113</v>
      </c>
      <c r="K445" s="2" t="s">
        <v>816</v>
      </c>
      <c r="L445" s="2" t="s">
        <v>1172</v>
      </c>
      <c r="M445" s="2" t="s">
        <v>897</v>
      </c>
      <c r="N445" s="2" t="s">
        <v>65</v>
      </c>
      <c r="O445" s="2" t="s">
        <v>1166</v>
      </c>
      <c r="P445" s="2" t="s">
        <v>1173</v>
      </c>
      <c r="Q445" s="2" t="s">
        <v>1218</v>
      </c>
      <c r="R445" s="2"/>
    </row>
    <row r="446" spans="1:18">
      <c r="A446" s="2" t="s">
        <v>1220</v>
      </c>
      <c r="B446" s="2" t="s">
        <v>1221</v>
      </c>
      <c r="C446" s="2" t="s">
        <v>1171</v>
      </c>
      <c r="D446" s="2">
        <v>150</v>
      </c>
      <c r="E446" s="2">
        <v>1000000</v>
      </c>
      <c r="F446" s="3">
        <f>IF(COUNT(D446,E446)=2,D446*E446,NA())</f>
        <v>150000000.0</v>
      </c>
      <c r="G446" s="2" t="s">
        <v>59</v>
      </c>
      <c r="H446" s="2" t="s">
        <v>60</v>
      </c>
      <c r="I446" s="2" t="s">
        <v>61</v>
      </c>
      <c r="J446" s="2" t="s">
        <v>1113</v>
      </c>
      <c r="K446" s="2" t="s">
        <v>816</v>
      </c>
      <c r="L446" s="2" t="s">
        <v>1172</v>
      </c>
      <c r="M446" s="2" t="s">
        <v>897</v>
      </c>
      <c r="N446" s="2" t="s">
        <v>65</v>
      </c>
      <c r="O446" s="2" t="s">
        <v>1166</v>
      </c>
      <c r="P446" s="2" t="s">
        <v>1173</v>
      </c>
      <c r="Q446" s="2" t="s">
        <v>1220</v>
      </c>
      <c r="R446" s="2"/>
    </row>
    <row r="447" spans="1:18">
      <c r="A447" s="2" t="s">
        <v>1222</v>
      </c>
      <c r="B447" s="2" t="s">
        <v>1223</v>
      </c>
      <c r="C447" s="2" t="s">
        <v>1171</v>
      </c>
      <c r="D447" s="2">
        <v>250</v>
      </c>
      <c r="E447" s="2">
        <v>1000000</v>
      </c>
      <c r="F447" s="3">
        <f>IF(COUNT(D447,E447)=2,D447*E447,NA())</f>
        <v>250000000.0</v>
      </c>
      <c r="G447" s="2" t="s">
        <v>59</v>
      </c>
      <c r="H447" s="2" t="s">
        <v>60</v>
      </c>
      <c r="I447" s="2" t="s">
        <v>61</v>
      </c>
      <c r="J447" s="2" t="s">
        <v>1113</v>
      </c>
      <c r="K447" s="2" t="s">
        <v>816</v>
      </c>
      <c r="L447" s="2" t="s">
        <v>1172</v>
      </c>
      <c r="M447" s="2" t="s">
        <v>897</v>
      </c>
      <c r="N447" s="2" t="s">
        <v>65</v>
      </c>
      <c r="O447" s="2" t="s">
        <v>1166</v>
      </c>
      <c r="P447" s="2" t="s">
        <v>1173</v>
      </c>
      <c r="Q447" s="2" t="s">
        <v>1222</v>
      </c>
      <c r="R447" s="2"/>
    </row>
    <row r="448" spans="1:18">
      <c r="A448" s="2" t="s">
        <v>1224</v>
      </c>
      <c r="B448" s="2" t="s">
        <v>1225</v>
      </c>
      <c r="C448" s="2" t="s">
        <v>1171</v>
      </c>
      <c r="D448" s="2">
        <v>25</v>
      </c>
      <c r="E448" s="2">
        <v>1000000</v>
      </c>
      <c r="F448" s="3">
        <f>IF(COUNT(D448,E448)=2,D448*E448,NA())</f>
        <v>25000000.0</v>
      </c>
      <c r="G448" s="2" t="s">
        <v>59</v>
      </c>
      <c r="H448" s="2" t="s">
        <v>60</v>
      </c>
      <c r="I448" s="2" t="s">
        <v>61</v>
      </c>
      <c r="J448" s="2" t="s">
        <v>1113</v>
      </c>
      <c r="K448" s="2" t="s">
        <v>816</v>
      </c>
      <c r="L448" s="2" t="s">
        <v>1172</v>
      </c>
      <c r="M448" s="2" t="s">
        <v>897</v>
      </c>
      <c r="N448" s="2" t="s">
        <v>65</v>
      </c>
      <c r="O448" s="2" t="s">
        <v>1166</v>
      </c>
      <c r="P448" s="2" t="s">
        <v>1173</v>
      </c>
      <c r="Q448" s="2" t="s">
        <v>1224</v>
      </c>
      <c r="R448" s="2"/>
    </row>
    <row r="449" spans="1:18">
      <c r="A449" s="2" t="s">
        <v>1226</v>
      </c>
      <c r="B449" s="2" t="s">
        <v>1227</v>
      </c>
      <c r="C449" s="2" t="s">
        <v>1171</v>
      </c>
      <c r="D449" s="2">
        <v>45</v>
      </c>
      <c r="E449" s="2">
        <v>1000000</v>
      </c>
      <c r="F449" s="3">
        <f>IF(COUNT(D449,E449)=2,D449*E449,NA())</f>
        <v>45000000.0</v>
      </c>
      <c r="G449" s="2" t="s">
        <v>59</v>
      </c>
      <c r="H449" s="2" t="s">
        <v>60</v>
      </c>
      <c r="I449" s="2" t="s">
        <v>61</v>
      </c>
      <c r="J449" s="2" t="s">
        <v>1113</v>
      </c>
      <c r="K449" s="2" t="s">
        <v>816</v>
      </c>
      <c r="L449" s="2" t="s">
        <v>1172</v>
      </c>
      <c r="M449" s="2" t="s">
        <v>897</v>
      </c>
      <c r="N449" s="2" t="s">
        <v>65</v>
      </c>
      <c r="O449" s="2" t="s">
        <v>1166</v>
      </c>
      <c r="P449" s="2" t="s">
        <v>1173</v>
      </c>
      <c r="Q449" s="2" t="s">
        <v>1226</v>
      </c>
      <c r="R449" s="2"/>
    </row>
    <row r="450" spans="1:18">
      <c r="A450" s="2" t="s">
        <v>1228</v>
      </c>
      <c r="B450" s="2" t="s">
        <v>1229</v>
      </c>
      <c r="C450" s="2" t="s">
        <v>1171</v>
      </c>
      <c r="D450" s="2">
        <v>30</v>
      </c>
      <c r="E450" s="2">
        <v>1000000</v>
      </c>
      <c r="F450" s="3">
        <f>IF(COUNT(D450,E450)=2,D450*E450,NA())</f>
        <v>30000000.0</v>
      </c>
      <c r="G450" s="2" t="s">
        <v>59</v>
      </c>
      <c r="H450" s="2" t="s">
        <v>60</v>
      </c>
      <c r="I450" s="2" t="s">
        <v>61</v>
      </c>
      <c r="J450" s="2" t="s">
        <v>1113</v>
      </c>
      <c r="K450" s="2" t="s">
        <v>816</v>
      </c>
      <c r="L450" s="2" t="s">
        <v>1172</v>
      </c>
      <c r="M450" s="2" t="s">
        <v>897</v>
      </c>
      <c r="N450" s="2" t="s">
        <v>65</v>
      </c>
      <c r="O450" s="2" t="s">
        <v>1166</v>
      </c>
      <c r="P450" s="2" t="s">
        <v>1173</v>
      </c>
      <c r="Q450" s="2" t="s">
        <v>1228</v>
      </c>
      <c r="R450" s="2"/>
    </row>
    <row r="451" spans="1:18">
      <c r="A451" s="2" t="s">
        <v>1230</v>
      </c>
      <c r="B451" s="2" t="s">
        <v>1231</v>
      </c>
      <c r="C451" s="2" t="s">
        <v>1171</v>
      </c>
      <c r="D451" s="2">
        <v>50</v>
      </c>
      <c r="E451" s="2">
        <v>1000000</v>
      </c>
      <c r="F451" s="3">
        <f>IF(COUNT(D451,E451)=2,D451*E451,NA())</f>
        <v>50000000.0</v>
      </c>
      <c r="G451" s="2" t="s">
        <v>59</v>
      </c>
      <c r="H451" s="2" t="s">
        <v>60</v>
      </c>
      <c r="I451" s="2" t="s">
        <v>61</v>
      </c>
      <c r="J451" s="2" t="s">
        <v>1113</v>
      </c>
      <c r="K451" s="2" t="s">
        <v>816</v>
      </c>
      <c r="L451" s="2" t="s">
        <v>1172</v>
      </c>
      <c r="M451" s="2" t="s">
        <v>897</v>
      </c>
      <c r="N451" s="2" t="s">
        <v>65</v>
      </c>
      <c r="O451" s="2" t="s">
        <v>1166</v>
      </c>
      <c r="P451" s="2" t="s">
        <v>1173</v>
      </c>
      <c r="Q451" s="2" t="s">
        <v>1230</v>
      </c>
      <c r="R451" s="2"/>
    </row>
    <row r="452" spans="1:18">
      <c r="A452" s="2" t="s">
        <v>1232</v>
      </c>
      <c r="B452" s="2" t="s">
        <v>1233</v>
      </c>
      <c r="C452" s="2" t="s">
        <v>1171</v>
      </c>
      <c r="D452" s="2">
        <v>-75</v>
      </c>
      <c r="E452" s="2">
        <v>1000000</v>
      </c>
      <c r="F452" s="3">
        <f>IF(COUNT(D452,E452)=2,D452*E452,NA())</f>
        <v>-75000000.0</v>
      </c>
      <c r="G452" s="2" t="s">
        <v>59</v>
      </c>
      <c r="H452" s="2" t="s">
        <v>60</v>
      </c>
      <c r="I452" s="2" t="s">
        <v>61</v>
      </c>
      <c r="J452" s="2" t="s">
        <v>1113</v>
      </c>
      <c r="K452" s="2" t="s">
        <v>816</v>
      </c>
      <c r="L452" s="2" t="s">
        <v>1172</v>
      </c>
      <c r="M452" s="2" t="s">
        <v>897</v>
      </c>
      <c r="N452" s="2" t="s">
        <v>65</v>
      </c>
      <c r="O452" s="2" t="s">
        <v>1166</v>
      </c>
      <c r="P452" s="2" t="s">
        <v>1173</v>
      </c>
      <c r="Q452" s="2" t="s">
        <v>1232</v>
      </c>
      <c r="R452" s="2"/>
    </row>
    <row r="453" spans="1:18">
      <c r="A453" s="2" t="s">
        <v>1234</v>
      </c>
      <c r="B453" s="2" t="s">
        <v>1235</v>
      </c>
      <c r="C453" s="2" t="s">
        <v>1171</v>
      </c>
      <c r="D453" s="2">
        <v>-45</v>
      </c>
      <c r="E453" s="2">
        <v>1000000</v>
      </c>
      <c r="F453" s="3">
        <f>IF(COUNT(D453,E453)=2,D453*E453,NA())</f>
        <v>-45000000.0</v>
      </c>
      <c r="G453" s="2" t="s">
        <v>59</v>
      </c>
      <c r="H453" s="2" t="s">
        <v>60</v>
      </c>
      <c r="I453" s="2" t="s">
        <v>61</v>
      </c>
      <c r="J453" s="2" t="s">
        <v>1113</v>
      </c>
      <c r="K453" s="2" t="s">
        <v>816</v>
      </c>
      <c r="L453" s="2" t="s">
        <v>1172</v>
      </c>
      <c r="M453" s="2" t="s">
        <v>897</v>
      </c>
      <c r="N453" s="2" t="s">
        <v>65</v>
      </c>
      <c r="O453" s="2" t="s">
        <v>1166</v>
      </c>
      <c r="P453" s="2" t="s">
        <v>1173</v>
      </c>
      <c r="Q453" s="2" t="s">
        <v>1234</v>
      </c>
      <c r="R453" s="2"/>
    </row>
    <row r="454" spans="1:18">
      <c r="A454" s="2" t="s">
        <v>1236</v>
      </c>
      <c r="B454" s="2" t="s">
        <v>1237</v>
      </c>
      <c r="C454" s="2" t="s">
        <v>1171</v>
      </c>
      <c r="D454" s="2">
        <v>45</v>
      </c>
      <c r="E454" s="2">
        <v>1000000</v>
      </c>
      <c r="F454" s="3">
        <f>IF(COUNT(D454,E454)=2,D454*E454,NA())</f>
        <v>45000000.0</v>
      </c>
      <c r="G454" s="2" t="s">
        <v>59</v>
      </c>
      <c r="H454" s="2" t="s">
        <v>60</v>
      </c>
      <c r="I454" s="2" t="s">
        <v>61</v>
      </c>
      <c r="J454" s="2" t="s">
        <v>1113</v>
      </c>
      <c r="K454" s="2" t="s">
        <v>816</v>
      </c>
      <c r="L454" s="2" t="s">
        <v>1172</v>
      </c>
      <c r="M454" s="2" t="s">
        <v>897</v>
      </c>
      <c r="N454" s="2" t="s">
        <v>65</v>
      </c>
      <c r="O454" s="2" t="s">
        <v>1166</v>
      </c>
      <c r="P454" s="2" t="s">
        <v>1173</v>
      </c>
      <c r="Q454" s="2" t="s">
        <v>1236</v>
      </c>
      <c r="R454" s="2"/>
    </row>
    <row r="455" spans="1:18">
      <c r="A455" s="2" t="s">
        <v>1238</v>
      </c>
      <c r="B455" s="2" t="s">
        <v>1239</v>
      </c>
      <c r="C455" s="2" t="s">
        <v>1171</v>
      </c>
      <c r="D455" s="2">
        <v>65</v>
      </c>
      <c r="E455" s="2">
        <v>1000000</v>
      </c>
      <c r="F455" s="3">
        <f>IF(COUNT(D455,E455)=2,D455*E455,NA())</f>
        <v>65000000.0</v>
      </c>
      <c r="G455" s="2" t="s">
        <v>59</v>
      </c>
      <c r="H455" s="2" t="s">
        <v>60</v>
      </c>
      <c r="I455" s="2" t="s">
        <v>61</v>
      </c>
      <c r="J455" s="2" t="s">
        <v>1113</v>
      </c>
      <c r="K455" s="2" t="s">
        <v>816</v>
      </c>
      <c r="L455" s="2" t="s">
        <v>1172</v>
      </c>
      <c r="M455" s="2" t="s">
        <v>897</v>
      </c>
      <c r="N455" s="2" t="s">
        <v>65</v>
      </c>
      <c r="O455" s="2" t="s">
        <v>1166</v>
      </c>
      <c r="P455" s="2" t="s">
        <v>1173</v>
      </c>
      <c r="Q455" s="2" t="s">
        <v>1238</v>
      </c>
      <c r="R455" s="2"/>
    </row>
    <row r="456" spans="1:18">
      <c r="A456" s="2" t="s">
        <v>1240</v>
      </c>
      <c r="B456" s="2" t="s">
        <v>1241</v>
      </c>
      <c r="C456" s="2" t="s">
        <v>1171</v>
      </c>
      <c r="D456" s="2">
        <v>65</v>
      </c>
      <c r="E456" s="2">
        <v>1000000</v>
      </c>
      <c r="F456" s="3">
        <f>IF(COUNT(D456,E456)=2,D456*E456,NA())</f>
        <v>65000000.0</v>
      </c>
      <c r="G456" s="2" t="s">
        <v>59</v>
      </c>
      <c r="H456" s="2" t="s">
        <v>60</v>
      </c>
      <c r="I456" s="2" t="s">
        <v>61</v>
      </c>
      <c r="J456" s="2" t="s">
        <v>1113</v>
      </c>
      <c r="K456" s="2" t="s">
        <v>816</v>
      </c>
      <c r="L456" s="2" t="s">
        <v>1172</v>
      </c>
      <c r="M456" s="2" t="s">
        <v>897</v>
      </c>
      <c r="N456" s="2" t="s">
        <v>65</v>
      </c>
      <c r="O456" s="2" t="s">
        <v>1166</v>
      </c>
      <c r="P456" s="2" t="s">
        <v>1173</v>
      </c>
      <c r="Q456" s="2" t="s">
        <v>1240</v>
      </c>
      <c r="R456" s="2"/>
    </row>
    <row r="457" spans="1:18">
      <c r="A457" s="2" t="s">
        <v>1242</v>
      </c>
      <c r="B457" s="2" t="s">
        <v>1243</v>
      </c>
      <c r="C457" s="2" t="s">
        <v>1171</v>
      </c>
      <c r="D457" s="2">
        <v>95</v>
      </c>
      <c r="E457" s="2">
        <v>1000000</v>
      </c>
      <c r="F457" s="3">
        <f>IF(COUNT(D457,E457)=2,D457*E457,NA())</f>
        <v>95000000.0</v>
      </c>
      <c r="G457" s="2" t="s">
        <v>59</v>
      </c>
      <c r="H457" s="2" t="s">
        <v>60</v>
      </c>
      <c r="I457" s="2" t="s">
        <v>61</v>
      </c>
      <c r="J457" s="2" t="s">
        <v>1113</v>
      </c>
      <c r="K457" s="2" t="s">
        <v>816</v>
      </c>
      <c r="L457" s="2" t="s">
        <v>1172</v>
      </c>
      <c r="M457" s="2" t="s">
        <v>897</v>
      </c>
      <c r="N457" s="2" t="s">
        <v>65</v>
      </c>
      <c r="O457" s="2" t="s">
        <v>1166</v>
      </c>
      <c r="P457" s="2" t="s">
        <v>1173</v>
      </c>
      <c r="Q457" s="2" t="s">
        <v>1242</v>
      </c>
      <c r="R457" s="2"/>
    </row>
    <row r="458" spans="1:18">
      <c r="A458" s="2" t="s">
        <v>1244</v>
      </c>
      <c r="B458" s="2" t="s">
        <v>1245</v>
      </c>
      <c r="C458" s="2" t="s">
        <v>1171</v>
      </c>
      <c r="D458" s="2">
        <v>1690</v>
      </c>
      <c r="E458" s="2">
        <v>1000000</v>
      </c>
      <c r="F458" s="3">
        <f>IF(COUNT(D458,E458)=2,D458*E458,NA())</f>
        <v>1690000000.0</v>
      </c>
      <c r="G458" s="2" t="s">
        <v>59</v>
      </c>
      <c r="H458" s="2" t="s">
        <v>60</v>
      </c>
      <c r="I458" s="2" t="s">
        <v>61</v>
      </c>
      <c r="J458" s="2" t="s">
        <v>1113</v>
      </c>
      <c r="K458" s="2" t="s">
        <v>816</v>
      </c>
      <c r="L458" s="2" t="s">
        <v>1172</v>
      </c>
      <c r="M458" s="2" t="s">
        <v>897</v>
      </c>
      <c r="N458" s="2" t="s">
        <v>65</v>
      </c>
      <c r="O458" s="2" t="s">
        <v>1166</v>
      </c>
      <c r="P458" s="2" t="s">
        <v>1173</v>
      </c>
      <c r="Q458" s="2" t="s">
        <v>1244</v>
      </c>
      <c r="R458" s="2"/>
    </row>
    <row r="459" spans="1:18">
      <c r="A459" s="2" t="s">
        <v>1246</v>
      </c>
      <c r="B459" s="2" t="s">
        <v>1247</v>
      </c>
      <c r="C459" s="2" t="s">
        <v>1171</v>
      </c>
      <c r="D459" s="2">
        <v>1720</v>
      </c>
      <c r="E459" s="2">
        <v>1000000</v>
      </c>
      <c r="F459" s="3">
        <f>IF(COUNT(D459,E459)=2,D459*E459,NA())</f>
        <v>1720000000.0</v>
      </c>
      <c r="G459" s="2" t="s">
        <v>59</v>
      </c>
      <c r="H459" s="2" t="s">
        <v>60</v>
      </c>
      <c r="I459" s="2" t="s">
        <v>61</v>
      </c>
      <c r="J459" s="2" t="s">
        <v>1113</v>
      </c>
      <c r="K459" s="2" t="s">
        <v>816</v>
      </c>
      <c r="L459" s="2" t="s">
        <v>1172</v>
      </c>
      <c r="M459" s="2" t="s">
        <v>897</v>
      </c>
      <c r="N459" s="2" t="s">
        <v>65</v>
      </c>
      <c r="O459" s="2" t="s">
        <v>1166</v>
      </c>
      <c r="P459" s="2" t="s">
        <v>1173</v>
      </c>
      <c r="Q459" s="2" t="s">
        <v>1246</v>
      </c>
      <c r="R459" s="2"/>
    </row>
    <row r="460" spans="1:18">
      <c r="A460" s="2" t="s">
        <v>1248</v>
      </c>
      <c r="B460" s="2" t="s">
        <v>1249</v>
      </c>
      <c r="C460" s="2" t="s">
        <v>1171</v>
      </c>
      <c r="D460" s="2">
        <v>1945</v>
      </c>
      <c r="E460" s="2">
        <v>1000000</v>
      </c>
      <c r="F460" s="3">
        <f>IF(COUNT(D460,E460)=2,D460*E460,NA())</f>
        <v>1945000000.0</v>
      </c>
      <c r="G460" s="2" t="s">
        <v>59</v>
      </c>
      <c r="H460" s="2" t="s">
        <v>60</v>
      </c>
      <c r="I460" s="2" t="s">
        <v>61</v>
      </c>
      <c r="J460" s="2" t="s">
        <v>1113</v>
      </c>
      <c r="K460" s="2" t="s">
        <v>816</v>
      </c>
      <c r="L460" s="2" t="s">
        <v>1172</v>
      </c>
      <c r="M460" s="2" t="s">
        <v>897</v>
      </c>
      <c r="N460" s="2" t="s">
        <v>65</v>
      </c>
      <c r="O460" s="2" t="s">
        <v>1166</v>
      </c>
      <c r="P460" s="2" t="s">
        <v>1173</v>
      </c>
      <c r="Q460" s="2" t="s">
        <v>1248</v>
      </c>
      <c r="R460" s="2"/>
    </row>
    <row r="461" spans="1:18">
      <c r="A461" s="2" t="s">
        <v>1250</v>
      </c>
      <c r="B461" s="2" t="s">
        <v>1251</v>
      </c>
      <c r="C461" s="2" t="s">
        <v>1171</v>
      </c>
      <c r="D461" s="2">
        <v>1995</v>
      </c>
      <c r="E461" s="2">
        <v>1000000</v>
      </c>
      <c r="F461" s="3">
        <f>IF(COUNT(D461,E461)=2,D461*E461,NA())</f>
        <v>1995000000.0</v>
      </c>
      <c r="G461" s="2" t="s">
        <v>59</v>
      </c>
      <c r="H461" s="2" t="s">
        <v>60</v>
      </c>
      <c r="I461" s="2" t="s">
        <v>61</v>
      </c>
      <c r="J461" s="2" t="s">
        <v>1113</v>
      </c>
      <c r="K461" s="2" t="s">
        <v>816</v>
      </c>
      <c r="L461" s="2" t="s">
        <v>1172</v>
      </c>
      <c r="M461" s="2" t="s">
        <v>897</v>
      </c>
      <c r="N461" s="2" t="s">
        <v>65</v>
      </c>
      <c r="O461" s="2" t="s">
        <v>1166</v>
      </c>
      <c r="P461" s="2" t="s">
        <v>1173</v>
      </c>
      <c r="Q461" s="2" t="s">
        <v>1250</v>
      </c>
      <c r="R461" s="2"/>
    </row>
    <row r="462" spans="1:18">
      <c r="A462" s="2" t="s">
        <v>1252</v>
      </c>
      <c r="B462" s="2" t="s">
        <v>1253</v>
      </c>
      <c r="C462" s="2" t="s">
        <v>1171</v>
      </c>
      <c r="D462" s="2">
        <v>3828</v>
      </c>
      <c r="E462" s="2">
        <v>1000000</v>
      </c>
      <c r="F462" s="3">
        <f>IF(COUNT(D462,E462)=2,D462*E462,NA())</f>
        <v>3828000000.0</v>
      </c>
      <c r="G462" s="2" t="s">
        <v>59</v>
      </c>
      <c r="H462" s="2" t="s">
        <v>60</v>
      </c>
      <c r="I462" s="2" t="s">
        <v>61</v>
      </c>
      <c r="J462" s="2" t="s">
        <v>1113</v>
      </c>
      <c r="K462" s="2" t="s">
        <v>816</v>
      </c>
      <c r="L462" s="2" t="s">
        <v>1172</v>
      </c>
      <c r="M462" s="2" t="s">
        <v>897</v>
      </c>
      <c r="N462" s="2" t="s">
        <v>65</v>
      </c>
      <c r="O462" s="2" t="s">
        <v>1166</v>
      </c>
      <c r="P462" s="2" t="s">
        <v>1173</v>
      </c>
      <c r="Q462" s="2" t="s">
        <v>1252</v>
      </c>
      <c r="R462" s="2"/>
    </row>
    <row r="463" spans="1:18">
      <c r="A463" s="2" t="s">
        <v>1254</v>
      </c>
      <c r="B463" s="2" t="s">
        <v>1255</v>
      </c>
      <c r="C463" s="2" t="s">
        <v>1171</v>
      </c>
      <c r="D463" s="2">
        <v>3873</v>
      </c>
      <c r="E463" s="2">
        <v>1000000</v>
      </c>
      <c r="F463" s="3">
        <f>IF(COUNT(D463,E463)=2,D463*E463,NA())</f>
        <v>3873000000.0</v>
      </c>
      <c r="G463" s="2" t="s">
        <v>59</v>
      </c>
      <c r="H463" s="2" t="s">
        <v>60</v>
      </c>
      <c r="I463" s="2" t="s">
        <v>61</v>
      </c>
      <c r="J463" s="2" t="s">
        <v>1113</v>
      </c>
      <c r="K463" s="2" t="s">
        <v>816</v>
      </c>
      <c r="L463" s="2" t="s">
        <v>1172</v>
      </c>
      <c r="M463" s="2" t="s">
        <v>897</v>
      </c>
      <c r="N463" s="2" t="s">
        <v>65</v>
      </c>
      <c r="O463" s="2" t="s">
        <v>1166</v>
      </c>
      <c r="P463" s="2" t="s">
        <v>1173</v>
      </c>
      <c r="Q463" s="2" t="s">
        <v>1254</v>
      </c>
      <c r="R463" s="2"/>
    </row>
    <row r="464" spans="1:18">
      <c r="A464" s="2" t="s">
        <v>1256</v>
      </c>
      <c r="B464" s="2" t="s">
        <v>1257</v>
      </c>
      <c r="C464" s="2" t="s">
        <v>1171</v>
      </c>
      <c r="D464" s="2">
        <v>90</v>
      </c>
      <c r="E464" s="2">
        <v>1000000</v>
      </c>
      <c r="F464" s="3">
        <f>IF(COUNT(D464,E464)=2,D464*E464,NA())</f>
        <v>90000000.0</v>
      </c>
      <c r="G464" s="2" t="s">
        <v>59</v>
      </c>
      <c r="H464" s="2" t="s">
        <v>60</v>
      </c>
      <c r="I464" s="2" t="s">
        <v>61</v>
      </c>
      <c r="J464" s="2" t="s">
        <v>1113</v>
      </c>
      <c r="K464" s="2" t="s">
        <v>816</v>
      </c>
      <c r="L464" s="2" t="s">
        <v>1172</v>
      </c>
      <c r="M464" s="2" t="s">
        <v>897</v>
      </c>
      <c r="N464" s="2" t="s">
        <v>65</v>
      </c>
      <c r="O464" s="2" t="s">
        <v>1166</v>
      </c>
      <c r="P464" s="2" t="s">
        <v>1173</v>
      </c>
      <c r="Q464" s="2" t="s">
        <v>1256</v>
      </c>
      <c r="R464" s="2"/>
    </row>
    <row r="465" spans="1:18">
      <c r="A465" s="2" t="s">
        <v>1258</v>
      </c>
      <c r="B465" s="2" t="s">
        <v>1259</v>
      </c>
      <c r="C465" s="2" t="s">
        <v>1171</v>
      </c>
      <c r="D465" s="2">
        <v>120</v>
      </c>
      <c r="E465" s="2">
        <v>1000000</v>
      </c>
      <c r="F465" s="3">
        <f>IF(COUNT(D465,E465)=2,D465*E465,NA())</f>
        <v>120000000.0</v>
      </c>
      <c r="G465" s="2" t="s">
        <v>59</v>
      </c>
      <c r="H465" s="2" t="s">
        <v>60</v>
      </c>
      <c r="I465" s="2" t="s">
        <v>61</v>
      </c>
      <c r="J465" s="2" t="s">
        <v>1113</v>
      </c>
      <c r="K465" s="2" t="s">
        <v>816</v>
      </c>
      <c r="L465" s="2" t="s">
        <v>1172</v>
      </c>
      <c r="M465" s="2" t="s">
        <v>897</v>
      </c>
      <c r="N465" s="2" t="s">
        <v>65</v>
      </c>
      <c r="O465" s="2" t="s">
        <v>1166</v>
      </c>
      <c r="P465" s="2" t="s">
        <v>1173</v>
      </c>
      <c r="Q465" s="2" t="s">
        <v>1258</v>
      </c>
      <c r="R465" s="2"/>
    </row>
    <row r="466" spans="1:18">
      <c r="A466" s="2" t="s">
        <v>1260</v>
      </c>
      <c r="B466" s="2" t="s">
        <v>1261</v>
      </c>
      <c r="C466" s="2" t="s">
        <v>1171</v>
      </c>
      <c r="D466" s="2">
        <v>690</v>
      </c>
      <c r="E466" s="2">
        <v>1000000</v>
      </c>
      <c r="F466" s="3">
        <f>IF(COUNT(D466,E466)=2,D466*E466,NA())</f>
        <v>690000000.0</v>
      </c>
      <c r="G466" s="2" t="s">
        <v>59</v>
      </c>
      <c r="H466" s="2" t="s">
        <v>60</v>
      </c>
      <c r="I466" s="2" t="s">
        <v>61</v>
      </c>
      <c r="J466" s="2" t="s">
        <v>62</v>
      </c>
      <c r="K466" s="2" t="s">
        <v>816</v>
      </c>
      <c r="L466" s="2" t="s">
        <v>1172</v>
      </c>
      <c r="M466" s="2" t="s">
        <v>897</v>
      </c>
      <c r="N466" s="2" t="s">
        <v>65</v>
      </c>
      <c r="O466" s="2" t="s">
        <v>1166</v>
      </c>
      <c r="P466" s="2" t="s">
        <v>1173</v>
      </c>
      <c r="Q466" s="2" t="s">
        <v>1260</v>
      </c>
      <c r="R466" s="2"/>
    </row>
    <row r="467" spans="1:18">
      <c r="A467" s="2" t="s">
        <v>1262</v>
      </c>
      <c r="B467" s="2" t="s">
        <v>1263</v>
      </c>
      <c r="C467" s="2" t="s">
        <v>1171</v>
      </c>
      <c r="D467" s="2">
        <v>970</v>
      </c>
      <c r="E467" s="2">
        <v>1000000</v>
      </c>
      <c r="F467" s="3">
        <f>IF(COUNT(D467,E467)=2,D467*E467,NA())</f>
        <v>970000000.0</v>
      </c>
      <c r="G467" s="2" t="s">
        <v>59</v>
      </c>
      <c r="H467" s="2" t="s">
        <v>60</v>
      </c>
      <c r="I467" s="2" t="s">
        <v>61</v>
      </c>
      <c r="J467" s="2" t="s">
        <v>62</v>
      </c>
      <c r="K467" s="2" t="s">
        <v>816</v>
      </c>
      <c r="L467" s="2" t="s">
        <v>1172</v>
      </c>
      <c r="M467" s="2" t="s">
        <v>897</v>
      </c>
      <c r="N467" s="2" t="s">
        <v>65</v>
      </c>
      <c r="O467" s="2" t="s">
        <v>1166</v>
      </c>
      <c r="P467" s="2" t="s">
        <v>1173</v>
      </c>
      <c r="Q467" s="2" t="s">
        <v>1262</v>
      </c>
      <c r="R467" s="2"/>
    </row>
    <row r="468" spans="1:18">
      <c r="A468" s="2" t="s">
        <v>1264</v>
      </c>
      <c r="B468" s="2" t="s">
        <v>1265</v>
      </c>
      <c r="C468" s="2" t="s">
        <v>1171</v>
      </c>
      <c r="D468" s="2">
        <v>-360</v>
      </c>
      <c r="E468" s="2">
        <v>1000000</v>
      </c>
      <c r="F468" s="3">
        <f>IF(COUNT(D468,E468)=2,D468*E468,NA())</f>
        <v>-360000000.0</v>
      </c>
      <c r="G468" s="2" t="s">
        <v>59</v>
      </c>
      <c r="H468" s="2" t="s">
        <v>60</v>
      </c>
      <c r="I468" s="2" t="s">
        <v>61</v>
      </c>
      <c r="J468" s="2" t="s">
        <v>1135</v>
      </c>
      <c r="K468" s="2" t="s">
        <v>816</v>
      </c>
      <c r="L468" s="2" t="s">
        <v>1172</v>
      </c>
      <c r="M468" s="2" t="s">
        <v>897</v>
      </c>
      <c r="N468" s="2" t="s">
        <v>65</v>
      </c>
      <c r="O468" s="2" t="s">
        <v>1166</v>
      </c>
      <c r="P468" s="2" t="s">
        <v>1173</v>
      </c>
      <c r="Q468" s="2" t="s">
        <v>1264</v>
      </c>
      <c r="R468" s="2"/>
    </row>
    <row r="469" spans="1:18">
      <c r="A469" s="2" t="s">
        <v>1266</v>
      </c>
      <c r="B469" s="2" t="s">
        <v>1267</v>
      </c>
      <c r="C469" s="2" t="s">
        <v>1171</v>
      </c>
      <c r="D469" s="2">
        <v>-80</v>
      </c>
      <c r="E469" s="2">
        <v>1000000</v>
      </c>
      <c r="F469" s="3">
        <f>IF(COUNT(D469,E469)=2,D469*E469,NA())</f>
        <v>-80000000.0</v>
      </c>
      <c r="G469" s="2" t="s">
        <v>59</v>
      </c>
      <c r="H469" s="2" t="s">
        <v>60</v>
      </c>
      <c r="I469" s="2" t="s">
        <v>61</v>
      </c>
      <c r="J469" s="2" t="s">
        <v>1135</v>
      </c>
      <c r="K469" s="2" t="s">
        <v>816</v>
      </c>
      <c r="L469" s="2" t="s">
        <v>1172</v>
      </c>
      <c r="M469" s="2" t="s">
        <v>897</v>
      </c>
      <c r="N469" s="2" t="s">
        <v>65</v>
      </c>
      <c r="O469" s="2" t="s">
        <v>1166</v>
      </c>
      <c r="P469" s="2" t="s">
        <v>1173</v>
      </c>
      <c r="Q469" s="2" t="s">
        <v>1266</v>
      </c>
      <c r="R469" s="2"/>
    </row>
    <row r="470" spans="1:18">
      <c r="A470" s="2" t="s">
        <v>1268</v>
      </c>
      <c r="B470" s="2" t="s">
        <v>1269</v>
      </c>
      <c r="C470" s="2" t="s">
        <v>1171</v>
      </c>
      <c r="D470" s="2">
        <v>25</v>
      </c>
      <c r="E470" s="2">
        <v>1000000</v>
      </c>
      <c r="F470" s="3">
        <f>IF(COUNT(D470,E470)=2,D470*E470,NA())</f>
        <v>25000000.0</v>
      </c>
      <c r="G470" s="2" t="s">
        <v>59</v>
      </c>
      <c r="H470" s="2" t="s">
        <v>60</v>
      </c>
      <c r="I470" s="2" t="s">
        <v>61</v>
      </c>
      <c r="J470" s="2" t="s">
        <v>1113</v>
      </c>
      <c r="K470" s="2" t="s">
        <v>816</v>
      </c>
      <c r="L470" s="2" t="s">
        <v>1172</v>
      </c>
      <c r="M470" s="2" t="s">
        <v>897</v>
      </c>
      <c r="N470" s="2" t="s">
        <v>65</v>
      </c>
      <c r="O470" s="2" t="s">
        <v>1166</v>
      </c>
      <c r="P470" s="2" t="s">
        <v>1114</v>
      </c>
      <c r="Q470" s="2" t="s">
        <v>1268</v>
      </c>
      <c r="R470" s="2"/>
    </row>
    <row r="471" spans="1:18">
      <c r="A471" s="2" t="s">
        <v>1270</v>
      </c>
      <c r="B471" s="2" t="s">
        <v>1271</v>
      </c>
      <c r="C471" s="2" t="s">
        <v>1171</v>
      </c>
      <c r="D471" s="2">
        <v>429</v>
      </c>
      <c r="E471" s="2">
        <v>1</v>
      </c>
      <c r="F471" s="3">
        <f>IF(COUNT(D471,E471)=2,D471*E471,NA())</f>
        <v>429.0</v>
      </c>
      <c r="G471" s="2" t="s">
        <v>1041</v>
      </c>
      <c r="H471" s="2"/>
      <c r="I471" s="2" t="s">
        <v>61</v>
      </c>
      <c r="J471" s="2" t="s">
        <v>1113</v>
      </c>
      <c r="K471" s="2" t="s">
        <v>816</v>
      </c>
      <c r="L471" s="2" t="s">
        <v>1172</v>
      </c>
      <c r="M471" s="2" t="s">
        <v>897</v>
      </c>
      <c r="N471" s="2" t="s">
        <v>65</v>
      </c>
      <c r="O471" s="2" t="s">
        <v>1166</v>
      </c>
      <c r="P471" s="2" t="s">
        <v>1114</v>
      </c>
      <c r="Q471" s="2" t="s">
        <v>1270</v>
      </c>
      <c r="R471" s="2" t="s">
        <v>1272</v>
      </c>
    </row>
    <row r="472" spans="1:18">
      <c r="A472" s="2" t="s">
        <v>1273</v>
      </c>
      <c r="B472" s="2" t="s">
        <v>1274</v>
      </c>
      <c r="C472" s="2" t="s">
        <v>1119</v>
      </c>
      <c r="D472" s="2">
        <v>2876</v>
      </c>
      <c r="E472" s="2">
        <v>1000000</v>
      </c>
      <c r="F472" s="3">
        <f>IF(COUNT(D472,E472)=2,D472*E472,NA())</f>
        <v>2876000000.0</v>
      </c>
      <c r="G472" s="2" t="s">
        <v>59</v>
      </c>
      <c r="H472" s="2" t="s">
        <v>60</v>
      </c>
      <c r="I472" s="2" t="s">
        <v>61</v>
      </c>
      <c r="J472" s="2" t="s">
        <v>1113</v>
      </c>
      <c r="K472" s="2" t="s">
        <v>889</v>
      </c>
      <c r="L472" s="2" t="s">
        <v>1172</v>
      </c>
      <c r="M472" s="2" t="s">
        <v>897</v>
      </c>
      <c r="N472" s="2" t="s">
        <v>65</v>
      </c>
      <c r="O472" s="2" t="s">
        <v>1166</v>
      </c>
      <c r="P472" s="2" t="s">
        <v>1275</v>
      </c>
      <c r="Q472" s="2" t="s">
        <v>1273</v>
      </c>
      <c r="R472" s="2"/>
    </row>
    <row r="473" spans="1:18">
      <c r="A473" s="2" t="s">
        <v>1276</v>
      </c>
      <c r="B473" s="2" t="s">
        <v>1277</v>
      </c>
      <c r="C473" s="2" t="s">
        <v>1119</v>
      </c>
      <c r="D473" s="2">
        <v>58</v>
      </c>
      <c r="E473" s="2">
        <v>1000000</v>
      </c>
      <c r="F473" s="3">
        <f>IF(COUNT(D473,E473)=2,D473*E473,NA())</f>
        <v>58000000.0</v>
      </c>
      <c r="G473" s="2" t="s">
        <v>59</v>
      </c>
      <c r="H473" s="2" t="s">
        <v>60</v>
      </c>
      <c r="I473" s="2" t="s">
        <v>61</v>
      </c>
      <c r="J473" s="2" t="s">
        <v>1113</v>
      </c>
      <c r="K473" s="2" t="s">
        <v>889</v>
      </c>
      <c r="L473" s="2" t="s">
        <v>1172</v>
      </c>
      <c r="M473" s="2" t="s">
        <v>897</v>
      </c>
      <c r="N473" s="2" t="s">
        <v>65</v>
      </c>
      <c r="O473" s="2" t="s">
        <v>1166</v>
      </c>
      <c r="P473" s="2" t="s">
        <v>1275</v>
      </c>
      <c r="Q473" s="2" t="s">
        <v>1276</v>
      </c>
      <c r="R473" s="2"/>
    </row>
    <row r="474" spans="1:18">
      <c r="A474" s="2" t="s">
        <v>1278</v>
      </c>
      <c r="B474" s="2" t="s">
        <v>1279</v>
      </c>
      <c r="C474" s="2" t="s">
        <v>1119</v>
      </c>
      <c r="D474" s="2">
        <v>-55</v>
      </c>
      <c r="E474" s="2">
        <v>1000000</v>
      </c>
      <c r="F474" s="3">
        <f>IF(COUNT(D474,E474)=2,D474*E474,NA())</f>
        <v>-55000000.0</v>
      </c>
      <c r="G474" s="2" t="s">
        <v>59</v>
      </c>
      <c r="H474" s="2" t="s">
        <v>60</v>
      </c>
      <c r="I474" s="2" t="s">
        <v>61</v>
      </c>
      <c r="J474" s="2" t="s">
        <v>1113</v>
      </c>
      <c r="K474" s="2" t="s">
        <v>889</v>
      </c>
      <c r="L474" s="2" t="s">
        <v>1172</v>
      </c>
      <c r="M474" s="2" t="s">
        <v>897</v>
      </c>
      <c r="N474" s="2" t="s">
        <v>65</v>
      </c>
      <c r="O474" s="2" t="s">
        <v>1166</v>
      </c>
      <c r="P474" s="2" t="s">
        <v>1275</v>
      </c>
      <c r="Q474" s="2" t="s">
        <v>1278</v>
      </c>
      <c r="R474" s="2"/>
    </row>
    <row r="475" spans="1:18">
      <c r="A475" s="2" t="s">
        <v>1280</v>
      </c>
      <c r="B475" s="2" t="s">
        <v>1281</v>
      </c>
      <c r="C475" s="2" t="s">
        <v>1119</v>
      </c>
      <c r="D475" s="2">
        <v>515</v>
      </c>
      <c r="E475" s="2">
        <v>1000000</v>
      </c>
      <c r="F475" s="3">
        <f>IF(COUNT(D475,E475)=2,D475*E475,NA())</f>
        <v>515000000.0</v>
      </c>
      <c r="G475" s="2" t="s">
        <v>59</v>
      </c>
      <c r="H475" s="2" t="s">
        <v>60</v>
      </c>
      <c r="I475" s="2" t="s">
        <v>61</v>
      </c>
      <c r="J475" s="2" t="s">
        <v>1113</v>
      </c>
      <c r="K475" s="2" t="s">
        <v>889</v>
      </c>
      <c r="L475" s="2" t="s">
        <v>1172</v>
      </c>
      <c r="M475" s="2" t="s">
        <v>897</v>
      </c>
      <c r="N475" s="2" t="s">
        <v>65</v>
      </c>
      <c r="O475" s="2" t="s">
        <v>1166</v>
      </c>
      <c r="P475" s="2" t="s">
        <v>1275</v>
      </c>
      <c r="Q475" s="2" t="s">
        <v>1280</v>
      </c>
      <c r="R475" s="2"/>
    </row>
    <row r="476" spans="1:18">
      <c r="A476" s="2" t="s">
        <v>1282</v>
      </c>
      <c r="B476" s="2" t="s">
        <v>1283</v>
      </c>
      <c r="C476" s="2" t="s">
        <v>1119</v>
      </c>
      <c r="D476" s="2">
        <v>36</v>
      </c>
      <c r="E476" s="2">
        <v>1000000</v>
      </c>
      <c r="F476" s="3">
        <f>IF(COUNT(D476,E476)=2,D476*E476,NA())</f>
        <v>36000000.0</v>
      </c>
      <c r="G476" s="2" t="s">
        <v>59</v>
      </c>
      <c r="H476" s="2" t="s">
        <v>60</v>
      </c>
      <c r="I476" s="2" t="s">
        <v>61</v>
      </c>
      <c r="J476" s="2" t="s">
        <v>1113</v>
      </c>
      <c r="K476" s="2" t="s">
        <v>889</v>
      </c>
      <c r="L476" s="2" t="s">
        <v>1172</v>
      </c>
      <c r="M476" s="2" t="s">
        <v>897</v>
      </c>
      <c r="N476" s="2" t="s">
        <v>65</v>
      </c>
      <c r="O476" s="2" t="s">
        <v>1166</v>
      </c>
      <c r="P476" s="2" t="s">
        <v>1275</v>
      </c>
      <c r="Q476" s="2" t="s">
        <v>1282</v>
      </c>
      <c r="R476" s="2"/>
    </row>
    <row r="477" spans="1:18">
      <c r="A477" s="2" t="s">
        <v>1284</v>
      </c>
      <c r="B477" s="2" t="s">
        <v>1285</v>
      </c>
      <c r="C477" s="2" t="s">
        <v>1119</v>
      </c>
      <c r="D477" s="2">
        <v>3926</v>
      </c>
      <c r="E477" s="2">
        <v>1000000</v>
      </c>
      <c r="F477" s="3">
        <f>IF(COUNT(D477,E477)=2,D477*E477,NA())</f>
        <v>3926000000.0</v>
      </c>
      <c r="G477" s="2" t="s">
        <v>59</v>
      </c>
      <c r="H477" s="2" t="s">
        <v>60</v>
      </c>
      <c r="I477" s="2" t="s">
        <v>61</v>
      </c>
      <c r="J477" s="2" t="s">
        <v>1113</v>
      </c>
      <c r="K477" s="2" t="s">
        <v>1286</v>
      </c>
      <c r="L477" s="2" t="s">
        <v>1287</v>
      </c>
      <c r="M477" s="2" t="s">
        <v>897</v>
      </c>
      <c r="N477" s="2" t="s">
        <v>65</v>
      </c>
      <c r="O477" s="2" t="s">
        <v>1166</v>
      </c>
      <c r="P477" s="2" t="s">
        <v>1288</v>
      </c>
      <c r="Q477" s="2" t="s">
        <v>1284</v>
      </c>
      <c r="R477" s="2"/>
    </row>
    <row r="478" spans="1:18">
      <c r="A478" s="2" t="s">
        <v>1289</v>
      </c>
      <c r="B478" s="2" t="s">
        <v>1290</v>
      </c>
      <c r="C478" s="2" t="s">
        <v>1119</v>
      </c>
      <c r="D478" s="2">
        <v>66</v>
      </c>
      <c r="E478" s="2">
        <v>1000000</v>
      </c>
      <c r="F478" s="3">
        <f>IF(COUNT(D478,E478)=2,D478*E478,NA())</f>
        <v>66000000.0</v>
      </c>
      <c r="G478" s="2" t="s">
        <v>59</v>
      </c>
      <c r="H478" s="2" t="s">
        <v>60</v>
      </c>
      <c r="I478" s="2" t="s">
        <v>61</v>
      </c>
      <c r="J478" s="2" t="s">
        <v>1113</v>
      </c>
      <c r="K478" s="2" t="s">
        <v>1286</v>
      </c>
      <c r="L478" s="2" t="s">
        <v>1287</v>
      </c>
      <c r="M478" s="2" t="s">
        <v>897</v>
      </c>
      <c r="N478" s="2" t="s">
        <v>65</v>
      </c>
      <c r="O478" s="2" t="s">
        <v>1166</v>
      </c>
      <c r="P478" s="2" t="s">
        <v>1288</v>
      </c>
      <c r="Q478" s="2" t="s">
        <v>1289</v>
      </c>
      <c r="R478" s="2"/>
    </row>
    <row r="479" spans="1:18">
      <c r="A479" s="2" t="s">
        <v>1291</v>
      </c>
      <c r="B479" s="2" t="s">
        <v>1292</v>
      </c>
      <c r="C479" s="2" t="s">
        <v>1119</v>
      </c>
      <c r="D479" s="2">
        <v>-171</v>
      </c>
      <c r="E479" s="2">
        <v>1000000</v>
      </c>
      <c r="F479" s="3">
        <f>IF(COUNT(D479,E479)=2,D479*E479,NA())</f>
        <v>-171000000.0</v>
      </c>
      <c r="G479" s="2" t="s">
        <v>59</v>
      </c>
      <c r="H479" s="2" t="s">
        <v>60</v>
      </c>
      <c r="I479" s="2" t="s">
        <v>61</v>
      </c>
      <c r="J479" s="2" t="s">
        <v>1113</v>
      </c>
      <c r="K479" s="2" t="s">
        <v>1286</v>
      </c>
      <c r="L479" s="2" t="s">
        <v>1287</v>
      </c>
      <c r="M479" s="2" t="s">
        <v>897</v>
      </c>
      <c r="N479" s="2" t="s">
        <v>65</v>
      </c>
      <c r="O479" s="2" t="s">
        <v>1166</v>
      </c>
      <c r="P479" s="2" t="s">
        <v>1288</v>
      </c>
      <c r="Q479" s="2" t="s">
        <v>1291</v>
      </c>
      <c r="R479" s="2"/>
    </row>
    <row r="480" spans="1:18">
      <c r="A480" s="2" t="s">
        <v>1293</v>
      </c>
      <c r="B480" s="2" t="s">
        <v>1294</v>
      </c>
      <c r="C480" s="2" t="s">
        <v>1119</v>
      </c>
      <c r="D480" s="2">
        <v>699</v>
      </c>
      <c r="E480" s="2">
        <v>1000000</v>
      </c>
      <c r="F480" s="3">
        <f>IF(COUNT(D480,E480)=2,D480*E480,NA())</f>
        <v>699000000.0</v>
      </c>
      <c r="G480" s="2" t="s">
        <v>59</v>
      </c>
      <c r="H480" s="2" t="s">
        <v>60</v>
      </c>
      <c r="I480" s="2" t="s">
        <v>61</v>
      </c>
      <c r="J480" s="2" t="s">
        <v>1113</v>
      </c>
      <c r="K480" s="2" t="s">
        <v>1286</v>
      </c>
      <c r="L480" s="2" t="s">
        <v>1287</v>
      </c>
      <c r="M480" s="2" t="s">
        <v>897</v>
      </c>
      <c r="N480" s="2" t="s">
        <v>65</v>
      </c>
      <c r="O480" s="2" t="s">
        <v>1166</v>
      </c>
      <c r="P480" s="2" t="s">
        <v>1288</v>
      </c>
      <c r="Q480" s="2" t="s">
        <v>1293</v>
      </c>
      <c r="R480" s="2"/>
    </row>
    <row r="481" spans="1:18">
      <c r="A481" s="2" t="s">
        <v>1295</v>
      </c>
      <c r="B481" s="2" t="s">
        <v>1296</v>
      </c>
      <c r="C481" s="2" t="s">
        <v>1119</v>
      </c>
      <c r="D481" s="2">
        <v>35</v>
      </c>
      <c r="E481" s="2">
        <v>1000000</v>
      </c>
      <c r="F481" s="3">
        <f>IF(COUNT(D481,E481)=2,D481*E481,NA())</f>
        <v>35000000.0</v>
      </c>
      <c r="G481" s="2" t="s">
        <v>59</v>
      </c>
      <c r="H481" s="2" t="s">
        <v>60</v>
      </c>
      <c r="I481" s="2" t="s">
        <v>61</v>
      </c>
      <c r="J481" s="2" t="s">
        <v>1113</v>
      </c>
      <c r="K481" s="2" t="s">
        <v>1286</v>
      </c>
      <c r="L481" s="2" t="s">
        <v>1287</v>
      </c>
      <c r="M481" s="2" t="s">
        <v>897</v>
      </c>
      <c r="N481" s="2" t="s">
        <v>65</v>
      </c>
      <c r="O481" s="2" t="s">
        <v>1166</v>
      </c>
      <c r="P481" s="2" t="s">
        <v>1288</v>
      </c>
      <c r="Q481" s="2" t="s">
        <v>1295</v>
      </c>
      <c r="R481" s="2"/>
    </row>
    <row r="482" spans="1:18">
      <c r="A482" s="2" t="s">
        <v>1297</v>
      </c>
      <c r="B482" s="2" t="s">
        <v>1298</v>
      </c>
      <c r="C482" s="2" t="s">
        <v>1119</v>
      </c>
      <c r="D482" s="2">
        <v>4044</v>
      </c>
      <c r="E482" s="2">
        <v>1000000</v>
      </c>
      <c r="F482" s="3">
        <f>IF(COUNT(D482,E482)=2,D482*E482,NA())</f>
        <v>4044000000.0</v>
      </c>
      <c r="G482" s="2" t="s">
        <v>59</v>
      </c>
      <c r="H482" s="2" t="s">
        <v>60</v>
      </c>
      <c r="I482" s="2" t="s">
        <v>61</v>
      </c>
      <c r="J482" s="2" t="s">
        <v>1113</v>
      </c>
      <c r="K482" s="2" t="s">
        <v>1299</v>
      </c>
      <c r="L482" s="2" t="s">
        <v>1300</v>
      </c>
      <c r="M482" s="2" t="s">
        <v>897</v>
      </c>
      <c r="N482" s="2" t="s">
        <v>65</v>
      </c>
      <c r="O482" s="2" t="s">
        <v>1166</v>
      </c>
      <c r="P482" s="2" t="s">
        <v>1288</v>
      </c>
      <c r="Q482" s="2" t="s">
        <v>1297</v>
      </c>
      <c r="R482" s="2"/>
    </row>
    <row r="483" spans="1:18">
      <c r="A483" s="2" t="s">
        <v>1301</v>
      </c>
      <c r="B483" s="2" t="s">
        <v>1302</v>
      </c>
      <c r="C483" s="2" t="s">
        <v>1119</v>
      </c>
      <c r="D483" s="2">
        <v>45</v>
      </c>
      <c r="E483" s="2">
        <v>1000000</v>
      </c>
      <c r="F483" s="3">
        <f>IF(COUNT(D483,E483)=2,D483*E483,NA())</f>
        <v>45000000.0</v>
      </c>
      <c r="G483" s="2" t="s">
        <v>59</v>
      </c>
      <c r="H483" s="2" t="s">
        <v>60</v>
      </c>
      <c r="I483" s="2" t="s">
        <v>61</v>
      </c>
      <c r="J483" s="2" t="s">
        <v>1113</v>
      </c>
      <c r="K483" s="2" t="s">
        <v>1299</v>
      </c>
      <c r="L483" s="2" t="s">
        <v>1300</v>
      </c>
      <c r="M483" s="2" t="s">
        <v>897</v>
      </c>
      <c r="N483" s="2" t="s">
        <v>65</v>
      </c>
      <c r="O483" s="2" t="s">
        <v>1166</v>
      </c>
      <c r="P483" s="2" t="s">
        <v>1288</v>
      </c>
      <c r="Q483" s="2" t="s">
        <v>1301</v>
      </c>
      <c r="R483" s="2"/>
    </row>
    <row r="484" spans="1:18">
      <c r="A484" s="2" t="s">
        <v>1303</v>
      </c>
      <c r="B484" s="2" t="s">
        <v>1304</v>
      </c>
      <c r="C484" s="2" t="s">
        <v>1119</v>
      </c>
      <c r="D484" s="2">
        <v>-236</v>
      </c>
      <c r="E484" s="2">
        <v>1000000</v>
      </c>
      <c r="F484" s="3">
        <f>IF(COUNT(D484,E484)=2,D484*E484,NA())</f>
        <v>-236000000.0</v>
      </c>
      <c r="G484" s="2" t="s">
        <v>59</v>
      </c>
      <c r="H484" s="2" t="s">
        <v>60</v>
      </c>
      <c r="I484" s="2" t="s">
        <v>61</v>
      </c>
      <c r="J484" s="2" t="s">
        <v>1113</v>
      </c>
      <c r="K484" s="2" t="s">
        <v>1299</v>
      </c>
      <c r="L484" s="2" t="s">
        <v>1300</v>
      </c>
      <c r="M484" s="2" t="s">
        <v>897</v>
      </c>
      <c r="N484" s="2" t="s">
        <v>65</v>
      </c>
      <c r="O484" s="2" t="s">
        <v>1166</v>
      </c>
      <c r="P484" s="2" t="s">
        <v>1288</v>
      </c>
      <c r="Q484" s="2" t="s">
        <v>1303</v>
      </c>
      <c r="R484" s="2"/>
    </row>
    <row r="485" spans="1:18">
      <c r="A485" s="2" t="s">
        <v>1305</v>
      </c>
      <c r="B485" s="2" t="s">
        <v>1306</v>
      </c>
      <c r="C485" s="2" t="s">
        <v>1119</v>
      </c>
      <c r="D485" s="2">
        <v>718</v>
      </c>
      <c r="E485" s="2">
        <v>1000000</v>
      </c>
      <c r="F485" s="3">
        <f>IF(COUNT(D485,E485)=2,D485*E485,NA())</f>
        <v>718000000.0</v>
      </c>
      <c r="G485" s="2" t="s">
        <v>59</v>
      </c>
      <c r="H485" s="2" t="s">
        <v>60</v>
      </c>
      <c r="I485" s="2" t="s">
        <v>61</v>
      </c>
      <c r="J485" s="2" t="s">
        <v>1113</v>
      </c>
      <c r="K485" s="2" t="s">
        <v>1299</v>
      </c>
      <c r="L485" s="2" t="s">
        <v>1300</v>
      </c>
      <c r="M485" s="2" t="s">
        <v>897</v>
      </c>
      <c r="N485" s="2" t="s">
        <v>65</v>
      </c>
      <c r="O485" s="2" t="s">
        <v>1166</v>
      </c>
      <c r="P485" s="2" t="s">
        <v>1288</v>
      </c>
      <c r="Q485" s="2" t="s">
        <v>1305</v>
      </c>
      <c r="R485" s="2"/>
    </row>
    <row r="486" spans="1:18">
      <c r="A486" s="2" t="s">
        <v>1307</v>
      </c>
      <c r="B486" s="2" t="s">
        <v>1308</v>
      </c>
      <c r="C486" s="2" t="s">
        <v>1119</v>
      </c>
      <c r="D486" s="2">
        <v>24</v>
      </c>
      <c r="E486" s="2">
        <v>1000000</v>
      </c>
      <c r="F486" s="3">
        <f>IF(COUNT(D486,E486)=2,D486*E486,NA())</f>
        <v>24000000.0</v>
      </c>
      <c r="G486" s="2" t="s">
        <v>59</v>
      </c>
      <c r="H486" s="2" t="s">
        <v>60</v>
      </c>
      <c r="I486" s="2" t="s">
        <v>61</v>
      </c>
      <c r="J486" s="2" t="s">
        <v>1113</v>
      </c>
      <c r="K486" s="2" t="s">
        <v>1299</v>
      </c>
      <c r="L486" s="2" t="s">
        <v>1300</v>
      </c>
      <c r="M486" s="2" t="s">
        <v>897</v>
      </c>
      <c r="N486" s="2" t="s">
        <v>65</v>
      </c>
      <c r="O486" s="2" t="s">
        <v>1166</v>
      </c>
      <c r="P486" s="2" t="s">
        <v>1288</v>
      </c>
      <c r="Q486" s="2" t="s">
        <v>1307</v>
      </c>
      <c r="R486" s="2"/>
    </row>
    <row r="487" spans="1:18">
      <c r="A487" s="2" t="s">
        <v>1309</v>
      </c>
      <c r="B487" s="2" t="s">
        <v>1310</v>
      </c>
      <c r="C487" s="2" t="s">
        <v>1119</v>
      </c>
      <c r="D487" s="2">
        <v>773</v>
      </c>
      <c r="E487" s="2">
        <v>1000000</v>
      </c>
      <c r="F487" s="3">
        <f>IF(COUNT(D487,E487)=2,D487*E487,NA())</f>
        <v>773000000.0</v>
      </c>
      <c r="G487" s="2" t="s">
        <v>59</v>
      </c>
      <c r="H487" s="2" t="s">
        <v>60</v>
      </c>
      <c r="I487" s="2" t="s">
        <v>61</v>
      </c>
      <c r="J487" s="2" t="s">
        <v>1113</v>
      </c>
      <c r="K487" s="2" t="s">
        <v>1299</v>
      </c>
      <c r="L487" s="2" t="s">
        <v>1300</v>
      </c>
      <c r="M487" s="2" t="s">
        <v>897</v>
      </c>
      <c r="N487" s="2" t="s">
        <v>65</v>
      </c>
      <c r="O487" s="2" t="s">
        <v>1166</v>
      </c>
      <c r="P487" s="2" t="s">
        <v>1114</v>
      </c>
      <c r="Q487" s="2" t="s">
        <v>1309</v>
      </c>
      <c r="R487" s="2"/>
    </row>
    <row r="488" spans="1:18">
      <c r="A488" s="2" t="s">
        <v>1311</v>
      </c>
      <c r="B488" s="2" t="s">
        <v>1312</v>
      </c>
      <c r="C488" s="2" t="s">
        <v>1119</v>
      </c>
      <c r="D488" s="2">
        <v>860</v>
      </c>
      <c r="E488" s="2">
        <v>1000000</v>
      </c>
      <c r="F488" s="3">
        <f>IF(COUNT(D488,E488)=2,D488*E488,NA())</f>
        <v>860000000.0</v>
      </c>
      <c r="G488" s="2" t="s">
        <v>59</v>
      </c>
      <c r="H488" s="2" t="s">
        <v>60</v>
      </c>
      <c r="I488" s="2" t="s">
        <v>61</v>
      </c>
      <c r="J488" s="2" t="s">
        <v>1113</v>
      </c>
      <c r="K488" s="2" t="s">
        <v>1299</v>
      </c>
      <c r="L488" s="2" t="s">
        <v>1300</v>
      </c>
      <c r="M488" s="2" t="s">
        <v>897</v>
      </c>
      <c r="N488" s="2" t="s">
        <v>65</v>
      </c>
      <c r="O488" s="2" t="s">
        <v>1166</v>
      </c>
      <c r="P488" s="2" t="s">
        <v>1114</v>
      </c>
      <c r="Q488" s="2" t="s">
        <v>1311</v>
      </c>
      <c r="R488" s="2"/>
    </row>
    <row r="489" spans="1:18">
      <c r="A489" s="2" t="s">
        <v>1313</v>
      </c>
      <c r="B489" s="2" t="s">
        <v>1314</v>
      </c>
      <c r="C489" s="2" t="s">
        <v>1119</v>
      </c>
      <c r="D489" s="2">
        <v>2250</v>
      </c>
      <c r="E489" s="2">
        <v>1000000</v>
      </c>
      <c r="F489" s="3">
        <f>IF(COUNT(D489,E489)=2,D489*E489,NA())</f>
        <v>2250000000.0</v>
      </c>
      <c r="G489" s="2" t="s">
        <v>59</v>
      </c>
      <c r="H489" s="2" t="s">
        <v>60</v>
      </c>
      <c r="I489" s="2" t="s">
        <v>61</v>
      </c>
      <c r="J489" s="2" t="s">
        <v>1113</v>
      </c>
      <c r="K489" s="2" t="s">
        <v>1286</v>
      </c>
      <c r="L489" s="2" t="s">
        <v>1287</v>
      </c>
      <c r="M489" s="2" t="s">
        <v>897</v>
      </c>
      <c r="N489" s="2" t="s">
        <v>65</v>
      </c>
      <c r="O489" s="2" t="s">
        <v>1166</v>
      </c>
      <c r="P489" s="2" t="s">
        <v>1315</v>
      </c>
      <c r="Q489" s="2" t="s">
        <v>1313</v>
      </c>
      <c r="R489" s="2"/>
    </row>
    <row r="490" spans="1:18">
      <c r="A490" s="2" t="s">
        <v>1316</v>
      </c>
      <c r="B490" s="2" t="s">
        <v>1317</v>
      </c>
      <c r="C490" s="2" t="s">
        <v>1119</v>
      </c>
      <c r="D490" s="2">
        <v>2600</v>
      </c>
      <c r="E490" s="2">
        <v>1000000</v>
      </c>
      <c r="F490" s="3">
        <f>IF(COUNT(D490,E490)=2,D490*E490,NA())</f>
        <v>2600000000.0</v>
      </c>
      <c r="G490" s="2" t="s">
        <v>59</v>
      </c>
      <c r="H490" s="2" t="s">
        <v>60</v>
      </c>
      <c r="I490" s="2" t="s">
        <v>61</v>
      </c>
      <c r="J490" s="2" t="s">
        <v>1113</v>
      </c>
      <c r="K490" s="2" t="s">
        <v>1299</v>
      </c>
      <c r="L490" s="2" t="s">
        <v>1300</v>
      </c>
      <c r="M490" s="2" t="s">
        <v>897</v>
      </c>
      <c r="N490" s="2" t="s">
        <v>65</v>
      </c>
      <c r="O490" s="2" t="s">
        <v>1166</v>
      </c>
      <c r="P490" s="2" t="s">
        <v>1315</v>
      </c>
      <c r="Q490" s="2" t="s">
        <v>1316</v>
      </c>
      <c r="R490" s="2"/>
    </row>
    <row r="491" spans="1:18">
      <c r="A491" s="2" t="s">
        <v>1318</v>
      </c>
      <c r="B491" s="2" t="s">
        <v>1319</v>
      </c>
      <c r="C491" s="2" t="s">
        <v>1119</v>
      </c>
      <c r="D491" s="2">
        <v>750</v>
      </c>
      <c r="E491" s="2">
        <v>1000000</v>
      </c>
      <c r="F491" s="3">
        <f>IF(COUNT(D491,E491)=2,D491*E491,NA())</f>
        <v>750000000.0</v>
      </c>
      <c r="G491" s="2" t="s">
        <v>59</v>
      </c>
      <c r="H491" s="2" t="s">
        <v>60</v>
      </c>
      <c r="I491" s="2" t="s">
        <v>61</v>
      </c>
      <c r="J491" s="2" t="s">
        <v>1113</v>
      </c>
      <c r="K491" s="2" t="s">
        <v>1299</v>
      </c>
      <c r="L491" s="2" t="s">
        <v>1300</v>
      </c>
      <c r="M491" s="2" t="s">
        <v>897</v>
      </c>
      <c r="N491" s="2" t="s">
        <v>65</v>
      </c>
      <c r="O491" s="2" t="s">
        <v>1166</v>
      </c>
      <c r="P491" s="2" t="s">
        <v>1315</v>
      </c>
      <c r="Q491" s="2" t="s">
        <v>1318</v>
      </c>
      <c r="R491" s="2"/>
    </row>
    <row r="492" spans="1:18">
      <c r="A492" s="2" t="s">
        <v>1320</v>
      </c>
      <c r="B492" s="2" t="s">
        <v>1321</v>
      </c>
      <c r="C492" s="2" t="s">
        <v>1119</v>
      </c>
      <c r="D492" s="2">
        <v>1000</v>
      </c>
      <c r="E492" s="2">
        <v>1000000</v>
      </c>
      <c r="F492" s="3">
        <f>IF(COUNT(D492,E492)=2,D492*E492,NA())</f>
        <v>1000000000.0</v>
      </c>
      <c r="G492" s="2" t="s">
        <v>59</v>
      </c>
      <c r="H492" s="2" t="s">
        <v>60</v>
      </c>
      <c r="I492" s="2" t="s">
        <v>61</v>
      </c>
      <c r="J492" s="2" t="s">
        <v>1113</v>
      </c>
      <c r="K492" s="2" t="s">
        <v>1322</v>
      </c>
      <c r="L492" s="2" t="s">
        <v>1172</v>
      </c>
      <c r="M492" s="2" t="s">
        <v>897</v>
      </c>
      <c r="N492" s="2" t="s">
        <v>65</v>
      </c>
      <c r="O492" s="2" t="s">
        <v>1166</v>
      </c>
      <c r="P492" s="2" t="s">
        <v>1323</v>
      </c>
      <c r="Q492" s="2" t="s">
        <v>1320</v>
      </c>
      <c r="R492" s="2"/>
    </row>
    <row r="493" spans="1:18">
      <c r="A493" s="2" t="s">
        <v>1324</v>
      </c>
      <c r="B493" s="2" t="s">
        <v>1325</v>
      </c>
      <c r="C493" s="2" t="s">
        <v>1119</v>
      </c>
      <c r="D493" s="2">
        <v>1250</v>
      </c>
      <c r="E493" s="2">
        <v>1000000</v>
      </c>
      <c r="F493" s="3">
        <f>IF(COUNT(D493,E493)=2,D493*E493,NA())</f>
        <v>1250000000.0</v>
      </c>
      <c r="G493" s="2" t="s">
        <v>59</v>
      </c>
      <c r="H493" s="2" t="s">
        <v>60</v>
      </c>
      <c r="I493" s="2" t="s">
        <v>61</v>
      </c>
      <c r="J493" s="2" t="s">
        <v>1113</v>
      </c>
      <c r="K493" s="2" t="s">
        <v>1286</v>
      </c>
      <c r="L493" s="2" t="s">
        <v>1326</v>
      </c>
      <c r="M493" s="2" t="s">
        <v>897</v>
      </c>
      <c r="N493" s="2" t="s">
        <v>65</v>
      </c>
      <c r="O493" s="2" t="s">
        <v>1166</v>
      </c>
      <c r="P493" s="2" t="s">
        <v>1323</v>
      </c>
      <c r="Q493" s="2" t="s">
        <v>1324</v>
      </c>
      <c r="R493" s="2"/>
    </row>
    <row r="494" spans="1:18">
      <c r="A494" s="2" t="s">
        <v>1327</v>
      </c>
      <c r="B494" s="2" t="s">
        <v>1328</v>
      </c>
      <c r="C494" s="2"/>
      <c r="D494" s="2">
        <v>10</v>
      </c>
      <c r="E494" s="2">
        <v>1000000</v>
      </c>
      <c r="F494" s="3">
        <f>IF(COUNT(D494,E494)=2,D494*E494,NA())</f>
        <v>10000000.0</v>
      </c>
      <c r="G494" s="2" t="s">
        <v>59</v>
      </c>
      <c r="H494" s="2" t="s">
        <v>60</v>
      </c>
      <c r="I494" s="2" t="s">
        <v>61</v>
      </c>
      <c r="J494" s="2" t="s">
        <v>1113</v>
      </c>
      <c r="K494" s="2" t="s">
        <v>816</v>
      </c>
      <c r="L494" s="2" t="s">
        <v>1172</v>
      </c>
      <c r="M494" s="2" t="s">
        <v>897</v>
      </c>
      <c r="N494" s="2" t="s">
        <v>897</v>
      </c>
      <c r="O494" s="2" t="s">
        <v>1166</v>
      </c>
      <c r="P494" s="2" t="s">
        <v>1329</v>
      </c>
      <c r="Q494" s="2" t="s">
        <v>1327</v>
      </c>
      <c r="R494" s="2"/>
    </row>
    <row r="495" spans="1:18">
      <c r="A495" s="2" t="s">
        <v>1330</v>
      </c>
      <c r="B495" s="2" t="s">
        <v>1331</v>
      </c>
      <c r="C495" s="2"/>
      <c r="D495" s="2">
        <v>4</v>
      </c>
      <c r="E495" s="2">
        <v>1000000</v>
      </c>
      <c r="F495" s="3">
        <f>IF(COUNT(D495,E495)=2,D495*E495,NA())</f>
        <v>4000000.0</v>
      </c>
      <c r="G495" s="2" t="s">
        <v>59</v>
      </c>
      <c r="H495" s="2" t="s">
        <v>60</v>
      </c>
      <c r="I495" s="2" t="s">
        <v>61</v>
      </c>
      <c r="J495" s="2" t="s">
        <v>1113</v>
      </c>
      <c r="K495" s="2" t="s">
        <v>816</v>
      </c>
      <c r="L495" s="2" t="s">
        <v>786</v>
      </c>
      <c r="M495" s="2" t="s">
        <v>897</v>
      </c>
      <c r="N495" s="2" t="s">
        <v>897</v>
      </c>
      <c r="O495" s="2" t="s">
        <v>1166</v>
      </c>
      <c r="P495" s="2" t="s">
        <v>1329</v>
      </c>
      <c r="Q495" s="2" t="s">
        <v>1330</v>
      </c>
      <c r="R495" s="2"/>
    </row>
    <row r="496" spans="1:18">
      <c r="A496" s="2" t="s">
        <v>1332</v>
      </c>
      <c r="B496" s="2" t="s">
        <v>1333</v>
      </c>
      <c r="C496" s="2"/>
      <c r="D496" s="2">
        <v>0</v>
      </c>
      <c r="E496" s="2">
        <v>1000000</v>
      </c>
      <c r="F496" s="3">
        <f>IF(COUNT(D496,E496)=2,D496*E496,NA())</f>
        <v>0.0</v>
      </c>
      <c r="G496" s="2" t="s">
        <v>59</v>
      </c>
      <c r="H496" s="2" t="s">
        <v>60</v>
      </c>
      <c r="I496" s="2" t="s">
        <v>61</v>
      </c>
      <c r="J496" s="2" t="s">
        <v>1113</v>
      </c>
      <c r="K496" s="2" t="s">
        <v>816</v>
      </c>
      <c r="L496" s="2" t="s">
        <v>1172</v>
      </c>
      <c r="M496" s="2" t="s">
        <v>897</v>
      </c>
      <c r="N496" s="2" t="s">
        <v>897</v>
      </c>
      <c r="O496" s="2" t="s">
        <v>1166</v>
      </c>
      <c r="P496" s="2" t="s">
        <v>1334</v>
      </c>
      <c r="Q496" s="2" t="s">
        <v>1332</v>
      </c>
      <c r="R496" s="2"/>
    </row>
    <row r="497" spans="1:18">
      <c r="A497" s="2" t="s">
        <v>1335</v>
      </c>
      <c r="B497" s="2" t="s">
        <v>1336</v>
      </c>
      <c r="C497" s="2"/>
      <c r="D497" s="2">
        <v>15</v>
      </c>
      <c r="E497" s="2">
        <v>1000000</v>
      </c>
      <c r="F497" s="3">
        <f>IF(COUNT(D497,E497)=2,D497*E497,NA())</f>
        <v>15000000.0</v>
      </c>
      <c r="G497" s="2" t="s">
        <v>59</v>
      </c>
      <c r="H497" s="2" t="s">
        <v>60</v>
      </c>
      <c r="I497" s="2" t="s">
        <v>61</v>
      </c>
      <c r="J497" s="2" t="s">
        <v>1113</v>
      </c>
      <c r="K497" s="2" t="s">
        <v>816</v>
      </c>
      <c r="L497" s="2" t="s">
        <v>1172</v>
      </c>
      <c r="M497" s="2" t="s">
        <v>897</v>
      </c>
      <c r="N497" s="2" t="s">
        <v>897</v>
      </c>
      <c r="O497" s="2" t="s">
        <v>1166</v>
      </c>
      <c r="P497" s="2" t="s">
        <v>1329</v>
      </c>
      <c r="Q497" s="2" t="s">
        <v>1335</v>
      </c>
      <c r="R497" s="2"/>
    </row>
    <row r="498" spans="1:18">
      <c r="A498" s="2" t="s">
        <v>1337</v>
      </c>
      <c r="B498" s="2" t="s">
        <v>1338</v>
      </c>
      <c r="C498" s="2" t="s">
        <v>1339</v>
      </c>
      <c r="D498" s="2">
        <v>0</v>
      </c>
      <c r="E498" s="2">
        <v>1000000</v>
      </c>
      <c r="F498" s="3">
        <f>IF(COUNT(D498,E498)=2,D498*E498,NA())</f>
        <v>0.0</v>
      </c>
      <c r="G498" s="2" t="s">
        <v>59</v>
      </c>
      <c r="H498" s="2" t="s">
        <v>60</v>
      </c>
      <c r="I498" s="2" t="s">
        <v>61</v>
      </c>
      <c r="J498" s="2" t="s">
        <v>1113</v>
      </c>
      <c r="K498" s="2" t="s">
        <v>816</v>
      </c>
      <c r="L498" s="2" t="s">
        <v>786</v>
      </c>
      <c r="M498" s="2" t="s">
        <v>897</v>
      </c>
      <c r="N498" s="2" t="s">
        <v>897</v>
      </c>
      <c r="O498" s="2" t="s">
        <v>1166</v>
      </c>
      <c r="P498" s="2" t="s">
        <v>1340</v>
      </c>
      <c r="Q498" s="2" t="s">
        <v>1337</v>
      </c>
      <c r="R498" s="2"/>
    </row>
    <row r="499" spans="1:18">
      <c r="A499" s="2" t="s">
        <v>1341</v>
      </c>
      <c r="B499" s="2" t="s">
        <v>1342</v>
      </c>
      <c r="C499" s="2"/>
      <c r="D499" s="2">
        <v>3</v>
      </c>
      <c r="E499" s="2">
        <v>1000000</v>
      </c>
      <c r="F499" s="3">
        <f>IF(COUNT(D499,E499)=2,D499*E499,NA())</f>
        <v>3000000.0</v>
      </c>
      <c r="G499" s="2" t="s">
        <v>59</v>
      </c>
      <c r="H499" s="2" t="s">
        <v>60</v>
      </c>
      <c r="I499" s="2" t="s">
        <v>61</v>
      </c>
      <c r="J499" s="2" t="s">
        <v>1113</v>
      </c>
      <c r="K499" s="2" t="s">
        <v>816</v>
      </c>
      <c r="L499" s="2" t="s">
        <v>786</v>
      </c>
      <c r="M499" s="2" t="s">
        <v>897</v>
      </c>
      <c r="N499" s="2" t="s">
        <v>897</v>
      </c>
      <c r="O499" s="2" t="s">
        <v>1166</v>
      </c>
      <c r="P499" s="2" t="s">
        <v>1329</v>
      </c>
      <c r="Q499" s="2" t="s">
        <v>1341</v>
      </c>
      <c r="R499" s="2"/>
    </row>
    <row r="500" spans="1:18">
      <c r="A500" s="2" t="s">
        <v>1343</v>
      </c>
      <c r="B500" s="2" t="s">
        <v>1344</v>
      </c>
      <c r="C500" s="2"/>
      <c r="D500" s="2">
        <v>30</v>
      </c>
      <c r="E500" s="2">
        <v>1000000</v>
      </c>
      <c r="F500" s="3">
        <f>IF(COUNT(D500,E500)=2,D500*E500,NA())</f>
        <v>30000000.0</v>
      </c>
      <c r="G500" s="2" t="s">
        <v>59</v>
      </c>
      <c r="H500" s="2" t="s">
        <v>60</v>
      </c>
      <c r="I500" s="2" t="s">
        <v>61</v>
      </c>
      <c r="J500" s="2" t="s">
        <v>1113</v>
      </c>
      <c r="K500" s="2" t="s">
        <v>816</v>
      </c>
      <c r="L500" s="2" t="s">
        <v>1172</v>
      </c>
      <c r="M500" s="2" t="s">
        <v>897</v>
      </c>
      <c r="N500" s="2" t="s">
        <v>897</v>
      </c>
      <c r="O500" s="2" t="s">
        <v>1166</v>
      </c>
      <c r="P500" s="2" t="s">
        <v>1329</v>
      </c>
      <c r="Q500" s="2" t="s">
        <v>1343</v>
      </c>
      <c r="R500" s="2"/>
    </row>
    <row r="501" spans="1:18">
      <c r="A501" s="2" t="s">
        <v>1345</v>
      </c>
      <c r="B501" s="2" t="s">
        <v>1346</v>
      </c>
      <c r="C501" s="2"/>
      <c r="D501" s="2">
        <v>100</v>
      </c>
      <c r="E501" s="2">
        <v>1000000</v>
      </c>
      <c r="F501" s="3">
        <f>IF(COUNT(D501,E501)=2,D501*E501,NA())</f>
        <v>100000000.0</v>
      </c>
      <c r="G501" s="2" t="s">
        <v>59</v>
      </c>
      <c r="H501" s="2" t="s">
        <v>60</v>
      </c>
      <c r="I501" s="2" t="s">
        <v>61</v>
      </c>
      <c r="J501" s="2" t="s">
        <v>1113</v>
      </c>
      <c r="K501" s="2" t="s">
        <v>889</v>
      </c>
      <c r="L501" s="2" t="s">
        <v>1172</v>
      </c>
      <c r="M501" s="2" t="s">
        <v>897</v>
      </c>
      <c r="N501" s="2" t="s">
        <v>897</v>
      </c>
      <c r="O501" s="2" t="s">
        <v>1166</v>
      </c>
      <c r="P501" s="2" t="s">
        <v>1347</v>
      </c>
      <c r="Q501" s="2" t="s">
        <v>1345</v>
      </c>
      <c r="R501" s="2"/>
    </row>
    <row r="502" spans="1:18">
      <c r="A502" s="2" t="s">
        <v>1348</v>
      </c>
      <c r="B502" s="2" t="s">
        <v>1349</v>
      </c>
      <c r="C502" s="2"/>
      <c r="D502" s="2">
        <v>4</v>
      </c>
      <c r="E502" s="2">
        <v>1000000</v>
      </c>
      <c r="F502" s="3">
        <f>IF(COUNT(D502,E502)=2,D502*E502,NA())</f>
        <v>4000000.0</v>
      </c>
      <c r="G502" s="2" t="s">
        <v>59</v>
      </c>
      <c r="H502" s="2" t="s">
        <v>60</v>
      </c>
      <c r="I502" s="2" t="s">
        <v>61</v>
      </c>
      <c r="J502" s="2" t="s">
        <v>1113</v>
      </c>
      <c r="K502" s="2" t="s">
        <v>816</v>
      </c>
      <c r="L502" s="2" t="s">
        <v>1172</v>
      </c>
      <c r="M502" s="2" t="s">
        <v>897</v>
      </c>
      <c r="N502" s="2" t="s">
        <v>897</v>
      </c>
      <c r="O502" s="2" t="s">
        <v>1166</v>
      </c>
      <c r="P502" s="2" t="s">
        <v>1329</v>
      </c>
      <c r="Q502" s="2" t="s">
        <v>1348</v>
      </c>
      <c r="R502" s="2"/>
    </row>
    <row r="503" spans="1:18">
      <c r="A503" s="2" t="s">
        <v>1350</v>
      </c>
      <c r="B503" s="2" t="s">
        <v>1351</v>
      </c>
      <c r="C503" s="2"/>
      <c r="D503" s="2">
        <v>53</v>
      </c>
      <c r="E503" s="2">
        <v>1000000</v>
      </c>
      <c r="F503" s="3">
        <f>IF(COUNT(D503,E503)=2,D503*E503,NA())</f>
        <v>53000000.0</v>
      </c>
      <c r="G503" s="2" t="s">
        <v>59</v>
      </c>
      <c r="H503" s="2" t="s">
        <v>60</v>
      </c>
      <c r="I503" s="2" t="s">
        <v>61</v>
      </c>
      <c r="J503" s="2" t="s">
        <v>1113</v>
      </c>
      <c r="K503" s="2" t="s">
        <v>844</v>
      </c>
      <c r="L503" s="2" t="s">
        <v>1172</v>
      </c>
      <c r="M503" s="2" t="s">
        <v>897</v>
      </c>
      <c r="N503" s="2" t="s">
        <v>897</v>
      </c>
      <c r="O503" s="2" t="s">
        <v>1166</v>
      </c>
      <c r="P503" s="2" t="s">
        <v>1352</v>
      </c>
      <c r="Q503" s="2" t="s">
        <v>1350</v>
      </c>
      <c r="R503" s="2"/>
    </row>
    <row r="504" spans="1:18">
      <c r="A504" s="2" t="s">
        <v>1353</v>
      </c>
      <c r="B504" s="2" t="s">
        <v>1354</v>
      </c>
      <c r="C504" s="2"/>
      <c r="D504" s="2">
        <v>0</v>
      </c>
      <c r="E504" s="2">
        <v>1000000</v>
      </c>
      <c r="F504" s="3">
        <f>IF(COUNT(D504,E504)=2,D504*E504,NA())</f>
        <v>0.0</v>
      </c>
      <c r="G504" s="2" t="s">
        <v>59</v>
      </c>
      <c r="H504" s="2" t="s">
        <v>60</v>
      </c>
      <c r="I504" s="2" t="s">
        <v>61</v>
      </c>
      <c r="J504" s="2" t="s">
        <v>1113</v>
      </c>
      <c r="K504" s="2" t="s">
        <v>816</v>
      </c>
      <c r="L504" s="2" t="s">
        <v>1172</v>
      </c>
      <c r="M504" s="2" t="s">
        <v>897</v>
      </c>
      <c r="N504" s="2" t="s">
        <v>897</v>
      </c>
      <c r="O504" s="2" t="s">
        <v>1166</v>
      </c>
      <c r="P504" s="2" t="s">
        <v>1334</v>
      </c>
      <c r="Q504" s="2" t="s">
        <v>1353</v>
      </c>
      <c r="R504" s="2"/>
    </row>
    <row r="505" spans="1:18">
      <c r="A505" s="2" t="s">
        <v>1355</v>
      </c>
      <c r="B505" s="2" t="s">
        <v>1356</v>
      </c>
      <c r="C505" s="2"/>
      <c r="D505" s="2">
        <v>0</v>
      </c>
      <c r="E505" s="2">
        <v>1000000</v>
      </c>
      <c r="F505" s="3">
        <f>IF(COUNT(D505,E505)=2,D505*E505,NA())</f>
        <v>0.0</v>
      </c>
      <c r="G505" s="2" t="s">
        <v>59</v>
      </c>
      <c r="H505" s="2" t="s">
        <v>60</v>
      </c>
      <c r="I505" s="2" t="s">
        <v>61</v>
      </c>
      <c r="J505" s="2" t="s">
        <v>1113</v>
      </c>
      <c r="K505" s="2" t="s">
        <v>816</v>
      </c>
      <c r="L505" s="2" t="s">
        <v>1172</v>
      </c>
      <c r="M505" s="2" t="s">
        <v>897</v>
      </c>
      <c r="N505" s="2" t="s">
        <v>897</v>
      </c>
      <c r="O505" s="2" t="s">
        <v>1166</v>
      </c>
      <c r="P505" s="2" t="s">
        <v>1334</v>
      </c>
      <c r="Q505" s="2" t="s">
        <v>1355</v>
      </c>
      <c r="R505" s="2"/>
    </row>
    <row r="506" spans="1:18">
      <c r="A506" s="2" t="s">
        <v>1357</v>
      </c>
      <c r="B506" s="2" t="s">
        <v>1358</v>
      </c>
      <c r="C506" s="2"/>
      <c r="D506" s="2">
        <v>50</v>
      </c>
      <c r="E506" s="2">
        <v>1000000</v>
      </c>
      <c r="F506" s="3">
        <f>IF(COUNT(D506,E506)=2,D506*E506,NA())</f>
        <v>50000000.0</v>
      </c>
      <c r="G506" s="2" t="s">
        <v>59</v>
      </c>
      <c r="H506" s="2" t="s">
        <v>60</v>
      </c>
      <c r="I506" s="2" t="s">
        <v>61</v>
      </c>
      <c r="J506" s="2" t="s">
        <v>1113</v>
      </c>
      <c r="K506" s="2" t="s">
        <v>816</v>
      </c>
      <c r="L506" s="2" t="s">
        <v>1172</v>
      </c>
      <c r="M506" s="2" t="s">
        <v>897</v>
      </c>
      <c r="N506" s="2" t="s">
        <v>897</v>
      </c>
      <c r="O506" s="2" t="s">
        <v>1166</v>
      </c>
      <c r="P506" s="2" t="s">
        <v>1329</v>
      </c>
      <c r="Q506" s="2" t="s">
        <v>1357</v>
      </c>
      <c r="R506" s="2"/>
    </row>
    <row r="507" spans="1:18">
      <c r="A507" s="2" t="s">
        <v>1359</v>
      </c>
      <c r="B507" s="2" t="s">
        <v>1360</v>
      </c>
      <c r="C507" s="2"/>
      <c r="D507" s="2">
        <v>100</v>
      </c>
      <c r="E507" s="2">
        <v>1000000</v>
      </c>
      <c r="F507" s="3">
        <f>IF(COUNT(D507,E507)=2,D507*E507,NA())</f>
        <v>100000000.0</v>
      </c>
      <c r="G507" s="2" t="s">
        <v>59</v>
      </c>
      <c r="H507" s="2" t="s">
        <v>60</v>
      </c>
      <c r="I507" s="2" t="s">
        <v>61</v>
      </c>
      <c r="J507" s="2" t="s">
        <v>1113</v>
      </c>
      <c r="K507" s="2" t="s">
        <v>816</v>
      </c>
      <c r="L507" s="2" t="s">
        <v>1172</v>
      </c>
      <c r="M507" s="2" t="s">
        <v>897</v>
      </c>
      <c r="N507" s="2" t="s">
        <v>897</v>
      </c>
      <c r="O507" s="2" t="s">
        <v>1166</v>
      </c>
      <c r="P507" s="2" t="s">
        <v>1329</v>
      </c>
      <c r="Q507" s="2" t="s">
        <v>1359</v>
      </c>
      <c r="R507" s="2"/>
    </row>
    <row r="508" spans="1:18">
      <c r="A508" s="2" t="s">
        <v>1361</v>
      </c>
      <c r="B508" s="2" t="s">
        <v>1362</v>
      </c>
      <c r="C508" s="2"/>
      <c r="D508" s="2">
        <v>173</v>
      </c>
      <c r="E508" s="2">
        <v>1000000</v>
      </c>
      <c r="F508" s="3">
        <f>IF(COUNT(D508,E508)=2,D508*E508,NA())</f>
        <v>173000000.0</v>
      </c>
      <c r="G508" s="2" t="s">
        <v>59</v>
      </c>
      <c r="H508" s="2" t="s">
        <v>60</v>
      </c>
      <c r="I508" s="2" t="s">
        <v>61</v>
      </c>
      <c r="J508" s="2" t="s">
        <v>1113</v>
      </c>
      <c r="K508" s="2" t="s">
        <v>816</v>
      </c>
      <c r="L508" s="2" t="s">
        <v>786</v>
      </c>
      <c r="M508" s="2" t="s">
        <v>897</v>
      </c>
      <c r="N508" s="2" t="s">
        <v>897</v>
      </c>
      <c r="O508" s="2" t="s">
        <v>1166</v>
      </c>
      <c r="P508" s="2" t="s">
        <v>1329</v>
      </c>
      <c r="Q508" s="2" t="s">
        <v>1361</v>
      </c>
      <c r="R508" s="2"/>
    </row>
    <row r="509" spans="1:18">
      <c r="A509" s="2" t="s">
        <v>1363</v>
      </c>
      <c r="B509" s="2" t="s">
        <v>1364</v>
      </c>
      <c r="C509" s="2"/>
      <c r="D509" s="2">
        <v>150</v>
      </c>
      <c r="E509" s="2">
        <v>1000000</v>
      </c>
      <c r="F509" s="3">
        <f>IF(COUNT(D509,E509)=2,D509*E509,NA())</f>
        <v>150000000.0</v>
      </c>
      <c r="G509" s="2" t="s">
        <v>59</v>
      </c>
      <c r="H509" s="2" t="s">
        <v>60</v>
      </c>
      <c r="I509" s="2" t="s">
        <v>61</v>
      </c>
      <c r="J509" s="2" t="s">
        <v>1113</v>
      </c>
      <c r="K509" s="2" t="s">
        <v>816</v>
      </c>
      <c r="L509" s="2" t="s">
        <v>1172</v>
      </c>
      <c r="M509" s="2" t="s">
        <v>897</v>
      </c>
      <c r="N509" s="2" t="s">
        <v>897</v>
      </c>
      <c r="O509" s="2" t="s">
        <v>1166</v>
      </c>
      <c r="P509" s="2" t="s">
        <v>1329</v>
      </c>
      <c r="Q509" s="2" t="s">
        <v>1363</v>
      </c>
      <c r="R509" s="2"/>
    </row>
    <row r="510" spans="1:18">
      <c r="A510" s="2" t="s">
        <v>1365</v>
      </c>
      <c r="B510" s="2" t="s">
        <v>1366</v>
      </c>
      <c r="C510" s="2"/>
      <c r="D510" s="2">
        <v>2</v>
      </c>
      <c r="E510" s="2">
        <v>1000000</v>
      </c>
      <c r="F510" s="3">
        <f>IF(COUNT(D510,E510)=2,D510*E510,NA())</f>
        <v>2000000.0</v>
      </c>
      <c r="G510" s="2" t="s">
        <v>59</v>
      </c>
      <c r="H510" s="2" t="s">
        <v>60</v>
      </c>
      <c r="I510" s="2" t="s">
        <v>61</v>
      </c>
      <c r="J510" s="2" t="s">
        <v>1113</v>
      </c>
      <c r="K510" s="2" t="s">
        <v>816</v>
      </c>
      <c r="L510" s="2" t="s">
        <v>1172</v>
      </c>
      <c r="M510" s="2" t="s">
        <v>897</v>
      </c>
      <c r="N510" s="2" t="s">
        <v>897</v>
      </c>
      <c r="O510" s="2" t="s">
        <v>1166</v>
      </c>
      <c r="P510" s="2" t="s">
        <v>1329</v>
      </c>
      <c r="Q510" s="2" t="s">
        <v>1365</v>
      </c>
      <c r="R510" s="2"/>
    </row>
    <row r="511" spans="1:18">
      <c r="A511" s="2" t="s">
        <v>1367</v>
      </c>
      <c r="B511" s="2" t="s">
        <v>1368</v>
      </c>
      <c r="C511" s="2"/>
      <c r="D511" s="2">
        <v>121</v>
      </c>
      <c r="E511" s="2">
        <v>1000000</v>
      </c>
      <c r="F511" s="3">
        <f>IF(COUNT(D511,E511)=2,D511*E511,NA())</f>
        <v>121000000.0</v>
      </c>
      <c r="G511" s="2" t="s">
        <v>59</v>
      </c>
      <c r="H511" s="2" t="s">
        <v>60</v>
      </c>
      <c r="I511" s="2" t="s">
        <v>61</v>
      </c>
      <c r="J511" s="2" t="s">
        <v>1113</v>
      </c>
      <c r="K511" s="2" t="s">
        <v>889</v>
      </c>
      <c r="L511" s="2" t="s">
        <v>1172</v>
      </c>
      <c r="M511" s="2" t="s">
        <v>897</v>
      </c>
      <c r="N511" s="2" t="s">
        <v>897</v>
      </c>
      <c r="O511" s="2" t="s">
        <v>1166</v>
      </c>
      <c r="P511" s="2" t="s">
        <v>1329</v>
      </c>
      <c r="Q511" s="2" t="s">
        <v>1367</v>
      </c>
      <c r="R511" s="2"/>
    </row>
    <row r="512" spans="1:18">
      <c r="A512" s="2" t="s">
        <v>1369</v>
      </c>
      <c r="B512" s="2" t="s">
        <v>1370</v>
      </c>
      <c r="C512" s="2"/>
      <c r="D512" s="2">
        <v>152</v>
      </c>
      <c r="E512" s="2">
        <v>1000000</v>
      </c>
      <c r="F512" s="3">
        <f>IF(COUNT(D512,E512)=2,D512*E512,NA())</f>
        <v>152000000.0</v>
      </c>
      <c r="G512" s="2" t="s">
        <v>59</v>
      </c>
      <c r="H512" s="2" t="s">
        <v>60</v>
      </c>
      <c r="I512" s="2" t="s">
        <v>61</v>
      </c>
      <c r="J512" s="2" t="s">
        <v>1113</v>
      </c>
      <c r="K512" s="2" t="s">
        <v>1286</v>
      </c>
      <c r="L512" s="2" t="s">
        <v>1300</v>
      </c>
      <c r="M512" s="2" t="s">
        <v>897</v>
      </c>
      <c r="N512" s="2" t="s">
        <v>897</v>
      </c>
      <c r="O512" s="2" t="s">
        <v>1166</v>
      </c>
      <c r="P512" s="2" t="s">
        <v>1371</v>
      </c>
      <c r="Q512" s="2" t="s">
        <v>1369</v>
      </c>
      <c r="R512" s="2"/>
    </row>
    <row r="513" spans="1:18">
      <c r="A513" s="2" t="s">
        <v>1372</v>
      </c>
      <c r="B513" s="2" t="s">
        <v>1373</v>
      </c>
      <c r="C513" s="2"/>
      <c r="D513" s="2">
        <v>105</v>
      </c>
      <c r="E513" s="2">
        <v>1000000</v>
      </c>
      <c r="F513" s="3">
        <f>IF(COUNT(D513,E513)=2,D513*E513,NA())</f>
        <v>105000000.0</v>
      </c>
      <c r="G513" s="2" t="s">
        <v>59</v>
      </c>
      <c r="H513" s="2" t="s">
        <v>60</v>
      </c>
      <c r="I513" s="2" t="s">
        <v>61</v>
      </c>
      <c r="J513" s="2" t="s">
        <v>1113</v>
      </c>
      <c r="K513" s="2" t="s">
        <v>816</v>
      </c>
      <c r="L513" s="2" t="s">
        <v>1172</v>
      </c>
      <c r="M513" s="2" t="s">
        <v>897</v>
      </c>
      <c r="N513" s="2" t="s">
        <v>897</v>
      </c>
      <c r="O513" s="2" t="s">
        <v>1166</v>
      </c>
      <c r="P513" s="2" t="s">
        <v>1329</v>
      </c>
      <c r="Q513" s="2" t="s">
        <v>1372</v>
      </c>
      <c r="R513" s="2"/>
    </row>
    <row r="514" spans="1:18">
      <c r="A514" s="2" t="s">
        <v>1374</v>
      </c>
      <c r="B514" s="2" t="s">
        <v>1375</v>
      </c>
      <c r="C514" s="2"/>
      <c r="D514" s="2">
        <v>220</v>
      </c>
      <c r="E514" s="2">
        <v>1000000</v>
      </c>
      <c r="F514" s="3">
        <f>IF(COUNT(D514,E514)=2,D514*E514,NA())</f>
        <v>220000000.0</v>
      </c>
      <c r="G514" s="2" t="s">
        <v>59</v>
      </c>
      <c r="H514" s="2" t="s">
        <v>60</v>
      </c>
      <c r="I514" s="2" t="s">
        <v>61</v>
      </c>
      <c r="J514" s="2" t="s">
        <v>1113</v>
      </c>
      <c r="K514" s="2" t="s">
        <v>816</v>
      </c>
      <c r="L514" s="2" t="s">
        <v>1172</v>
      </c>
      <c r="M514" s="2" t="s">
        <v>897</v>
      </c>
      <c r="N514" s="2" t="s">
        <v>897</v>
      </c>
      <c r="O514" s="2" t="s">
        <v>1166</v>
      </c>
      <c r="P514" s="2" t="s">
        <v>1329</v>
      </c>
      <c r="Q514" s="2" t="s">
        <v>1374</v>
      </c>
      <c r="R514" s="2"/>
    </row>
    <row r="515" spans="1:18">
      <c r="A515" s="2" t="s">
        <v>1376</v>
      </c>
      <c r="B515" s="2" t="s">
        <v>1377</v>
      </c>
      <c r="C515" s="2"/>
      <c r="D515" s="2">
        <v>15</v>
      </c>
      <c r="E515" s="2">
        <v>1000000</v>
      </c>
      <c r="F515" s="3">
        <f>IF(COUNT(D515,E515)=2,D515*E515,NA())</f>
        <v>15000000.0</v>
      </c>
      <c r="G515" s="2" t="s">
        <v>59</v>
      </c>
      <c r="H515" s="2" t="s">
        <v>60</v>
      </c>
      <c r="I515" s="2" t="s">
        <v>61</v>
      </c>
      <c r="J515" s="2" t="s">
        <v>1113</v>
      </c>
      <c r="K515" s="2" t="s">
        <v>816</v>
      </c>
      <c r="L515" s="2" t="s">
        <v>1172</v>
      </c>
      <c r="M515" s="2" t="s">
        <v>897</v>
      </c>
      <c r="N515" s="2" t="s">
        <v>897</v>
      </c>
      <c r="O515" s="2" t="s">
        <v>1166</v>
      </c>
      <c r="P515" s="2" t="s">
        <v>1329</v>
      </c>
      <c r="Q515" s="2" t="s">
        <v>1376</v>
      </c>
      <c r="R515" s="2"/>
    </row>
    <row r="516" spans="1:18">
      <c r="A516" s="2" t="s">
        <v>1378</v>
      </c>
      <c r="B516" s="2" t="s">
        <v>1379</v>
      </c>
      <c r="C516" s="2"/>
      <c r="D516" s="2">
        <v>5</v>
      </c>
      <c r="E516" s="2">
        <v>1000000</v>
      </c>
      <c r="F516" s="3">
        <f>IF(COUNT(D516,E516)=2,D516*E516,NA())</f>
        <v>5000000.0</v>
      </c>
      <c r="G516" s="2" t="s">
        <v>59</v>
      </c>
      <c r="H516" s="2" t="s">
        <v>60</v>
      </c>
      <c r="I516" s="2" t="s">
        <v>61</v>
      </c>
      <c r="J516" s="2" t="s">
        <v>1113</v>
      </c>
      <c r="K516" s="2" t="s">
        <v>816</v>
      </c>
      <c r="L516" s="2" t="s">
        <v>1172</v>
      </c>
      <c r="M516" s="2" t="s">
        <v>897</v>
      </c>
      <c r="N516" s="2" t="s">
        <v>897</v>
      </c>
      <c r="O516" s="2" t="s">
        <v>1166</v>
      </c>
      <c r="P516" s="2" t="s">
        <v>1329</v>
      </c>
      <c r="Q516" s="2" t="s">
        <v>1378</v>
      </c>
      <c r="R516" s="2"/>
    </row>
    <row r="517" spans="1:18">
      <c r="A517" s="2" t="s">
        <v>1380</v>
      </c>
      <c r="B517" s="2" t="s">
        <v>1381</v>
      </c>
      <c r="C517" s="2"/>
      <c r="D517" s="2">
        <v>65</v>
      </c>
      <c r="E517" s="2">
        <v>1000000</v>
      </c>
      <c r="F517" s="3">
        <f>IF(COUNT(D517,E517)=2,D517*E517,NA())</f>
        <v>65000000.0</v>
      </c>
      <c r="G517" s="2" t="s">
        <v>59</v>
      </c>
      <c r="H517" s="2" t="s">
        <v>60</v>
      </c>
      <c r="I517" s="2" t="s">
        <v>61</v>
      </c>
      <c r="J517" s="2" t="s">
        <v>1113</v>
      </c>
      <c r="K517" s="2" t="s">
        <v>816</v>
      </c>
      <c r="L517" s="2" t="s">
        <v>1172</v>
      </c>
      <c r="M517" s="2" t="s">
        <v>897</v>
      </c>
      <c r="N517" s="2" t="s">
        <v>897</v>
      </c>
      <c r="O517" s="2" t="s">
        <v>1166</v>
      </c>
      <c r="P517" s="2" t="s">
        <v>1329</v>
      </c>
      <c r="Q517" s="2" t="s">
        <v>1380</v>
      </c>
      <c r="R517" s="2"/>
    </row>
    <row r="518" spans="1:18">
      <c r="A518" s="2" t="s">
        <v>1382</v>
      </c>
      <c r="B518" s="2" t="s">
        <v>1383</v>
      </c>
      <c r="C518" s="2"/>
      <c r="D518" s="2">
        <v>30</v>
      </c>
      <c r="E518" s="2">
        <v>1000000</v>
      </c>
      <c r="F518" s="3">
        <f>IF(COUNT(D518,E518)=2,D518*E518,NA())</f>
        <v>30000000.0</v>
      </c>
      <c r="G518" s="2" t="s">
        <v>59</v>
      </c>
      <c r="H518" s="2" t="s">
        <v>60</v>
      </c>
      <c r="I518" s="2" t="s">
        <v>61</v>
      </c>
      <c r="J518" s="2" t="s">
        <v>1113</v>
      </c>
      <c r="K518" s="2" t="s">
        <v>816</v>
      </c>
      <c r="L518" s="2" t="s">
        <v>1172</v>
      </c>
      <c r="M518" s="2" t="s">
        <v>897</v>
      </c>
      <c r="N518" s="2" t="s">
        <v>897</v>
      </c>
      <c r="O518" s="2" t="s">
        <v>1166</v>
      </c>
      <c r="P518" s="2" t="s">
        <v>1329</v>
      </c>
      <c r="Q518" s="2" t="s">
        <v>1382</v>
      </c>
      <c r="R518" s="2"/>
    </row>
    <row r="519" spans="1:18">
      <c r="A519" s="2" t="s">
        <v>1384</v>
      </c>
      <c r="B519" s="2" t="s">
        <v>1385</v>
      </c>
      <c r="C519" s="2"/>
      <c r="D519" s="2">
        <v>0</v>
      </c>
      <c r="E519" s="2">
        <v>1000000</v>
      </c>
      <c r="F519" s="3">
        <f>IF(COUNT(D519,E519)=2,D519*E519,NA())</f>
        <v>0.0</v>
      </c>
      <c r="G519" s="2" t="s">
        <v>59</v>
      </c>
      <c r="H519" s="2" t="s">
        <v>60</v>
      </c>
      <c r="I519" s="2" t="s">
        <v>61</v>
      </c>
      <c r="J519" s="2" t="s">
        <v>1113</v>
      </c>
      <c r="K519" s="2" t="s">
        <v>816</v>
      </c>
      <c r="L519" s="2" t="s">
        <v>1172</v>
      </c>
      <c r="M519" s="2" t="s">
        <v>897</v>
      </c>
      <c r="N519" s="2" t="s">
        <v>897</v>
      </c>
      <c r="O519" s="2" t="s">
        <v>1166</v>
      </c>
      <c r="P519" s="2" t="s">
        <v>1334</v>
      </c>
      <c r="Q519" s="2" t="s">
        <v>1384</v>
      </c>
      <c r="R519" s="2"/>
    </row>
    <row r="520" spans="1:18">
      <c r="A520" s="2" t="s">
        <v>1386</v>
      </c>
      <c r="B520" s="2" t="s">
        <v>1387</v>
      </c>
      <c r="C520" s="2"/>
      <c r="D520" s="2">
        <v>0</v>
      </c>
      <c r="E520" s="2">
        <v>1000000</v>
      </c>
      <c r="F520" s="3">
        <f>IF(COUNT(D520,E520)=2,D520*E520,NA())</f>
        <v>0.0</v>
      </c>
      <c r="G520" s="2" t="s">
        <v>59</v>
      </c>
      <c r="H520" s="2" t="s">
        <v>60</v>
      </c>
      <c r="I520" s="2" t="s">
        <v>61</v>
      </c>
      <c r="J520" s="2" t="s">
        <v>1113</v>
      </c>
      <c r="K520" s="2" t="s">
        <v>816</v>
      </c>
      <c r="L520" s="2" t="s">
        <v>1172</v>
      </c>
      <c r="M520" s="2" t="s">
        <v>897</v>
      </c>
      <c r="N520" s="2" t="s">
        <v>897</v>
      </c>
      <c r="O520" s="2" t="s">
        <v>1166</v>
      </c>
      <c r="P520" s="2" t="s">
        <v>1334</v>
      </c>
      <c r="Q520" s="2" t="s">
        <v>1386</v>
      </c>
      <c r="R520" s="2"/>
    </row>
    <row r="521" spans="1:18">
      <c r="A521" s="2" t="s">
        <v>1388</v>
      </c>
      <c r="B521" s="2" t="s">
        <v>1389</v>
      </c>
      <c r="C521" s="2"/>
      <c r="D521" s="2">
        <v>0</v>
      </c>
      <c r="E521" s="2">
        <v>1000000</v>
      </c>
      <c r="F521" s="3">
        <f>IF(COUNT(D521,E521)=2,D521*E521,NA())</f>
        <v>0.0</v>
      </c>
      <c r="G521" s="2" t="s">
        <v>59</v>
      </c>
      <c r="H521" s="2" t="s">
        <v>60</v>
      </c>
      <c r="I521" s="2" t="s">
        <v>61</v>
      </c>
      <c r="J521" s="2" t="s">
        <v>1113</v>
      </c>
      <c r="K521" s="2" t="s">
        <v>816</v>
      </c>
      <c r="L521" s="2" t="s">
        <v>1172</v>
      </c>
      <c r="M521" s="2" t="s">
        <v>897</v>
      </c>
      <c r="N521" s="2" t="s">
        <v>897</v>
      </c>
      <c r="O521" s="2" t="s">
        <v>1166</v>
      </c>
      <c r="P521" s="2" t="s">
        <v>1334</v>
      </c>
      <c r="Q521" s="2" t="s">
        <v>1388</v>
      </c>
      <c r="R521" s="2"/>
    </row>
    <row r="522" spans="1:18">
      <c r="A522" s="2" t="s">
        <v>1390</v>
      </c>
      <c r="B522" s="2" t="s">
        <v>1391</v>
      </c>
      <c r="C522" s="2"/>
      <c r="D522" s="2">
        <v>2250</v>
      </c>
      <c r="E522" s="2">
        <v>1000000</v>
      </c>
      <c r="F522" s="3">
        <f>IF(COUNT(D522,E522)=2,D522*E522,NA())</f>
        <v>2250000000.0</v>
      </c>
      <c r="G522" s="2" t="s">
        <v>59</v>
      </c>
      <c r="H522" s="2" t="s">
        <v>60</v>
      </c>
      <c r="I522" s="2" t="s">
        <v>61</v>
      </c>
      <c r="J522" s="2" t="s">
        <v>1113</v>
      </c>
      <c r="K522" s="2" t="s">
        <v>1286</v>
      </c>
      <c r="L522" s="2" t="s">
        <v>1287</v>
      </c>
      <c r="M522" s="2" t="s">
        <v>897</v>
      </c>
      <c r="N522" s="2" t="s">
        <v>897</v>
      </c>
      <c r="O522" s="2" t="s">
        <v>1166</v>
      </c>
      <c r="P522" s="2" t="s">
        <v>1329</v>
      </c>
      <c r="Q522" s="2" t="s">
        <v>1390</v>
      </c>
      <c r="R522" s="2"/>
    </row>
    <row r="523" spans="1:18">
      <c r="A523" s="2" t="s">
        <v>1392</v>
      </c>
      <c r="B523" s="2" t="s">
        <v>1393</v>
      </c>
      <c r="C523" s="2"/>
      <c r="D523" s="2">
        <v>3350</v>
      </c>
      <c r="E523" s="2">
        <v>1000000</v>
      </c>
      <c r="F523" s="3">
        <f>IF(COUNT(D523,E523)=2,D523*E523,NA())</f>
        <v>3350000000.0</v>
      </c>
      <c r="G523" s="2" t="s">
        <v>59</v>
      </c>
      <c r="H523" s="2" t="s">
        <v>60</v>
      </c>
      <c r="I523" s="2" t="s">
        <v>61</v>
      </c>
      <c r="J523" s="2" t="s">
        <v>1113</v>
      </c>
      <c r="K523" s="2" t="s">
        <v>1299</v>
      </c>
      <c r="L523" s="2" t="s">
        <v>1300</v>
      </c>
      <c r="M523" s="2" t="s">
        <v>897</v>
      </c>
      <c r="N523" s="2" t="s">
        <v>897</v>
      </c>
      <c r="O523" s="2" t="s">
        <v>1166</v>
      </c>
      <c r="P523" s="2" t="s">
        <v>1329</v>
      </c>
      <c r="Q523" s="2" t="s">
        <v>1392</v>
      </c>
      <c r="R523" s="2"/>
    </row>
    <row r="524" spans="1:18">
      <c r="A524" s="2" t="s">
        <v>1394</v>
      </c>
      <c r="B524" s="2" t="s">
        <v>1395</v>
      </c>
      <c r="C524" s="2"/>
      <c r="D524" s="2">
        <v>110</v>
      </c>
      <c r="E524" s="2">
        <v>1000000</v>
      </c>
      <c r="F524" s="3">
        <f>IF(COUNT(D524,E524)=2,D524*E524,NA())</f>
        <v>110000000.0</v>
      </c>
      <c r="G524" s="2" t="s">
        <v>59</v>
      </c>
      <c r="H524" s="2" t="s">
        <v>60</v>
      </c>
      <c r="I524" s="2" t="s">
        <v>61</v>
      </c>
      <c r="J524" s="2" t="s">
        <v>1113</v>
      </c>
      <c r="K524" s="2" t="s">
        <v>1286</v>
      </c>
      <c r="L524" s="2" t="s">
        <v>1287</v>
      </c>
      <c r="M524" s="2" t="s">
        <v>897</v>
      </c>
      <c r="N524" s="2" t="s">
        <v>897</v>
      </c>
      <c r="O524" s="2" t="s">
        <v>1166</v>
      </c>
      <c r="P524" s="2" t="s">
        <v>1329</v>
      </c>
      <c r="Q524" s="2" t="s">
        <v>1394</v>
      </c>
      <c r="R524" s="2"/>
    </row>
    <row r="525" spans="1:18">
      <c r="A525" s="2" t="s">
        <v>1396</v>
      </c>
      <c r="B525" s="2" t="s">
        <v>1397</v>
      </c>
      <c r="C525" s="2"/>
      <c r="D525" s="2">
        <v>220</v>
      </c>
      <c r="E525" s="2">
        <v>1000000</v>
      </c>
      <c r="F525" s="3">
        <f>IF(COUNT(D525,E525)=2,D525*E525,NA())</f>
        <v>220000000.0</v>
      </c>
      <c r="G525" s="2" t="s">
        <v>59</v>
      </c>
      <c r="H525" s="2" t="s">
        <v>60</v>
      </c>
      <c r="I525" s="2" t="s">
        <v>61</v>
      </c>
      <c r="J525" s="2" t="s">
        <v>1113</v>
      </c>
      <c r="K525" s="2" t="s">
        <v>1299</v>
      </c>
      <c r="L525" s="2" t="s">
        <v>1300</v>
      </c>
      <c r="M525" s="2" t="s">
        <v>897</v>
      </c>
      <c r="N525" s="2" t="s">
        <v>897</v>
      </c>
      <c r="O525" s="2" t="s">
        <v>1166</v>
      </c>
      <c r="P525" s="2" t="s">
        <v>1329</v>
      </c>
      <c r="Q525" s="2" t="s">
        <v>1396</v>
      </c>
      <c r="R525" s="2"/>
    </row>
    <row r="526" spans="1:18">
      <c r="A526" s="2" t="s">
        <v>1398</v>
      </c>
      <c r="B526" s="2" t="s">
        <v>1399</v>
      </c>
      <c r="C526" s="2"/>
      <c r="D526" s="2">
        <v>1187.5</v>
      </c>
      <c r="E526" s="2">
        <v>1000000</v>
      </c>
      <c r="F526" s="3">
        <f>IF(COUNT(D526,E526)=2,D526*E526,NA())</f>
        <v>1187500000.0</v>
      </c>
      <c r="G526" s="2" t="s">
        <v>59</v>
      </c>
      <c r="H526" s="2" t="s">
        <v>60</v>
      </c>
      <c r="I526" s="2" t="s">
        <v>61</v>
      </c>
      <c r="J526" s="2" t="s">
        <v>1113</v>
      </c>
      <c r="K526" s="2" t="s">
        <v>1286</v>
      </c>
      <c r="L526" s="2" t="s">
        <v>1287</v>
      </c>
      <c r="M526" s="2" t="s">
        <v>897</v>
      </c>
      <c r="N526" s="2" t="s">
        <v>897</v>
      </c>
      <c r="O526" s="2" t="s">
        <v>1166</v>
      </c>
      <c r="P526" s="2" t="s">
        <v>1400</v>
      </c>
      <c r="Q526" s="2" t="s">
        <v>1398</v>
      </c>
      <c r="R526" s="2" t="s">
        <v>1401</v>
      </c>
    </row>
    <row r="527" spans="1:18">
      <c r="A527" s="2" t="s">
        <v>1402</v>
      </c>
      <c r="B527" s="2" t="s">
        <v>1403</v>
      </c>
      <c r="C527" s="2"/>
      <c r="D527" s="2">
        <v>2212.5</v>
      </c>
      <c r="E527" s="2">
        <v>1000000</v>
      </c>
      <c r="F527" s="3">
        <f>IF(COUNT(D527,E527)=2,D527*E527,NA())</f>
        <v>2212500000.0</v>
      </c>
      <c r="G527" s="2" t="s">
        <v>59</v>
      </c>
      <c r="H527" s="2" t="s">
        <v>60</v>
      </c>
      <c r="I527" s="2" t="s">
        <v>61</v>
      </c>
      <c r="J527" s="2" t="s">
        <v>1113</v>
      </c>
      <c r="K527" s="2" t="s">
        <v>1299</v>
      </c>
      <c r="L527" s="2" t="s">
        <v>1300</v>
      </c>
      <c r="M527" s="2" t="s">
        <v>897</v>
      </c>
      <c r="N527" s="2" t="s">
        <v>897</v>
      </c>
      <c r="O527" s="2" t="s">
        <v>1166</v>
      </c>
      <c r="P527" s="2" t="s">
        <v>1400</v>
      </c>
      <c r="Q527" s="2" t="s">
        <v>1402</v>
      </c>
      <c r="R527" s="2" t="s">
        <v>1401</v>
      </c>
    </row>
    <row r="528" spans="1:18">
      <c r="A528" s="2" t="s">
        <v>1404</v>
      </c>
      <c r="B528" s="2" t="s">
        <v>1405</v>
      </c>
      <c r="C528" s="2"/>
      <c r="D528" s="2">
        <v>0.025</v>
      </c>
      <c r="E528" s="2">
        <v>1</v>
      </c>
      <c r="F528" s="3">
        <f>IF(COUNT(D528,E528)=2,D528*E528,NA())</f>
        <v>0.025</v>
      </c>
      <c r="G528" s="2" t="s">
        <v>768</v>
      </c>
      <c r="H528" s="2"/>
      <c r="I528" s="2" t="s">
        <v>61</v>
      </c>
      <c r="J528" s="2" t="s">
        <v>1113</v>
      </c>
      <c r="K528" s="2" t="s">
        <v>816</v>
      </c>
      <c r="L528" s="2" t="s">
        <v>1172</v>
      </c>
      <c r="M528" s="2" t="s">
        <v>897</v>
      </c>
      <c r="N528" s="2" t="s">
        <v>897</v>
      </c>
      <c r="O528" s="2" t="s">
        <v>1166</v>
      </c>
      <c r="P528" s="2" t="s">
        <v>1406</v>
      </c>
      <c r="Q528" s="2" t="s">
        <v>1404</v>
      </c>
      <c r="R528" s="2"/>
    </row>
    <row r="529" spans="1:18">
      <c r="A529" s="2" t="s">
        <v>1407</v>
      </c>
      <c r="B529" s="2" t="s">
        <v>1408</v>
      </c>
      <c r="C529" s="2"/>
      <c r="D529" s="2">
        <v>0.03</v>
      </c>
      <c r="E529" s="2">
        <v>1</v>
      </c>
      <c r="F529" s="3">
        <f>IF(COUNT(D529,E529)=2,D529*E529,NA())</f>
        <v>0.03</v>
      </c>
      <c r="G529" s="2" t="s">
        <v>768</v>
      </c>
      <c r="H529" s="2"/>
      <c r="I529" s="2" t="s">
        <v>61</v>
      </c>
      <c r="J529" s="2" t="s">
        <v>1113</v>
      </c>
      <c r="K529" s="2" t="s">
        <v>816</v>
      </c>
      <c r="L529" s="2" t="s">
        <v>1172</v>
      </c>
      <c r="M529" s="2" t="s">
        <v>897</v>
      </c>
      <c r="N529" s="2" t="s">
        <v>897</v>
      </c>
      <c r="O529" s="2" t="s">
        <v>1166</v>
      </c>
      <c r="P529" s="2" t="s">
        <v>1406</v>
      </c>
      <c r="Q529" s="2" t="s">
        <v>1407</v>
      </c>
      <c r="R529" s="2"/>
    </row>
    <row r="530" spans="1:18">
      <c r="A530" s="2" t="s">
        <v>1409</v>
      </c>
      <c r="B530" s="2" t="s">
        <v>1410</v>
      </c>
      <c r="C530" s="2"/>
      <c r="D530" s="2">
        <v>0.055</v>
      </c>
      <c r="E530" s="2">
        <v>1</v>
      </c>
      <c r="F530" s="3">
        <f>IF(COUNT(D530,E530)=2,D530*E530,NA())</f>
        <v>0.055</v>
      </c>
      <c r="G530" s="2" t="s">
        <v>768</v>
      </c>
      <c r="H530" s="2"/>
      <c r="I530" s="2" t="s">
        <v>61</v>
      </c>
      <c r="J530" s="2" t="s">
        <v>1113</v>
      </c>
      <c r="K530" s="2" t="s">
        <v>816</v>
      </c>
      <c r="L530" s="2" t="s">
        <v>1172</v>
      </c>
      <c r="M530" s="2" t="s">
        <v>897</v>
      </c>
      <c r="N530" s="2" t="s">
        <v>897</v>
      </c>
      <c r="O530" s="2" t="s">
        <v>1166</v>
      </c>
      <c r="P530" s="2" t="s">
        <v>1406</v>
      </c>
      <c r="Q530" s="2" t="s">
        <v>1409</v>
      </c>
      <c r="R530" s="2"/>
    </row>
    <row r="531" spans="1:18">
      <c r="A531" s="2" t="s">
        <v>1411</v>
      </c>
      <c r="B531" s="2" t="s">
        <v>1412</v>
      </c>
      <c r="C531" s="2"/>
      <c r="D531" s="2">
        <v>0.1</v>
      </c>
      <c r="E531" s="2">
        <v>1</v>
      </c>
      <c r="F531" s="3">
        <f>IF(COUNT(D531,E531)=2,D531*E531,NA())</f>
        <v>0.1</v>
      </c>
      <c r="G531" s="2" t="s">
        <v>768</v>
      </c>
      <c r="H531" s="2"/>
      <c r="I531" s="2" t="s">
        <v>61</v>
      </c>
      <c r="J531" s="2" t="s">
        <v>1113</v>
      </c>
      <c r="K531" s="2" t="s">
        <v>1299</v>
      </c>
      <c r="L531" s="2" t="s">
        <v>1300</v>
      </c>
      <c r="M531" s="2" t="s">
        <v>897</v>
      </c>
      <c r="N531" s="2" t="s">
        <v>897</v>
      </c>
      <c r="O531" s="2" t="s">
        <v>1166</v>
      </c>
      <c r="P531" s="2" t="s">
        <v>1406</v>
      </c>
      <c r="Q531" s="2" t="s">
        <v>1411</v>
      </c>
      <c r="R531" s="2"/>
    </row>
    <row r="532" spans="1:18">
      <c r="A532" s="2" t="s">
        <v>1413</v>
      </c>
      <c r="B532" s="2" t="s">
        <v>1414</v>
      </c>
      <c r="C532" s="2"/>
      <c r="D532" s="2">
        <v>0.5</v>
      </c>
      <c r="E532" s="2">
        <v>1</v>
      </c>
      <c r="F532" s="3">
        <f>IF(COUNT(D532,E532)=2,D532*E532,NA())</f>
        <v>0.5</v>
      </c>
      <c r="G532" s="2" t="s">
        <v>768</v>
      </c>
      <c r="H532" s="2"/>
      <c r="I532" s="2" t="s">
        <v>61</v>
      </c>
      <c r="J532" s="2" t="s">
        <v>1113</v>
      </c>
      <c r="K532" s="2" t="s">
        <v>1299</v>
      </c>
      <c r="L532" s="2" t="s">
        <v>1300</v>
      </c>
      <c r="M532" s="2" t="s">
        <v>897</v>
      </c>
      <c r="N532" s="2" t="s">
        <v>897</v>
      </c>
      <c r="O532" s="2" t="s">
        <v>1166</v>
      </c>
      <c r="P532" s="2" t="s">
        <v>1406</v>
      </c>
      <c r="Q532" s="2" t="s">
        <v>1413</v>
      </c>
      <c r="R532" s="2"/>
    </row>
    <row r="533" spans="1:18">
      <c r="A533" s="2" t="s">
        <v>1415</v>
      </c>
      <c r="B533" s="2" t="s">
        <v>1416</v>
      </c>
      <c r="C533" s="2"/>
      <c r="D533" s="2">
        <v>0.02</v>
      </c>
      <c r="E533" s="2">
        <v>1</v>
      </c>
      <c r="F533" s="3">
        <f>IF(COUNT(D533,E533)=2,D533*E533,NA())</f>
        <v>0.02</v>
      </c>
      <c r="G533" s="2" t="s">
        <v>768</v>
      </c>
      <c r="H533" s="2"/>
      <c r="I533" s="2" t="s">
        <v>61</v>
      </c>
      <c r="J533" s="2" t="s">
        <v>1113</v>
      </c>
      <c r="K533" s="2" t="s">
        <v>1286</v>
      </c>
      <c r="L533" s="2" t="s">
        <v>1287</v>
      </c>
      <c r="M533" s="2" t="s">
        <v>897</v>
      </c>
      <c r="N533" s="2" t="s">
        <v>897</v>
      </c>
      <c r="O533" s="2" t="s">
        <v>1166</v>
      </c>
      <c r="P533" s="2" t="s">
        <v>1406</v>
      </c>
      <c r="Q533" s="2" t="s">
        <v>1415</v>
      </c>
      <c r="R533" s="2"/>
    </row>
    <row r="534" spans="1:18">
      <c r="A534" s="2" t="s">
        <v>1417</v>
      </c>
      <c r="B534" s="2" t="s">
        <v>1418</v>
      </c>
      <c r="C534" s="2"/>
      <c r="D534" s="2">
        <v>0.02</v>
      </c>
      <c r="E534" s="2">
        <v>1</v>
      </c>
      <c r="F534" s="3">
        <f>IF(COUNT(D534,E534)=2,D534*E534,NA())</f>
        <v>0.02</v>
      </c>
      <c r="G534" s="2" t="s">
        <v>768</v>
      </c>
      <c r="H534" s="2"/>
      <c r="I534" s="2" t="s">
        <v>61</v>
      </c>
      <c r="J534" s="2" t="s">
        <v>1113</v>
      </c>
      <c r="K534" s="2" t="s">
        <v>1299</v>
      </c>
      <c r="L534" s="2" t="s">
        <v>1300</v>
      </c>
      <c r="M534" s="2" t="s">
        <v>897</v>
      </c>
      <c r="N534" s="2" t="s">
        <v>897</v>
      </c>
      <c r="O534" s="2" t="s">
        <v>1166</v>
      </c>
      <c r="P534" s="2" t="s">
        <v>1406</v>
      </c>
      <c r="Q534" s="2" t="s">
        <v>1417</v>
      </c>
      <c r="R534" s="2"/>
    </row>
    <row r="535" spans="1:18">
      <c r="A535" s="2" t="s">
        <v>1419</v>
      </c>
      <c r="B535" s="2" t="s">
        <v>1420</v>
      </c>
      <c r="C535" s="2"/>
      <c r="D535" s="2">
        <v>0.04</v>
      </c>
      <c r="E535" s="2">
        <v>1</v>
      </c>
      <c r="F535" s="3">
        <f>IF(COUNT(D535,E535)=2,D535*E535,NA())</f>
        <v>0.04</v>
      </c>
      <c r="G535" s="2" t="s">
        <v>768</v>
      </c>
      <c r="H535" s="2"/>
      <c r="I535" s="2" t="s">
        <v>61</v>
      </c>
      <c r="J535" s="2" t="s">
        <v>1113</v>
      </c>
      <c r="K535" s="2" t="s">
        <v>1286</v>
      </c>
      <c r="L535" s="2" t="s">
        <v>1287</v>
      </c>
      <c r="M535" s="2" t="s">
        <v>897</v>
      </c>
      <c r="N535" s="2" t="s">
        <v>897</v>
      </c>
      <c r="O535" s="2" t="s">
        <v>1166</v>
      </c>
      <c r="P535" s="2" t="s">
        <v>1406</v>
      </c>
      <c r="Q535" s="2" t="s">
        <v>1419</v>
      </c>
      <c r="R535" s="2"/>
    </row>
    <row r="536" spans="1:18">
      <c r="A536" s="2" t="s">
        <v>1421</v>
      </c>
      <c r="B536" s="2" t="s">
        <v>1422</v>
      </c>
      <c r="C536" s="2"/>
      <c r="D536" s="2">
        <v>0.042</v>
      </c>
      <c r="E536" s="2">
        <v>1</v>
      </c>
      <c r="F536" s="3">
        <f>IF(COUNT(D536,E536)=2,D536*E536,NA())</f>
        <v>0.042</v>
      </c>
      <c r="G536" s="2" t="s">
        <v>768</v>
      </c>
      <c r="H536" s="2"/>
      <c r="I536" s="2" t="s">
        <v>61</v>
      </c>
      <c r="J536" s="2" t="s">
        <v>1113</v>
      </c>
      <c r="K536" s="2" t="s">
        <v>1299</v>
      </c>
      <c r="L536" s="2" t="s">
        <v>1300</v>
      </c>
      <c r="M536" s="2" t="s">
        <v>897</v>
      </c>
      <c r="N536" s="2" t="s">
        <v>897</v>
      </c>
      <c r="O536" s="2" t="s">
        <v>1166</v>
      </c>
      <c r="P536" s="2" t="s">
        <v>1406</v>
      </c>
      <c r="Q536" s="2" t="s">
        <v>1421</v>
      </c>
      <c r="R536" s="2"/>
    </row>
    <row r="537" spans="1:18">
      <c r="A537" s="2" t="s">
        <v>1423</v>
      </c>
      <c r="B537" s="2" t="s">
        <v>1424</v>
      </c>
      <c r="C537" s="2"/>
      <c r="D537" s="2">
        <v>0</v>
      </c>
      <c r="E537" s="2">
        <v>1</v>
      </c>
      <c r="F537" s="3">
        <f>IF(COUNT(D537,E537)=2,D537*E537,NA())</f>
        <v>0.0</v>
      </c>
      <c r="G537" s="2" t="s">
        <v>768</v>
      </c>
      <c r="H537" s="2"/>
      <c r="I537" s="2" t="s">
        <v>61</v>
      </c>
      <c r="J537" s="2" t="s">
        <v>1113</v>
      </c>
      <c r="K537" s="2" t="s">
        <v>816</v>
      </c>
      <c r="L537" s="2" t="s">
        <v>1172</v>
      </c>
      <c r="M537" s="2" t="s">
        <v>897</v>
      </c>
      <c r="N537" s="2" t="s">
        <v>897</v>
      </c>
      <c r="O537" s="2" t="s">
        <v>1166</v>
      </c>
      <c r="P537" s="2" t="s">
        <v>1406</v>
      </c>
      <c r="Q537" s="2" t="s">
        <v>1423</v>
      </c>
      <c r="R537" s="2"/>
    </row>
    <row r="538" spans="1:18">
      <c r="A538" s="2" t="s">
        <v>1425</v>
      </c>
      <c r="B538" s="2" t="s">
        <v>1426</v>
      </c>
      <c r="C538" s="2"/>
      <c r="D538" s="2">
        <v>0.6666666666666666</v>
      </c>
      <c r="E538" s="2">
        <v>1</v>
      </c>
      <c r="F538" s="3">
        <f>IF(COUNT(D538,E538)=2,D538*E538,NA())</f>
        <v>0.6666666666666666</v>
      </c>
      <c r="G538" s="2" t="s">
        <v>768</v>
      </c>
      <c r="H538" s="2"/>
      <c r="I538" s="2" t="s">
        <v>61</v>
      </c>
      <c r="J538" s="2" t="s">
        <v>1113</v>
      </c>
      <c r="K538" s="2" t="s">
        <v>1322</v>
      </c>
      <c r="L538" s="2" t="s">
        <v>1172</v>
      </c>
      <c r="M538" s="2" t="s">
        <v>897</v>
      </c>
      <c r="N538" s="2" t="s">
        <v>897</v>
      </c>
      <c r="O538" s="2" t="s">
        <v>1166</v>
      </c>
      <c r="P538" s="2" t="s">
        <v>1427</v>
      </c>
      <c r="Q538" s="2" t="s">
        <v>1425</v>
      </c>
      <c r="R538" s="2"/>
    </row>
    <row r="539" spans="1:18">
      <c r="A539" s="2" t="s">
        <v>1428</v>
      </c>
      <c r="B539" s="2" t="s">
        <v>1429</v>
      </c>
      <c r="C539" s="2"/>
      <c r="D539" s="2">
        <v>0.5</v>
      </c>
      <c r="E539" s="2">
        <v>1</v>
      </c>
      <c r="F539" s="3">
        <f>IF(COUNT(D539,E539)=2,D539*E539,NA())</f>
        <v>0.5</v>
      </c>
      <c r="G539" s="2" t="s">
        <v>768</v>
      </c>
      <c r="H539" s="2"/>
      <c r="I539" s="2" t="s">
        <v>61</v>
      </c>
      <c r="J539" s="2" t="s">
        <v>1113</v>
      </c>
      <c r="K539" s="2" t="s">
        <v>1286</v>
      </c>
      <c r="L539" s="2" t="s">
        <v>1326</v>
      </c>
      <c r="M539" s="2" t="s">
        <v>897</v>
      </c>
      <c r="N539" s="2" t="s">
        <v>897</v>
      </c>
      <c r="O539" s="2" t="s">
        <v>1166</v>
      </c>
      <c r="P539" s="2" t="s">
        <v>1430</v>
      </c>
      <c r="Q539" s="2" t="s">
        <v>1428</v>
      </c>
      <c r="R539" s="2"/>
    </row>
    <row r="540" spans="1:18">
      <c r="A540" s="2" t="s">
        <v>1431</v>
      </c>
      <c r="B540" s="2" t="s">
        <v>1432</v>
      </c>
      <c r="C540" s="2"/>
      <c r="D540" s="2">
        <v>1.0625</v>
      </c>
      <c r="E540" s="2">
        <v>1</v>
      </c>
      <c r="F540" s="3">
        <f>IF(COUNT(D540,E540)=2,D540*E540,NA())</f>
        <v>1.0625</v>
      </c>
      <c r="G540" s="2" t="s">
        <v>59</v>
      </c>
      <c r="H540" s="2" t="s">
        <v>60</v>
      </c>
      <c r="I540" s="2" t="s">
        <v>61</v>
      </c>
      <c r="J540" s="2" t="s">
        <v>1113</v>
      </c>
      <c r="K540" s="2" t="s">
        <v>816</v>
      </c>
      <c r="L540" s="2" t="s">
        <v>1172</v>
      </c>
      <c r="M540" s="2" t="s">
        <v>897</v>
      </c>
      <c r="N540" s="2" t="s">
        <v>897</v>
      </c>
      <c r="O540" s="2" t="s">
        <v>1166</v>
      </c>
      <c r="P540" s="2" t="s">
        <v>1433</v>
      </c>
      <c r="Q540" s="2" t="s">
        <v>1431</v>
      </c>
      <c r="R540" s="2" t="s">
        <v>1434</v>
      </c>
    </row>
    <row r="541" spans="1:18">
      <c r="A541" s="2" t="s">
        <v>1435</v>
      </c>
      <c r="B541" s="2" t="s">
        <v>1436</v>
      </c>
      <c r="C541" s="2"/>
      <c r="D541" s="2">
        <v>30</v>
      </c>
      <c r="E541" s="2">
        <v>1000000</v>
      </c>
      <c r="F541" s="3">
        <f>IF(COUNT(D541,E541)=2,D541*E541,NA())</f>
        <v>30000000.0</v>
      </c>
      <c r="G541" s="2" t="s">
        <v>59</v>
      </c>
      <c r="H541" s="2" t="s">
        <v>60</v>
      </c>
      <c r="I541" s="2" t="s">
        <v>61</v>
      </c>
      <c r="J541" s="2" t="s">
        <v>1113</v>
      </c>
      <c r="K541" s="2" t="s">
        <v>1286</v>
      </c>
      <c r="L541" s="2" t="s">
        <v>1287</v>
      </c>
      <c r="M541" s="2" t="s">
        <v>897</v>
      </c>
      <c r="N541" s="2" t="s">
        <v>897</v>
      </c>
      <c r="O541" s="2" t="s">
        <v>1166</v>
      </c>
      <c r="P541" s="2" t="s">
        <v>1437</v>
      </c>
      <c r="Q541" s="2" t="s">
        <v>1435</v>
      </c>
      <c r="R541" s="2"/>
    </row>
    <row r="542" spans="1:18">
      <c r="A542" s="2" t="s">
        <v>1438</v>
      </c>
      <c r="B542" s="2" t="s">
        <v>1439</v>
      </c>
      <c r="C542" s="2"/>
      <c r="D542" s="2">
        <v>10</v>
      </c>
      <c r="E542" s="2">
        <v>1000000</v>
      </c>
      <c r="F542" s="3">
        <f>IF(COUNT(D542,E542)=2,D542*E542,NA())</f>
        <v>10000000.0</v>
      </c>
      <c r="G542" s="2" t="s">
        <v>59</v>
      </c>
      <c r="H542" s="2" t="s">
        <v>60</v>
      </c>
      <c r="I542" s="2" t="s">
        <v>61</v>
      </c>
      <c r="J542" s="2" t="s">
        <v>1113</v>
      </c>
      <c r="K542" s="2" t="s">
        <v>1286</v>
      </c>
      <c r="L542" s="2" t="s">
        <v>1287</v>
      </c>
      <c r="M542" s="2" t="s">
        <v>897</v>
      </c>
      <c r="N542" s="2" t="s">
        <v>897</v>
      </c>
      <c r="O542" s="2" t="s">
        <v>1166</v>
      </c>
      <c r="P542" s="2" t="s">
        <v>1437</v>
      </c>
      <c r="Q542" s="2" t="s">
        <v>1438</v>
      </c>
      <c r="R542" s="2"/>
    </row>
    <row r="543" spans="1:18">
      <c r="A543" s="2" t="s">
        <v>1440</v>
      </c>
      <c r="B543" s="2" t="s">
        <v>1441</v>
      </c>
      <c r="C543" s="2"/>
      <c r="D543" s="2">
        <v>10</v>
      </c>
      <c r="E543" s="2">
        <v>1000000</v>
      </c>
      <c r="F543" s="3">
        <f>IF(COUNT(D543,E543)=2,D543*E543,NA())</f>
        <v>10000000.0</v>
      </c>
      <c r="G543" s="2" t="s">
        <v>59</v>
      </c>
      <c r="H543" s="2" t="s">
        <v>60</v>
      </c>
      <c r="I543" s="2" t="s">
        <v>61</v>
      </c>
      <c r="J543" s="2" t="s">
        <v>1113</v>
      </c>
      <c r="K543" s="2" t="s">
        <v>1286</v>
      </c>
      <c r="L543" s="2" t="s">
        <v>1287</v>
      </c>
      <c r="M543" s="2" t="s">
        <v>897</v>
      </c>
      <c r="N543" s="2" t="s">
        <v>897</v>
      </c>
      <c r="O543" s="2" t="s">
        <v>1166</v>
      </c>
      <c r="P543" s="2" t="s">
        <v>1437</v>
      </c>
      <c r="Q543" s="2" t="s">
        <v>1440</v>
      </c>
      <c r="R543" s="2"/>
    </row>
    <row r="544" spans="1:18">
      <c r="A544" s="2" t="s">
        <v>1442</v>
      </c>
      <c r="B544" s="2" t="s">
        <v>1443</v>
      </c>
      <c r="C544" s="2"/>
      <c r="D544" s="2">
        <v>0</v>
      </c>
      <c r="E544" s="2">
        <v>1000000</v>
      </c>
      <c r="F544" s="3">
        <f>IF(COUNT(D544,E544)=2,D544*E544,NA())</f>
        <v>0.0</v>
      </c>
      <c r="G544" s="2" t="s">
        <v>59</v>
      </c>
      <c r="H544" s="2" t="s">
        <v>60</v>
      </c>
      <c r="I544" s="2" t="s">
        <v>61</v>
      </c>
      <c r="J544" s="2" t="s">
        <v>1113</v>
      </c>
      <c r="K544" s="2" t="s">
        <v>1286</v>
      </c>
      <c r="L544" s="2" t="s">
        <v>1287</v>
      </c>
      <c r="M544" s="2" t="s">
        <v>897</v>
      </c>
      <c r="N544" s="2" t="s">
        <v>897</v>
      </c>
      <c r="O544" s="2" t="s">
        <v>1166</v>
      </c>
      <c r="P544" s="2" t="s">
        <v>1437</v>
      </c>
      <c r="Q544" s="2" t="s">
        <v>1442</v>
      </c>
      <c r="R544" s="2"/>
    </row>
    <row r="545" spans="1:18">
      <c r="A545" s="2" t="s">
        <v>1444</v>
      </c>
      <c r="B545" s="2" t="s">
        <v>1445</v>
      </c>
      <c r="C545" s="2"/>
      <c r="D545" s="2">
        <v>15</v>
      </c>
      <c r="E545" s="2">
        <v>1000000</v>
      </c>
      <c r="F545" s="3">
        <f>IF(COUNT(D545,E545)=2,D545*E545,NA())</f>
        <v>15000000.0</v>
      </c>
      <c r="G545" s="2" t="s">
        <v>59</v>
      </c>
      <c r="H545" s="2" t="s">
        <v>60</v>
      </c>
      <c r="I545" s="2" t="s">
        <v>61</v>
      </c>
      <c r="J545" s="2" t="s">
        <v>1113</v>
      </c>
      <c r="K545" s="2" t="s">
        <v>1286</v>
      </c>
      <c r="L545" s="2" t="s">
        <v>1287</v>
      </c>
      <c r="M545" s="2" t="s">
        <v>897</v>
      </c>
      <c r="N545" s="2" t="s">
        <v>897</v>
      </c>
      <c r="O545" s="2" t="s">
        <v>1166</v>
      </c>
      <c r="P545" s="2" t="s">
        <v>1437</v>
      </c>
      <c r="Q545" s="2" t="s">
        <v>1444</v>
      </c>
      <c r="R545" s="2"/>
    </row>
    <row r="546" spans="1:18">
      <c r="A546" s="2" t="s">
        <v>1446</v>
      </c>
      <c r="B546" s="2" t="s">
        <v>1447</v>
      </c>
      <c r="C546" s="2"/>
      <c r="D546" s="2">
        <v>15</v>
      </c>
      <c r="E546" s="2">
        <v>1000000</v>
      </c>
      <c r="F546" s="3">
        <f>IF(COUNT(D546,E546)=2,D546*E546,NA())</f>
        <v>15000000.0</v>
      </c>
      <c r="G546" s="2" t="s">
        <v>59</v>
      </c>
      <c r="H546" s="2" t="s">
        <v>60</v>
      </c>
      <c r="I546" s="2" t="s">
        <v>61</v>
      </c>
      <c r="J546" s="2" t="s">
        <v>1113</v>
      </c>
      <c r="K546" s="2" t="s">
        <v>1286</v>
      </c>
      <c r="L546" s="2" t="s">
        <v>1287</v>
      </c>
      <c r="M546" s="2" t="s">
        <v>897</v>
      </c>
      <c r="N546" s="2" t="s">
        <v>897</v>
      </c>
      <c r="O546" s="2" t="s">
        <v>1166</v>
      </c>
      <c r="P546" s="2" t="s">
        <v>1437</v>
      </c>
      <c r="Q546" s="2" t="s">
        <v>1446</v>
      </c>
      <c r="R546" s="2"/>
    </row>
    <row r="547" spans="1:18">
      <c r="A547" s="2" t="s">
        <v>1448</v>
      </c>
      <c r="B547" s="2" t="s">
        <v>1449</v>
      </c>
      <c r="C547" s="2"/>
      <c r="D547" s="2">
        <v>5</v>
      </c>
      <c r="E547" s="2">
        <v>1000000</v>
      </c>
      <c r="F547" s="3">
        <f>IF(COUNT(D547,E547)=2,D547*E547,NA())</f>
        <v>5000000.0</v>
      </c>
      <c r="G547" s="2" t="s">
        <v>59</v>
      </c>
      <c r="H547" s="2" t="s">
        <v>60</v>
      </c>
      <c r="I547" s="2" t="s">
        <v>61</v>
      </c>
      <c r="J547" s="2" t="s">
        <v>1113</v>
      </c>
      <c r="K547" s="2" t="s">
        <v>1286</v>
      </c>
      <c r="L547" s="2" t="s">
        <v>1287</v>
      </c>
      <c r="M547" s="2" t="s">
        <v>897</v>
      </c>
      <c r="N547" s="2" t="s">
        <v>897</v>
      </c>
      <c r="O547" s="2" t="s">
        <v>1166</v>
      </c>
      <c r="P547" s="2" t="s">
        <v>1437</v>
      </c>
      <c r="Q547" s="2" t="s">
        <v>1448</v>
      </c>
      <c r="R547" s="2"/>
    </row>
    <row r="548" spans="1:18">
      <c r="A548" s="2" t="s">
        <v>1450</v>
      </c>
      <c r="B548" s="2" t="s">
        <v>1451</v>
      </c>
      <c r="C548" s="2"/>
      <c r="D548" s="2">
        <v>650</v>
      </c>
      <c r="E548" s="2">
        <v>1000000</v>
      </c>
      <c r="F548" s="3">
        <f>IF(COUNT(D548,E548)=2,D548*E548,NA())</f>
        <v>650000000.0</v>
      </c>
      <c r="G548" s="2" t="s">
        <v>59</v>
      </c>
      <c r="H548" s="2" t="s">
        <v>60</v>
      </c>
      <c r="I548" s="2" t="s">
        <v>61</v>
      </c>
      <c r="J548" s="2" t="s">
        <v>1113</v>
      </c>
      <c r="K548" s="2" t="s">
        <v>1286</v>
      </c>
      <c r="L548" s="2" t="s">
        <v>1287</v>
      </c>
      <c r="M548" s="2" t="s">
        <v>897</v>
      </c>
      <c r="N548" s="2" t="s">
        <v>897</v>
      </c>
      <c r="O548" s="2" t="s">
        <v>1166</v>
      </c>
      <c r="P548" s="2" t="s">
        <v>1437</v>
      </c>
      <c r="Q548" s="2" t="s">
        <v>1450</v>
      </c>
      <c r="R548" s="2"/>
    </row>
    <row r="549" spans="1:18">
      <c r="A549" s="2" t="s">
        <v>1452</v>
      </c>
      <c r="B549" s="2" t="s">
        <v>1453</v>
      </c>
      <c r="C549" s="2"/>
      <c r="D549" s="2">
        <v>90</v>
      </c>
      <c r="E549" s="2">
        <v>1000000</v>
      </c>
      <c r="F549" s="3">
        <f>IF(COUNT(D549,E549)=2,D549*E549,NA())</f>
        <v>90000000.0</v>
      </c>
      <c r="G549" s="2" t="s">
        <v>59</v>
      </c>
      <c r="H549" s="2" t="s">
        <v>60</v>
      </c>
      <c r="I549" s="2" t="s">
        <v>61</v>
      </c>
      <c r="J549" s="2" t="s">
        <v>1113</v>
      </c>
      <c r="K549" s="2" t="s">
        <v>1286</v>
      </c>
      <c r="L549" s="2" t="s">
        <v>1287</v>
      </c>
      <c r="M549" s="2" t="s">
        <v>897</v>
      </c>
      <c r="N549" s="2" t="s">
        <v>897</v>
      </c>
      <c r="O549" s="2" t="s">
        <v>1166</v>
      </c>
      <c r="P549" s="2" t="s">
        <v>1437</v>
      </c>
      <c r="Q549" s="2" t="s">
        <v>1452</v>
      </c>
      <c r="R549" s="2"/>
    </row>
    <row r="550" spans="1:18">
      <c r="A550" s="2" t="s">
        <v>1454</v>
      </c>
      <c r="B550" s="2" t="s">
        <v>1455</v>
      </c>
      <c r="C550" s="2"/>
      <c r="D550" s="2">
        <v>15</v>
      </c>
      <c r="E550" s="2">
        <v>1000000</v>
      </c>
      <c r="F550" s="3">
        <f>IF(COUNT(D550,E550)=2,D550*E550,NA())</f>
        <v>15000000.0</v>
      </c>
      <c r="G550" s="2" t="s">
        <v>59</v>
      </c>
      <c r="H550" s="2" t="s">
        <v>60</v>
      </c>
      <c r="I550" s="2" t="s">
        <v>61</v>
      </c>
      <c r="J550" s="2" t="s">
        <v>1113</v>
      </c>
      <c r="K550" s="2" t="s">
        <v>1286</v>
      </c>
      <c r="L550" s="2" t="s">
        <v>1287</v>
      </c>
      <c r="M550" s="2" t="s">
        <v>897</v>
      </c>
      <c r="N550" s="2" t="s">
        <v>897</v>
      </c>
      <c r="O550" s="2" t="s">
        <v>1166</v>
      </c>
      <c r="P550" s="2" t="s">
        <v>1437</v>
      </c>
      <c r="Q550" s="2" t="s">
        <v>1454</v>
      </c>
      <c r="R550" s="2"/>
    </row>
    <row r="551" spans="1:18">
      <c r="A551" s="2" t="s">
        <v>1456</v>
      </c>
      <c r="B551" s="2" t="s">
        <v>1457</v>
      </c>
      <c r="C551" s="2"/>
      <c r="D551" s="2">
        <v>15</v>
      </c>
      <c r="E551" s="2">
        <v>1000000</v>
      </c>
      <c r="F551" s="3">
        <f>IF(COUNT(D551,E551)=2,D551*E551,NA())</f>
        <v>15000000.0</v>
      </c>
      <c r="G551" s="2" t="s">
        <v>59</v>
      </c>
      <c r="H551" s="2" t="s">
        <v>60</v>
      </c>
      <c r="I551" s="2" t="s">
        <v>61</v>
      </c>
      <c r="J551" s="2" t="s">
        <v>1113</v>
      </c>
      <c r="K551" s="2" t="s">
        <v>1286</v>
      </c>
      <c r="L551" s="2" t="s">
        <v>1287</v>
      </c>
      <c r="M551" s="2" t="s">
        <v>897</v>
      </c>
      <c r="N551" s="2" t="s">
        <v>897</v>
      </c>
      <c r="O551" s="2" t="s">
        <v>1166</v>
      </c>
      <c r="P551" s="2" t="s">
        <v>1437</v>
      </c>
      <c r="Q551" s="2" t="s">
        <v>1456</v>
      </c>
      <c r="R551" s="2"/>
    </row>
    <row r="552" spans="1:18">
      <c r="A552" s="2" t="s">
        <v>1458</v>
      </c>
      <c r="B552" s="2" t="s">
        <v>1459</v>
      </c>
      <c r="C552" s="2"/>
      <c r="D552" s="2">
        <v>100</v>
      </c>
      <c r="E552" s="2">
        <v>1000000</v>
      </c>
      <c r="F552" s="3">
        <f>IF(COUNT(D552,E552)=2,D552*E552,NA())</f>
        <v>100000000.0</v>
      </c>
      <c r="G552" s="2" t="s">
        <v>59</v>
      </c>
      <c r="H552" s="2" t="s">
        <v>60</v>
      </c>
      <c r="I552" s="2" t="s">
        <v>61</v>
      </c>
      <c r="J552" s="2" t="s">
        <v>1113</v>
      </c>
      <c r="K552" s="2" t="s">
        <v>1286</v>
      </c>
      <c r="L552" s="2" t="s">
        <v>1287</v>
      </c>
      <c r="M552" s="2" t="s">
        <v>897</v>
      </c>
      <c r="N552" s="2" t="s">
        <v>897</v>
      </c>
      <c r="O552" s="2" t="s">
        <v>1166</v>
      </c>
      <c r="P552" s="2" t="s">
        <v>1437</v>
      </c>
      <c r="Q552" s="2" t="s">
        <v>1458</v>
      </c>
      <c r="R552" s="2"/>
    </row>
    <row r="553" spans="1:18">
      <c r="A553" s="2" t="s">
        <v>1460</v>
      </c>
      <c r="B553" s="2" t="s">
        <v>1461</v>
      </c>
      <c r="C553" s="2"/>
      <c r="D553" s="2">
        <v>0</v>
      </c>
      <c r="E553" s="2">
        <v>1000000</v>
      </c>
      <c r="F553" s="3">
        <f>IF(COUNT(D553,E553)=2,D553*E553,NA())</f>
        <v>0.0</v>
      </c>
      <c r="G553" s="2" t="s">
        <v>59</v>
      </c>
      <c r="H553" s="2" t="s">
        <v>60</v>
      </c>
      <c r="I553" s="2" t="s">
        <v>61</v>
      </c>
      <c r="J553" s="2" t="s">
        <v>1113</v>
      </c>
      <c r="K553" s="2" t="s">
        <v>1286</v>
      </c>
      <c r="L553" s="2" t="s">
        <v>1287</v>
      </c>
      <c r="M553" s="2" t="s">
        <v>897</v>
      </c>
      <c r="N553" s="2" t="s">
        <v>897</v>
      </c>
      <c r="O553" s="2" t="s">
        <v>1166</v>
      </c>
      <c r="P553" s="2" t="s">
        <v>1437</v>
      </c>
      <c r="Q553" s="2" t="s">
        <v>1460</v>
      </c>
      <c r="R553" s="2"/>
    </row>
    <row r="554" spans="1:18">
      <c r="A554" s="2" t="s">
        <v>1462</v>
      </c>
      <c r="B554" s="2" t="s">
        <v>1463</v>
      </c>
      <c r="C554" s="2"/>
      <c r="D554" s="2">
        <v>10</v>
      </c>
      <c r="E554" s="2">
        <v>1000000</v>
      </c>
      <c r="F554" s="3">
        <f>IF(COUNT(D554,E554)=2,D554*E554,NA())</f>
        <v>10000000.0</v>
      </c>
      <c r="G554" s="2" t="s">
        <v>59</v>
      </c>
      <c r="H554" s="2" t="s">
        <v>60</v>
      </c>
      <c r="I554" s="2" t="s">
        <v>61</v>
      </c>
      <c r="J554" s="2" t="s">
        <v>1113</v>
      </c>
      <c r="K554" s="2" t="s">
        <v>1286</v>
      </c>
      <c r="L554" s="2" t="s">
        <v>1287</v>
      </c>
      <c r="M554" s="2" t="s">
        <v>897</v>
      </c>
      <c r="N554" s="2" t="s">
        <v>897</v>
      </c>
      <c r="O554" s="2" t="s">
        <v>1166</v>
      </c>
      <c r="P554" s="2" t="s">
        <v>1437</v>
      </c>
      <c r="Q554" s="2" t="s">
        <v>1462</v>
      </c>
      <c r="R554" s="2"/>
    </row>
    <row r="555" spans="1:18">
      <c r="A555" s="2" t="s">
        <v>1464</v>
      </c>
      <c r="B555" s="2" t="s">
        <v>1465</v>
      </c>
      <c r="C555" s="2"/>
      <c r="D555" s="2">
        <v>0</v>
      </c>
      <c r="E555" s="2">
        <v>1000000</v>
      </c>
      <c r="F555" s="3">
        <f>IF(COUNT(D555,E555)=2,D555*E555,NA())</f>
        <v>0.0</v>
      </c>
      <c r="G555" s="2" t="s">
        <v>59</v>
      </c>
      <c r="H555" s="2" t="s">
        <v>60</v>
      </c>
      <c r="I555" s="2" t="s">
        <v>61</v>
      </c>
      <c r="J555" s="2" t="s">
        <v>1113</v>
      </c>
      <c r="K555" s="2" t="s">
        <v>1286</v>
      </c>
      <c r="L555" s="2" t="s">
        <v>1287</v>
      </c>
      <c r="M555" s="2" t="s">
        <v>897</v>
      </c>
      <c r="N555" s="2" t="s">
        <v>897</v>
      </c>
      <c r="O555" s="2" t="s">
        <v>1166</v>
      </c>
      <c r="P555" s="2" t="s">
        <v>1437</v>
      </c>
      <c r="Q555" s="2" t="s">
        <v>1464</v>
      </c>
      <c r="R555" s="2"/>
    </row>
    <row r="556" spans="1:18">
      <c r="A556" s="2" t="s">
        <v>1466</v>
      </c>
      <c r="B556" s="2" t="s">
        <v>1467</v>
      </c>
      <c r="C556" s="2"/>
      <c r="D556" s="2">
        <v>0</v>
      </c>
      <c r="E556" s="2">
        <v>1000000</v>
      </c>
      <c r="F556" s="3">
        <f>IF(COUNT(D556,E556)=2,D556*E556,NA())</f>
        <v>0.0</v>
      </c>
      <c r="G556" s="2" t="s">
        <v>59</v>
      </c>
      <c r="H556" s="2" t="s">
        <v>60</v>
      </c>
      <c r="I556" s="2" t="s">
        <v>61</v>
      </c>
      <c r="J556" s="2" t="s">
        <v>1113</v>
      </c>
      <c r="K556" s="2" t="s">
        <v>1286</v>
      </c>
      <c r="L556" s="2" t="s">
        <v>1287</v>
      </c>
      <c r="M556" s="2" t="s">
        <v>897</v>
      </c>
      <c r="N556" s="2" t="s">
        <v>897</v>
      </c>
      <c r="O556" s="2" t="s">
        <v>1166</v>
      </c>
      <c r="P556" s="2" t="s">
        <v>1437</v>
      </c>
      <c r="Q556" s="2" t="s">
        <v>1466</v>
      </c>
      <c r="R556" s="2"/>
    </row>
    <row r="557" spans="1:18">
      <c r="A557" s="2" t="s">
        <v>1468</v>
      </c>
      <c r="B557" s="2" t="s">
        <v>1469</v>
      </c>
      <c r="C557" s="2"/>
      <c r="D557" s="2">
        <v>0</v>
      </c>
      <c r="E557" s="2">
        <v>1000000</v>
      </c>
      <c r="F557" s="3">
        <f>IF(COUNT(D557,E557)=2,D557*E557,NA())</f>
        <v>0.0</v>
      </c>
      <c r="G557" s="2" t="s">
        <v>59</v>
      </c>
      <c r="H557" s="2" t="s">
        <v>60</v>
      </c>
      <c r="I557" s="2" t="s">
        <v>61</v>
      </c>
      <c r="J557" s="2" t="s">
        <v>1113</v>
      </c>
      <c r="K557" s="2" t="s">
        <v>1286</v>
      </c>
      <c r="L557" s="2" t="s">
        <v>1287</v>
      </c>
      <c r="M557" s="2" t="s">
        <v>897</v>
      </c>
      <c r="N557" s="2" t="s">
        <v>897</v>
      </c>
      <c r="O557" s="2" t="s">
        <v>1166</v>
      </c>
      <c r="P557" s="2" t="s">
        <v>1437</v>
      </c>
      <c r="Q557" s="2" t="s">
        <v>1468</v>
      </c>
      <c r="R557" s="2"/>
    </row>
    <row r="558" spans="1:18">
      <c r="A558" s="2" t="s">
        <v>1470</v>
      </c>
      <c r="B558" s="2" t="s">
        <v>1471</v>
      </c>
      <c r="C558" s="2"/>
      <c r="D558" s="2">
        <v>30</v>
      </c>
      <c r="E558" s="2">
        <v>1000000</v>
      </c>
      <c r="F558" s="3">
        <f>IF(COUNT(D558,E558)=2,D558*E558,NA())</f>
        <v>30000000.0</v>
      </c>
      <c r="G558" s="2" t="s">
        <v>59</v>
      </c>
      <c r="H558" s="2" t="s">
        <v>60</v>
      </c>
      <c r="I558" s="2" t="s">
        <v>61</v>
      </c>
      <c r="J558" s="2" t="s">
        <v>1113</v>
      </c>
      <c r="K558" s="2" t="s">
        <v>1299</v>
      </c>
      <c r="L558" s="2" t="s">
        <v>1300</v>
      </c>
      <c r="M558" s="2" t="s">
        <v>897</v>
      </c>
      <c r="N558" s="2" t="s">
        <v>897</v>
      </c>
      <c r="O558" s="2" t="s">
        <v>1166</v>
      </c>
      <c r="P558" s="2" t="s">
        <v>1437</v>
      </c>
      <c r="Q558" s="2" t="s">
        <v>1470</v>
      </c>
      <c r="R558" s="2"/>
    </row>
    <row r="559" spans="1:18">
      <c r="A559" s="2" t="s">
        <v>1472</v>
      </c>
      <c r="B559" s="2" t="s">
        <v>1473</v>
      </c>
      <c r="C559" s="2"/>
      <c r="D559" s="2">
        <v>10</v>
      </c>
      <c r="E559" s="2">
        <v>1000000</v>
      </c>
      <c r="F559" s="3">
        <f>IF(COUNT(D559,E559)=2,D559*E559,NA())</f>
        <v>10000000.0</v>
      </c>
      <c r="G559" s="2" t="s">
        <v>59</v>
      </c>
      <c r="H559" s="2" t="s">
        <v>60</v>
      </c>
      <c r="I559" s="2" t="s">
        <v>61</v>
      </c>
      <c r="J559" s="2" t="s">
        <v>1113</v>
      </c>
      <c r="K559" s="2" t="s">
        <v>1299</v>
      </c>
      <c r="L559" s="2" t="s">
        <v>1300</v>
      </c>
      <c r="M559" s="2" t="s">
        <v>897</v>
      </c>
      <c r="N559" s="2" t="s">
        <v>897</v>
      </c>
      <c r="O559" s="2" t="s">
        <v>1166</v>
      </c>
      <c r="P559" s="2" t="s">
        <v>1437</v>
      </c>
      <c r="Q559" s="2" t="s">
        <v>1472</v>
      </c>
      <c r="R559" s="2"/>
    </row>
    <row r="560" spans="1:18">
      <c r="A560" s="2" t="s">
        <v>1474</v>
      </c>
      <c r="B560" s="2" t="s">
        <v>1475</v>
      </c>
      <c r="C560" s="2"/>
      <c r="D560" s="2">
        <v>10</v>
      </c>
      <c r="E560" s="2">
        <v>1000000</v>
      </c>
      <c r="F560" s="3">
        <f>IF(COUNT(D560,E560)=2,D560*E560,NA())</f>
        <v>10000000.0</v>
      </c>
      <c r="G560" s="2" t="s">
        <v>59</v>
      </c>
      <c r="H560" s="2" t="s">
        <v>60</v>
      </c>
      <c r="I560" s="2" t="s">
        <v>61</v>
      </c>
      <c r="J560" s="2" t="s">
        <v>1113</v>
      </c>
      <c r="K560" s="2" t="s">
        <v>1299</v>
      </c>
      <c r="L560" s="2" t="s">
        <v>1300</v>
      </c>
      <c r="M560" s="2" t="s">
        <v>897</v>
      </c>
      <c r="N560" s="2" t="s">
        <v>897</v>
      </c>
      <c r="O560" s="2" t="s">
        <v>1166</v>
      </c>
      <c r="P560" s="2" t="s">
        <v>1437</v>
      </c>
      <c r="Q560" s="2" t="s">
        <v>1474</v>
      </c>
      <c r="R560" s="2"/>
    </row>
    <row r="561" spans="1:18">
      <c r="A561" s="2" t="s">
        <v>1476</v>
      </c>
      <c r="B561" s="2" t="s">
        <v>1477</v>
      </c>
      <c r="C561" s="2"/>
      <c r="D561" s="2">
        <v>0</v>
      </c>
      <c r="E561" s="2">
        <v>1000000</v>
      </c>
      <c r="F561" s="3">
        <f>IF(COUNT(D561,E561)=2,D561*E561,NA())</f>
        <v>0.0</v>
      </c>
      <c r="G561" s="2" t="s">
        <v>59</v>
      </c>
      <c r="H561" s="2" t="s">
        <v>60</v>
      </c>
      <c r="I561" s="2" t="s">
        <v>61</v>
      </c>
      <c r="J561" s="2" t="s">
        <v>1113</v>
      </c>
      <c r="K561" s="2" t="s">
        <v>1299</v>
      </c>
      <c r="L561" s="2" t="s">
        <v>1300</v>
      </c>
      <c r="M561" s="2" t="s">
        <v>897</v>
      </c>
      <c r="N561" s="2" t="s">
        <v>897</v>
      </c>
      <c r="O561" s="2" t="s">
        <v>1166</v>
      </c>
      <c r="P561" s="2" t="s">
        <v>1437</v>
      </c>
      <c r="Q561" s="2" t="s">
        <v>1476</v>
      </c>
      <c r="R561" s="2"/>
    </row>
    <row r="562" spans="1:18">
      <c r="A562" s="2" t="s">
        <v>1478</v>
      </c>
      <c r="B562" s="2" t="s">
        <v>1479</v>
      </c>
      <c r="C562" s="2"/>
      <c r="D562" s="2">
        <v>15</v>
      </c>
      <c r="E562" s="2">
        <v>1000000</v>
      </c>
      <c r="F562" s="3">
        <f>IF(COUNT(D562,E562)=2,D562*E562,NA())</f>
        <v>15000000.0</v>
      </c>
      <c r="G562" s="2" t="s">
        <v>59</v>
      </c>
      <c r="H562" s="2" t="s">
        <v>60</v>
      </c>
      <c r="I562" s="2" t="s">
        <v>61</v>
      </c>
      <c r="J562" s="2" t="s">
        <v>1113</v>
      </c>
      <c r="K562" s="2" t="s">
        <v>1299</v>
      </c>
      <c r="L562" s="2" t="s">
        <v>1300</v>
      </c>
      <c r="M562" s="2" t="s">
        <v>897</v>
      </c>
      <c r="N562" s="2" t="s">
        <v>897</v>
      </c>
      <c r="O562" s="2" t="s">
        <v>1166</v>
      </c>
      <c r="P562" s="2" t="s">
        <v>1437</v>
      </c>
      <c r="Q562" s="2" t="s">
        <v>1478</v>
      </c>
      <c r="R562" s="2"/>
    </row>
    <row r="563" spans="1:18">
      <c r="A563" s="2" t="s">
        <v>1480</v>
      </c>
      <c r="B563" s="2" t="s">
        <v>1481</v>
      </c>
      <c r="C563" s="2"/>
      <c r="D563" s="2">
        <v>15</v>
      </c>
      <c r="E563" s="2">
        <v>1000000</v>
      </c>
      <c r="F563" s="3">
        <f>IF(COUNT(D563,E563)=2,D563*E563,NA())</f>
        <v>15000000.0</v>
      </c>
      <c r="G563" s="2" t="s">
        <v>59</v>
      </c>
      <c r="H563" s="2" t="s">
        <v>60</v>
      </c>
      <c r="I563" s="2" t="s">
        <v>61</v>
      </c>
      <c r="J563" s="2" t="s">
        <v>1113</v>
      </c>
      <c r="K563" s="2" t="s">
        <v>1299</v>
      </c>
      <c r="L563" s="2" t="s">
        <v>1300</v>
      </c>
      <c r="M563" s="2" t="s">
        <v>897</v>
      </c>
      <c r="N563" s="2" t="s">
        <v>897</v>
      </c>
      <c r="O563" s="2" t="s">
        <v>1166</v>
      </c>
      <c r="P563" s="2" t="s">
        <v>1437</v>
      </c>
      <c r="Q563" s="2" t="s">
        <v>1480</v>
      </c>
      <c r="R563" s="2"/>
    </row>
    <row r="564" spans="1:18">
      <c r="A564" s="2" t="s">
        <v>1482</v>
      </c>
      <c r="B564" s="2" t="s">
        <v>1483</v>
      </c>
      <c r="C564" s="2"/>
      <c r="D564" s="2">
        <v>5</v>
      </c>
      <c r="E564" s="2">
        <v>1000000</v>
      </c>
      <c r="F564" s="3">
        <f>IF(COUNT(D564,E564)=2,D564*E564,NA())</f>
        <v>5000000.0</v>
      </c>
      <c r="G564" s="2" t="s">
        <v>59</v>
      </c>
      <c r="H564" s="2" t="s">
        <v>60</v>
      </c>
      <c r="I564" s="2" t="s">
        <v>61</v>
      </c>
      <c r="J564" s="2" t="s">
        <v>1113</v>
      </c>
      <c r="K564" s="2" t="s">
        <v>1299</v>
      </c>
      <c r="L564" s="2" t="s">
        <v>1300</v>
      </c>
      <c r="M564" s="2" t="s">
        <v>897</v>
      </c>
      <c r="N564" s="2" t="s">
        <v>897</v>
      </c>
      <c r="O564" s="2" t="s">
        <v>1166</v>
      </c>
      <c r="P564" s="2" t="s">
        <v>1437</v>
      </c>
      <c r="Q564" s="2" t="s">
        <v>1482</v>
      </c>
      <c r="R564" s="2"/>
    </row>
    <row r="565" spans="1:18">
      <c r="A565" s="2" t="s">
        <v>1484</v>
      </c>
      <c r="B565" s="2" t="s">
        <v>1485</v>
      </c>
      <c r="C565" s="2"/>
      <c r="D565" s="2">
        <v>645</v>
      </c>
      <c r="E565" s="2">
        <v>1000000</v>
      </c>
      <c r="F565" s="3">
        <f>IF(COUNT(D565,E565)=2,D565*E565,NA())</f>
        <v>645000000.0</v>
      </c>
      <c r="G565" s="2" t="s">
        <v>59</v>
      </c>
      <c r="H565" s="2" t="s">
        <v>60</v>
      </c>
      <c r="I565" s="2" t="s">
        <v>61</v>
      </c>
      <c r="J565" s="2" t="s">
        <v>1113</v>
      </c>
      <c r="K565" s="2" t="s">
        <v>1299</v>
      </c>
      <c r="L565" s="2" t="s">
        <v>1300</v>
      </c>
      <c r="M565" s="2" t="s">
        <v>897</v>
      </c>
      <c r="N565" s="2" t="s">
        <v>897</v>
      </c>
      <c r="O565" s="2" t="s">
        <v>1166</v>
      </c>
      <c r="P565" s="2" t="s">
        <v>1437</v>
      </c>
      <c r="Q565" s="2" t="s">
        <v>1484</v>
      </c>
      <c r="R565" s="2"/>
    </row>
    <row r="566" spans="1:18">
      <c r="A566" s="2" t="s">
        <v>1486</v>
      </c>
      <c r="B566" s="2" t="s">
        <v>1487</v>
      </c>
      <c r="C566" s="2"/>
      <c r="D566" s="2">
        <v>90</v>
      </c>
      <c r="E566" s="2">
        <v>1000000</v>
      </c>
      <c r="F566" s="3">
        <f>IF(COUNT(D566,E566)=2,D566*E566,NA())</f>
        <v>90000000.0</v>
      </c>
      <c r="G566" s="2" t="s">
        <v>59</v>
      </c>
      <c r="H566" s="2" t="s">
        <v>60</v>
      </c>
      <c r="I566" s="2" t="s">
        <v>61</v>
      </c>
      <c r="J566" s="2" t="s">
        <v>1113</v>
      </c>
      <c r="K566" s="2" t="s">
        <v>1299</v>
      </c>
      <c r="L566" s="2" t="s">
        <v>1300</v>
      </c>
      <c r="M566" s="2" t="s">
        <v>897</v>
      </c>
      <c r="N566" s="2" t="s">
        <v>897</v>
      </c>
      <c r="O566" s="2" t="s">
        <v>1166</v>
      </c>
      <c r="P566" s="2" t="s">
        <v>1437</v>
      </c>
      <c r="Q566" s="2" t="s">
        <v>1486</v>
      </c>
      <c r="R566" s="2"/>
    </row>
    <row r="567" spans="1:18">
      <c r="A567" s="2" t="s">
        <v>1488</v>
      </c>
      <c r="B567" s="2" t="s">
        <v>1489</v>
      </c>
      <c r="C567" s="2"/>
      <c r="D567" s="2">
        <v>15</v>
      </c>
      <c r="E567" s="2">
        <v>1000000</v>
      </c>
      <c r="F567" s="3">
        <f>IF(COUNT(D567,E567)=2,D567*E567,NA())</f>
        <v>15000000.0</v>
      </c>
      <c r="G567" s="2" t="s">
        <v>59</v>
      </c>
      <c r="H567" s="2" t="s">
        <v>60</v>
      </c>
      <c r="I567" s="2" t="s">
        <v>61</v>
      </c>
      <c r="J567" s="2" t="s">
        <v>1113</v>
      </c>
      <c r="K567" s="2" t="s">
        <v>1299</v>
      </c>
      <c r="L567" s="2" t="s">
        <v>1300</v>
      </c>
      <c r="M567" s="2" t="s">
        <v>897</v>
      </c>
      <c r="N567" s="2" t="s">
        <v>897</v>
      </c>
      <c r="O567" s="2" t="s">
        <v>1166</v>
      </c>
      <c r="P567" s="2" t="s">
        <v>1437</v>
      </c>
      <c r="Q567" s="2" t="s">
        <v>1488</v>
      </c>
      <c r="R567" s="2"/>
    </row>
    <row r="568" spans="1:18">
      <c r="A568" s="2" t="s">
        <v>1490</v>
      </c>
      <c r="B568" s="2" t="s">
        <v>1491</v>
      </c>
      <c r="C568" s="2"/>
      <c r="D568" s="2">
        <v>15</v>
      </c>
      <c r="E568" s="2">
        <v>1000000</v>
      </c>
      <c r="F568" s="3">
        <f>IF(COUNT(D568,E568)=2,D568*E568,NA())</f>
        <v>15000000.0</v>
      </c>
      <c r="G568" s="2" t="s">
        <v>59</v>
      </c>
      <c r="H568" s="2" t="s">
        <v>60</v>
      </c>
      <c r="I568" s="2" t="s">
        <v>61</v>
      </c>
      <c r="J568" s="2" t="s">
        <v>1113</v>
      </c>
      <c r="K568" s="2" t="s">
        <v>1299</v>
      </c>
      <c r="L568" s="2" t="s">
        <v>1300</v>
      </c>
      <c r="M568" s="2" t="s">
        <v>897</v>
      </c>
      <c r="N568" s="2" t="s">
        <v>897</v>
      </c>
      <c r="O568" s="2" t="s">
        <v>1166</v>
      </c>
      <c r="P568" s="2" t="s">
        <v>1437</v>
      </c>
      <c r="Q568" s="2" t="s">
        <v>1490</v>
      </c>
      <c r="R568" s="2"/>
    </row>
    <row r="569" spans="1:18">
      <c r="A569" s="2" t="s">
        <v>1492</v>
      </c>
      <c r="B569" s="2" t="s">
        <v>1493</v>
      </c>
      <c r="C569" s="2"/>
      <c r="D569" s="2">
        <v>100</v>
      </c>
      <c r="E569" s="2">
        <v>1000000</v>
      </c>
      <c r="F569" s="3">
        <f>IF(COUNT(D569,E569)=2,D569*E569,NA())</f>
        <v>100000000.0</v>
      </c>
      <c r="G569" s="2" t="s">
        <v>59</v>
      </c>
      <c r="H569" s="2" t="s">
        <v>60</v>
      </c>
      <c r="I569" s="2" t="s">
        <v>61</v>
      </c>
      <c r="J569" s="2" t="s">
        <v>1113</v>
      </c>
      <c r="K569" s="2" t="s">
        <v>1299</v>
      </c>
      <c r="L569" s="2" t="s">
        <v>1300</v>
      </c>
      <c r="M569" s="2" t="s">
        <v>897</v>
      </c>
      <c r="N569" s="2" t="s">
        <v>897</v>
      </c>
      <c r="O569" s="2" t="s">
        <v>1166</v>
      </c>
      <c r="P569" s="2" t="s">
        <v>1437</v>
      </c>
      <c r="Q569" s="2" t="s">
        <v>1492</v>
      </c>
      <c r="R569" s="2"/>
    </row>
    <row r="570" spans="1:18">
      <c r="A570" s="2" t="s">
        <v>1494</v>
      </c>
      <c r="B570" s="2" t="s">
        <v>1495</v>
      </c>
      <c r="C570" s="2"/>
      <c r="D570" s="2">
        <v>0</v>
      </c>
      <c r="E570" s="2">
        <v>1000000</v>
      </c>
      <c r="F570" s="3">
        <f>IF(COUNT(D570,E570)=2,D570*E570,NA())</f>
        <v>0.0</v>
      </c>
      <c r="G570" s="2" t="s">
        <v>59</v>
      </c>
      <c r="H570" s="2" t="s">
        <v>60</v>
      </c>
      <c r="I570" s="2" t="s">
        <v>61</v>
      </c>
      <c r="J570" s="2" t="s">
        <v>1113</v>
      </c>
      <c r="K570" s="2" t="s">
        <v>1299</v>
      </c>
      <c r="L570" s="2" t="s">
        <v>1300</v>
      </c>
      <c r="M570" s="2" t="s">
        <v>897</v>
      </c>
      <c r="N570" s="2" t="s">
        <v>897</v>
      </c>
      <c r="O570" s="2" t="s">
        <v>1166</v>
      </c>
      <c r="P570" s="2" t="s">
        <v>1437</v>
      </c>
      <c r="Q570" s="2" t="s">
        <v>1494</v>
      </c>
      <c r="R570" s="2"/>
    </row>
    <row r="571" spans="1:18">
      <c r="A571" s="2" t="s">
        <v>1496</v>
      </c>
      <c r="B571" s="2" t="s">
        <v>1497</v>
      </c>
      <c r="C571" s="2"/>
      <c r="D571" s="2">
        <v>2</v>
      </c>
      <c r="E571" s="2">
        <v>1000000</v>
      </c>
      <c r="F571" s="3">
        <f>IF(COUNT(D571,E571)=2,D571*E571,NA())</f>
        <v>2000000.0</v>
      </c>
      <c r="G571" s="2" t="s">
        <v>59</v>
      </c>
      <c r="H571" s="2" t="s">
        <v>60</v>
      </c>
      <c r="I571" s="2" t="s">
        <v>61</v>
      </c>
      <c r="J571" s="2" t="s">
        <v>1113</v>
      </c>
      <c r="K571" s="2" t="s">
        <v>1299</v>
      </c>
      <c r="L571" s="2" t="s">
        <v>1300</v>
      </c>
      <c r="M571" s="2" t="s">
        <v>897</v>
      </c>
      <c r="N571" s="2" t="s">
        <v>897</v>
      </c>
      <c r="O571" s="2" t="s">
        <v>1166</v>
      </c>
      <c r="P571" s="2" t="s">
        <v>1437</v>
      </c>
      <c r="Q571" s="2" t="s">
        <v>1496</v>
      </c>
      <c r="R571" s="2"/>
    </row>
    <row r="572" spans="1:18">
      <c r="A572" s="2" t="s">
        <v>1498</v>
      </c>
      <c r="B572" s="2" t="s">
        <v>1499</v>
      </c>
      <c r="C572" s="2"/>
      <c r="D572" s="2">
        <v>0</v>
      </c>
      <c r="E572" s="2">
        <v>1000000</v>
      </c>
      <c r="F572" s="3">
        <f>IF(COUNT(D572,E572)=2,D572*E572,NA())</f>
        <v>0.0</v>
      </c>
      <c r="G572" s="2" t="s">
        <v>59</v>
      </c>
      <c r="H572" s="2" t="s">
        <v>60</v>
      </c>
      <c r="I572" s="2" t="s">
        <v>61</v>
      </c>
      <c r="J572" s="2" t="s">
        <v>1113</v>
      </c>
      <c r="K572" s="2" t="s">
        <v>1299</v>
      </c>
      <c r="L572" s="2" t="s">
        <v>1300</v>
      </c>
      <c r="M572" s="2" t="s">
        <v>897</v>
      </c>
      <c r="N572" s="2" t="s">
        <v>897</v>
      </c>
      <c r="O572" s="2" t="s">
        <v>1166</v>
      </c>
      <c r="P572" s="2" t="s">
        <v>1437</v>
      </c>
      <c r="Q572" s="2" t="s">
        <v>1498</v>
      </c>
      <c r="R572" s="2"/>
    </row>
    <row r="573" spans="1:18">
      <c r="A573" s="2" t="s">
        <v>1500</v>
      </c>
      <c r="B573" s="2" t="s">
        <v>1501</v>
      </c>
      <c r="C573" s="2"/>
      <c r="D573" s="2">
        <v>0</v>
      </c>
      <c r="E573" s="2">
        <v>1000000</v>
      </c>
      <c r="F573" s="3">
        <f>IF(COUNT(D573,E573)=2,D573*E573,NA())</f>
        <v>0.0</v>
      </c>
      <c r="G573" s="2" t="s">
        <v>59</v>
      </c>
      <c r="H573" s="2" t="s">
        <v>60</v>
      </c>
      <c r="I573" s="2" t="s">
        <v>61</v>
      </c>
      <c r="J573" s="2" t="s">
        <v>1113</v>
      </c>
      <c r="K573" s="2" t="s">
        <v>1299</v>
      </c>
      <c r="L573" s="2" t="s">
        <v>1300</v>
      </c>
      <c r="M573" s="2" t="s">
        <v>897</v>
      </c>
      <c r="N573" s="2" t="s">
        <v>897</v>
      </c>
      <c r="O573" s="2" t="s">
        <v>1166</v>
      </c>
      <c r="P573" s="2" t="s">
        <v>1437</v>
      </c>
      <c r="Q573" s="2" t="s">
        <v>1500</v>
      </c>
      <c r="R573" s="2"/>
    </row>
    <row r="574" spans="1:18">
      <c r="A574" s="2" t="s">
        <v>1502</v>
      </c>
      <c r="B574" s="2" t="s">
        <v>1503</v>
      </c>
      <c r="C574" s="2"/>
      <c r="D574" s="2">
        <v>0</v>
      </c>
      <c r="E574" s="2">
        <v>1000000</v>
      </c>
      <c r="F574" s="3">
        <f>IF(COUNT(D574,E574)=2,D574*E574,NA())</f>
        <v>0.0</v>
      </c>
      <c r="G574" s="2" t="s">
        <v>59</v>
      </c>
      <c r="H574" s="2" t="s">
        <v>60</v>
      </c>
      <c r="I574" s="2" t="s">
        <v>61</v>
      </c>
      <c r="J574" s="2" t="s">
        <v>1113</v>
      </c>
      <c r="K574" s="2" t="s">
        <v>1299</v>
      </c>
      <c r="L574" s="2" t="s">
        <v>1300</v>
      </c>
      <c r="M574" s="2" t="s">
        <v>897</v>
      </c>
      <c r="N574" s="2" t="s">
        <v>897</v>
      </c>
      <c r="O574" s="2" t="s">
        <v>1166</v>
      </c>
      <c r="P574" s="2" t="s">
        <v>1437</v>
      </c>
      <c r="Q574" s="2" t="s">
        <v>1502</v>
      </c>
      <c r="R574" s="2"/>
    </row>
    <row r="575" spans="1:18">
      <c r="A575" s="2" t="s">
        <v>1504</v>
      </c>
      <c r="B575" s="2" t="s">
        <v>1505</v>
      </c>
      <c r="C575" s="2"/>
      <c r="D575" s="2"/>
      <c r="E575" s="2">
        <v>1000000</v>
      </c>
      <c r="F575" s="3" t="e">
        <f>IF(COUNT(D575,E575)=2,D575*E575,NA())</f>
        <v>#N/A</v>
      </c>
      <c r="G575" s="2" t="s">
        <v>59</v>
      </c>
      <c r="H575" s="2" t="s">
        <v>60</v>
      </c>
      <c r="I575" s="2" t="s">
        <v>61</v>
      </c>
      <c r="J575" s="2" t="s">
        <v>1113</v>
      </c>
      <c r="K575" s="2"/>
      <c r="L575" s="2" t="s">
        <v>844</v>
      </c>
      <c r="M575" s="2" t="s">
        <v>64</v>
      </c>
      <c r="N575" s="2" t="s">
        <v>879</v>
      </c>
      <c r="O575" s="2" t="s">
        <v>1166</v>
      </c>
      <c r="P575" s="2" t="s">
        <v>1506</v>
      </c>
      <c r="Q575" s="2" t="s">
        <v>1504</v>
      </c>
      <c r="R575" s="2"/>
    </row>
    <row r="576" spans="1:18">
      <c r="A576" s="2" t="s">
        <v>1507</v>
      </c>
      <c r="B576" s="2" t="s">
        <v>1508</v>
      </c>
      <c r="C576" s="2"/>
      <c r="D576" s="2"/>
      <c r="E576" s="2">
        <v>1000000</v>
      </c>
      <c r="F576" s="3" t="e">
        <f>IF(COUNT(D576,E576)=2,D576*E576,NA())</f>
        <v>#N/A</v>
      </c>
      <c r="G576" s="2" t="s">
        <v>59</v>
      </c>
      <c r="H576" s="2" t="s">
        <v>60</v>
      </c>
      <c r="I576" s="2" t="s">
        <v>61</v>
      </c>
      <c r="J576" s="2" t="s">
        <v>1113</v>
      </c>
      <c r="K576" s="2"/>
      <c r="L576" s="2" t="s">
        <v>7</v>
      </c>
      <c r="M576" s="2" t="s">
        <v>64</v>
      </c>
      <c r="N576" s="2" t="s">
        <v>879</v>
      </c>
      <c r="O576" s="2" t="s">
        <v>1166</v>
      </c>
      <c r="P576" s="2" t="s">
        <v>1506</v>
      </c>
      <c r="Q576" s="2" t="s">
        <v>1507</v>
      </c>
      <c r="R576" s="2"/>
    </row>
    <row r="577" spans="1:18">
      <c r="A577" s="2" t="s">
        <v>1509</v>
      </c>
      <c r="B577" s="2" t="s">
        <v>1510</v>
      </c>
      <c r="C577" s="2"/>
      <c r="D577" s="2"/>
      <c r="E577" s="2">
        <v>1000000</v>
      </c>
      <c r="F577" s="3" t="e">
        <f>IF(COUNT(D577,E577)=2,D577*E577,NA())</f>
        <v>#N/A</v>
      </c>
      <c r="G577" s="2" t="s">
        <v>59</v>
      </c>
      <c r="H577" s="2" t="s">
        <v>60</v>
      </c>
      <c r="I577" s="2" t="s">
        <v>61</v>
      </c>
      <c r="J577" s="2" t="s">
        <v>1113</v>
      </c>
      <c r="K577" s="2" t="s">
        <v>844</v>
      </c>
      <c r="L577" s="2" t="s">
        <v>1172</v>
      </c>
      <c r="M577" s="2" t="s">
        <v>897</v>
      </c>
      <c r="N577" s="2" t="s">
        <v>879</v>
      </c>
      <c r="O577" s="2" t="s">
        <v>1166</v>
      </c>
      <c r="P577" s="2" t="s">
        <v>1511</v>
      </c>
      <c r="Q577" s="2" t="s">
        <v>1509</v>
      </c>
      <c r="R577" s="2"/>
    </row>
    <row r="578" spans="1:18">
      <c r="A578" s="2" t="s">
        <v>1512</v>
      </c>
      <c r="B578" s="2" t="s">
        <v>1513</v>
      </c>
      <c r="C578" s="2"/>
      <c r="D578" s="2"/>
      <c r="E578" s="2">
        <v>1000000</v>
      </c>
      <c r="F578" s="3" t="e">
        <f>IF(COUNT(D578,E578)=2,D578*E578,NA())</f>
        <v>#N/A</v>
      </c>
      <c r="G578" s="2" t="s">
        <v>59</v>
      </c>
      <c r="H578" s="2" t="s">
        <v>60</v>
      </c>
      <c r="I578" s="2" t="s">
        <v>61</v>
      </c>
      <c r="J578" s="2" t="s">
        <v>1514</v>
      </c>
      <c r="K578" s="2" t="s">
        <v>889</v>
      </c>
      <c r="L578" s="2" t="s">
        <v>1515</v>
      </c>
      <c r="M578" s="2" t="s">
        <v>246</v>
      </c>
      <c r="N578" s="2" t="s">
        <v>879</v>
      </c>
      <c r="O578" s="2" t="s">
        <v>1166</v>
      </c>
      <c r="P578" s="2" t="s">
        <v>1516</v>
      </c>
      <c r="Q578" s="2" t="s">
        <v>1512</v>
      </c>
      <c r="R578" s="2"/>
    </row>
    <row r="579" spans="1:18">
      <c r="A579" s="2" t="s">
        <v>1517</v>
      </c>
      <c r="B579" s="2" t="s">
        <v>1518</v>
      </c>
      <c r="C579" s="2"/>
      <c r="D579" s="2"/>
      <c r="E579" s="2">
        <v>1000000</v>
      </c>
      <c r="F579" s="3" t="e">
        <f>IF(COUNT(D579,E579)=2,D579*E579,NA())</f>
        <v>#N/A</v>
      </c>
      <c r="G579" s="2" t="s">
        <v>59</v>
      </c>
      <c r="H579" s="2" t="s">
        <v>60</v>
      </c>
      <c r="I579" s="2" t="s">
        <v>61</v>
      </c>
      <c r="J579" s="2" t="s">
        <v>1113</v>
      </c>
      <c r="K579" s="2" t="s">
        <v>889</v>
      </c>
      <c r="L579" s="2" t="s">
        <v>1515</v>
      </c>
      <c r="M579" s="2" t="s">
        <v>246</v>
      </c>
      <c r="N579" s="2" t="s">
        <v>879</v>
      </c>
      <c r="O579" s="2" t="s">
        <v>1166</v>
      </c>
      <c r="P579" s="2" t="s">
        <v>1516</v>
      </c>
      <c r="Q579" s="2" t="s">
        <v>1517</v>
      </c>
      <c r="R579" s="2"/>
    </row>
    <row r="580" spans="1:18">
      <c r="A580" s="2" t="s">
        <v>1519</v>
      </c>
      <c r="B580" s="2" t="s">
        <v>1520</v>
      </c>
      <c r="C580" s="2"/>
      <c r="D580" s="2"/>
      <c r="E580" s="2">
        <v>1000000</v>
      </c>
      <c r="F580" s="3" t="e">
        <f>IF(COUNT(D580,E580)=2,D580*E580,NA())</f>
        <v>#N/A</v>
      </c>
      <c r="G580" s="2" t="s">
        <v>59</v>
      </c>
      <c r="H580" s="2" t="s">
        <v>60</v>
      </c>
      <c r="I580" s="2" t="s">
        <v>61</v>
      </c>
      <c r="J580" s="2" t="s">
        <v>1113</v>
      </c>
      <c r="K580" s="2" t="s">
        <v>889</v>
      </c>
      <c r="L580" s="2" t="s">
        <v>1172</v>
      </c>
      <c r="M580" s="2" t="s">
        <v>897</v>
      </c>
      <c r="N580" s="2" t="s">
        <v>879</v>
      </c>
      <c r="O580" s="2" t="s">
        <v>1166</v>
      </c>
      <c r="P580" s="2" t="s">
        <v>1521</v>
      </c>
      <c r="Q580" s="2" t="s">
        <v>1519</v>
      </c>
      <c r="R580" s="2"/>
    </row>
    <row r="581" spans="1:18">
      <c r="A581" s="2" t="s">
        <v>1522</v>
      </c>
      <c r="B581" s="2" t="s">
        <v>1523</v>
      </c>
      <c r="C581" s="2"/>
      <c r="D581" s="2"/>
      <c r="E581" s="2">
        <v>1000000</v>
      </c>
      <c r="F581" s="3" t="e">
        <f>IF(COUNT(D581,E581)=2,D581*E581,NA())</f>
        <v>#N/A</v>
      </c>
      <c r="G581" s="2" t="s">
        <v>59</v>
      </c>
      <c r="H581" s="2" t="s">
        <v>60</v>
      </c>
      <c r="I581" s="2" t="s">
        <v>61</v>
      </c>
      <c r="J581" s="2" t="s">
        <v>1113</v>
      </c>
      <c r="K581" s="2"/>
      <c r="L581" s="2" t="s">
        <v>844</v>
      </c>
      <c r="M581" s="2" t="s">
        <v>64</v>
      </c>
      <c r="N581" s="2" t="s">
        <v>879</v>
      </c>
      <c r="O581" s="2" t="s">
        <v>1166</v>
      </c>
      <c r="P581" s="2" t="s">
        <v>1506</v>
      </c>
      <c r="Q581" s="2" t="s">
        <v>1522</v>
      </c>
      <c r="R581" s="2"/>
    </row>
    <row r="582" spans="1:18">
      <c r="A582" s="2" t="s">
        <v>1524</v>
      </c>
      <c r="B582" s="2" t="s">
        <v>1525</v>
      </c>
      <c r="C582" s="2"/>
      <c r="D582" s="2"/>
      <c r="E582" s="2">
        <v>1000000</v>
      </c>
      <c r="F582" s="3" t="e">
        <f>IF(COUNT(D582,E582)=2,D582*E582,NA())</f>
        <v>#N/A</v>
      </c>
      <c r="G582" s="2" t="s">
        <v>59</v>
      </c>
      <c r="H582" s="2" t="s">
        <v>60</v>
      </c>
      <c r="I582" s="2" t="s">
        <v>61</v>
      </c>
      <c r="J582" s="2" t="s">
        <v>1113</v>
      </c>
      <c r="K582" s="2"/>
      <c r="L582" s="2" t="s">
        <v>7</v>
      </c>
      <c r="M582" s="2" t="s">
        <v>64</v>
      </c>
      <c r="N582" s="2" t="s">
        <v>879</v>
      </c>
      <c r="O582" s="2" t="s">
        <v>1166</v>
      </c>
      <c r="P582" s="2" t="s">
        <v>1506</v>
      </c>
      <c r="Q582" s="2" t="s">
        <v>1524</v>
      </c>
      <c r="R582" s="2"/>
    </row>
    <row r="583" spans="1:18">
      <c r="A583" s="2" t="s">
        <v>1526</v>
      </c>
      <c r="B583" s="2" t="s">
        <v>1527</v>
      </c>
      <c r="C583" s="2"/>
      <c r="D583" s="2"/>
      <c r="E583" s="2">
        <v>1000000</v>
      </c>
      <c r="F583" s="3" t="e">
        <f>IF(COUNT(D583,E583)=2,D583*E583,NA())</f>
        <v>#N/A</v>
      </c>
      <c r="G583" s="2" t="s">
        <v>59</v>
      </c>
      <c r="H583" s="2" t="s">
        <v>60</v>
      </c>
      <c r="I583" s="2" t="s">
        <v>61</v>
      </c>
      <c r="J583" s="2" t="s">
        <v>1113</v>
      </c>
      <c r="K583" s="2" t="s">
        <v>844</v>
      </c>
      <c r="L583" s="2" t="s">
        <v>7</v>
      </c>
      <c r="M583" s="2" t="s">
        <v>246</v>
      </c>
      <c r="N583" s="2" t="s">
        <v>879</v>
      </c>
      <c r="O583" s="2" t="s">
        <v>1166</v>
      </c>
      <c r="P583" s="2" t="s">
        <v>1516</v>
      </c>
      <c r="Q583" s="2" t="s">
        <v>1526</v>
      </c>
      <c r="R583" s="2"/>
    </row>
    <row r="584" spans="1:18">
      <c r="A584" s="2" t="s">
        <v>1528</v>
      </c>
      <c r="B584" s="2" t="s">
        <v>1529</v>
      </c>
      <c r="C584" s="2"/>
      <c r="D584" s="2"/>
      <c r="E584" s="2">
        <v>1000000</v>
      </c>
      <c r="F584" s="3" t="e">
        <f>IF(COUNT(D584,E584)=2,D584*E584,NA())</f>
        <v>#N/A</v>
      </c>
      <c r="G584" s="2" t="s">
        <v>59</v>
      </c>
      <c r="H584" s="2" t="s">
        <v>60</v>
      </c>
      <c r="I584" s="2" t="s">
        <v>61</v>
      </c>
      <c r="J584" s="2" t="s">
        <v>1113</v>
      </c>
      <c r="K584" s="2" t="s">
        <v>844</v>
      </c>
      <c r="L584" s="2" t="s">
        <v>7</v>
      </c>
      <c r="M584" s="2" t="s">
        <v>246</v>
      </c>
      <c r="N584" s="2" t="s">
        <v>879</v>
      </c>
      <c r="O584" s="2" t="s">
        <v>1166</v>
      </c>
      <c r="P584" s="2" t="s">
        <v>1516</v>
      </c>
      <c r="Q584" s="2" t="s">
        <v>1528</v>
      </c>
      <c r="R584" s="2"/>
    </row>
    <row r="585" spans="1:18">
      <c r="A585" s="2" t="s">
        <v>1530</v>
      </c>
      <c r="B585" s="2" t="s">
        <v>1531</v>
      </c>
      <c r="C585" s="2" t="s">
        <v>1532</v>
      </c>
      <c r="D585" s="2">
        <v>2</v>
      </c>
      <c r="E585" s="2">
        <v>1</v>
      </c>
      <c r="F585" s="3">
        <f>IF(COUNT(D585,E585)=2,D585*E585,NA())</f>
        <v>2.0</v>
      </c>
      <c r="G585" s="2" t="s">
        <v>1041</v>
      </c>
      <c r="H585" s="2"/>
      <c r="I585" s="2" t="s">
        <v>61</v>
      </c>
      <c r="J585" s="2" t="s">
        <v>1533</v>
      </c>
      <c r="K585" s="2"/>
      <c r="L585" s="2" t="s">
        <v>7</v>
      </c>
      <c r="M585" s="2" t="s">
        <v>897</v>
      </c>
      <c r="N585" s="2" t="s">
        <v>897</v>
      </c>
      <c r="O585" s="2" t="s">
        <v>1534</v>
      </c>
      <c r="P585" s="2" t="s">
        <v>1535</v>
      </c>
      <c r="Q585" s="2" t="s">
        <v>1530</v>
      </c>
      <c r="R585" s="2" t="s">
        <v>1536</v>
      </c>
    </row>
    <row r="586" spans="1:18">
      <c r="A586" s="2" t="s">
        <v>1537</v>
      </c>
      <c r="B586" s="2" t="s">
        <v>1538</v>
      </c>
      <c r="C586" s="2" t="s">
        <v>1539</v>
      </c>
      <c r="D586" s="2">
        <v>1</v>
      </c>
      <c r="E586" s="2">
        <v>1</v>
      </c>
      <c r="F586" s="3">
        <f>IF(COUNT(D586,E586)=2,D586*E586,NA())</f>
        <v>1.0</v>
      </c>
      <c r="G586" s="2" t="s">
        <v>1041</v>
      </c>
      <c r="H586" s="2"/>
      <c r="I586" s="2" t="s">
        <v>61</v>
      </c>
      <c r="J586" s="2" t="s">
        <v>1533</v>
      </c>
      <c r="K586" s="2"/>
      <c r="L586" s="2" t="s">
        <v>7</v>
      </c>
      <c r="M586" s="2" t="s">
        <v>897</v>
      </c>
      <c r="N586" s="2" t="s">
        <v>897</v>
      </c>
      <c r="O586" s="2" t="s">
        <v>1534</v>
      </c>
      <c r="P586" s="2" t="s">
        <v>1540</v>
      </c>
      <c r="Q586" s="2" t="s">
        <v>1537</v>
      </c>
      <c r="R586" s="2" t="s">
        <v>1541</v>
      </c>
    </row>
    <row r="587" spans="1:18">
      <c r="A587" s="2" t="s">
        <v>1542</v>
      </c>
      <c r="B587" s="2" t="s">
        <v>1543</v>
      </c>
      <c r="C587" s="2" t="s">
        <v>1544</v>
      </c>
      <c r="D587" s="2">
        <v>2</v>
      </c>
      <c r="E587" s="2">
        <v>1</v>
      </c>
      <c r="F587" s="3">
        <f>IF(COUNT(D587,E587)=2,D587*E587,NA())</f>
        <v>2.0</v>
      </c>
      <c r="G587" s="2" t="s">
        <v>1041</v>
      </c>
      <c r="H587" s="2"/>
      <c r="I587" s="2" t="s">
        <v>61</v>
      </c>
      <c r="J587" s="2" t="s">
        <v>1533</v>
      </c>
      <c r="K587" s="2"/>
      <c r="L587" s="2" t="s">
        <v>7</v>
      </c>
      <c r="M587" s="2" t="s">
        <v>897</v>
      </c>
      <c r="N587" s="2" t="s">
        <v>897</v>
      </c>
      <c r="O587" s="2" t="s">
        <v>1534</v>
      </c>
      <c r="P587" s="2" t="s">
        <v>1545</v>
      </c>
      <c r="Q587" s="2" t="s">
        <v>1542</v>
      </c>
      <c r="R587" s="2" t="s">
        <v>1546</v>
      </c>
    </row>
    <row r="588" spans="1:18">
      <c r="A588" s="2" t="s">
        <v>1547</v>
      </c>
      <c r="B588" s="2" t="s">
        <v>1548</v>
      </c>
      <c r="C588" s="2" t="s">
        <v>1549</v>
      </c>
      <c r="D588" s="2">
        <v>2</v>
      </c>
      <c r="E588" s="2">
        <v>1</v>
      </c>
      <c r="F588" s="3">
        <f>IF(COUNT(D588,E588)=2,D588*E588,NA())</f>
        <v>2.0</v>
      </c>
      <c r="G588" s="2" t="s">
        <v>1041</v>
      </c>
      <c r="H588" s="2"/>
      <c r="I588" s="2" t="s">
        <v>61</v>
      </c>
      <c r="J588" s="2" t="s">
        <v>1533</v>
      </c>
      <c r="K588" s="2"/>
      <c r="L588" s="2" t="s">
        <v>7</v>
      </c>
      <c r="M588" s="2" t="s">
        <v>897</v>
      </c>
      <c r="N588" s="2" t="s">
        <v>897</v>
      </c>
      <c r="O588" s="2" t="s">
        <v>1534</v>
      </c>
      <c r="P588" s="2" t="s">
        <v>1550</v>
      </c>
      <c r="Q588" s="2" t="s">
        <v>1547</v>
      </c>
      <c r="R588" s="2" t="s">
        <v>1551</v>
      </c>
    </row>
    <row r="589" spans="1:18">
      <c r="A589" s="2" t="s">
        <v>1552</v>
      </c>
      <c r="B589" s="2" t="s">
        <v>1553</v>
      </c>
      <c r="C589" s="2" t="s">
        <v>1554</v>
      </c>
      <c r="D589" s="2">
        <v>2</v>
      </c>
      <c r="E589" s="2">
        <v>1</v>
      </c>
      <c r="F589" s="3">
        <f>IF(COUNT(D589,E589)=2,D589*E589,NA())</f>
        <v>2.0</v>
      </c>
      <c r="G589" s="2" t="s">
        <v>1041</v>
      </c>
      <c r="H589" s="2"/>
      <c r="I589" s="2" t="s">
        <v>61</v>
      </c>
      <c r="J589" s="2" t="s">
        <v>1533</v>
      </c>
      <c r="K589" s="2"/>
      <c r="L589" s="2" t="s">
        <v>7</v>
      </c>
      <c r="M589" s="2" t="s">
        <v>897</v>
      </c>
      <c r="N589" s="2" t="s">
        <v>897</v>
      </c>
      <c r="O589" s="2" t="s">
        <v>1534</v>
      </c>
      <c r="P589" s="2" t="s">
        <v>1555</v>
      </c>
      <c r="Q589" s="2" t="s">
        <v>1552</v>
      </c>
      <c r="R589" s="2" t="s">
        <v>1551</v>
      </c>
    </row>
    <row r="590" spans="1:18">
      <c r="A590" s="2" t="s">
        <v>1556</v>
      </c>
      <c r="B590" s="2" t="s">
        <v>1557</v>
      </c>
      <c r="C590" s="2" t="s">
        <v>1549</v>
      </c>
      <c r="D590" s="2">
        <v>2</v>
      </c>
      <c r="E590" s="2">
        <v>1</v>
      </c>
      <c r="F590" s="3">
        <f>IF(COUNT(D590,E590)=2,D590*E590,NA())</f>
        <v>2.0</v>
      </c>
      <c r="G590" s="2" t="s">
        <v>1041</v>
      </c>
      <c r="H590" s="2"/>
      <c r="I590" s="2" t="s">
        <v>61</v>
      </c>
      <c r="J590" s="2" t="s">
        <v>1533</v>
      </c>
      <c r="K590" s="2"/>
      <c r="L590" s="2" t="s">
        <v>7</v>
      </c>
      <c r="M590" s="2" t="s">
        <v>897</v>
      </c>
      <c r="N590" s="2" t="s">
        <v>897</v>
      </c>
      <c r="O590" s="2" t="s">
        <v>1534</v>
      </c>
      <c r="P590" s="2" t="s">
        <v>1558</v>
      </c>
      <c r="Q590" s="2" t="s">
        <v>1556</v>
      </c>
      <c r="R590" s="2" t="s">
        <v>1551</v>
      </c>
    </row>
    <row r="591" spans="1:18">
      <c r="A591" s="2" t="s">
        <v>1559</v>
      </c>
      <c r="B591" s="2" t="s">
        <v>1560</v>
      </c>
      <c r="C591" s="2" t="s">
        <v>1561</v>
      </c>
      <c r="D591" s="2">
        <v>2</v>
      </c>
      <c r="E591" s="2">
        <v>1</v>
      </c>
      <c r="F591" s="3">
        <f>IF(COUNT(D591,E591)=2,D591*E591,NA())</f>
        <v>2.0</v>
      </c>
      <c r="G591" s="2" t="s">
        <v>1041</v>
      </c>
      <c r="H591" s="2"/>
      <c r="I591" s="2" t="s">
        <v>61</v>
      </c>
      <c r="J591" s="2" t="s">
        <v>1533</v>
      </c>
      <c r="K591" s="2"/>
      <c r="L591" s="2" t="s">
        <v>7</v>
      </c>
      <c r="M591" s="2" t="s">
        <v>897</v>
      </c>
      <c r="N591" s="2" t="s">
        <v>897</v>
      </c>
      <c r="O591" s="2" t="s">
        <v>1534</v>
      </c>
      <c r="P591" s="2" t="s">
        <v>1562</v>
      </c>
      <c r="Q591" s="2" t="s">
        <v>1559</v>
      </c>
      <c r="R591" s="2" t="s">
        <v>1563</v>
      </c>
    </row>
    <row r="592" spans="1:18">
      <c r="A592" s="2" t="s">
        <v>1564</v>
      </c>
      <c r="B592" s="2" t="s">
        <v>1565</v>
      </c>
      <c r="C592" s="2" t="s">
        <v>1566</v>
      </c>
      <c r="D592" s="2">
        <v>3</v>
      </c>
      <c r="E592" s="2">
        <v>1</v>
      </c>
      <c r="F592" s="3">
        <f>IF(COUNT(D592,E592)=2,D592*E592,NA())</f>
        <v>3.0</v>
      </c>
      <c r="G592" s="2" t="s">
        <v>1041</v>
      </c>
      <c r="H592" s="2"/>
      <c r="I592" s="2" t="s">
        <v>61</v>
      </c>
      <c r="J592" s="2" t="s">
        <v>1533</v>
      </c>
      <c r="K592" s="2"/>
      <c r="L592" s="2" t="s">
        <v>7</v>
      </c>
      <c r="M592" s="2" t="s">
        <v>897</v>
      </c>
      <c r="N592" s="2" t="s">
        <v>897</v>
      </c>
      <c r="O592" s="2" t="s">
        <v>1534</v>
      </c>
      <c r="P592" s="2" t="s">
        <v>1567</v>
      </c>
      <c r="Q592" s="2" t="s">
        <v>1564</v>
      </c>
      <c r="R592" s="2" t="s">
        <v>1568</v>
      </c>
    </row>
    <row r="593" spans="1:18">
      <c r="A593" s="2" t="s">
        <v>1569</v>
      </c>
      <c r="B593" s="2" t="s">
        <v>1570</v>
      </c>
      <c r="C593" s="2" t="s">
        <v>1566</v>
      </c>
      <c r="D593" s="2">
        <v>2</v>
      </c>
      <c r="E593" s="2">
        <v>1</v>
      </c>
      <c r="F593" s="3">
        <f>IF(COUNT(D593,E593)=2,D593*E593,NA())</f>
        <v>2.0</v>
      </c>
      <c r="G593" s="2" t="s">
        <v>1041</v>
      </c>
      <c r="H593" s="2"/>
      <c r="I593" s="2" t="s">
        <v>61</v>
      </c>
      <c r="J593" s="2" t="s">
        <v>1533</v>
      </c>
      <c r="K593" s="2"/>
      <c r="L593" s="2" t="s">
        <v>7</v>
      </c>
      <c r="M593" s="2" t="s">
        <v>897</v>
      </c>
      <c r="N593" s="2" t="s">
        <v>897</v>
      </c>
      <c r="O593" s="2" t="s">
        <v>1534</v>
      </c>
      <c r="P593" s="2" t="s">
        <v>1571</v>
      </c>
      <c r="Q593" s="2" t="s">
        <v>1569</v>
      </c>
      <c r="R593" s="2" t="s">
        <v>1563</v>
      </c>
    </row>
    <row r="594" spans="1:18">
      <c r="A594" s="2" t="s">
        <v>1572</v>
      </c>
      <c r="B594" s="2" t="s">
        <v>1573</v>
      </c>
      <c r="C594" s="2" t="s">
        <v>1561</v>
      </c>
      <c r="D594" s="2">
        <v>2</v>
      </c>
      <c r="E594" s="2">
        <v>1</v>
      </c>
      <c r="F594" s="3">
        <f>IF(COUNT(D594,E594)=2,D594*E594,NA())</f>
        <v>2.0</v>
      </c>
      <c r="G594" s="2" t="s">
        <v>1041</v>
      </c>
      <c r="H594" s="2"/>
      <c r="I594" s="2" t="s">
        <v>61</v>
      </c>
      <c r="J594" s="2" t="s">
        <v>1533</v>
      </c>
      <c r="K594" s="2"/>
      <c r="L594" s="2" t="s">
        <v>7</v>
      </c>
      <c r="M594" s="2" t="s">
        <v>897</v>
      </c>
      <c r="N594" s="2" t="s">
        <v>897</v>
      </c>
      <c r="O594" s="2" t="s">
        <v>1534</v>
      </c>
      <c r="P594" s="2" t="s">
        <v>1574</v>
      </c>
      <c r="Q594" s="2" t="s">
        <v>1572</v>
      </c>
      <c r="R594" s="2" t="s">
        <v>1575</v>
      </c>
    </row>
    <row r="595" spans="1:18">
      <c r="A595" s="2" t="s">
        <v>1576</v>
      </c>
      <c r="B595" s="2" t="s">
        <v>1577</v>
      </c>
      <c r="C595" s="2" t="s">
        <v>1578</v>
      </c>
      <c r="D595" s="2">
        <v>90</v>
      </c>
      <c r="E595" s="2">
        <v>1000000</v>
      </c>
      <c r="F595" s="3">
        <f>IF(COUNT(D595,E595)=2,D595*E595,NA())</f>
        <v>90000000.0</v>
      </c>
      <c r="G595" s="2" t="s">
        <v>59</v>
      </c>
      <c r="H595" s="2" t="s">
        <v>60</v>
      </c>
      <c r="I595" s="2" t="s">
        <v>61</v>
      </c>
      <c r="J595" s="2" t="s">
        <v>1579</v>
      </c>
      <c r="K595" s="2" t="s">
        <v>816</v>
      </c>
      <c r="L595" s="2" t="s">
        <v>1172</v>
      </c>
      <c r="M595" s="2" t="s">
        <v>246</v>
      </c>
      <c r="N595" s="2" t="s">
        <v>65</v>
      </c>
      <c r="O595" s="2" t="s">
        <v>1580</v>
      </c>
      <c r="P595" s="2" t="s">
        <v>1581</v>
      </c>
      <c r="Q595" s="2" t="s">
        <v>1576</v>
      </c>
      <c r="R595" s="2"/>
    </row>
    <row r="596" spans="1:18">
      <c r="A596" s="2" t="s">
        <v>1582</v>
      </c>
      <c r="B596" s="2" t="s">
        <v>1583</v>
      </c>
      <c r="C596" s="2" t="s">
        <v>1578</v>
      </c>
      <c r="D596" s="2">
        <v>120</v>
      </c>
      <c r="E596" s="2">
        <v>1000000</v>
      </c>
      <c r="F596" s="3">
        <f>IF(COUNT(D596,E596)=2,D596*E596,NA())</f>
        <v>120000000.0</v>
      </c>
      <c r="G596" s="2" t="s">
        <v>59</v>
      </c>
      <c r="H596" s="2" t="s">
        <v>60</v>
      </c>
      <c r="I596" s="2" t="s">
        <v>61</v>
      </c>
      <c r="J596" s="2" t="s">
        <v>1579</v>
      </c>
      <c r="K596" s="2" t="s">
        <v>816</v>
      </c>
      <c r="L596" s="2" t="s">
        <v>1172</v>
      </c>
      <c r="M596" s="2" t="s">
        <v>246</v>
      </c>
      <c r="N596" s="2" t="s">
        <v>65</v>
      </c>
      <c r="O596" s="2" t="s">
        <v>1580</v>
      </c>
      <c r="P596" s="2" t="s">
        <v>1581</v>
      </c>
      <c r="Q596" s="2" t="s">
        <v>1582</v>
      </c>
      <c r="R596" s="2"/>
    </row>
    <row r="597" spans="1:18">
      <c r="A597" s="2" t="s">
        <v>1584</v>
      </c>
      <c r="B597" s="2" t="s">
        <v>1585</v>
      </c>
      <c r="C597" s="2" t="s">
        <v>1586</v>
      </c>
      <c r="D597" s="2">
        <v>5</v>
      </c>
      <c r="E597" s="2">
        <v>1</v>
      </c>
      <c r="F597" s="3">
        <f>IF(COUNT(D597,E597)=2,D597*E597,NA())</f>
        <v>5.0</v>
      </c>
      <c r="G597" s="2" t="s">
        <v>1041</v>
      </c>
      <c r="H597" s="2"/>
      <c r="I597" s="2" t="s">
        <v>61</v>
      </c>
      <c r="J597" s="2" t="s">
        <v>1579</v>
      </c>
      <c r="K597" s="2"/>
      <c r="L597" s="2" t="s">
        <v>786</v>
      </c>
      <c r="M597" s="2" t="s">
        <v>64</v>
      </c>
      <c r="N597" s="2" t="s">
        <v>65</v>
      </c>
      <c r="O597" s="2" t="s">
        <v>1580</v>
      </c>
      <c r="P597" s="2" t="s">
        <v>1587</v>
      </c>
      <c r="Q597" s="2" t="s">
        <v>1584</v>
      </c>
      <c r="R597" s="2" t="s">
        <v>1588</v>
      </c>
    </row>
    <row r="598" spans="1:18">
      <c r="A598" s="2" t="s">
        <v>1589</v>
      </c>
      <c r="B598" s="2" t="s">
        <v>1590</v>
      </c>
      <c r="C598" s="2" t="s">
        <v>1586</v>
      </c>
      <c r="D598" s="2">
        <v>39771</v>
      </c>
      <c r="E598" s="2">
        <v>1</v>
      </c>
      <c r="F598" s="3">
        <f>IF(COUNT(D598,E598)=2,D598*E598,NA())</f>
        <v>39771.0</v>
      </c>
      <c r="G598" s="2" t="s">
        <v>1041</v>
      </c>
      <c r="H598" s="2"/>
      <c r="I598" s="2" t="s">
        <v>61</v>
      </c>
      <c r="J598" s="2" t="s">
        <v>1579</v>
      </c>
      <c r="K598" s="2"/>
      <c r="L598" s="2" t="s">
        <v>786</v>
      </c>
      <c r="M598" s="2" t="s">
        <v>64</v>
      </c>
      <c r="N598" s="2" t="s">
        <v>65</v>
      </c>
      <c r="O598" s="2" t="s">
        <v>1580</v>
      </c>
      <c r="P598" s="2" t="s">
        <v>1587</v>
      </c>
      <c r="Q598" s="2" t="s">
        <v>1589</v>
      </c>
      <c r="R598" s="2" t="s">
        <v>1591</v>
      </c>
    </row>
    <row r="599" spans="1:18">
      <c r="A599" s="2" t="s">
        <v>1592</v>
      </c>
      <c r="B599" s="2" t="s">
        <v>1593</v>
      </c>
      <c r="C599" s="2" t="s">
        <v>1594</v>
      </c>
      <c r="D599" s="2">
        <v>500</v>
      </c>
      <c r="E599" s="2">
        <v>1000000</v>
      </c>
      <c r="F599" s="3">
        <f>IF(COUNT(D599,E599)=2,D599*E599,NA())</f>
        <v>500000000.0</v>
      </c>
      <c r="G599" s="2" t="s">
        <v>59</v>
      </c>
      <c r="H599" s="2" t="s">
        <v>60</v>
      </c>
      <c r="I599" s="2" t="s">
        <v>1595</v>
      </c>
      <c r="J599" s="2" t="s">
        <v>1596</v>
      </c>
      <c r="K599" s="2"/>
      <c r="L599" s="2" t="s">
        <v>786</v>
      </c>
      <c r="M599" s="2" t="s">
        <v>64</v>
      </c>
      <c r="N599" s="2" t="s">
        <v>65</v>
      </c>
      <c r="O599" s="2" t="s">
        <v>1580</v>
      </c>
      <c r="P599" s="2" t="s">
        <v>1587</v>
      </c>
      <c r="Q599" s="2" t="s">
        <v>1592</v>
      </c>
      <c r="R599" s="2"/>
    </row>
    <row r="600" spans="1:18">
      <c r="A600" s="2" t="s">
        <v>1597</v>
      </c>
      <c r="B600" s="2" t="s">
        <v>1598</v>
      </c>
      <c r="C600" s="2" t="s">
        <v>1599</v>
      </c>
      <c r="D600" s="2">
        <v>55</v>
      </c>
      <c r="E600" s="2">
        <v>0.01</v>
      </c>
      <c r="F600" s="3">
        <f>IF(COUNT(D600,E600)=2,D600*E600,NA())</f>
        <v>0.55</v>
      </c>
      <c r="G600" s="2" t="s">
        <v>768</v>
      </c>
      <c r="H600" s="2"/>
      <c r="I600" s="2" t="s">
        <v>61</v>
      </c>
      <c r="J600" s="2" t="s">
        <v>1579</v>
      </c>
      <c r="K600" s="2"/>
      <c r="L600" s="2" t="s">
        <v>63</v>
      </c>
      <c r="M600" s="2" t="s">
        <v>64</v>
      </c>
      <c r="N600" s="2" t="s">
        <v>65</v>
      </c>
      <c r="O600" s="2" t="s">
        <v>1600</v>
      </c>
      <c r="P600" s="2" t="s">
        <v>1601</v>
      </c>
      <c r="Q600" s="2" t="s">
        <v>1597</v>
      </c>
      <c r="R600" s="2"/>
    </row>
    <row r="601" spans="1:18">
      <c r="A601" s="2" t="s">
        <v>1602</v>
      </c>
      <c r="B601" s="2" t="s">
        <v>1603</v>
      </c>
      <c r="C601" s="2" t="s">
        <v>1604</v>
      </c>
      <c r="D601" s="2">
        <v>0.5</v>
      </c>
      <c r="E601" s="2">
        <v>1</v>
      </c>
      <c r="F601" s="3">
        <f>IF(COUNT(D601,E601)=2,D601*E601,NA())</f>
        <v>0.5</v>
      </c>
      <c r="G601" s="2" t="s">
        <v>768</v>
      </c>
      <c r="H601" s="2"/>
      <c r="I601" s="2" t="s">
        <v>61</v>
      </c>
      <c r="J601" s="2" t="s">
        <v>1605</v>
      </c>
      <c r="K601" s="2"/>
      <c r="L601" s="2" t="s">
        <v>7</v>
      </c>
      <c r="M601" s="2" t="s">
        <v>897</v>
      </c>
      <c r="N601" s="2" t="s">
        <v>65</v>
      </c>
      <c r="O601" s="2" t="s">
        <v>1606</v>
      </c>
      <c r="P601" s="2"/>
      <c r="Q601" s="2" t="s">
        <v>1602</v>
      </c>
      <c r="R601" s="2"/>
    </row>
    <row r="602" spans="1:18">
      <c r="A602" s="2" t="s">
        <v>1607</v>
      </c>
      <c r="B602" s="2" t="s">
        <v>1608</v>
      </c>
      <c r="C602" s="2" t="s">
        <v>1604</v>
      </c>
      <c r="D602" s="2">
        <v>0.5</v>
      </c>
      <c r="E602" s="2">
        <v>1</v>
      </c>
      <c r="F602" s="3">
        <f>IF(COUNT(D602,E602)=2,D602*E602,NA())</f>
        <v>0.5</v>
      </c>
      <c r="G602" s="2" t="s">
        <v>768</v>
      </c>
      <c r="H602" s="2"/>
      <c r="I602" s="2" t="s">
        <v>61</v>
      </c>
      <c r="J602" s="2" t="s">
        <v>1605</v>
      </c>
      <c r="K602" s="2"/>
      <c r="L602" s="2" t="s">
        <v>7</v>
      </c>
      <c r="M602" s="2" t="s">
        <v>897</v>
      </c>
      <c r="N602" s="2" t="s">
        <v>65</v>
      </c>
      <c r="O602" s="2" t="s">
        <v>1606</v>
      </c>
      <c r="P602" s="2"/>
      <c r="Q602" s="2" t="s">
        <v>1607</v>
      </c>
      <c r="R602" s="2"/>
    </row>
    <row r="603" spans="1:18">
      <c r="A603" s="2" t="s">
        <v>1609</v>
      </c>
      <c r="B603" s="2" t="s">
        <v>1610</v>
      </c>
      <c r="C603" s="2" t="s">
        <v>1604</v>
      </c>
      <c r="D603" s="2">
        <v>0.3</v>
      </c>
      <c r="E603" s="2">
        <v>1</v>
      </c>
      <c r="F603" s="3">
        <f>IF(COUNT(D603,E603)=2,D603*E603,NA())</f>
        <v>0.3</v>
      </c>
      <c r="G603" s="2" t="s">
        <v>768</v>
      </c>
      <c r="H603" s="2"/>
      <c r="I603" s="2" t="s">
        <v>61</v>
      </c>
      <c r="J603" s="2" t="s">
        <v>1605</v>
      </c>
      <c r="K603" s="2"/>
      <c r="L603" s="2" t="s">
        <v>7</v>
      </c>
      <c r="M603" s="2" t="s">
        <v>897</v>
      </c>
      <c r="N603" s="2" t="s">
        <v>65</v>
      </c>
      <c r="O603" s="2" t="s">
        <v>1606</v>
      </c>
      <c r="P603" s="2"/>
      <c r="Q603" s="2" t="s">
        <v>1609</v>
      </c>
      <c r="R603" s="2"/>
    </row>
    <row r="604" spans="1:18">
      <c r="A604" s="2" t="s">
        <v>1611</v>
      </c>
      <c r="B604" s="2" t="s">
        <v>1612</v>
      </c>
      <c r="C604" s="2" t="s">
        <v>1604</v>
      </c>
      <c r="D604" s="2">
        <v>0.4</v>
      </c>
      <c r="E604" s="2">
        <v>1</v>
      </c>
      <c r="F604" s="3">
        <f>IF(COUNT(D604,E604)=2,D604*E604,NA())</f>
        <v>0.4</v>
      </c>
      <c r="G604" s="2" t="s">
        <v>768</v>
      </c>
      <c r="H604" s="2"/>
      <c r="I604" s="2" t="s">
        <v>61</v>
      </c>
      <c r="J604" s="2" t="s">
        <v>1605</v>
      </c>
      <c r="K604" s="2"/>
      <c r="L604" s="2" t="s">
        <v>7</v>
      </c>
      <c r="M604" s="2" t="s">
        <v>897</v>
      </c>
      <c r="N604" s="2" t="s">
        <v>65</v>
      </c>
      <c r="O604" s="2" t="s">
        <v>1606</v>
      </c>
      <c r="P604" s="2"/>
      <c r="Q604" s="2" t="s">
        <v>1611</v>
      </c>
      <c r="R604" s="2"/>
    </row>
    <row r="605" spans="1:18">
      <c r="A605" s="2" t="s">
        <v>1613</v>
      </c>
      <c r="B605" s="2" t="s">
        <v>1614</v>
      </c>
      <c r="C605" s="2" t="s">
        <v>1604</v>
      </c>
      <c r="D605" s="2">
        <v>0.3</v>
      </c>
      <c r="E605" s="2">
        <v>1</v>
      </c>
      <c r="F605" s="3">
        <f>IF(COUNT(D605,E605)=2,D605*E605,NA())</f>
        <v>0.3</v>
      </c>
      <c r="G605" s="2" t="s">
        <v>768</v>
      </c>
      <c r="H605" s="2"/>
      <c r="I605" s="2" t="s">
        <v>61</v>
      </c>
      <c r="J605" s="2" t="s">
        <v>1605</v>
      </c>
      <c r="K605" s="2"/>
      <c r="L605" s="2" t="s">
        <v>7</v>
      </c>
      <c r="M605" s="2" t="s">
        <v>897</v>
      </c>
      <c r="N605" s="2" t="s">
        <v>65</v>
      </c>
      <c r="O605" s="2" t="s">
        <v>1606</v>
      </c>
      <c r="P605" s="2"/>
      <c r="Q605" s="2" t="s">
        <v>1613</v>
      </c>
      <c r="R605" s="2"/>
    </row>
    <row r="606" spans="1:18">
      <c r="A606" s="2" t="s">
        <v>1615</v>
      </c>
      <c r="B606" s="2" t="s">
        <v>1616</v>
      </c>
      <c r="C606" s="2" t="s">
        <v>1617</v>
      </c>
      <c r="D606" s="2">
        <v>1.2</v>
      </c>
      <c r="E606" s="2">
        <v>1</v>
      </c>
      <c r="F606" s="3">
        <f>IF(COUNT(D606,E606)=2,D606*E606,NA())</f>
        <v>1.2</v>
      </c>
      <c r="G606" s="2" t="s">
        <v>768</v>
      </c>
      <c r="H606" s="2"/>
      <c r="I606" s="2" t="s">
        <v>61</v>
      </c>
      <c r="J606" s="2" t="s">
        <v>1605</v>
      </c>
      <c r="K606" s="2"/>
      <c r="L606" s="2" t="s">
        <v>7</v>
      </c>
      <c r="M606" s="2" t="s">
        <v>897</v>
      </c>
      <c r="N606" s="2" t="s">
        <v>65</v>
      </c>
      <c r="O606" s="2" t="s">
        <v>1606</v>
      </c>
      <c r="P606" s="2"/>
      <c r="Q606" s="2" t="s">
        <v>1615</v>
      </c>
      <c r="R606" s="2" t="s">
        <v>772</v>
      </c>
    </row>
    <row r="607" spans="1:18">
      <c r="A607" s="2" t="s">
        <v>1618</v>
      </c>
      <c r="B607" s="2" t="s">
        <v>1619</v>
      </c>
      <c r="C607" s="2" t="s">
        <v>1604</v>
      </c>
      <c r="D607" s="2">
        <v>3</v>
      </c>
      <c r="E607" s="2">
        <v>1</v>
      </c>
      <c r="F607" s="3">
        <f>IF(COUNT(D607,E607)=2,D607*E607,NA())</f>
        <v>3.0</v>
      </c>
      <c r="G607" s="2" t="s">
        <v>768</v>
      </c>
      <c r="H607" s="2"/>
      <c r="I607" s="2" t="s">
        <v>61</v>
      </c>
      <c r="J607" s="2" t="s">
        <v>1605</v>
      </c>
      <c r="K607" s="2"/>
      <c r="L607" s="2" t="s">
        <v>7</v>
      </c>
      <c r="M607" s="2" t="s">
        <v>897</v>
      </c>
      <c r="N607" s="2" t="s">
        <v>65</v>
      </c>
      <c r="O607" s="2" t="s">
        <v>1606</v>
      </c>
      <c r="P607" s="2"/>
      <c r="Q607" s="2" t="s">
        <v>1618</v>
      </c>
      <c r="R607" s="2" t="s">
        <v>772</v>
      </c>
    </row>
    <row r="608" spans="1:18">
      <c r="A608" s="2" t="s">
        <v>1620</v>
      </c>
      <c r="B608" s="2" t="s">
        <v>1621</v>
      </c>
      <c r="C608" s="2" t="s">
        <v>1622</v>
      </c>
      <c r="D608" s="2">
        <v>0.01</v>
      </c>
      <c r="E608" s="2">
        <v>1</v>
      </c>
      <c r="F608" s="3">
        <f>IF(COUNT(D608,E608)=2,D608*E608,NA())</f>
        <v>0.01</v>
      </c>
      <c r="G608" s="2" t="s">
        <v>768</v>
      </c>
      <c r="H608" s="2"/>
      <c r="I608" s="2" t="s">
        <v>61</v>
      </c>
      <c r="J608" s="2" t="s">
        <v>1605</v>
      </c>
      <c r="K608" s="2"/>
      <c r="L608" s="2" t="s">
        <v>7</v>
      </c>
      <c r="M608" s="2" t="s">
        <v>897</v>
      </c>
      <c r="N608" s="2" t="s">
        <v>65</v>
      </c>
      <c r="O608" s="2" t="s">
        <v>1606</v>
      </c>
      <c r="P608" s="2"/>
      <c r="Q608" s="2" t="s">
        <v>1620</v>
      </c>
      <c r="R608" s="2"/>
    </row>
    <row r="609" spans="1:18">
      <c r="A609" s="2" t="s">
        <v>1623</v>
      </c>
      <c r="B609" s="2" t="s">
        <v>1624</v>
      </c>
      <c r="C609" s="2" t="s">
        <v>1625</v>
      </c>
      <c r="D609" s="2">
        <v>0.04</v>
      </c>
      <c r="E609" s="2">
        <v>1</v>
      </c>
      <c r="F609" s="3">
        <f>IF(COUNT(D609,E609)=2,D609*E609,NA())</f>
        <v>0.04</v>
      </c>
      <c r="G609" s="2" t="s">
        <v>768</v>
      </c>
      <c r="H609" s="2"/>
      <c r="I609" s="2" t="s">
        <v>61</v>
      </c>
      <c r="J609" s="2" t="s">
        <v>1605</v>
      </c>
      <c r="K609" s="2"/>
      <c r="L609" s="2" t="s">
        <v>7</v>
      </c>
      <c r="M609" s="2" t="s">
        <v>897</v>
      </c>
      <c r="N609" s="2" t="s">
        <v>65</v>
      </c>
      <c r="O609" s="2" t="s">
        <v>1606</v>
      </c>
      <c r="P609" s="2"/>
      <c r="Q609" s="2" t="s">
        <v>1623</v>
      </c>
      <c r="R609" s="2"/>
    </row>
    <row r="610" spans="1:18">
      <c r="A610" s="2" t="s">
        <v>1626</v>
      </c>
      <c r="B610" s="2" t="s">
        <v>1627</v>
      </c>
      <c r="C610" s="2" t="s">
        <v>1628</v>
      </c>
      <c r="D610" s="2">
        <v>499</v>
      </c>
      <c r="E610" s="2">
        <v>1000000</v>
      </c>
      <c r="F610" s="3">
        <f>IF(COUNT(D610,E610)=2,D610*E610,NA())</f>
        <v>499000000.0</v>
      </c>
      <c r="G610" s="2" t="s">
        <v>59</v>
      </c>
      <c r="H610" s="2" t="s">
        <v>60</v>
      </c>
      <c r="I610" s="2" t="s">
        <v>61</v>
      </c>
      <c r="J610" s="2" t="s">
        <v>62</v>
      </c>
      <c r="K610" s="2"/>
      <c r="L610" s="2" t="s">
        <v>786</v>
      </c>
      <c r="M610" s="2" t="s">
        <v>64</v>
      </c>
      <c r="N610" s="2" t="s">
        <v>65</v>
      </c>
      <c r="O610" s="2" t="s">
        <v>11</v>
      </c>
      <c r="P610" s="2"/>
      <c r="Q610" s="2" t="s">
        <v>1626</v>
      </c>
      <c r="R610" s="2"/>
    </row>
    <row r="611" spans="1:18">
      <c r="A611" s="2" t="s">
        <v>1629</v>
      </c>
      <c r="B611" s="2" t="s">
        <v>1630</v>
      </c>
      <c r="C611" s="2" t="s">
        <v>1631</v>
      </c>
      <c r="D611" s="2">
        <v>0.36</v>
      </c>
      <c r="E611" s="2">
        <v>1000000</v>
      </c>
      <c r="F611" s="3">
        <f>IF(COUNT(D611,E611)=2,D611*E611,NA())</f>
        <v>360000.0</v>
      </c>
      <c r="G611" s="2" t="s">
        <v>59</v>
      </c>
      <c r="H611" s="2" t="s">
        <v>60</v>
      </c>
      <c r="I611" s="2" t="s">
        <v>61</v>
      </c>
      <c r="J611" s="2" t="s">
        <v>1605</v>
      </c>
      <c r="K611" s="2"/>
      <c r="L611" s="2" t="s">
        <v>7</v>
      </c>
      <c r="M611" s="2" t="s">
        <v>897</v>
      </c>
      <c r="N611" s="2" t="s">
        <v>65</v>
      </c>
      <c r="O611" s="2" t="s">
        <v>1606</v>
      </c>
      <c r="P611" s="2"/>
      <c r="Q611" s="2" t="s">
        <v>1629</v>
      </c>
      <c r="R611" s="2"/>
    </row>
    <row r="612" spans="1:18">
      <c r="A612" s="2" t="s">
        <v>1632</v>
      </c>
      <c r="B612" s="2" t="s">
        <v>1633</v>
      </c>
      <c r="C612" s="2" t="s">
        <v>1631</v>
      </c>
      <c r="D612" s="2">
        <v>0.05</v>
      </c>
      <c r="E612" s="2">
        <v>1</v>
      </c>
      <c r="F612" s="3">
        <f>IF(COUNT(D612,E612)=2,D612*E612,NA())</f>
        <v>0.05</v>
      </c>
      <c r="G612" s="2" t="s">
        <v>768</v>
      </c>
      <c r="H612" s="2"/>
      <c r="I612" s="2" t="s">
        <v>61</v>
      </c>
      <c r="J612" s="2" t="s">
        <v>1605</v>
      </c>
      <c r="K612" s="2"/>
      <c r="L612" s="2" t="s">
        <v>7</v>
      </c>
      <c r="M612" s="2" t="s">
        <v>897</v>
      </c>
      <c r="N612" s="2" t="s">
        <v>65</v>
      </c>
      <c r="O612" s="2" t="s">
        <v>1606</v>
      </c>
      <c r="P612" s="2"/>
      <c r="Q612" s="2" t="s">
        <v>1632</v>
      </c>
      <c r="R612" s="2"/>
    </row>
    <row r="613" spans="1:18">
      <c r="A613" s="2" t="s">
        <v>1634</v>
      </c>
      <c r="B613" s="2" t="s">
        <v>1635</v>
      </c>
      <c r="C613" s="2" t="s">
        <v>1631</v>
      </c>
      <c r="D613" s="2">
        <v>0.5</v>
      </c>
      <c r="E613" s="2">
        <v>1</v>
      </c>
      <c r="F613" s="3">
        <f>IF(COUNT(D613,E613)=2,D613*E613,NA())</f>
        <v>0.5</v>
      </c>
      <c r="G613" s="2" t="s">
        <v>1041</v>
      </c>
      <c r="H613" s="2"/>
      <c r="I613" s="2" t="s">
        <v>61</v>
      </c>
      <c r="J613" s="2" t="s">
        <v>1605</v>
      </c>
      <c r="K613" s="2"/>
      <c r="L613" s="2" t="s">
        <v>7</v>
      </c>
      <c r="M613" s="2" t="s">
        <v>897</v>
      </c>
      <c r="N613" s="2" t="s">
        <v>65</v>
      </c>
      <c r="O613" s="2" t="s">
        <v>1606</v>
      </c>
      <c r="P613" s="2"/>
      <c r="Q613" s="2" t="s">
        <v>1634</v>
      </c>
      <c r="R613" s="2" t="s">
        <v>1588</v>
      </c>
    </row>
    <row r="614" spans="1:18">
      <c r="A614" s="2" t="s">
        <v>1636</v>
      </c>
      <c r="B614" s="2" t="s">
        <v>1637</v>
      </c>
      <c r="C614" s="2" t="s">
        <v>1631</v>
      </c>
      <c r="D614" s="2">
        <v>0.3</v>
      </c>
      <c r="E614" s="2">
        <v>1</v>
      </c>
      <c r="F614" s="3">
        <f>IF(COUNT(D614,E614)=2,D614*E614,NA())</f>
        <v>0.3</v>
      </c>
      <c r="G614" s="2" t="s">
        <v>768</v>
      </c>
      <c r="H614" s="2"/>
      <c r="I614" s="2" t="s">
        <v>61</v>
      </c>
      <c r="J614" s="2" t="s">
        <v>1605</v>
      </c>
      <c r="K614" s="2"/>
      <c r="L614" s="2" t="s">
        <v>7</v>
      </c>
      <c r="M614" s="2" t="s">
        <v>897</v>
      </c>
      <c r="N614" s="2" t="s">
        <v>65</v>
      </c>
      <c r="O614" s="2" t="s">
        <v>1606</v>
      </c>
      <c r="P614" s="2"/>
      <c r="Q614" s="2" t="s">
        <v>1636</v>
      </c>
      <c r="R614" s="2"/>
    </row>
    <row r="615" spans="1:18">
      <c r="A615" s="2" t="s">
        <v>1638</v>
      </c>
      <c r="B615" s="2" t="s">
        <v>1639</v>
      </c>
      <c r="C615" s="2" t="s">
        <v>1631</v>
      </c>
      <c r="D615" s="2">
        <v>0.1</v>
      </c>
      <c r="E615" s="2">
        <v>1</v>
      </c>
      <c r="F615" s="3">
        <f>IF(COUNT(D615,E615)=2,D615*E615,NA())</f>
        <v>0.1</v>
      </c>
      <c r="G615" s="2" t="s">
        <v>768</v>
      </c>
      <c r="H615" s="2"/>
      <c r="I615" s="2" t="s">
        <v>61</v>
      </c>
      <c r="J615" s="2" t="s">
        <v>1605</v>
      </c>
      <c r="K615" s="2"/>
      <c r="L615" s="2" t="s">
        <v>7</v>
      </c>
      <c r="M615" s="2" t="s">
        <v>897</v>
      </c>
      <c r="N615" s="2" t="s">
        <v>65</v>
      </c>
      <c r="O615" s="2" t="s">
        <v>1606</v>
      </c>
      <c r="P615" s="2"/>
      <c r="Q615" s="2" t="s">
        <v>1638</v>
      </c>
      <c r="R615" s="2"/>
    </row>
    <row r="616" spans="1:18">
      <c r="A616" s="2" t="s">
        <v>1640</v>
      </c>
      <c r="B616" s="2" t="s">
        <v>1641</v>
      </c>
      <c r="C616" s="2" t="s">
        <v>1631</v>
      </c>
      <c r="D616" s="2">
        <v>0.85</v>
      </c>
      <c r="E616" s="2">
        <v>1</v>
      </c>
      <c r="F616" s="3">
        <f>IF(COUNT(D616,E616)=2,D616*E616,NA())</f>
        <v>0.85</v>
      </c>
      <c r="G616" s="2" t="s">
        <v>768</v>
      </c>
      <c r="H616" s="2"/>
      <c r="I616" s="2" t="s">
        <v>61</v>
      </c>
      <c r="J616" s="2" t="s">
        <v>1605</v>
      </c>
      <c r="K616" s="2"/>
      <c r="L616" s="2" t="s">
        <v>7</v>
      </c>
      <c r="M616" s="2" t="s">
        <v>897</v>
      </c>
      <c r="N616" s="2" t="s">
        <v>65</v>
      </c>
      <c r="O616" s="2" t="s">
        <v>1606</v>
      </c>
      <c r="P616" s="2"/>
      <c r="Q616" s="2" t="s">
        <v>1640</v>
      </c>
      <c r="R616" s="2"/>
    </row>
    <row r="617" spans="1:18">
      <c r="A617" s="2" t="s">
        <v>1642</v>
      </c>
      <c r="B617" s="2" t="s">
        <v>1643</v>
      </c>
      <c r="C617" s="2" t="s">
        <v>1617</v>
      </c>
      <c r="D617" s="2">
        <v>0.15</v>
      </c>
      <c r="E617" s="2">
        <v>1</v>
      </c>
      <c r="F617" s="3">
        <f>IF(COUNT(D617,E617)=2,D617*E617,NA())</f>
        <v>0.15</v>
      </c>
      <c r="G617" s="2" t="s">
        <v>768</v>
      </c>
      <c r="H617" s="2"/>
      <c r="I617" s="2" t="s">
        <v>61</v>
      </c>
      <c r="J617" s="2" t="s">
        <v>1605</v>
      </c>
      <c r="K617" s="2"/>
      <c r="L617" s="2" t="s">
        <v>7</v>
      </c>
      <c r="M617" s="2" t="s">
        <v>897</v>
      </c>
      <c r="N617" s="2" t="s">
        <v>65</v>
      </c>
      <c r="O617" s="2" t="s">
        <v>1606</v>
      </c>
      <c r="P617" s="2"/>
      <c r="Q617" s="2" t="s">
        <v>1642</v>
      </c>
      <c r="R617" s="2"/>
    </row>
    <row r="618" spans="1:18">
      <c r="A618" s="2" t="s">
        <v>1644</v>
      </c>
      <c r="B618" s="2" t="s">
        <v>1645</v>
      </c>
      <c r="C618" s="2" t="s">
        <v>1617</v>
      </c>
      <c r="D618" s="2">
        <v>0.1</v>
      </c>
      <c r="E618" s="2">
        <v>1</v>
      </c>
      <c r="F618" s="3">
        <f>IF(COUNT(D618,E618)=2,D618*E618,NA())</f>
        <v>0.1</v>
      </c>
      <c r="G618" s="2" t="s">
        <v>768</v>
      </c>
      <c r="H618" s="2"/>
      <c r="I618" s="2" t="s">
        <v>61</v>
      </c>
      <c r="J618" s="2" t="s">
        <v>1605</v>
      </c>
      <c r="K618" s="2"/>
      <c r="L618" s="2" t="s">
        <v>7</v>
      </c>
      <c r="M618" s="2" t="s">
        <v>897</v>
      </c>
      <c r="N618" s="2" t="s">
        <v>65</v>
      </c>
      <c r="O618" s="2" t="s">
        <v>1606</v>
      </c>
      <c r="P618" s="2"/>
      <c r="Q618" s="2" t="s">
        <v>1644</v>
      </c>
      <c r="R618" s="2"/>
    </row>
    <row r="619" spans="1:18">
      <c r="A619" s="2" t="s">
        <v>1646</v>
      </c>
      <c r="B619" s="2" t="s">
        <v>1647</v>
      </c>
      <c r="C619" s="2" t="s">
        <v>1617</v>
      </c>
      <c r="D619" s="2">
        <v>4</v>
      </c>
      <c r="E619" s="2">
        <v>1</v>
      </c>
      <c r="F619" s="3">
        <f>IF(COUNT(D619,E619)=2,D619*E619,NA())</f>
        <v>4.0</v>
      </c>
      <c r="G619" s="2" t="s">
        <v>1041</v>
      </c>
      <c r="H619" s="2"/>
      <c r="I619" s="2" t="s">
        <v>61</v>
      </c>
      <c r="J619" s="2" t="s">
        <v>1605</v>
      </c>
      <c r="K619" s="2"/>
      <c r="L619" s="2" t="s">
        <v>7</v>
      </c>
      <c r="M619" s="2" t="s">
        <v>897</v>
      </c>
      <c r="N619" s="2" t="s">
        <v>65</v>
      </c>
      <c r="O619" s="2" t="s">
        <v>1606</v>
      </c>
      <c r="P619" s="2"/>
      <c r="Q619" s="2" t="s">
        <v>1646</v>
      </c>
      <c r="R619" s="2" t="s">
        <v>1648</v>
      </c>
    </row>
    <row r="620" spans="1:18">
      <c r="A620" s="2" t="s">
        <v>1649</v>
      </c>
      <c r="B620" s="2" t="s">
        <v>1650</v>
      </c>
      <c r="C620" s="2" t="s">
        <v>1617</v>
      </c>
      <c r="D620" s="2">
        <v>6</v>
      </c>
      <c r="E620" s="2">
        <v>1</v>
      </c>
      <c r="F620" s="3">
        <f>IF(COUNT(D620,E620)=2,D620*E620,NA())</f>
        <v>6.0</v>
      </c>
      <c r="G620" s="2" t="s">
        <v>1041</v>
      </c>
      <c r="H620" s="2"/>
      <c r="I620" s="2" t="s">
        <v>61</v>
      </c>
      <c r="J620" s="2" t="s">
        <v>1605</v>
      </c>
      <c r="K620" s="2"/>
      <c r="L620" s="2" t="s">
        <v>7</v>
      </c>
      <c r="M620" s="2" t="s">
        <v>897</v>
      </c>
      <c r="N620" s="2" t="s">
        <v>65</v>
      </c>
      <c r="O620" s="2" t="s">
        <v>1606</v>
      </c>
      <c r="P620" s="2"/>
      <c r="Q620" s="2" t="s">
        <v>1649</v>
      </c>
      <c r="R620" s="2" t="s">
        <v>1648</v>
      </c>
    </row>
    <row r="621" spans="1:18">
      <c r="A621" s="2" t="s">
        <v>1651</v>
      </c>
      <c r="B621" s="2" t="s">
        <v>1652</v>
      </c>
      <c r="C621" s="2" t="s">
        <v>1604</v>
      </c>
      <c r="D621" s="2">
        <v>0.12</v>
      </c>
      <c r="E621" s="2">
        <v>1</v>
      </c>
      <c r="F621" s="3">
        <f>IF(COUNT(D621,E621)=2,D621*E621,NA())</f>
        <v>0.12</v>
      </c>
      <c r="G621" s="2" t="s">
        <v>768</v>
      </c>
      <c r="H621" s="2"/>
      <c r="I621" s="2" t="s">
        <v>61</v>
      </c>
      <c r="J621" s="2" t="s">
        <v>1605</v>
      </c>
      <c r="K621" s="2"/>
      <c r="L621" s="2" t="s">
        <v>7</v>
      </c>
      <c r="M621" s="2" t="s">
        <v>897</v>
      </c>
      <c r="N621" s="2" t="s">
        <v>65</v>
      </c>
      <c r="O621" s="2" t="s">
        <v>1606</v>
      </c>
      <c r="P621" s="2"/>
      <c r="Q621" s="2" t="s">
        <v>1651</v>
      </c>
      <c r="R621" s="2"/>
    </row>
    <row r="622" spans="1:18">
      <c r="A622" s="2" t="s">
        <v>1653</v>
      </c>
      <c r="B622" s="2" t="s">
        <v>1654</v>
      </c>
      <c r="C622" s="2" t="s">
        <v>1604</v>
      </c>
      <c r="D622" s="2">
        <v>5</v>
      </c>
      <c r="E622" s="2">
        <v>1</v>
      </c>
      <c r="F622" s="3">
        <f>IF(COUNT(D622,E622)=2,D622*E622,NA())</f>
        <v>5.0</v>
      </c>
      <c r="G622" s="2" t="s">
        <v>768</v>
      </c>
      <c r="H622" s="2"/>
      <c r="I622" s="2" t="s">
        <v>61</v>
      </c>
      <c r="J622" s="2" t="s">
        <v>1605</v>
      </c>
      <c r="K622" s="2"/>
      <c r="L622" s="2" t="s">
        <v>7</v>
      </c>
      <c r="M622" s="2" t="s">
        <v>897</v>
      </c>
      <c r="N622" s="2" t="s">
        <v>65</v>
      </c>
      <c r="O622" s="2" t="s">
        <v>1606</v>
      </c>
      <c r="P622" s="2"/>
      <c r="Q622" s="2" t="s">
        <v>1653</v>
      </c>
      <c r="R622" s="2" t="s">
        <v>772</v>
      </c>
    </row>
    <row r="623" spans="1:18">
      <c r="A623" s="2" t="s">
        <v>1655</v>
      </c>
      <c r="B623" s="2" t="s">
        <v>1656</v>
      </c>
      <c r="C623" s="2" t="s">
        <v>1532</v>
      </c>
      <c r="D623" s="2">
        <v>0.9</v>
      </c>
      <c r="E623" s="2">
        <v>1</v>
      </c>
      <c r="F623" s="3">
        <f>IF(COUNT(D623,E623)=2,D623*E623,NA())</f>
        <v>0.9</v>
      </c>
      <c r="G623" s="2" t="s">
        <v>768</v>
      </c>
      <c r="H623" s="2"/>
      <c r="I623" s="2" t="s">
        <v>61</v>
      </c>
      <c r="J623" s="2" t="s">
        <v>1605</v>
      </c>
      <c r="K623" s="2"/>
      <c r="L623" s="2" t="s">
        <v>7</v>
      </c>
      <c r="M623" s="2" t="s">
        <v>897</v>
      </c>
      <c r="N623" s="2" t="s">
        <v>65</v>
      </c>
      <c r="O623" s="2" t="s">
        <v>1606</v>
      </c>
      <c r="P623" s="2"/>
      <c r="Q623" s="2" t="s">
        <v>1655</v>
      </c>
      <c r="R623" s="2"/>
    </row>
    <row r="624" spans="1:18">
      <c r="A624" s="2" t="s">
        <v>1657</v>
      </c>
      <c r="B624" s="2" t="s">
        <v>1658</v>
      </c>
      <c r="C624" s="2" t="s">
        <v>1659</v>
      </c>
      <c r="D624" s="2">
        <v>6</v>
      </c>
      <c r="E624" s="2">
        <v>1</v>
      </c>
      <c r="F624" s="3">
        <f>IF(COUNT(D624,E624)=2,D624*E624,NA())</f>
        <v>6.0</v>
      </c>
      <c r="G624" s="2" t="s">
        <v>1041</v>
      </c>
      <c r="H624" s="2"/>
      <c r="I624" s="2" t="s">
        <v>61</v>
      </c>
      <c r="J624" s="2" t="s">
        <v>1605</v>
      </c>
      <c r="K624" s="2"/>
      <c r="L624" s="2" t="s">
        <v>7</v>
      </c>
      <c r="M624" s="2" t="s">
        <v>897</v>
      </c>
      <c r="N624" s="2" t="s">
        <v>897</v>
      </c>
      <c r="O624" s="2" t="s">
        <v>1606</v>
      </c>
      <c r="P624" s="2" t="s">
        <v>1660</v>
      </c>
      <c r="Q624" s="2" t="s">
        <v>1657</v>
      </c>
      <c r="R624" s="2" t="s">
        <v>1661</v>
      </c>
    </row>
    <row r="625" spans="1:18">
      <c r="A625" s="2" t="s">
        <v>1662</v>
      </c>
      <c r="B625" s="2" t="s">
        <v>1663</v>
      </c>
      <c r="C625" s="2" t="s">
        <v>1659</v>
      </c>
      <c r="D625" s="2">
        <v>5</v>
      </c>
      <c r="E625" s="2">
        <v>1</v>
      </c>
      <c r="F625" s="3">
        <f>IF(COUNT(D625,E625)=2,D625*E625,NA())</f>
        <v>5.0</v>
      </c>
      <c r="G625" s="2" t="s">
        <v>1041</v>
      </c>
      <c r="H625" s="2"/>
      <c r="I625" s="2" t="s">
        <v>61</v>
      </c>
      <c r="J625" s="2" t="s">
        <v>1605</v>
      </c>
      <c r="K625" s="2"/>
      <c r="L625" s="2" t="s">
        <v>7</v>
      </c>
      <c r="M625" s="2" t="s">
        <v>897</v>
      </c>
      <c r="N625" s="2" t="s">
        <v>897</v>
      </c>
      <c r="O625" s="2" t="s">
        <v>1606</v>
      </c>
      <c r="P625" s="2" t="s">
        <v>1664</v>
      </c>
      <c r="Q625" s="2" t="s">
        <v>1662</v>
      </c>
      <c r="R625" s="2" t="s">
        <v>1661</v>
      </c>
    </row>
    <row r="626" spans="1:18">
      <c r="A626" s="2" t="s">
        <v>1665</v>
      </c>
      <c r="B626" s="2" t="s">
        <v>1666</v>
      </c>
      <c r="C626" s="2" t="s">
        <v>1659</v>
      </c>
      <c r="D626" s="2">
        <v>0</v>
      </c>
      <c r="E626" s="2">
        <v>1</v>
      </c>
      <c r="F626" s="3">
        <f>IF(COUNT(D626,E626)=2,D626*E626,NA())</f>
        <v>0.0</v>
      </c>
      <c r="G626" s="2" t="s">
        <v>1041</v>
      </c>
      <c r="H626" s="2"/>
      <c r="I626" s="2" t="s">
        <v>61</v>
      </c>
      <c r="J626" s="2" t="s">
        <v>1605</v>
      </c>
      <c r="K626" s="2"/>
      <c r="L626" s="2" t="s">
        <v>7</v>
      </c>
      <c r="M626" s="2" t="s">
        <v>897</v>
      </c>
      <c r="N626" s="2" t="s">
        <v>897</v>
      </c>
      <c r="O626" s="2" t="s">
        <v>1606</v>
      </c>
      <c r="P626" s="2" t="s">
        <v>1667</v>
      </c>
      <c r="Q626" s="2" t="s">
        <v>1665</v>
      </c>
      <c r="R626" s="2" t="s">
        <v>1661</v>
      </c>
    </row>
    <row r="627" spans="1:18">
      <c r="A627" s="2" t="s">
        <v>1668</v>
      </c>
      <c r="B627" s="2" t="s">
        <v>1669</v>
      </c>
      <c r="C627" s="2" t="s">
        <v>1670</v>
      </c>
      <c r="D627" s="2"/>
      <c r="E627" s="2">
        <v>1</v>
      </c>
      <c r="F627" s="3" t="e">
        <f>IF(COUNT(D627,E627)=2,D627*E627,NA())</f>
        <v>#N/A</v>
      </c>
      <c r="G627" s="2" t="s">
        <v>1041</v>
      </c>
      <c r="H627" s="2"/>
      <c r="I627" s="2" t="s">
        <v>61</v>
      </c>
      <c r="J627" s="2" t="s">
        <v>1605</v>
      </c>
      <c r="K627" s="2"/>
      <c r="L627" s="2" t="s">
        <v>7</v>
      </c>
      <c r="M627" s="2" t="s">
        <v>897</v>
      </c>
      <c r="N627" s="2" t="s">
        <v>879</v>
      </c>
      <c r="O627" s="2" t="s">
        <v>1606</v>
      </c>
      <c r="P627" s="2" t="s">
        <v>1671</v>
      </c>
      <c r="Q627" s="2" t="s">
        <v>1668</v>
      </c>
      <c r="R627" s="2" t="s">
        <v>1672</v>
      </c>
    </row>
    <row r="628" spans="1:18">
      <c r="A628" s="2" t="s">
        <v>1673</v>
      </c>
      <c r="B628" s="2" t="s">
        <v>1674</v>
      </c>
      <c r="C628" s="2" t="s">
        <v>1675</v>
      </c>
      <c r="D628" s="2"/>
      <c r="E628" s="2">
        <v>1000000</v>
      </c>
      <c r="F628" s="3" t="e">
        <f>IF(COUNT(D628,E628)=2,D628*E628,NA())</f>
        <v>#N/A</v>
      </c>
      <c r="G628" s="2" t="s">
        <v>59</v>
      </c>
      <c r="H628" s="2" t="s">
        <v>60</v>
      </c>
      <c r="I628" s="2" t="s">
        <v>61</v>
      </c>
      <c r="J628" s="2" t="s">
        <v>1605</v>
      </c>
      <c r="K628" s="2"/>
      <c r="L628" s="2" t="s">
        <v>7</v>
      </c>
      <c r="M628" s="2" t="s">
        <v>897</v>
      </c>
      <c r="N628" s="2" t="s">
        <v>879</v>
      </c>
      <c r="O628" s="2" t="s">
        <v>1606</v>
      </c>
      <c r="P628" s="2" t="s">
        <v>1676</v>
      </c>
      <c r="Q628" s="2" t="s">
        <v>1673</v>
      </c>
      <c r="R628" s="2"/>
    </row>
    <row r="629" spans="1:18">
      <c r="A629" s="2" t="s">
        <v>1677</v>
      </c>
      <c r="B629" s="2" t="s">
        <v>1678</v>
      </c>
      <c r="C629" s="2" t="s">
        <v>1631</v>
      </c>
      <c r="D629" s="2"/>
      <c r="E629" s="2">
        <v>1000000</v>
      </c>
      <c r="F629" s="3" t="e">
        <f>IF(COUNT(D629,E629)=2,D629*E629,NA())</f>
        <v>#N/A</v>
      </c>
      <c r="G629" s="2" t="s">
        <v>59</v>
      </c>
      <c r="H629" s="2" t="s">
        <v>60</v>
      </c>
      <c r="I629" s="2" t="s">
        <v>61</v>
      </c>
      <c r="J629" s="2" t="s">
        <v>1605</v>
      </c>
      <c r="K629" s="2"/>
      <c r="L629" s="2" t="s">
        <v>7</v>
      </c>
      <c r="M629" s="2" t="s">
        <v>897</v>
      </c>
      <c r="N629" s="2" t="s">
        <v>879</v>
      </c>
      <c r="O629" s="2" t="s">
        <v>1606</v>
      </c>
      <c r="P629" s="2" t="s">
        <v>1679</v>
      </c>
      <c r="Q629" s="2" t="s">
        <v>1677</v>
      </c>
      <c r="R629" s="2"/>
    </row>
    <row r="630" spans="1:18">
      <c r="A630" s="2" t="s">
        <v>1680</v>
      </c>
      <c r="B630" s="2" t="s">
        <v>1681</v>
      </c>
      <c r="C630" s="2" t="s">
        <v>1631</v>
      </c>
      <c r="D630" s="2"/>
      <c r="E630" s="2">
        <v>1000000</v>
      </c>
      <c r="F630" s="3" t="e">
        <f>IF(COUNT(D630,E630)=2,D630*E630,NA())</f>
        <v>#N/A</v>
      </c>
      <c r="G630" s="2" t="s">
        <v>59</v>
      </c>
      <c r="H630" s="2" t="s">
        <v>60</v>
      </c>
      <c r="I630" s="2" t="s">
        <v>61</v>
      </c>
      <c r="J630" s="2" t="s">
        <v>1605</v>
      </c>
      <c r="K630" s="2"/>
      <c r="L630" s="2" t="s">
        <v>7</v>
      </c>
      <c r="M630" s="2" t="s">
        <v>897</v>
      </c>
      <c r="N630" s="2" t="s">
        <v>879</v>
      </c>
      <c r="O630" s="2" t="s">
        <v>1606</v>
      </c>
      <c r="P630" s="2" t="s">
        <v>1682</v>
      </c>
      <c r="Q630" s="2" t="s">
        <v>1680</v>
      </c>
      <c r="R630" s="2"/>
    </row>
    <row r="631" spans="1:18">
      <c r="A631" s="2" t="s">
        <v>1683</v>
      </c>
      <c r="B631" s="2" t="s">
        <v>1684</v>
      </c>
      <c r="C631" s="2" t="s">
        <v>1685</v>
      </c>
      <c r="D631" s="2"/>
      <c r="E631" s="2">
        <v>1000000</v>
      </c>
      <c r="F631" s="3" t="e">
        <f>IF(COUNT(D631,E631)=2,D631*E631,NA())</f>
        <v>#N/A</v>
      </c>
      <c r="G631" s="2" t="s">
        <v>59</v>
      </c>
      <c r="H631" s="2" t="s">
        <v>60</v>
      </c>
      <c r="I631" s="2" t="s">
        <v>61</v>
      </c>
      <c r="J631" s="2" t="s">
        <v>1605</v>
      </c>
      <c r="K631" s="2"/>
      <c r="L631" s="2" t="s">
        <v>7</v>
      </c>
      <c r="M631" s="2" t="s">
        <v>897</v>
      </c>
      <c r="N631" s="2" t="s">
        <v>879</v>
      </c>
      <c r="O631" s="2" t="s">
        <v>1606</v>
      </c>
      <c r="P631" s="2" t="s">
        <v>1686</v>
      </c>
      <c r="Q631" s="2" t="s">
        <v>1683</v>
      </c>
      <c r="R631" s="2"/>
    </row>
    <row r="632" spans="1:18">
      <c r="A632" s="2" t="s">
        <v>1687</v>
      </c>
      <c r="B632" s="2" t="s">
        <v>1688</v>
      </c>
      <c r="C632" s="2" t="s">
        <v>1689</v>
      </c>
      <c r="D632" s="2"/>
      <c r="E632" s="2">
        <v>1000000</v>
      </c>
      <c r="F632" s="3" t="e">
        <f>IF(COUNT(D632,E632)=2,D632*E632,NA())</f>
        <v>#N/A</v>
      </c>
      <c r="G632" s="2" t="s">
        <v>59</v>
      </c>
      <c r="H632" s="2" t="s">
        <v>60</v>
      </c>
      <c r="I632" s="2" t="s">
        <v>61</v>
      </c>
      <c r="J632" s="2" t="s">
        <v>1605</v>
      </c>
      <c r="K632" s="2"/>
      <c r="L632" s="2" t="s">
        <v>7</v>
      </c>
      <c r="M632" s="2" t="s">
        <v>897</v>
      </c>
      <c r="N632" s="2" t="s">
        <v>879</v>
      </c>
      <c r="O632" s="2" t="s">
        <v>1606</v>
      </c>
      <c r="P632" s="2" t="s">
        <v>1690</v>
      </c>
      <c r="Q632" s="2" t="s">
        <v>1687</v>
      </c>
      <c r="R632" s="2"/>
    </row>
    <row r="633" spans="1:18">
      <c r="A633" s="2" t="s">
        <v>1691</v>
      </c>
      <c r="B633" s="2" t="s">
        <v>1692</v>
      </c>
      <c r="C633" s="2" t="s">
        <v>1693</v>
      </c>
      <c r="D633" s="2"/>
      <c r="E633" s="2">
        <v>1</v>
      </c>
      <c r="F633" s="3" t="e">
        <f>IF(COUNT(D633,E633)=2,D633*E633,NA())</f>
        <v>#N/A</v>
      </c>
      <c r="G633" s="2" t="s">
        <v>1041</v>
      </c>
      <c r="H633" s="2"/>
      <c r="I633" s="2" t="s">
        <v>61</v>
      </c>
      <c r="J633" s="2" t="s">
        <v>1605</v>
      </c>
      <c r="K633" s="2"/>
      <c r="L633" s="2" t="s">
        <v>7</v>
      </c>
      <c r="M633" s="2" t="s">
        <v>897</v>
      </c>
      <c r="N633" s="2" t="s">
        <v>879</v>
      </c>
      <c r="O633" s="2" t="s">
        <v>1606</v>
      </c>
      <c r="P633" s="2" t="s">
        <v>1694</v>
      </c>
      <c r="Q633" s="2" t="s">
        <v>1691</v>
      </c>
      <c r="R633" s="2" t="s">
        <v>1588</v>
      </c>
    </row>
    <row r="634" spans="1:18">
      <c r="A634" s="2" t="s">
        <v>1695</v>
      </c>
      <c r="B634" s="2" t="s">
        <v>1696</v>
      </c>
      <c r="C634" s="2" t="s">
        <v>1697</v>
      </c>
      <c r="D634" s="2"/>
      <c r="E634" s="2">
        <v>1000000</v>
      </c>
      <c r="F634" s="3" t="e">
        <f>IF(COUNT(D634,E634)=2,D634*E634,NA())</f>
        <v>#N/A</v>
      </c>
      <c r="G634" s="2" t="s">
        <v>59</v>
      </c>
      <c r="H634" s="2" t="s">
        <v>60</v>
      </c>
      <c r="I634" s="2" t="s">
        <v>61</v>
      </c>
      <c r="J634" s="2" t="s">
        <v>1605</v>
      </c>
      <c r="K634" s="2"/>
      <c r="L634" s="2" t="s">
        <v>7</v>
      </c>
      <c r="M634" s="2" t="s">
        <v>897</v>
      </c>
      <c r="N634" s="2" t="s">
        <v>879</v>
      </c>
      <c r="O634" s="2" t="s">
        <v>1606</v>
      </c>
      <c r="P634" s="2" t="s">
        <v>1698</v>
      </c>
      <c r="Q634" s="2" t="s">
        <v>1695</v>
      </c>
      <c r="R634" s="2"/>
    </row>
    <row r="635" spans="1:18">
      <c r="A635" s="2" t="s">
        <v>1699</v>
      </c>
      <c r="B635" s="2" t="s">
        <v>1700</v>
      </c>
      <c r="C635" s="2" t="s">
        <v>1685</v>
      </c>
      <c r="D635" s="2">
        <v>7</v>
      </c>
      <c r="E635" s="2">
        <v>1</v>
      </c>
      <c r="F635" s="3">
        <f>IF(COUNT(D635,E635)=2,D635*E635,NA())</f>
        <v>7.0</v>
      </c>
      <c r="G635" s="2" t="s">
        <v>768</v>
      </c>
      <c r="H635" s="2"/>
      <c r="I635" s="2" t="s">
        <v>61</v>
      </c>
      <c r="J635" s="2" t="s">
        <v>1701</v>
      </c>
      <c r="K635" s="2"/>
      <c r="L635" s="2" t="s">
        <v>7</v>
      </c>
      <c r="M635" s="2" t="s">
        <v>897</v>
      </c>
      <c r="N635" s="2" t="s">
        <v>65</v>
      </c>
      <c r="O635" s="2" t="s">
        <v>1702</v>
      </c>
      <c r="P635" s="2" t="s">
        <v>1703</v>
      </c>
      <c r="Q635" s="2" t="s">
        <v>1704</v>
      </c>
      <c r="R635" s="2" t="s">
        <v>772</v>
      </c>
    </row>
    <row r="636" spans="1:18">
      <c r="A636" s="2" t="s">
        <v>1705</v>
      </c>
      <c r="B636" s="2" t="s">
        <v>1706</v>
      </c>
      <c r="C636" s="2" t="s">
        <v>1685</v>
      </c>
      <c r="D636" s="2">
        <v>3.5</v>
      </c>
      <c r="E636" s="2">
        <v>1</v>
      </c>
      <c r="F636" s="3">
        <f>IF(COUNT(D636,E636)=2,D636*E636,NA())</f>
        <v>3.5</v>
      </c>
      <c r="G636" s="2" t="s">
        <v>768</v>
      </c>
      <c r="H636" s="2"/>
      <c r="I636" s="2" t="s">
        <v>61</v>
      </c>
      <c r="J636" s="2" t="s">
        <v>1701</v>
      </c>
      <c r="K636" s="2"/>
      <c r="L636" s="2" t="s">
        <v>7</v>
      </c>
      <c r="M636" s="2" t="s">
        <v>897</v>
      </c>
      <c r="N636" s="2" t="s">
        <v>65</v>
      </c>
      <c r="O636" s="2" t="s">
        <v>1707</v>
      </c>
      <c r="P636" s="2" t="s">
        <v>1708</v>
      </c>
      <c r="Q636" s="2" t="s">
        <v>1709</v>
      </c>
      <c r="R636" s="2" t="s">
        <v>772</v>
      </c>
    </row>
    <row r="637" spans="1:18">
      <c r="A637" s="2" t="s">
        <v>1710</v>
      </c>
      <c r="B637" s="2" t="s">
        <v>1711</v>
      </c>
      <c r="C637" s="2" t="s">
        <v>1631</v>
      </c>
      <c r="D637" s="2">
        <v>0.7</v>
      </c>
      <c r="E637" s="2">
        <v>1</v>
      </c>
      <c r="F637" s="3">
        <f>IF(COUNT(D637,E637)=2,D637*E637,NA())</f>
        <v>0.7</v>
      </c>
      <c r="G637" s="2" t="s">
        <v>768</v>
      </c>
      <c r="H637" s="2"/>
      <c r="I637" s="2" t="s">
        <v>61</v>
      </c>
      <c r="J637" s="2" t="s">
        <v>1605</v>
      </c>
      <c r="K637" s="2"/>
      <c r="L637" s="2" t="s">
        <v>7</v>
      </c>
      <c r="M637" s="2" t="s">
        <v>897</v>
      </c>
      <c r="N637" s="2" t="s">
        <v>65</v>
      </c>
      <c r="O637" s="2" t="s">
        <v>1606</v>
      </c>
      <c r="P637" s="2" t="s">
        <v>1712</v>
      </c>
      <c r="Q637" s="2" t="s">
        <v>1636</v>
      </c>
      <c r="R637" s="2"/>
    </row>
  </sheetData>
  <autoFilter ref="A1:R637"/>
  <pageMargins left="0.7" right="0.7" top="0.75" bottom="0.75" header="0.3" footer="0.3"/>
</worksheet>
</file>

<file path=xl/worksheets/sheet3.xml><?xml version="1.0" encoding="utf-8"?>
<worksheet xmlns="http://schemas.openxmlformats.org/spreadsheetml/2006/main" xmlns:r="http://schemas.openxmlformats.org/officeDocument/2006/relationships">
  <sheetPr>
    <pageSetUpPr fitToPage="1"/>
  </sheetPr>
  <dimension ref="A1:O124"/>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4.7109375" customWidth="1"/>
    <col min="2" max="2" width="20.7109375" customWidth="1"/>
    <col min="3" max="3" width="44.7109375" customWidth="1"/>
    <col min="4" max="5" width="24.7109375" customWidth="1"/>
    <col min="6" max="6" width="13.7109375" customWidth="1"/>
    <col min="7" max="7" width="18.7109375" customWidth="1"/>
    <col min="8" max="8" width="22.7109375" customWidth="1"/>
    <col min="9" max="9" width="24.7109375" customWidth="1"/>
    <col min="10" max="10" width="12.7109375" customWidth="1"/>
    <col min="11" max="11" width="8.7109375" customWidth="1"/>
    <col min="12" max="12" width="16.7109375" customWidth="1"/>
    <col min="13" max="13" width="10.7109375" customWidth="1"/>
    <col min="14" max="15" width="11.7109375" customWidth="1"/>
  </cols>
  <sheetData>
    <row r="1" spans="1:15" ht="32" customHeight="1">
      <c r="A1" s="1" t="s">
        <v>40</v>
      </c>
      <c r="B1" s="1" t="s">
        <v>1713</v>
      </c>
      <c r="C1" s="1" t="s">
        <v>1714</v>
      </c>
      <c r="D1" s="1" t="s">
        <v>1715</v>
      </c>
      <c r="E1" s="1" t="s">
        <v>1716</v>
      </c>
      <c r="F1" s="1" t="s">
        <v>52</v>
      </c>
      <c r="G1" s="1" t="s">
        <v>1717</v>
      </c>
      <c r="H1" s="1" t="s">
        <v>1718</v>
      </c>
      <c r="I1" s="1" t="s">
        <v>1719</v>
      </c>
      <c r="J1" s="1" t="s">
        <v>1720</v>
      </c>
      <c r="K1" s="1" t="s">
        <v>44</v>
      </c>
      <c r="L1" s="1" t="s">
        <v>48</v>
      </c>
      <c r="M1" s="1" t="s">
        <v>8</v>
      </c>
      <c r="N1" s="1" t="s">
        <v>49</v>
      </c>
      <c r="O1" s="1" t="s">
        <v>50</v>
      </c>
    </row>
    <row r="2" spans="1:15">
      <c r="A2" s="2" t="s">
        <v>1721</v>
      </c>
      <c r="B2" s="2" t="s">
        <v>1722</v>
      </c>
      <c r="C2" s="2" t="s">
        <v>2115</v>
      </c>
      <c r="D2" s="3">
        <f>(('Facts'!F2*1)+('Facts'!F4*1)+('Facts'!F6*1)+('Facts'!F8*1)+('Facts'!F10*1)+('Facts'!F12*1)+('Facts'!F14*1))*1</f>
        <v>1144000000.0</v>
      </c>
      <c r="E2" s="3">
        <f>D2/K2</f>
        <v>1144.0</v>
      </c>
      <c r="F2" s="2" t="str">
        <f>IF(ISNUMBER(D2),"calculated","not_calculated")</f>
        <v>calculated</v>
      </c>
      <c r="G2" s="2">
        <f>IF(ISNUMBER(D2),"","检查缺失值、分母与输入；口径变更须重跑Python")</f>
        <v/>
      </c>
      <c r="H2" s="2" t="s">
        <v>1724</v>
      </c>
      <c r="I2" s="2" t="s">
        <v>1725</v>
      </c>
      <c r="J2" s="2" t="s">
        <v>1726</v>
      </c>
      <c r="K2" s="2">
        <v>1000000</v>
      </c>
      <c r="L2" s="2" t="s">
        <v>61</v>
      </c>
      <c r="M2" s="2" t="s">
        <v>62</v>
      </c>
      <c r="N2" s="2"/>
      <c r="O2" s="2" t="s">
        <v>63</v>
      </c>
    </row>
    <row r="3" spans="1:15">
      <c r="A3" s="2" t="s">
        <v>1727</v>
      </c>
      <c r="B3" s="2" t="s">
        <v>1728</v>
      </c>
      <c r="C3" s="2" t="s">
        <v>2116</v>
      </c>
      <c r="D3" s="3">
        <f>(('Facts'!F16*1)+('Facts'!F18*1)+('Facts'!F20*1)+('Facts'!F22*1)+('Facts'!F24*1)+('Facts'!F26*1)+('Facts'!F28*1)+('Facts'!F30*1)+('Facts'!F32*1))*1</f>
        <v>31518000000.0</v>
      </c>
      <c r="E3" s="3">
        <f>D3/K3</f>
        <v>31518.0</v>
      </c>
      <c r="F3" s="2" t="str">
        <f>IF(ISNUMBER(D3),"calculated","not_calculated")</f>
        <v>calculated</v>
      </c>
      <c r="G3" s="2">
        <f>IF(ISNUMBER(D3),"","检查缺失值、分母与输入；口径变更须重跑Python")</f>
        <v/>
      </c>
      <c r="H3" s="2" t="s">
        <v>1729</v>
      </c>
      <c r="I3" s="2" t="s">
        <v>1725</v>
      </c>
      <c r="J3" s="2" t="s">
        <v>1726</v>
      </c>
      <c r="K3" s="2">
        <v>1000000</v>
      </c>
      <c r="L3" s="2" t="s">
        <v>61</v>
      </c>
      <c r="M3" s="2" t="s">
        <v>62</v>
      </c>
      <c r="N3" s="2"/>
      <c r="O3" s="2" t="s">
        <v>63</v>
      </c>
    </row>
    <row r="4" spans="1:15">
      <c r="A4" s="2" t="s">
        <v>1730</v>
      </c>
      <c r="B4" s="2" t="s">
        <v>1731</v>
      </c>
      <c r="C4" s="2" t="s">
        <v>2117</v>
      </c>
      <c r="D4" s="3">
        <f>(('Facts'!F36*1)+('Facts'!F38*1)+('Facts'!F40*1)+('Facts'!F42*1)+('Facts'!F44*1)+('Facts'!F46*1)+('Facts'!F48*1))*1</f>
        <v>4479000000.0</v>
      </c>
      <c r="E4" s="3">
        <f>D4/K4</f>
        <v>4479.0</v>
      </c>
      <c r="F4" s="2" t="str">
        <f>IF(ISNUMBER(D4),"calculated","not_calculated")</f>
        <v>calculated</v>
      </c>
      <c r="G4" s="2">
        <f>IF(ISNUMBER(D4),"","检查缺失值、分母与输入；口径变更须重跑Python")</f>
        <v/>
      </c>
      <c r="H4" s="2" t="s">
        <v>1732</v>
      </c>
      <c r="I4" s="2" t="s">
        <v>1725</v>
      </c>
      <c r="J4" s="2" t="s">
        <v>1726</v>
      </c>
      <c r="K4" s="2">
        <v>1000000</v>
      </c>
      <c r="L4" s="2" t="s">
        <v>61</v>
      </c>
      <c r="M4" s="2" t="s">
        <v>62</v>
      </c>
      <c r="N4" s="2"/>
      <c r="O4" s="2" t="s">
        <v>63</v>
      </c>
    </row>
    <row r="5" spans="1:15">
      <c r="A5" s="2" t="s">
        <v>1733</v>
      </c>
      <c r="B5" s="2" t="s">
        <v>1734</v>
      </c>
      <c r="C5" s="2" t="s">
        <v>2118</v>
      </c>
      <c r="D5" s="3">
        <f>(('Facts'!F50*1)+('Facts'!F52*1)+('Facts'!F54*1)+('Facts'!F56*1)+('Facts'!F58*1))*1</f>
        <v>33153000000.0</v>
      </c>
      <c r="E5" s="3">
        <f>D5/K5</f>
        <v>33153.0</v>
      </c>
      <c r="F5" s="2" t="str">
        <f>IF(ISNUMBER(D5),"calculated","not_calculated")</f>
        <v>calculated</v>
      </c>
      <c r="G5" s="2">
        <f>IF(ISNUMBER(D5),"","检查缺失值、分母与输入；口径变更须重跑Python")</f>
        <v/>
      </c>
      <c r="H5" s="2" t="s">
        <v>1735</v>
      </c>
      <c r="I5" s="2" t="s">
        <v>1725</v>
      </c>
      <c r="J5" s="2" t="s">
        <v>1726</v>
      </c>
      <c r="K5" s="2">
        <v>1000000</v>
      </c>
      <c r="L5" s="2" t="s">
        <v>61</v>
      </c>
      <c r="M5" s="2" t="s">
        <v>62</v>
      </c>
      <c r="N5" s="2"/>
      <c r="O5" s="2" t="s">
        <v>63</v>
      </c>
    </row>
    <row r="6" spans="1:15">
      <c r="A6" s="2" t="s">
        <v>1736</v>
      </c>
      <c r="B6" s="2" t="s">
        <v>1737</v>
      </c>
      <c r="C6" s="2" t="s">
        <v>2119</v>
      </c>
      <c r="D6" s="3">
        <f>(('Facts'!F62*1)+('Facts'!F64*1)+('Facts'!F66*1)+('Facts'!F68*1))*1</f>
        <v>-1635000000.0</v>
      </c>
      <c r="E6" s="3">
        <f>D6/K6</f>
        <v>-1635.0</v>
      </c>
      <c r="F6" s="2" t="str">
        <f>IF(ISNUMBER(D6),"calculated","not_calculated")</f>
        <v>calculated</v>
      </c>
      <c r="G6" s="2">
        <f>IF(ISNUMBER(D6),"","检查缺失值、分母与输入；口径变更须重跑Python")</f>
        <v/>
      </c>
      <c r="H6" s="2" t="s">
        <v>1738</v>
      </c>
      <c r="I6" s="2" t="s">
        <v>1725</v>
      </c>
      <c r="J6" s="2" t="s">
        <v>1726</v>
      </c>
      <c r="K6" s="2">
        <v>1000000</v>
      </c>
      <c r="L6" s="2" t="s">
        <v>61</v>
      </c>
      <c r="M6" s="2" t="s">
        <v>62</v>
      </c>
      <c r="N6" s="2"/>
      <c r="O6" s="2" t="s">
        <v>63</v>
      </c>
    </row>
    <row r="7" spans="1:15">
      <c r="A7" s="2" t="s">
        <v>1739</v>
      </c>
      <c r="B7" s="2" t="s">
        <v>1740</v>
      </c>
      <c r="C7" s="2" t="s">
        <v>2120</v>
      </c>
      <c r="D7" s="3">
        <f>(('Facts'!F60*1)+('Facts'!F70*1))*1</f>
        <v>31518000000.0</v>
      </c>
      <c r="E7" s="3">
        <f>D7/K7</f>
        <v>31518.0</v>
      </c>
      <c r="F7" s="2" t="str">
        <f>IF(ISNUMBER(D7),"calculated","not_calculated")</f>
        <v>calculated</v>
      </c>
      <c r="G7" s="2">
        <f>IF(ISNUMBER(D7),"","检查缺失值、分母与输入；口径变更须重跑Python")</f>
        <v/>
      </c>
      <c r="H7" s="2" t="s">
        <v>1741</v>
      </c>
      <c r="I7" s="2" t="s">
        <v>1725</v>
      </c>
      <c r="J7" s="2" t="s">
        <v>1726</v>
      </c>
      <c r="K7" s="2">
        <v>1000000</v>
      </c>
      <c r="L7" s="2" t="s">
        <v>61</v>
      </c>
      <c r="M7" s="2" t="s">
        <v>62</v>
      </c>
      <c r="N7" s="2"/>
      <c r="O7" s="2" t="s">
        <v>63</v>
      </c>
    </row>
    <row r="8" spans="1:15">
      <c r="A8" s="2" t="s">
        <v>1742</v>
      </c>
      <c r="B8" s="2" t="s">
        <v>1743</v>
      </c>
      <c r="C8" s="2" t="s">
        <v>2121</v>
      </c>
      <c r="D8" s="3">
        <f>(('Facts'!F72*1)+('Facts'!F74*1))*1</f>
        <v>4264000000.0</v>
      </c>
      <c r="E8" s="3">
        <f>D8/K8</f>
        <v>4264.0</v>
      </c>
      <c r="F8" s="2" t="str">
        <f>IF(ISNUMBER(D8),"calculated","not_calculated")</f>
        <v>calculated</v>
      </c>
      <c r="G8" s="2">
        <f>IF(ISNUMBER(D8),"","检查缺失值、分母与输入；口径变更须重跑Python")</f>
        <v/>
      </c>
      <c r="H8" s="2" t="s">
        <v>1744</v>
      </c>
      <c r="I8" s="2" t="s">
        <v>1725</v>
      </c>
      <c r="J8" s="2" t="s">
        <v>1726</v>
      </c>
      <c r="K8" s="2">
        <v>1000000</v>
      </c>
      <c r="L8" s="2" t="s">
        <v>61</v>
      </c>
      <c r="M8" s="2" t="s">
        <v>62</v>
      </c>
      <c r="N8" s="2" t="s">
        <v>245</v>
      </c>
      <c r="O8" s="2" t="s">
        <v>63</v>
      </c>
    </row>
    <row r="9" spans="1:15">
      <c r="A9" s="2" t="s">
        <v>1745</v>
      </c>
      <c r="B9" s="2" t="s">
        <v>1746</v>
      </c>
      <c r="C9" s="2" t="s">
        <v>2122</v>
      </c>
      <c r="D9" s="3">
        <f>(('Facts'!F78*1)+('Facts'!F80*1)+('Facts'!F82*1)+('Facts'!F84*1)+('Facts'!F86*1)+('Facts'!F88*1)+('Facts'!F90*1))*1</f>
        <v>2189000000.0</v>
      </c>
      <c r="E9" s="3">
        <f>D9/K9</f>
        <v>2189.0</v>
      </c>
      <c r="F9" s="2" t="str">
        <f>IF(ISNUMBER(D9),"calculated","not_calculated")</f>
        <v>calculated</v>
      </c>
      <c r="G9" s="2">
        <f>IF(ISNUMBER(D9),"","检查缺失值、分母与输入；口径变更须重跑Python")</f>
        <v/>
      </c>
      <c r="H9" s="2" t="s">
        <v>1747</v>
      </c>
      <c r="I9" s="2" t="s">
        <v>1725</v>
      </c>
      <c r="J9" s="2" t="s">
        <v>1726</v>
      </c>
      <c r="K9" s="2">
        <v>1000000</v>
      </c>
      <c r="L9" s="2" t="s">
        <v>61</v>
      </c>
      <c r="M9" s="2" t="s">
        <v>62</v>
      </c>
      <c r="N9" s="2" t="s">
        <v>245</v>
      </c>
      <c r="O9" s="2" t="s">
        <v>63</v>
      </c>
    </row>
    <row r="10" spans="1:15">
      <c r="A10" s="2" t="s">
        <v>1748</v>
      </c>
      <c r="B10" s="2" t="s">
        <v>1749</v>
      </c>
      <c r="C10" s="2" t="s">
        <v>2123</v>
      </c>
      <c r="D10" s="3">
        <f>(('Facts'!F94*1)+('Facts'!F96*1)+('Facts'!F98*1)+('Facts'!F100*1))*1</f>
        <v>1119000000.0</v>
      </c>
      <c r="E10" s="3">
        <f>D10/K10</f>
        <v>1119.0</v>
      </c>
      <c r="F10" s="2" t="str">
        <f>IF(ISNUMBER(D10),"calculated","not_calculated")</f>
        <v>calculated</v>
      </c>
      <c r="G10" s="2">
        <f>IF(ISNUMBER(D10),"","检查缺失值、分母与输入；口径变更须重跑Python")</f>
        <v/>
      </c>
      <c r="H10" s="2" t="s">
        <v>1750</v>
      </c>
      <c r="I10" s="2" t="s">
        <v>1725</v>
      </c>
      <c r="J10" s="2" t="s">
        <v>1726</v>
      </c>
      <c r="K10" s="2">
        <v>1000000</v>
      </c>
      <c r="L10" s="2" t="s">
        <v>61</v>
      </c>
      <c r="M10" s="2" t="s">
        <v>62</v>
      </c>
      <c r="N10" s="2" t="s">
        <v>245</v>
      </c>
      <c r="O10" s="2" t="s">
        <v>63</v>
      </c>
    </row>
    <row r="11" spans="1:15">
      <c r="A11" s="2" t="s">
        <v>1751</v>
      </c>
      <c r="B11" s="2" t="s">
        <v>1752</v>
      </c>
      <c r="C11" s="2" t="s">
        <v>2124</v>
      </c>
      <c r="D11" s="3">
        <f>(('Facts'!F102*1)+('Facts'!F104*1))*1</f>
        <v>1103000000.0</v>
      </c>
      <c r="E11" s="3">
        <f>D11/K11</f>
        <v>1103.0</v>
      </c>
      <c r="F11" s="2" t="str">
        <f>IF(ISNUMBER(D11),"calculated","not_calculated")</f>
        <v>calculated</v>
      </c>
      <c r="G11" s="2">
        <f>IF(ISNUMBER(D11),"","检查缺失值、分母与输入；口径变更须重跑Python")</f>
        <v/>
      </c>
      <c r="H11" s="2" t="s">
        <v>1753</v>
      </c>
      <c r="I11" s="2" t="s">
        <v>1725</v>
      </c>
      <c r="J11" s="2" t="s">
        <v>1726</v>
      </c>
      <c r="K11" s="2">
        <v>1000000</v>
      </c>
      <c r="L11" s="2" t="s">
        <v>61</v>
      </c>
      <c r="M11" s="2" t="s">
        <v>62</v>
      </c>
      <c r="N11" s="2" t="s">
        <v>245</v>
      </c>
      <c r="O11" s="2" t="s">
        <v>63</v>
      </c>
    </row>
    <row r="12" spans="1:15">
      <c r="A12" s="2" t="s">
        <v>1754</v>
      </c>
      <c r="B12" s="2" t="s">
        <v>1755</v>
      </c>
      <c r="C12" s="2" t="s">
        <v>2125</v>
      </c>
      <c r="D12" s="3">
        <f>(('Facts'!F106*1)+('Facts'!F112*1))*1</f>
        <v>444000000.0</v>
      </c>
      <c r="E12" s="3">
        <f>D12/K12</f>
        <v>444.0</v>
      </c>
      <c r="F12" s="2" t="str">
        <f>IF(ISNUMBER(D12),"calculated","not_calculated")</f>
        <v>calculated</v>
      </c>
      <c r="G12" s="2">
        <f>IF(ISNUMBER(D12),"","检查缺失值、分母与输入；口径变更须重跑Python")</f>
        <v/>
      </c>
      <c r="H12" s="2" t="s">
        <v>1756</v>
      </c>
      <c r="I12" s="2" t="s">
        <v>1725</v>
      </c>
      <c r="J12" s="2" t="s">
        <v>1726</v>
      </c>
      <c r="K12" s="2">
        <v>1000000</v>
      </c>
      <c r="L12" s="2" t="s">
        <v>61</v>
      </c>
      <c r="M12" s="2" t="s">
        <v>62</v>
      </c>
      <c r="N12" s="2" t="s">
        <v>245</v>
      </c>
      <c r="O12" s="2" t="s">
        <v>63</v>
      </c>
    </row>
    <row r="13" spans="1:15">
      <c r="A13" s="2" t="s">
        <v>1757</v>
      </c>
      <c r="B13" s="2" t="s">
        <v>1758</v>
      </c>
      <c r="C13" s="2" t="s">
        <v>2126</v>
      </c>
      <c r="D13" s="3">
        <f>(('Facts'!F114*1)+('Facts'!F116*1))*1</f>
        <v>444000000.0</v>
      </c>
      <c r="E13" s="3">
        <f>D13/K13</f>
        <v>444.0</v>
      </c>
      <c r="F13" s="2" t="str">
        <f>IF(ISNUMBER(D13),"calculated","not_calculated")</f>
        <v>calculated</v>
      </c>
      <c r="G13" s="2">
        <f>IF(ISNUMBER(D13),"","检查缺失值、分母与输入；口径变更须重跑Python")</f>
        <v/>
      </c>
      <c r="H13" s="2" t="s">
        <v>1759</v>
      </c>
      <c r="I13" s="2" t="s">
        <v>1725</v>
      </c>
      <c r="J13" s="2" t="s">
        <v>1726</v>
      </c>
      <c r="K13" s="2">
        <v>1000000</v>
      </c>
      <c r="L13" s="2" t="s">
        <v>61</v>
      </c>
      <c r="M13" s="2" t="s">
        <v>62</v>
      </c>
      <c r="N13" s="2" t="s">
        <v>245</v>
      </c>
      <c r="O13" s="2" t="s">
        <v>63</v>
      </c>
    </row>
    <row r="14" spans="1:15">
      <c r="A14" s="2" t="s">
        <v>1760</v>
      </c>
      <c r="B14" s="2" t="s">
        <v>1761</v>
      </c>
      <c r="C14" s="2" t="s">
        <v>2127</v>
      </c>
      <c r="D14" s="3">
        <f>(('Facts'!F144*1)+('Facts'!F146*1)+('Facts'!F148*1)+('Facts'!F150*1))*1</f>
        <v>-1158000000.0</v>
      </c>
      <c r="E14" s="3">
        <f>D14/K14</f>
        <v>-1158.0</v>
      </c>
      <c r="F14" s="2" t="str">
        <f>IF(ISNUMBER(D14),"calculated","not_calculated")</f>
        <v>calculated</v>
      </c>
      <c r="G14" s="2">
        <f>IF(ISNUMBER(D14),"","检查缺失值、分母与输入；口径变更须重跑Python")</f>
        <v/>
      </c>
      <c r="H14" s="2" t="s">
        <v>1762</v>
      </c>
      <c r="I14" s="2" t="s">
        <v>1725</v>
      </c>
      <c r="J14" s="2" t="s">
        <v>1726</v>
      </c>
      <c r="K14" s="2">
        <v>1000000</v>
      </c>
      <c r="L14" s="2" t="s">
        <v>61</v>
      </c>
      <c r="M14" s="2" t="s">
        <v>62</v>
      </c>
      <c r="N14" s="2" t="s">
        <v>245</v>
      </c>
      <c r="O14" s="2" t="s">
        <v>63</v>
      </c>
    </row>
    <row r="15" spans="1:15">
      <c r="A15" s="2" t="s">
        <v>1763</v>
      </c>
      <c r="B15" s="2" t="s">
        <v>1764</v>
      </c>
      <c r="C15" s="2" t="s">
        <v>2128</v>
      </c>
      <c r="D15" s="3">
        <f>(('Facts'!F154*1)+('Facts'!F156*1)+('Facts'!F158*1)+('Facts'!F160*1)+('Facts'!F162*1)+('Facts'!F164*1)+('Facts'!F166*1)+('Facts'!F168*1)+('Facts'!F170*1))*1</f>
        <v>-1886000000.0</v>
      </c>
      <c r="E15" s="3">
        <f>D15/K15</f>
        <v>-1886.0</v>
      </c>
      <c r="F15" s="2" t="str">
        <f>IF(ISNUMBER(D15),"calculated","not_calculated")</f>
        <v>calculated</v>
      </c>
      <c r="G15" s="2">
        <f>IF(ISNUMBER(D15),"","检查缺失值、分母与输入；口径变更须重跑Python")</f>
        <v/>
      </c>
      <c r="H15" s="2" t="s">
        <v>1765</v>
      </c>
      <c r="I15" s="2" t="s">
        <v>1725</v>
      </c>
      <c r="J15" s="2" t="s">
        <v>1726</v>
      </c>
      <c r="K15" s="2">
        <v>1000000</v>
      </c>
      <c r="L15" s="2" t="s">
        <v>61</v>
      </c>
      <c r="M15" s="2" t="s">
        <v>62</v>
      </c>
      <c r="N15" s="2" t="s">
        <v>245</v>
      </c>
      <c r="O15" s="2" t="s">
        <v>63</v>
      </c>
    </row>
    <row r="16" spans="1:15">
      <c r="A16" s="2" t="s">
        <v>1766</v>
      </c>
      <c r="B16" s="2" t="s">
        <v>1767</v>
      </c>
      <c r="C16" s="2" t="s">
        <v>2129</v>
      </c>
      <c r="D16" s="3">
        <f>(('Facts'!F142*1)+('Facts'!F152*1)+('Facts'!F172*1))*1</f>
        <v>13000000.0</v>
      </c>
      <c r="E16" s="3">
        <f>D16/K16</f>
        <v>13.0</v>
      </c>
      <c r="F16" s="2" t="str">
        <f>IF(ISNUMBER(D16),"calculated","not_calculated")</f>
        <v>calculated</v>
      </c>
      <c r="G16" s="2">
        <f>IF(ISNUMBER(D16),"","检查缺失值、分母与输入；口径变更须重跑Python")</f>
        <v/>
      </c>
      <c r="H16" s="2" t="s">
        <v>1768</v>
      </c>
      <c r="I16" s="2" t="s">
        <v>1725</v>
      </c>
      <c r="J16" s="2" t="s">
        <v>1726</v>
      </c>
      <c r="K16" s="2">
        <v>1000000</v>
      </c>
      <c r="L16" s="2" t="s">
        <v>61</v>
      </c>
      <c r="M16" s="2" t="s">
        <v>62</v>
      </c>
      <c r="N16" s="2" t="s">
        <v>245</v>
      </c>
      <c r="O16" s="2" t="s">
        <v>63</v>
      </c>
    </row>
    <row r="17" spans="1:15">
      <c r="A17" s="2" t="s">
        <v>1769</v>
      </c>
      <c r="B17" s="2" t="s">
        <v>1770</v>
      </c>
      <c r="C17" s="2" t="s">
        <v>2130</v>
      </c>
      <c r="D17" s="3">
        <f>(('Facts'!F14*1)+('Facts'!F204*1)+('Facts'!F206*1)+('Facts'!F208*1)+('Facts'!F210*-1))*1</f>
        <v>10725000000.0</v>
      </c>
      <c r="E17" s="3">
        <f>D17/K17</f>
        <v>10725.0</v>
      </c>
      <c r="F17" s="2" t="str">
        <f>IF(ISNUMBER(D17),"calculated","not_calculated")</f>
        <v>calculated</v>
      </c>
      <c r="G17" s="2">
        <f>IF(ISNUMBER(D17),"","检查缺失值、分母与输入；口径变更须重跑Python")</f>
        <v/>
      </c>
      <c r="H17" s="2" t="s">
        <v>1771</v>
      </c>
      <c r="I17" s="2" t="s">
        <v>1725</v>
      </c>
      <c r="J17" s="2" t="s">
        <v>1726</v>
      </c>
      <c r="K17" s="2">
        <v>1000000</v>
      </c>
      <c r="L17" s="2" t="s">
        <v>61</v>
      </c>
      <c r="M17" s="2" t="s">
        <v>62</v>
      </c>
      <c r="N17" s="2"/>
      <c r="O17" s="2" t="s">
        <v>63</v>
      </c>
    </row>
    <row r="18" spans="1:15">
      <c r="A18" s="2" t="s">
        <v>1772</v>
      </c>
      <c r="B18" s="2" t="s">
        <v>1773</v>
      </c>
      <c r="C18" s="2" t="s">
        <v>2131</v>
      </c>
      <c r="D18" s="3">
        <f>(('Facts'!F48*1)+('Facts'!F222*1)+('Facts'!F224*1)+('Facts'!F226*1))*1</f>
        <v>2314000000.0</v>
      </c>
      <c r="E18" s="3">
        <f>D18/K18</f>
        <v>2314.0</v>
      </c>
      <c r="F18" s="2" t="str">
        <f>IF(ISNUMBER(D18),"calculated","not_calculated")</f>
        <v>calculated</v>
      </c>
      <c r="G18" s="2">
        <f>IF(ISNUMBER(D18),"","检查缺失值、分母与输入；口径变更须重跑Python")</f>
        <v/>
      </c>
      <c r="H18" s="2" t="s">
        <v>1774</v>
      </c>
      <c r="I18" s="2" t="s">
        <v>1725</v>
      </c>
      <c r="J18" s="2" t="s">
        <v>1726</v>
      </c>
      <c r="K18" s="2">
        <v>1000000</v>
      </c>
      <c r="L18" s="2" t="s">
        <v>61</v>
      </c>
      <c r="M18" s="2" t="s">
        <v>62</v>
      </c>
      <c r="N18" s="2"/>
      <c r="O18" s="2" t="s">
        <v>63</v>
      </c>
    </row>
    <row r="19" spans="1:15">
      <c r="A19" s="2" t="s">
        <v>1775</v>
      </c>
      <c r="B19" s="2" t="s">
        <v>1776</v>
      </c>
      <c r="C19" s="2" t="s">
        <v>2132</v>
      </c>
      <c r="D19" s="3">
        <f>(('Facts'!F190*1)+('Facts'!F192*-1)+('Facts'!F194*-1))*1</f>
        <v>923000000.0</v>
      </c>
      <c r="E19" s="3">
        <f>D19/K19</f>
        <v>923.0</v>
      </c>
      <c r="F19" s="2" t="str">
        <f>IF(ISNUMBER(D19),"calculated","not_calculated")</f>
        <v>calculated</v>
      </c>
      <c r="G19" s="2">
        <f>IF(ISNUMBER(D19),"","检查缺失值、分母与输入；口径变更须重跑Python")</f>
        <v/>
      </c>
      <c r="H19" s="2" t="s">
        <v>1777</v>
      </c>
      <c r="I19" s="2" t="s">
        <v>1725</v>
      </c>
      <c r="J19" s="2" t="s">
        <v>1726</v>
      </c>
      <c r="K19" s="2">
        <v>1000000</v>
      </c>
      <c r="L19" s="2" t="s">
        <v>61</v>
      </c>
      <c r="M19" s="2" t="s">
        <v>62</v>
      </c>
      <c r="N19" s="2" t="s">
        <v>245</v>
      </c>
      <c r="O19" s="2" t="s">
        <v>63</v>
      </c>
    </row>
    <row r="20" spans="1:15">
      <c r="A20" s="2" t="s">
        <v>1778</v>
      </c>
      <c r="B20" s="2" t="s">
        <v>1779</v>
      </c>
      <c r="C20" s="2" t="s">
        <v>2133</v>
      </c>
      <c r="D20" s="3">
        <f>(('Facts'!F196*1)+('Facts'!F198*1))*1</f>
        <v>916000000.0</v>
      </c>
      <c r="E20" s="3">
        <f>D20/K20</f>
        <v>916.0</v>
      </c>
      <c r="F20" s="2" t="str">
        <f>IF(ISNUMBER(D20),"calculated","not_calculated")</f>
        <v>calculated</v>
      </c>
      <c r="G20" s="2">
        <f>IF(ISNUMBER(D20),"","检查缺失值、分母与输入；口径变更须重跑Python")</f>
        <v/>
      </c>
      <c r="H20" s="2" t="s">
        <v>1780</v>
      </c>
      <c r="I20" s="2" t="s">
        <v>1725</v>
      </c>
      <c r="J20" s="2" t="s">
        <v>1726</v>
      </c>
      <c r="K20" s="2">
        <v>1000000</v>
      </c>
      <c r="L20" s="2" t="s">
        <v>61</v>
      </c>
      <c r="M20" s="2" t="s">
        <v>62</v>
      </c>
      <c r="N20" s="2" t="s">
        <v>245</v>
      </c>
      <c r="O20" s="2" t="s">
        <v>63</v>
      </c>
    </row>
    <row r="21" spans="1:15">
      <c r="A21" s="2" t="s">
        <v>1781</v>
      </c>
      <c r="B21" s="2" t="s">
        <v>1782</v>
      </c>
      <c r="C21" s="2" t="s">
        <v>2134</v>
      </c>
      <c r="D21" s="3">
        <f>(('Facts'!F240*1)+('Facts'!F242*1)+('Facts'!F244*1)+('Facts'!F246*1)+('Facts'!F248*1))*1</f>
        <v>-16000000.0</v>
      </c>
      <c r="E21" s="3">
        <f>D21/K21</f>
        <v>-16.0</v>
      </c>
      <c r="F21" s="2" t="str">
        <f>IF(ISNUMBER(D21),"calculated","not_calculated")</f>
        <v>calculated</v>
      </c>
      <c r="G21" s="2">
        <f>IF(ISNUMBER(D21),"","检查缺失值、分母与输入；口径变更须重跑Python")</f>
        <v/>
      </c>
      <c r="H21" s="2" t="s">
        <v>1783</v>
      </c>
      <c r="I21" s="2" t="s">
        <v>1725</v>
      </c>
      <c r="J21" s="2" t="s">
        <v>1726</v>
      </c>
      <c r="K21" s="2">
        <v>1000000</v>
      </c>
      <c r="L21" s="2" t="s">
        <v>61</v>
      </c>
      <c r="M21" s="2" t="s">
        <v>62</v>
      </c>
      <c r="N21" s="2" t="s">
        <v>245</v>
      </c>
      <c r="O21" s="2" t="s">
        <v>63</v>
      </c>
    </row>
    <row r="22" spans="1:15">
      <c r="A22" s="2" t="s">
        <v>1784</v>
      </c>
      <c r="B22" s="2" t="s">
        <v>1785</v>
      </c>
      <c r="C22" s="2" t="s">
        <v>2135</v>
      </c>
      <c r="D22" s="3">
        <f>(('Facts'!F2*1)+('Facts'!F4*1)+('Facts'!F250*1))*1</f>
        <v>274000000.0</v>
      </c>
      <c r="E22" s="3">
        <f>D22/K22</f>
        <v>274.0</v>
      </c>
      <c r="F22" s="2" t="str">
        <f>IF(ISNUMBER(D22),"calculated","not_calculated")</f>
        <v>calculated</v>
      </c>
      <c r="G22" s="2">
        <f>IF(ISNUMBER(D22),"","检查缺失值、分母与输入；口径变更须重跑Python")</f>
        <v/>
      </c>
      <c r="H22" s="2" t="s">
        <v>1786</v>
      </c>
      <c r="I22" s="2" t="s">
        <v>1725</v>
      </c>
      <c r="J22" s="2" t="s">
        <v>1726</v>
      </c>
      <c r="K22" s="2">
        <v>1000000</v>
      </c>
      <c r="L22" s="2" t="s">
        <v>61</v>
      </c>
      <c r="M22" s="2" t="s">
        <v>62</v>
      </c>
      <c r="N22" s="2"/>
      <c r="O22" s="2" t="s">
        <v>63</v>
      </c>
    </row>
    <row r="23" spans="1:15">
      <c r="A23" s="2" t="s">
        <v>1787</v>
      </c>
      <c r="B23" s="2" t="s">
        <v>1788</v>
      </c>
      <c r="C23" s="2" t="s">
        <v>2136</v>
      </c>
      <c r="D23" s="3">
        <f>(('Facts'!F252*1)+('Facts'!F254*1))*1</f>
        <v>34000000.0</v>
      </c>
      <c r="E23" s="3">
        <f>D23/K23</f>
        <v>34.0</v>
      </c>
      <c r="F23" s="2" t="str">
        <f>IF(ISNUMBER(D23),"calculated","not_calculated")</f>
        <v>calculated</v>
      </c>
      <c r="G23" s="2">
        <f>IF(ISNUMBER(D23),"","检查缺失值、分母与输入；口径变更须重跑Python")</f>
        <v/>
      </c>
      <c r="H23" s="2" t="s">
        <v>1789</v>
      </c>
      <c r="I23" s="2" t="s">
        <v>1725</v>
      </c>
      <c r="J23" s="2" t="s">
        <v>1726</v>
      </c>
      <c r="K23" s="2">
        <v>1000000</v>
      </c>
      <c r="L23" s="2" t="s">
        <v>61</v>
      </c>
      <c r="M23" s="2" t="s">
        <v>62</v>
      </c>
      <c r="N23" s="2"/>
      <c r="O23" s="2" t="s">
        <v>63</v>
      </c>
    </row>
    <row r="24" spans="1:15">
      <c r="A24" s="2" t="s">
        <v>1790</v>
      </c>
      <c r="B24" s="2" t="s">
        <v>1791</v>
      </c>
      <c r="C24" s="2" t="s">
        <v>2137</v>
      </c>
      <c r="D24" s="3">
        <f>(('Facts'!F256*1)+('Facts'!F258*1))*1</f>
        <v>308000000.0</v>
      </c>
      <c r="E24" s="3">
        <f>D24/K24</f>
        <v>308.0</v>
      </c>
      <c r="F24" s="2" t="str">
        <f>IF(ISNUMBER(D24),"calculated","not_calculated")</f>
        <v>calculated</v>
      </c>
      <c r="G24" s="2">
        <f>IF(ISNUMBER(D24),"","检查缺失值、分母与输入；口径变更须重跑Python")</f>
        <v/>
      </c>
      <c r="H24" s="2" t="s">
        <v>1792</v>
      </c>
      <c r="I24" s="2" t="s">
        <v>1725</v>
      </c>
      <c r="J24" s="2" t="s">
        <v>1726</v>
      </c>
      <c r="K24" s="2">
        <v>1000000</v>
      </c>
      <c r="L24" s="2" t="s">
        <v>61</v>
      </c>
      <c r="M24" s="2" t="s">
        <v>62</v>
      </c>
      <c r="N24" s="2"/>
      <c r="O24" s="2" t="s">
        <v>63</v>
      </c>
    </row>
    <row r="25" spans="1:15">
      <c r="A25" s="2" t="s">
        <v>1793</v>
      </c>
      <c r="B25" s="2" t="s">
        <v>1794</v>
      </c>
      <c r="C25" s="2" t="s">
        <v>2138</v>
      </c>
      <c r="D25" s="3">
        <f>(('Facts'!F76*1)+('Facts'!F92*-1))*1</f>
        <v>2075000000.0</v>
      </c>
      <c r="E25" s="3">
        <f>D25/K25</f>
        <v>2075.0</v>
      </c>
      <c r="F25" s="2" t="str">
        <f>IF(ISNUMBER(D25),"calculated","not_calculated")</f>
        <v>calculated</v>
      </c>
      <c r="G25" s="2">
        <f>IF(ISNUMBER(D25),"","检查缺失值、分母与输入；口径变更须重跑Python")</f>
        <v/>
      </c>
      <c r="H25" s="2" t="s">
        <v>1795</v>
      </c>
      <c r="I25" s="2" t="s">
        <v>1725</v>
      </c>
      <c r="J25" s="2" t="s">
        <v>1726</v>
      </c>
      <c r="K25" s="2">
        <v>1000000</v>
      </c>
      <c r="L25" s="2" t="s">
        <v>61</v>
      </c>
      <c r="M25" s="2" t="s">
        <v>62</v>
      </c>
      <c r="N25" s="2" t="s">
        <v>245</v>
      </c>
      <c r="O25" s="2" t="s">
        <v>63</v>
      </c>
    </row>
    <row r="26" spans="1:15">
      <c r="A26" s="2" t="s">
        <v>1796</v>
      </c>
      <c r="B26" s="2" t="s">
        <v>1797</v>
      </c>
      <c r="C26" s="2" t="s">
        <v>2139</v>
      </c>
      <c r="D26" s="3">
        <f>(('Facts'!F108*1)+('Facts'!F110*-1))*1</f>
        <v>-659000000.0</v>
      </c>
      <c r="E26" s="3">
        <f>D26/K26</f>
        <v>-659.0</v>
      </c>
      <c r="F26" s="2" t="str">
        <f>IF(ISNUMBER(D26),"calculated","not_calculated")</f>
        <v>calculated</v>
      </c>
      <c r="G26" s="2">
        <f>IF(ISNUMBER(D26),"","检查缺失值、分母与输入；口径变更须重跑Python")</f>
        <v/>
      </c>
      <c r="H26" s="2" t="s">
        <v>1798</v>
      </c>
      <c r="I26" s="2" t="s">
        <v>1725</v>
      </c>
      <c r="J26" s="2" t="s">
        <v>1726</v>
      </c>
      <c r="K26" s="2">
        <v>1000000</v>
      </c>
      <c r="L26" s="2" t="s">
        <v>61</v>
      </c>
      <c r="M26" s="2" t="s">
        <v>62</v>
      </c>
      <c r="N26" s="2" t="s">
        <v>245</v>
      </c>
      <c r="O26" s="2" t="s">
        <v>63</v>
      </c>
    </row>
    <row r="27" spans="1:15">
      <c r="A27" s="2" t="s">
        <v>1799</v>
      </c>
      <c r="B27" s="2" t="s">
        <v>1800</v>
      </c>
      <c r="C27" s="2" t="s">
        <v>2140</v>
      </c>
      <c r="D27" s="3">
        <f>(('Facts'!F114*1)+('Facts'!F108*-1)+('Facts'!F110*1)+('Facts'!F88*1)+('Facts'!F120*1)+('Facts'!F122*1)+('Facts'!F84*1)+('Facts'!F124*1)+('Facts'!F126*1)+('Facts'!F128*1)+('Facts'!F130*1)+('Facts'!F132*1)+('Facts'!F134*1)+('Facts'!F136*1)+('Facts'!F138*1)+('Facts'!F140*1))*1</f>
        <v>3057000000.0</v>
      </c>
      <c r="E27" s="3">
        <f>D27/K27</f>
        <v>3057.0</v>
      </c>
      <c r="F27" s="2" t="str">
        <f>IF(ISNUMBER(D27),"calculated","not_calculated")</f>
        <v>calculated</v>
      </c>
      <c r="G27" s="2">
        <f>IF(ISNUMBER(D27),"","检查缺失值、分母与输入；口径变更须重跑Python")</f>
        <v/>
      </c>
      <c r="H27" s="2" t="s">
        <v>1801</v>
      </c>
      <c r="I27" s="2" t="s">
        <v>1725</v>
      </c>
      <c r="J27" s="2" t="s">
        <v>1726</v>
      </c>
      <c r="K27" s="2">
        <v>1000000</v>
      </c>
      <c r="L27" s="2" t="s">
        <v>61</v>
      </c>
      <c r="M27" s="2" t="s">
        <v>62</v>
      </c>
      <c r="N27" s="2" t="s">
        <v>245</v>
      </c>
      <c r="O27" s="2" t="s">
        <v>63</v>
      </c>
    </row>
    <row r="28" spans="1:15">
      <c r="A28" s="2" t="s">
        <v>1802</v>
      </c>
      <c r="B28" s="2" t="s">
        <v>1803</v>
      </c>
      <c r="C28" s="2" t="s">
        <v>2141</v>
      </c>
      <c r="D28" s="3">
        <f>(('Facts'!F182*1)+('Facts'!F174*1)+('Facts'!F176*1))*1</f>
        <v>308000000.0</v>
      </c>
      <c r="E28" s="3">
        <f>D28/K28</f>
        <v>308.0</v>
      </c>
      <c r="F28" s="2" t="str">
        <f>IF(ISNUMBER(D28),"calculated","not_calculated")</f>
        <v>calculated</v>
      </c>
      <c r="G28" s="2">
        <f>IF(ISNUMBER(D28),"","检查缺失值、分母与输入；口径变更须重跑Python")</f>
        <v/>
      </c>
      <c r="H28" s="2" t="s">
        <v>1804</v>
      </c>
      <c r="I28" s="2" t="s">
        <v>1725</v>
      </c>
      <c r="J28" s="2" t="s">
        <v>1726</v>
      </c>
      <c r="K28" s="2">
        <v>1000000</v>
      </c>
      <c r="L28" s="2" t="s">
        <v>61</v>
      </c>
      <c r="M28" s="2" t="s">
        <v>62</v>
      </c>
      <c r="N28" s="2" t="s">
        <v>245</v>
      </c>
      <c r="O28" s="2" t="s">
        <v>63</v>
      </c>
    </row>
    <row r="29" spans="1:15">
      <c r="A29" s="2" t="s">
        <v>1805</v>
      </c>
      <c r="B29" s="2" t="s">
        <v>1806</v>
      </c>
      <c r="C29" s="2" t="s">
        <v>2142</v>
      </c>
      <c r="D29" s="3">
        <f>(('Facts'!F180*1)+('Facts'!F184*1)+('Facts'!F186*1)+('Facts'!F188*1)+('Facts'!F114*1)+('Facts'!F116*1))*1</f>
        <v>-1635000000.0</v>
      </c>
      <c r="E29" s="3">
        <f>D29/K29</f>
        <v>-1635.0</v>
      </c>
      <c r="F29" s="2" t="str">
        <f>IF(ISNUMBER(D29),"calculated","not_calculated")</f>
        <v>calculated</v>
      </c>
      <c r="G29" s="2">
        <f>IF(ISNUMBER(D29),"","检查缺失值、分母与输入；口径变更须重跑Python")</f>
        <v/>
      </c>
      <c r="H29" s="2" t="s">
        <v>1807</v>
      </c>
      <c r="I29" s="2" t="s">
        <v>1725</v>
      </c>
      <c r="J29" s="2" t="s">
        <v>1726</v>
      </c>
      <c r="K29" s="2">
        <v>1000000</v>
      </c>
      <c r="L29" s="2" t="s">
        <v>61</v>
      </c>
      <c r="M29" s="2" t="s">
        <v>62</v>
      </c>
      <c r="N29" s="2" t="s">
        <v>245</v>
      </c>
      <c r="O29" s="2" t="s">
        <v>63</v>
      </c>
    </row>
    <row r="30" spans="1:15">
      <c r="A30" s="2" t="s">
        <v>1808</v>
      </c>
      <c r="B30" s="2" t="s">
        <v>1809</v>
      </c>
      <c r="C30" s="2" t="s">
        <v>2143</v>
      </c>
      <c r="D30" s="3">
        <f>(('Facts'!F142*1)+('Facts'!F130*-1))*1</f>
        <v>1872000000.0</v>
      </c>
      <c r="E30" s="3">
        <f>D30/K30</f>
        <v>1872.0</v>
      </c>
      <c r="F30" s="2" t="str">
        <f>IF(ISNUMBER(D30),"calculated","not_calculated")</f>
        <v>calculated</v>
      </c>
      <c r="G30" s="2">
        <f>IF(ISNUMBER(D30),"","检查缺失值、分母与输入；口径变更须重跑Python")</f>
        <v/>
      </c>
      <c r="H30" s="2" t="s">
        <v>1810</v>
      </c>
      <c r="I30" s="2" t="s">
        <v>1725</v>
      </c>
      <c r="J30" s="2" t="s">
        <v>1726</v>
      </c>
      <c r="K30" s="2">
        <v>1000000</v>
      </c>
      <c r="L30" s="2" t="s">
        <v>61</v>
      </c>
      <c r="M30" s="2" t="s">
        <v>62</v>
      </c>
      <c r="N30" s="2" t="s">
        <v>245</v>
      </c>
      <c r="O30" s="2" t="s">
        <v>63</v>
      </c>
    </row>
    <row r="31" spans="1:15">
      <c r="A31" s="2" t="s">
        <v>1811</v>
      </c>
      <c r="B31" s="2" t="s">
        <v>1812</v>
      </c>
      <c r="C31" s="2" t="s">
        <v>2144</v>
      </c>
      <c r="D31" s="3">
        <f>(('Calculations'!D30*1)+('Facts'!F144*1))*1</f>
        <v>1690000000.0</v>
      </c>
      <c r="E31" s="3">
        <f>D31/K31</f>
        <v>1690.0</v>
      </c>
      <c r="F31" s="2" t="str">
        <f>IF(ISNUMBER(D31),"calculated","not_calculated")</f>
        <v>calculated</v>
      </c>
      <c r="G31" s="2">
        <f>IF(ISNUMBER(D31),"","检查缺失值、分母与输入；口径变更须重跑Python")</f>
        <v/>
      </c>
      <c r="H31" s="2" t="s">
        <v>1813</v>
      </c>
      <c r="I31" s="2" t="s">
        <v>1814</v>
      </c>
      <c r="J31" s="2" t="s">
        <v>1726</v>
      </c>
      <c r="K31" s="2">
        <v>1000000</v>
      </c>
      <c r="L31" s="2" t="s">
        <v>61</v>
      </c>
      <c r="M31" s="2" t="s">
        <v>62</v>
      </c>
      <c r="N31" s="2" t="s">
        <v>245</v>
      </c>
      <c r="O31" s="2" t="s">
        <v>63</v>
      </c>
    </row>
    <row r="32" spans="1:15">
      <c r="A32" s="2" t="s">
        <v>1815</v>
      </c>
      <c r="B32" s="2" t="s">
        <v>1816</v>
      </c>
      <c r="C32" s="2" t="s">
        <v>2145</v>
      </c>
      <c r="D32" s="3">
        <f>(('Calculations'!D31*1)+('Facts'!F170*1))*1</f>
        <v>-390000000.0</v>
      </c>
      <c r="E32" s="3">
        <f>D32/K32</f>
        <v>-390.0</v>
      </c>
      <c r="F32" s="2" t="str">
        <f>IF(ISNUMBER(D32),"calculated","not_calculated")</f>
        <v>calculated</v>
      </c>
      <c r="G32" s="2">
        <f>IF(ISNUMBER(D32),"","检查缺失值、分母与输入；口径变更须重跑Python")</f>
        <v/>
      </c>
      <c r="H32" s="2" t="s">
        <v>1817</v>
      </c>
      <c r="I32" s="2" t="s">
        <v>1818</v>
      </c>
      <c r="J32" s="2" t="s">
        <v>1726</v>
      </c>
      <c r="K32" s="2">
        <v>1000000</v>
      </c>
      <c r="L32" s="2" t="s">
        <v>61</v>
      </c>
      <c r="M32" s="2" t="s">
        <v>62</v>
      </c>
      <c r="N32" s="2" t="s">
        <v>245</v>
      </c>
      <c r="O32" s="2" t="s">
        <v>63</v>
      </c>
    </row>
    <row r="33" spans="1:15">
      <c r="A33" s="2" t="s">
        <v>1819</v>
      </c>
      <c r="B33" s="2" t="s">
        <v>1820</v>
      </c>
      <c r="C33" s="2" t="s">
        <v>2146</v>
      </c>
      <c r="D33" s="3">
        <f>(('Facts'!F130*1)+('Facts'!F150*1))*1</f>
        <v>205000000.0</v>
      </c>
      <c r="E33" s="3">
        <f>D33/K33</f>
        <v>205.0</v>
      </c>
      <c r="F33" s="2" t="str">
        <f>IF(ISNUMBER(D33),"calculated","not_calculated")</f>
        <v>calculated</v>
      </c>
      <c r="G33" s="2">
        <f>IF(ISNUMBER(D33),"","检查缺失值、分母与输入；口径变更须重跑Python")</f>
        <v/>
      </c>
      <c r="H33" s="2" t="s">
        <v>1821</v>
      </c>
      <c r="I33" s="2" t="s">
        <v>1822</v>
      </c>
      <c r="J33" s="2" t="s">
        <v>1726</v>
      </c>
      <c r="K33" s="2">
        <v>1000000</v>
      </c>
      <c r="L33" s="2" t="s">
        <v>61</v>
      </c>
      <c r="M33" s="2" t="s">
        <v>62</v>
      </c>
      <c r="N33" s="2" t="s">
        <v>245</v>
      </c>
      <c r="O33" s="2" t="s">
        <v>63</v>
      </c>
    </row>
    <row r="34" spans="1:15">
      <c r="A34" s="2" t="s">
        <v>1823</v>
      </c>
      <c r="B34" s="2" t="s">
        <v>1824</v>
      </c>
      <c r="C34" s="2" t="s">
        <v>2147</v>
      </c>
      <c r="D34" s="3">
        <f>(('Facts'!F3*1)+('Facts'!F5*1)+('Facts'!F7*1)+('Facts'!F9*1)+('Facts'!F11*1)+('Facts'!F13*1)+('Facts'!F15*1))*1</f>
        <v>1090000000.0</v>
      </c>
      <c r="E34" s="3">
        <f>D34/K34</f>
        <v>1090.0</v>
      </c>
      <c r="F34" s="2" t="str">
        <f>IF(ISNUMBER(D34),"calculated","not_calculated")</f>
        <v>calculated</v>
      </c>
      <c r="G34" s="2">
        <f>IF(ISNUMBER(D34),"","检查缺失值、分母与输入；口径变更须重跑Python")</f>
        <v/>
      </c>
      <c r="H34" s="2" t="s">
        <v>1825</v>
      </c>
      <c r="I34" s="2" t="s">
        <v>1725</v>
      </c>
      <c r="J34" s="2" t="s">
        <v>1726</v>
      </c>
      <c r="K34" s="2">
        <v>1000000</v>
      </c>
      <c r="L34" s="2" t="s">
        <v>61</v>
      </c>
      <c r="M34" s="2" t="s">
        <v>62</v>
      </c>
      <c r="N34" s="2"/>
      <c r="O34" s="2" t="s">
        <v>69</v>
      </c>
    </row>
    <row r="35" spans="1:15">
      <c r="A35" s="2" t="s">
        <v>1826</v>
      </c>
      <c r="B35" s="2" t="s">
        <v>1827</v>
      </c>
      <c r="C35" s="2" t="s">
        <v>2148</v>
      </c>
      <c r="D35" s="3">
        <f>(('Facts'!F17*1)+('Facts'!F19*1)+('Facts'!F21*1)+('Facts'!F23*1)+('Facts'!F25*1)+('Facts'!F27*1)+('Facts'!F29*1)+('Facts'!F31*1)+('Facts'!F33*1))*1</f>
        <v>32736000000.0</v>
      </c>
      <c r="E35" s="3">
        <f>D35/K35</f>
        <v>32736.0</v>
      </c>
      <c r="F35" s="2" t="str">
        <f>IF(ISNUMBER(D35),"calculated","not_calculated")</f>
        <v>calculated</v>
      </c>
      <c r="G35" s="2">
        <f>IF(ISNUMBER(D35),"","检查缺失值、分母与输入；口径变更须重跑Python")</f>
        <v/>
      </c>
      <c r="H35" s="2" t="s">
        <v>1828</v>
      </c>
      <c r="I35" s="2" t="s">
        <v>1725</v>
      </c>
      <c r="J35" s="2" t="s">
        <v>1726</v>
      </c>
      <c r="K35" s="2">
        <v>1000000</v>
      </c>
      <c r="L35" s="2" t="s">
        <v>61</v>
      </c>
      <c r="M35" s="2" t="s">
        <v>62</v>
      </c>
      <c r="N35" s="2"/>
      <c r="O35" s="2" t="s">
        <v>69</v>
      </c>
    </row>
    <row r="36" spans="1:15">
      <c r="A36" s="2" t="s">
        <v>1829</v>
      </c>
      <c r="B36" s="2" t="s">
        <v>1830</v>
      </c>
      <c r="C36" s="2" t="s">
        <v>2149</v>
      </c>
      <c r="D36" s="3">
        <f>(('Facts'!F37*1)+('Facts'!F39*1)+('Facts'!F41*1)+('Facts'!F43*1)+('Facts'!F45*1)+('Facts'!F47*1)+('Facts'!F49*1))*1</f>
        <v>2177000000.0</v>
      </c>
      <c r="E36" s="3">
        <f>D36/K36</f>
        <v>2177.0</v>
      </c>
      <c r="F36" s="2" t="str">
        <f>IF(ISNUMBER(D36),"calculated","not_calculated")</f>
        <v>calculated</v>
      </c>
      <c r="G36" s="2">
        <f>IF(ISNUMBER(D36),"","检查缺失值、分母与输入；口径变更须重跑Python")</f>
        <v/>
      </c>
      <c r="H36" s="2" t="s">
        <v>1831</v>
      </c>
      <c r="I36" s="2" t="s">
        <v>1725</v>
      </c>
      <c r="J36" s="2" t="s">
        <v>1726</v>
      </c>
      <c r="K36" s="2">
        <v>1000000</v>
      </c>
      <c r="L36" s="2" t="s">
        <v>61</v>
      </c>
      <c r="M36" s="2" t="s">
        <v>62</v>
      </c>
      <c r="N36" s="2"/>
      <c r="O36" s="2" t="s">
        <v>69</v>
      </c>
    </row>
    <row r="37" spans="1:15">
      <c r="A37" s="2" t="s">
        <v>1832</v>
      </c>
      <c r="B37" s="2" t="s">
        <v>1833</v>
      </c>
      <c r="C37" s="2" t="s">
        <v>2150</v>
      </c>
      <c r="D37" s="3">
        <f>(('Facts'!F51*1)+('Facts'!F53*1)+('Facts'!F55*1)+('Facts'!F57*1)+('Facts'!F59*1))*1</f>
        <v>32869000000.0</v>
      </c>
      <c r="E37" s="3">
        <f>D37/K37</f>
        <v>32869.0</v>
      </c>
      <c r="F37" s="2" t="str">
        <f>IF(ISNUMBER(D37),"calculated","not_calculated")</f>
        <v>calculated</v>
      </c>
      <c r="G37" s="2">
        <f>IF(ISNUMBER(D37),"","检查缺失值、分母与输入；口径变更须重跑Python")</f>
        <v/>
      </c>
      <c r="H37" s="2" t="s">
        <v>1834</v>
      </c>
      <c r="I37" s="2" t="s">
        <v>1725</v>
      </c>
      <c r="J37" s="2" t="s">
        <v>1726</v>
      </c>
      <c r="K37" s="2">
        <v>1000000</v>
      </c>
      <c r="L37" s="2" t="s">
        <v>61</v>
      </c>
      <c r="M37" s="2" t="s">
        <v>62</v>
      </c>
      <c r="N37" s="2"/>
      <c r="O37" s="2" t="s">
        <v>69</v>
      </c>
    </row>
    <row r="38" spans="1:15">
      <c r="A38" s="2" t="s">
        <v>1835</v>
      </c>
      <c r="B38" s="2" t="s">
        <v>1836</v>
      </c>
      <c r="C38" s="2" t="s">
        <v>2151</v>
      </c>
      <c r="D38" s="3">
        <f>(('Facts'!F63*1)+('Facts'!F65*1)+('Facts'!F67*1)+('Facts'!F69*1))*1</f>
        <v>-133000000.0</v>
      </c>
      <c r="E38" s="3">
        <f>D38/K38</f>
        <v>-133.0</v>
      </c>
      <c r="F38" s="2" t="str">
        <f>IF(ISNUMBER(D38),"calculated","not_calculated")</f>
        <v>calculated</v>
      </c>
      <c r="G38" s="2">
        <f>IF(ISNUMBER(D38),"","检查缺失值、分母与输入；口径变更须重跑Python")</f>
        <v/>
      </c>
      <c r="H38" s="2" t="s">
        <v>1837</v>
      </c>
      <c r="I38" s="2" t="s">
        <v>1725</v>
      </c>
      <c r="J38" s="2" t="s">
        <v>1726</v>
      </c>
      <c r="K38" s="2">
        <v>1000000</v>
      </c>
      <c r="L38" s="2" t="s">
        <v>61</v>
      </c>
      <c r="M38" s="2" t="s">
        <v>62</v>
      </c>
      <c r="N38" s="2"/>
      <c r="O38" s="2" t="s">
        <v>69</v>
      </c>
    </row>
    <row r="39" spans="1:15">
      <c r="A39" s="2" t="s">
        <v>1838</v>
      </c>
      <c r="B39" s="2" t="s">
        <v>1839</v>
      </c>
      <c r="C39" s="2" t="s">
        <v>2152</v>
      </c>
      <c r="D39" s="3">
        <f>(('Facts'!F61*1)+('Facts'!F71*1))*1</f>
        <v>32736000000.0</v>
      </c>
      <c r="E39" s="3">
        <f>D39/K39</f>
        <v>32736.0</v>
      </c>
      <c r="F39" s="2" t="str">
        <f>IF(ISNUMBER(D39),"calculated","not_calculated")</f>
        <v>calculated</v>
      </c>
      <c r="G39" s="2">
        <f>IF(ISNUMBER(D39),"","检查缺失值、分母与输入；口径变更须重跑Python")</f>
        <v/>
      </c>
      <c r="H39" s="2" t="s">
        <v>1840</v>
      </c>
      <c r="I39" s="2" t="s">
        <v>1725</v>
      </c>
      <c r="J39" s="2" t="s">
        <v>1726</v>
      </c>
      <c r="K39" s="2">
        <v>1000000</v>
      </c>
      <c r="L39" s="2" t="s">
        <v>61</v>
      </c>
      <c r="M39" s="2" t="s">
        <v>62</v>
      </c>
      <c r="N39" s="2"/>
      <c r="O39" s="2" t="s">
        <v>69</v>
      </c>
    </row>
    <row r="40" spans="1:15">
      <c r="A40" s="2" t="s">
        <v>1841</v>
      </c>
      <c r="B40" s="2" t="s">
        <v>1842</v>
      </c>
      <c r="C40" s="2" t="s">
        <v>2153</v>
      </c>
      <c r="D40" s="3">
        <f>(('Facts'!F73*1)+('Facts'!F75*1))*1</f>
        <v>4460000000.0</v>
      </c>
      <c r="E40" s="3">
        <f>D40/K40</f>
        <v>4460.0</v>
      </c>
      <c r="F40" s="2" t="str">
        <f>IF(ISNUMBER(D40),"calculated","not_calculated")</f>
        <v>calculated</v>
      </c>
      <c r="G40" s="2">
        <f>IF(ISNUMBER(D40),"","检查缺失值、分母与输入；口径变更须重跑Python")</f>
        <v/>
      </c>
      <c r="H40" s="2" t="s">
        <v>1843</v>
      </c>
      <c r="I40" s="2" t="s">
        <v>1725</v>
      </c>
      <c r="J40" s="2" t="s">
        <v>1726</v>
      </c>
      <c r="K40" s="2">
        <v>1000000</v>
      </c>
      <c r="L40" s="2" t="s">
        <v>61</v>
      </c>
      <c r="M40" s="2" t="s">
        <v>62</v>
      </c>
      <c r="N40" s="2" t="s">
        <v>250</v>
      </c>
      <c r="O40" s="2" t="s">
        <v>69</v>
      </c>
    </row>
    <row r="41" spans="1:15">
      <c r="A41" s="2" t="s">
        <v>1844</v>
      </c>
      <c r="B41" s="2" t="s">
        <v>1845</v>
      </c>
      <c r="C41" s="2" t="s">
        <v>2154</v>
      </c>
      <c r="D41" s="3">
        <f>(('Facts'!F79*1)+('Facts'!F81*1)+('Facts'!F83*1)+('Facts'!F85*1)+('Facts'!F87*1)+('Facts'!F89*1)+('Facts'!F91*1))*1</f>
        <v>2342000000.0</v>
      </c>
      <c r="E41" s="3">
        <f>D41/K41</f>
        <v>2342.0</v>
      </c>
      <c r="F41" s="2" t="str">
        <f>IF(ISNUMBER(D41),"calculated","not_calculated")</f>
        <v>calculated</v>
      </c>
      <c r="G41" s="2">
        <f>IF(ISNUMBER(D41),"","检查缺失值、分母与输入；口径变更须重跑Python")</f>
        <v/>
      </c>
      <c r="H41" s="2" t="s">
        <v>1846</v>
      </c>
      <c r="I41" s="2" t="s">
        <v>1725</v>
      </c>
      <c r="J41" s="2" t="s">
        <v>1726</v>
      </c>
      <c r="K41" s="2">
        <v>1000000</v>
      </c>
      <c r="L41" s="2" t="s">
        <v>61</v>
      </c>
      <c r="M41" s="2" t="s">
        <v>62</v>
      </c>
      <c r="N41" s="2" t="s">
        <v>250</v>
      </c>
      <c r="O41" s="2" t="s">
        <v>69</v>
      </c>
    </row>
    <row r="42" spans="1:15">
      <c r="A42" s="2" t="s">
        <v>1847</v>
      </c>
      <c r="B42" s="2" t="s">
        <v>1848</v>
      </c>
      <c r="C42" s="2" t="s">
        <v>2155</v>
      </c>
      <c r="D42" s="3">
        <f>(('Facts'!F95*1)+('Facts'!F97*1)+('Facts'!F99*1)+('Facts'!F101*1))*1</f>
        <v>1180000000.0</v>
      </c>
      <c r="E42" s="3">
        <f>D42/K42</f>
        <v>1180.0</v>
      </c>
      <c r="F42" s="2" t="str">
        <f>IF(ISNUMBER(D42),"calculated","not_calculated")</f>
        <v>calculated</v>
      </c>
      <c r="G42" s="2">
        <f>IF(ISNUMBER(D42),"","检查缺失值、分母与输入；口径变更须重跑Python")</f>
        <v/>
      </c>
      <c r="H42" s="2" t="s">
        <v>1849</v>
      </c>
      <c r="I42" s="2" t="s">
        <v>1725</v>
      </c>
      <c r="J42" s="2" t="s">
        <v>1726</v>
      </c>
      <c r="K42" s="2">
        <v>1000000</v>
      </c>
      <c r="L42" s="2" t="s">
        <v>61</v>
      </c>
      <c r="M42" s="2" t="s">
        <v>62</v>
      </c>
      <c r="N42" s="2" t="s">
        <v>250</v>
      </c>
      <c r="O42" s="2" t="s">
        <v>69</v>
      </c>
    </row>
    <row r="43" spans="1:15">
      <c r="A43" s="2" t="s">
        <v>1850</v>
      </c>
      <c r="B43" s="2" t="s">
        <v>1851</v>
      </c>
      <c r="C43" s="2" t="s">
        <v>2156</v>
      </c>
      <c r="D43" s="3">
        <f>(('Facts'!F103*1)+('Facts'!F105*1))*1</f>
        <v>1162000000.0</v>
      </c>
      <c r="E43" s="3">
        <f>D43/K43</f>
        <v>1162.0</v>
      </c>
      <c r="F43" s="2" t="str">
        <f>IF(ISNUMBER(D43),"calculated","not_calculated")</f>
        <v>calculated</v>
      </c>
      <c r="G43" s="2">
        <f>IF(ISNUMBER(D43),"","检查缺失值、分母与输入；口径变更须重跑Python")</f>
        <v/>
      </c>
      <c r="H43" s="2" t="s">
        <v>1852</v>
      </c>
      <c r="I43" s="2" t="s">
        <v>1725</v>
      </c>
      <c r="J43" s="2" t="s">
        <v>1726</v>
      </c>
      <c r="K43" s="2">
        <v>1000000</v>
      </c>
      <c r="L43" s="2" t="s">
        <v>61</v>
      </c>
      <c r="M43" s="2" t="s">
        <v>62</v>
      </c>
      <c r="N43" s="2" t="s">
        <v>250</v>
      </c>
      <c r="O43" s="2" t="s">
        <v>69</v>
      </c>
    </row>
    <row r="44" spans="1:15">
      <c r="A44" s="2" t="s">
        <v>1853</v>
      </c>
      <c r="B44" s="2" t="s">
        <v>1854</v>
      </c>
      <c r="C44" s="2" t="s">
        <v>2157</v>
      </c>
      <c r="D44" s="3">
        <f>(('Facts'!F107*1)+('Facts'!F113*1))*1</f>
        <v>-3903000000.0</v>
      </c>
      <c r="E44" s="3">
        <f>D44/K44</f>
        <v>-3903.0</v>
      </c>
      <c r="F44" s="2" t="str">
        <f>IF(ISNUMBER(D44),"calculated","not_calculated")</f>
        <v>calculated</v>
      </c>
      <c r="G44" s="2">
        <f>IF(ISNUMBER(D44),"","检查缺失值、分母与输入；口径变更须重跑Python")</f>
        <v/>
      </c>
      <c r="H44" s="2" t="s">
        <v>1855</v>
      </c>
      <c r="I44" s="2" t="s">
        <v>1725</v>
      </c>
      <c r="J44" s="2" t="s">
        <v>1726</v>
      </c>
      <c r="K44" s="2">
        <v>1000000</v>
      </c>
      <c r="L44" s="2" t="s">
        <v>61</v>
      </c>
      <c r="M44" s="2" t="s">
        <v>62</v>
      </c>
      <c r="N44" s="2" t="s">
        <v>250</v>
      </c>
      <c r="O44" s="2" t="s">
        <v>69</v>
      </c>
    </row>
    <row r="45" spans="1:15">
      <c r="A45" s="2" t="s">
        <v>1856</v>
      </c>
      <c r="B45" s="2" t="s">
        <v>1857</v>
      </c>
      <c r="C45" s="2" t="s">
        <v>2158</v>
      </c>
      <c r="D45" s="3">
        <f>(('Facts'!F115*1)+('Facts'!F117*1))*1</f>
        <v>-3904000000.0</v>
      </c>
      <c r="E45" s="3">
        <f>D45/K45</f>
        <v>-3904.0</v>
      </c>
      <c r="F45" s="2" t="str">
        <f>IF(ISNUMBER(D45),"calculated","not_calculated")</f>
        <v>calculated</v>
      </c>
      <c r="G45" s="2">
        <f>IF(ISNUMBER(D45),"","检查缺失值、分母与输入；口径变更须重跑Python")</f>
        <v/>
      </c>
      <c r="H45" s="2" t="s">
        <v>1858</v>
      </c>
      <c r="I45" s="2" t="s">
        <v>1725</v>
      </c>
      <c r="J45" s="2" t="s">
        <v>1726</v>
      </c>
      <c r="K45" s="2">
        <v>1000000</v>
      </c>
      <c r="L45" s="2" t="s">
        <v>61</v>
      </c>
      <c r="M45" s="2" t="s">
        <v>62</v>
      </c>
      <c r="N45" s="2" t="s">
        <v>250</v>
      </c>
      <c r="O45" s="2" t="s">
        <v>69</v>
      </c>
    </row>
    <row r="46" spans="1:15">
      <c r="A46" s="2" t="s">
        <v>1859</v>
      </c>
      <c r="B46" s="2" t="s">
        <v>1860</v>
      </c>
      <c r="C46" s="2" t="s">
        <v>2159</v>
      </c>
      <c r="D46" s="3">
        <f>(('Facts'!F145*1)+('Facts'!F147*1)+('Facts'!F149*1)+('Facts'!F151*1))*1</f>
        <v>-1220000000.0</v>
      </c>
      <c r="E46" s="3">
        <f>D46/K46</f>
        <v>-1220.0</v>
      </c>
      <c r="F46" s="2" t="str">
        <f>IF(ISNUMBER(D46),"calculated","not_calculated")</f>
        <v>calculated</v>
      </c>
      <c r="G46" s="2">
        <f>IF(ISNUMBER(D46),"","检查缺失值、分母与输入；口径变更须重跑Python")</f>
        <v/>
      </c>
      <c r="H46" s="2" t="s">
        <v>1861</v>
      </c>
      <c r="I46" s="2" t="s">
        <v>1725</v>
      </c>
      <c r="J46" s="2" t="s">
        <v>1726</v>
      </c>
      <c r="K46" s="2">
        <v>1000000</v>
      </c>
      <c r="L46" s="2" t="s">
        <v>61</v>
      </c>
      <c r="M46" s="2" t="s">
        <v>62</v>
      </c>
      <c r="N46" s="2" t="s">
        <v>250</v>
      </c>
      <c r="O46" s="2" t="s">
        <v>69</v>
      </c>
    </row>
    <row r="47" spans="1:15">
      <c r="A47" s="2" t="s">
        <v>1862</v>
      </c>
      <c r="B47" s="2" t="s">
        <v>1863</v>
      </c>
      <c r="C47" s="2" t="s">
        <v>2160</v>
      </c>
      <c r="D47" s="3">
        <f>(('Facts'!F155*1)+('Facts'!F157*1)+('Facts'!F159*1)+('Facts'!F161*1)+('Facts'!F163*1)+('Facts'!F165*1)+('Facts'!F167*1)+('Facts'!F169*1)+('Facts'!F171*1))*1</f>
        <v>-1708000000.0</v>
      </c>
      <c r="E47" s="3">
        <f>D47/K47</f>
        <v>-1708.0</v>
      </c>
      <c r="F47" s="2" t="str">
        <f>IF(ISNUMBER(D47),"calculated","not_calculated")</f>
        <v>calculated</v>
      </c>
      <c r="G47" s="2">
        <f>IF(ISNUMBER(D47),"","检查缺失值、分母与输入；口径变更须重跑Python")</f>
        <v/>
      </c>
      <c r="H47" s="2" t="s">
        <v>1864</v>
      </c>
      <c r="I47" s="2" t="s">
        <v>1725</v>
      </c>
      <c r="J47" s="2" t="s">
        <v>1726</v>
      </c>
      <c r="K47" s="2">
        <v>1000000</v>
      </c>
      <c r="L47" s="2" t="s">
        <v>61</v>
      </c>
      <c r="M47" s="2" t="s">
        <v>62</v>
      </c>
      <c r="N47" s="2" t="s">
        <v>250</v>
      </c>
      <c r="O47" s="2" t="s">
        <v>69</v>
      </c>
    </row>
    <row r="48" spans="1:15">
      <c r="A48" s="2" t="s">
        <v>1865</v>
      </c>
      <c r="B48" s="2" t="s">
        <v>1866</v>
      </c>
      <c r="C48" s="2" t="s">
        <v>2161</v>
      </c>
      <c r="D48" s="3">
        <f>(('Facts'!F143*1)+('Facts'!F153*1)+('Facts'!F173*1))*1</f>
        <v>15000000.0</v>
      </c>
      <c r="E48" s="3">
        <f>D48/K48</f>
        <v>15.0</v>
      </c>
      <c r="F48" s="2" t="str">
        <f>IF(ISNUMBER(D48),"calculated","not_calculated")</f>
        <v>calculated</v>
      </c>
      <c r="G48" s="2">
        <f>IF(ISNUMBER(D48),"","检查缺失值、分母与输入；口径变更须重跑Python")</f>
        <v/>
      </c>
      <c r="H48" s="2" t="s">
        <v>1867</v>
      </c>
      <c r="I48" s="2" t="s">
        <v>1725</v>
      </c>
      <c r="J48" s="2" t="s">
        <v>1726</v>
      </c>
      <c r="K48" s="2">
        <v>1000000</v>
      </c>
      <c r="L48" s="2" t="s">
        <v>61</v>
      </c>
      <c r="M48" s="2" t="s">
        <v>62</v>
      </c>
      <c r="N48" s="2" t="s">
        <v>250</v>
      </c>
      <c r="O48" s="2" t="s">
        <v>69</v>
      </c>
    </row>
    <row r="49" spans="1:15">
      <c r="A49" s="2" t="s">
        <v>1868</v>
      </c>
      <c r="B49" s="2" t="s">
        <v>1869</v>
      </c>
      <c r="C49" s="2" t="s">
        <v>2162</v>
      </c>
      <c r="D49" s="3">
        <f>(('Facts'!F15*1)+('Facts'!F205*1)+('Facts'!F207*1)+('Facts'!F209*1)+('Facts'!F211*-1))*1</f>
        <v>11397000000.0</v>
      </c>
      <c r="E49" s="3">
        <f>D49/K49</f>
        <v>11397.0</v>
      </c>
      <c r="F49" s="2" t="str">
        <f>IF(ISNUMBER(D49),"calculated","not_calculated")</f>
        <v>calculated</v>
      </c>
      <c r="G49" s="2">
        <f>IF(ISNUMBER(D49),"","检查缺失值、分母与输入；口径变更须重跑Python")</f>
        <v/>
      </c>
      <c r="H49" s="2" t="s">
        <v>1870</v>
      </c>
      <c r="I49" s="2" t="s">
        <v>1725</v>
      </c>
      <c r="J49" s="2" t="s">
        <v>1726</v>
      </c>
      <c r="K49" s="2">
        <v>1000000</v>
      </c>
      <c r="L49" s="2" t="s">
        <v>61</v>
      </c>
      <c r="M49" s="2" t="s">
        <v>62</v>
      </c>
      <c r="N49" s="2"/>
      <c r="O49" s="2" t="s">
        <v>69</v>
      </c>
    </row>
    <row r="50" spans="1:15">
      <c r="A50" s="2" t="s">
        <v>1871</v>
      </c>
      <c r="B50" s="2" t="s">
        <v>1872</v>
      </c>
      <c r="C50" s="2" t="s">
        <v>2163</v>
      </c>
      <c r="D50" s="3">
        <f>(('Facts'!F49*1)+('Facts'!F223*1)+('Facts'!F225*1)+('Facts'!F227*1))*1</f>
        <v>2244000000.0</v>
      </c>
      <c r="E50" s="3">
        <f>D50/K50</f>
        <v>2244.0</v>
      </c>
      <c r="F50" s="2" t="str">
        <f>IF(ISNUMBER(D50),"calculated","not_calculated")</f>
        <v>calculated</v>
      </c>
      <c r="G50" s="2">
        <f>IF(ISNUMBER(D50),"","检查缺失值、分母与输入；口径变更须重跑Python")</f>
        <v/>
      </c>
      <c r="H50" s="2" t="s">
        <v>1873</v>
      </c>
      <c r="I50" s="2" t="s">
        <v>1725</v>
      </c>
      <c r="J50" s="2" t="s">
        <v>1726</v>
      </c>
      <c r="K50" s="2">
        <v>1000000</v>
      </c>
      <c r="L50" s="2" t="s">
        <v>61</v>
      </c>
      <c r="M50" s="2" t="s">
        <v>62</v>
      </c>
      <c r="N50" s="2"/>
      <c r="O50" s="2" t="s">
        <v>69</v>
      </c>
    </row>
    <row r="51" spans="1:15">
      <c r="A51" s="2" t="s">
        <v>1874</v>
      </c>
      <c r="B51" s="2" t="s">
        <v>1875</v>
      </c>
      <c r="C51" s="2" t="s">
        <v>2164</v>
      </c>
      <c r="D51" s="3">
        <f>(('Facts'!F191*1)+('Facts'!F193*-1)+('Facts'!F195*-1))*1</f>
        <v>-5059000000.0</v>
      </c>
      <c r="E51" s="3">
        <f>D51/K51</f>
        <v>-5059.0</v>
      </c>
      <c r="F51" s="2" t="str">
        <f>IF(ISNUMBER(D51),"calculated","not_calculated")</f>
        <v>calculated</v>
      </c>
      <c r="G51" s="2">
        <f>IF(ISNUMBER(D51),"","检查缺失值、分母与输入；口径变更须重跑Python")</f>
        <v/>
      </c>
      <c r="H51" s="2" t="s">
        <v>1876</v>
      </c>
      <c r="I51" s="2" t="s">
        <v>1725</v>
      </c>
      <c r="J51" s="2" t="s">
        <v>1726</v>
      </c>
      <c r="K51" s="2">
        <v>1000000</v>
      </c>
      <c r="L51" s="2" t="s">
        <v>61</v>
      </c>
      <c r="M51" s="2" t="s">
        <v>62</v>
      </c>
      <c r="N51" s="2" t="s">
        <v>250</v>
      </c>
      <c r="O51" s="2" t="s">
        <v>69</v>
      </c>
    </row>
    <row r="52" spans="1:15">
      <c r="A52" s="2" t="s">
        <v>1877</v>
      </c>
      <c r="B52" s="2" t="s">
        <v>1878</v>
      </c>
      <c r="C52" s="2" t="s">
        <v>2165</v>
      </c>
      <c r="D52" s="3">
        <f>(('Facts'!F197*1)+('Facts'!F199*1))*1</f>
        <v>-5065000000.0</v>
      </c>
      <c r="E52" s="3">
        <f>D52/K52</f>
        <v>-5065.0</v>
      </c>
      <c r="F52" s="2" t="str">
        <f>IF(ISNUMBER(D52),"calculated","not_calculated")</f>
        <v>calculated</v>
      </c>
      <c r="G52" s="2">
        <f>IF(ISNUMBER(D52),"","检查缺失值、分母与输入；口径变更须重跑Python")</f>
        <v/>
      </c>
      <c r="H52" s="2" t="s">
        <v>1879</v>
      </c>
      <c r="I52" s="2" t="s">
        <v>1725</v>
      </c>
      <c r="J52" s="2" t="s">
        <v>1726</v>
      </c>
      <c r="K52" s="2">
        <v>1000000</v>
      </c>
      <c r="L52" s="2" t="s">
        <v>61</v>
      </c>
      <c r="M52" s="2" t="s">
        <v>62</v>
      </c>
      <c r="N52" s="2" t="s">
        <v>250</v>
      </c>
      <c r="O52" s="2" t="s">
        <v>69</v>
      </c>
    </row>
    <row r="53" spans="1:15">
      <c r="A53" s="2" t="s">
        <v>1880</v>
      </c>
      <c r="B53" s="2" t="s">
        <v>1881</v>
      </c>
      <c r="C53" s="2" t="s">
        <v>2166</v>
      </c>
      <c r="D53" s="3">
        <f>(('Facts'!F241*1)+('Facts'!F243*1)+('Facts'!F245*1)+('Facts'!F247*1)+('Facts'!F249*1))*1</f>
        <v>-18000000.0</v>
      </c>
      <c r="E53" s="3">
        <f>D53/K53</f>
        <v>-18.0</v>
      </c>
      <c r="F53" s="2" t="str">
        <f>IF(ISNUMBER(D53),"calculated","not_calculated")</f>
        <v>calculated</v>
      </c>
      <c r="G53" s="2">
        <f>IF(ISNUMBER(D53),"","检查缺失值、分母与输入；口径变更须重跑Python")</f>
        <v/>
      </c>
      <c r="H53" s="2" t="s">
        <v>1882</v>
      </c>
      <c r="I53" s="2" t="s">
        <v>1725</v>
      </c>
      <c r="J53" s="2" t="s">
        <v>1726</v>
      </c>
      <c r="K53" s="2">
        <v>1000000</v>
      </c>
      <c r="L53" s="2" t="s">
        <v>61</v>
      </c>
      <c r="M53" s="2" t="s">
        <v>62</v>
      </c>
      <c r="N53" s="2" t="s">
        <v>250</v>
      </c>
      <c r="O53" s="2" t="s">
        <v>69</v>
      </c>
    </row>
    <row r="54" spans="1:15">
      <c r="A54" s="2" t="s">
        <v>1883</v>
      </c>
      <c r="B54" s="2" t="s">
        <v>1884</v>
      </c>
      <c r="C54" s="2" t="s">
        <v>2167</v>
      </c>
      <c r="D54" s="3">
        <f>(('Facts'!F3*1)+('Facts'!F5*1)+('Facts'!F251*1))*1</f>
        <v>275000000.0</v>
      </c>
      <c r="E54" s="3">
        <f>D54/K54</f>
        <v>275.0</v>
      </c>
      <c r="F54" s="2" t="str">
        <f>IF(ISNUMBER(D54),"calculated","not_calculated")</f>
        <v>calculated</v>
      </c>
      <c r="G54" s="2">
        <f>IF(ISNUMBER(D54),"","检查缺失值、分母与输入；口径变更须重跑Python")</f>
        <v/>
      </c>
      <c r="H54" s="2" t="s">
        <v>1885</v>
      </c>
      <c r="I54" s="2" t="s">
        <v>1725</v>
      </c>
      <c r="J54" s="2" t="s">
        <v>1726</v>
      </c>
      <c r="K54" s="2">
        <v>1000000</v>
      </c>
      <c r="L54" s="2" t="s">
        <v>61</v>
      </c>
      <c r="M54" s="2" t="s">
        <v>62</v>
      </c>
      <c r="N54" s="2"/>
      <c r="O54" s="2" t="s">
        <v>69</v>
      </c>
    </row>
    <row r="55" spans="1:15">
      <c r="A55" s="2" t="s">
        <v>1886</v>
      </c>
      <c r="B55" s="2" t="s">
        <v>1887</v>
      </c>
      <c r="C55" s="2" t="s">
        <v>2168</v>
      </c>
      <c r="D55" s="3">
        <f>(('Facts'!F253*1)+('Facts'!F255*1))*1</f>
        <v>20000000.0</v>
      </c>
      <c r="E55" s="3">
        <f>D55/K55</f>
        <v>20.0</v>
      </c>
      <c r="F55" s="2" t="str">
        <f>IF(ISNUMBER(D55),"calculated","not_calculated")</f>
        <v>calculated</v>
      </c>
      <c r="G55" s="2">
        <f>IF(ISNUMBER(D55),"","检查缺失值、分母与输入；口径变更须重跑Python")</f>
        <v/>
      </c>
      <c r="H55" s="2" t="s">
        <v>1888</v>
      </c>
      <c r="I55" s="2" t="s">
        <v>1725</v>
      </c>
      <c r="J55" s="2" t="s">
        <v>1726</v>
      </c>
      <c r="K55" s="2">
        <v>1000000</v>
      </c>
      <c r="L55" s="2" t="s">
        <v>61</v>
      </c>
      <c r="M55" s="2" t="s">
        <v>62</v>
      </c>
      <c r="N55" s="2"/>
      <c r="O55" s="2" t="s">
        <v>69</v>
      </c>
    </row>
    <row r="56" spans="1:15">
      <c r="A56" s="2" t="s">
        <v>1889</v>
      </c>
      <c r="B56" s="2" t="s">
        <v>1890</v>
      </c>
      <c r="C56" s="2" t="s">
        <v>2169</v>
      </c>
      <c r="D56" s="3">
        <f>(('Facts'!F257*1)+('Facts'!F259*1))*1</f>
        <v>295000000.0</v>
      </c>
      <c r="E56" s="3">
        <f>D56/K56</f>
        <v>295.0</v>
      </c>
      <c r="F56" s="2" t="str">
        <f>IF(ISNUMBER(D56),"calculated","not_calculated")</f>
        <v>calculated</v>
      </c>
      <c r="G56" s="2">
        <f>IF(ISNUMBER(D56),"","检查缺失值、分母与输入；口径变更须重跑Python")</f>
        <v/>
      </c>
      <c r="H56" s="2" t="s">
        <v>1891</v>
      </c>
      <c r="I56" s="2" t="s">
        <v>1725</v>
      </c>
      <c r="J56" s="2" t="s">
        <v>1726</v>
      </c>
      <c r="K56" s="2">
        <v>1000000</v>
      </c>
      <c r="L56" s="2" t="s">
        <v>61</v>
      </c>
      <c r="M56" s="2" t="s">
        <v>62</v>
      </c>
      <c r="N56" s="2"/>
      <c r="O56" s="2" t="s">
        <v>69</v>
      </c>
    </row>
    <row r="57" spans="1:15">
      <c r="A57" s="2" t="s">
        <v>1892</v>
      </c>
      <c r="B57" s="2" t="s">
        <v>1893</v>
      </c>
      <c r="C57" s="2" t="s">
        <v>2170</v>
      </c>
      <c r="D57" s="3">
        <f>(('Facts'!F77*1)+('Facts'!F93*-1))*1</f>
        <v>2118000000.0</v>
      </c>
      <c r="E57" s="3">
        <f>D57/K57</f>
        <v>2118.0</v>
      </c>
      <c r="F57" s="2" t="str">
        <f>IF(ISNUMBER(D57),"calculated","not_calculated")</f>
        <v>calculated</v>
      </c>
      <c r="G57" s="2">
        <f>IF(ISNUMBER(D57),"","检查缺失值、分母与输入；口径变更须重跑Python")</f>
        <v/>
      </c>
      <c r="H57" s="2" t="s">
        <v>1894</v>
      </c>
      <c r="I57" s="2" t="s">
        <v>1725</v>
      </c>
      <c r="J57" s="2" t="s">
        <v>1726</v>
      </c>
      <c r="K57" s="2">
        <v>1000000</v>
      </c>
      <c r="L57" s="2" t="s">
        <v>61</v>
      </c>
      <c r="M57" s="2" t="s">
        <v>62</v>
      </c>
      <c r="N57" s="2" t="s">
        <v>250</v>
      </c>
      <c r="O57" s="2" t="s">
        <v>69</v>
      </c>
    </row>
    <row r="58" spans="1:15">
      <c r="A58" s="2" t="s">
        <v>1895</v>
      </c>
      <c r="B58" s="2" t="s">
        <v>1896</v>
      </c>
      <c r="C58" s="2" t="s">
        <v>2171</v>
      </c>
      <c r="D58" s="3">
        <f>(('Facts'!F109*1)+('Facts'!F111*-1))*1</f>
        <v>-5065000000.0</v>
      </c>
      <c r="E58" s="3">
        <f>D58/K58</f>
        <v>-5065.0</v>
      </c>
      <c r="F58" s="2" t="str">
        <f>IF(ISNUMBER(D58),"calculated","not_calculated")</f>
        <v>calculated</v>
      </c>
      <c r="G58" s="2">
        <f>IF(ISNUMBER(D58),"","检查缺失值、分母与输入；口径变更须重跑Python")</f>
        <v/>
      </c>
      <c r="H58" s="2" t="s">
        <v>1897</v>
      </c>
      <c r="I58" s="2" t="s">
        <v>1725</v>
      </c>
      <c r="J58" s="2" t="s">
        <v>1726</v>
      </c>
      <c r="K58" s="2">
        <v>1000000</v>
      </c>
      <c r="L58" s="2" t="s">
        <v>61</v>
      </c>
      <c r="M58" s="2" t="s">
        <v>62</v>
      </c>
      <c r="N58" s="2" t="s">
        <v>250</v>
      </c>
      <c r="O58" s="2" t="s">
        <v>69</v>
      </c>
    </row>
    <row r="59" spans="1:15">
      <c r="A59" s="2" t="s">
        <v>1898</v>
      </c>
      <c r="B59" s="2" t="s">
        <v>1899</v>
      </c>
      <c r="C59" s="2" t="s">
        <v>2172</v>
      </c>
      <c r="D59" s="3">
        <f>(('Facts'!F115*1)+('Facts'!F109*-1)+('Facts'!F111*1)+('Facts'!F89*1)+('Facts'!F121*1)+('Facts'!F123*1)+('Facts'!F85*1)+('Facts'!F125*1)+('Facts'!F127*1)+('Facts'!F129*1)+('Facts'!F131*1)+('Facts'!F133*1)+('Facts'!F135*1)+('Facts'!F137*1)+('Facts'!F139*1)+('Facts'!F141*1))*1</f>
        <v>2943000000.0</v>
      </c>
      <c r="E59" s="3">
        <f>D59/K59</f>
        <v>2943.0</v>
      </c>
      <c r="F59" s="2" t="str">
        <f>IF(ISNUMBER(D59),"calculated","not_calculated")</f>
        <v>calculated</v>
      </c>
      <c r="G59" s="2">
        <f>IF(ISNUMBER(D59),"","检查缺失值、分母与输入；口径变更须重跑Python")</f>
        <v/>
      </c>
      <c r="H59" s="2" t="s">
        <v>1900</v>
      </c>
      <c r="I59" s="2" t="s">
        <v>1725</v>
      </c>
      <c r="J59" s="2" t="s">
        <v>1726</v>
      </c>
      <c r="K59" s="2">
        <v>1000000</v>
      </c>
      <c r="L59" s="2" t="s">
        <v>61</v>
      </c>
      <c r="M59" s="2" t="s">
        <v>62</v>
      </c>
      <c r="N59" s="2" t="s">
        <v>250</v>
      </c>
      <c r="O59" s="2" t="s">
        <v>69</v>
      </c>
    </row>
    <row r="60" spans="1:15">
      <c r="A60" s="2" t="s">
        <v>1901</v>
      </c>
      <c r="B60" s="2" t="s">
        <v>1902</v>
      </c>
      <c r="C60" s="2" t="s">
        <v>2173</v>
      </c>
      <c r="D60" s="3">
        <f>(('Facts'!F183*1)+('Facts'!F175*1)+('Facts'!F177*1))*1</f>
        <v>295000000.0</v>
      </c>
      <c r="E60" s="3">
        <f>D60/K60</f>
        <v>295.0</v>
      </c>
      <c r="F60" s="2" t="str">
        <f>IF(ISNUMBER(D60),"calculated","not_calculated")</f>
        <v>calculated</v>
      </c>
      <c r="G60" s="2">
        <f>IF(ISNUMBER(D60),"","检查缺失值、分母与输入；口径变更须重跑Python")</f>
        <v/>
      </c>
      <c r="H60" s="2" t="s">
        <v>1903</v>
      </c>
      <c r="I60" s="2" t="s">
        <v>1725</v>
      </c>
      <c r="J60" s="2" t="s">
        <v>1726</v>
      </c>
      <c r="K60" s="2">
        <v>1000000</v>
      </c>
      <c r="L60" s="2" t="s">
        <v>61</v>
      </c>
      <c r="M60" s="2" t="s">
        <v>62</v>
      </c>
      <c r="N60" s="2" t="s">
        <v>250</v>
      </c>
      <c r="O60" s="2" t="s">
        <v>69</v>
      </c>
    </row>
    <row r="61" spans="1:15">
      <c r="A61" s="2" t="s">
        <v>1904</v>
      </c>
      <c r="B61" s="2" t="s">
        <v>1905</v>
      </c>
      <c r="C61" s="2" t="s">
        <v>2174</v>
      </c>
      <c r="D61" s="3">
        <f>(('Facts'!F181*1)+('Facts'!F185*1)+('Facts'!F187*1)+('Facts'!F189*1)+('Facts'!F115*1)+('Facts'!F117*1))*1</f>
        <v>-133000000.0</v>
      </c>
      <c r="E61" s="3">
        <f>D61/K61</f>
        <v>-133.0</v>
      </c>
      <c r="F61" s="2" t="str">
        <f>IF(ISNUMBER(D61),"calculated","not_calculated")</f>
        <v>calculated</v>
      </c>
      <c r="G61" s="2">
        <f>IF(ISNUMBER(D61),"","检查缺失值、分母与输入；口径变更须重跑Python")</f>
        <v/>
      </c>
      <c r="H61" s="2" t="s">
        <v>1906</v>
      </c>
      <c r="I61" s="2" t="s">
        <v>1725</v>
      </c>
      <c r="J61" s="2" t="s">
        <v>1726</v>
      </c>
      <c r="K61" s="2">
        <v>1000000</v>
      </c>
      <c r="L61" s="2" t="s">
        <v>61</v>
      </c>
      <c r="M61" s="2" t="s">
        <v>62</v>
      </c>
      <c r="N61" s="2" t="s">
        <v>250</v>
      </c>
      <c r="O61" s="2" t="s">
        <v>69</v>
      </c>
    </row>
    <row r="62" spans="1:15">
      <c r="A62" s="2" t="s">
        <v>1907</v>
      </c>
      <c r="B62" s="2" t="s">
        <v>1908</v>
      </c>
      <c r="C62" s="2" t="s">
        <v>2175</v>
      </c>
      <c r="D62" s="3">
        <f>(('Facts'!F143*1)+('Facts'!F131*-1))*1</f>
        <v>1820000000.0</v>
      </c>
      <c r="E62" s="3">
        <f>D62/K62</f>
        <v>1820.0</v>
      </c>
      <c r="F62" s="2" t="str">
        <f>IF(ISNUMBER(D62),"calculated","not_calculated")</f>
        <v>calculated</v>
      </c>
      <c r="G62" s="2">
        <f>IF(ISNUMBER(D62),"","检查缺失值、分母与输入；口径变更须重跑Python")</f>
        <v/>
      </c>
      <c r="H62" s="2" t="s">
        <v>1909</v>
      </c>
      <c r="I62" s="2" t="s">
        <v>1725</v>
      </c>
      <c r="J62" s="2" t="s">
        <v>1726</v>
      </c>
      <c r="K62" s="2">
        <v>1000000</v>
      </c>
      <c r="L62" s="2" t="s">
        <v>61</v>
      </c>
      <c r="M62" s="2" t="s">
        <v>62</v>
      </c>
      <c r="N62" s="2" t="s">
        <v>250</v>
      </c>
      <c r="O62" s="2" t="s">
        <v>69</v>
      </c>
    </row>
    <row r="63" spans="1:15">
      <c r="A63" s="2" t="s">
        <v>1910</v>
      </c>
      <c r="B63" s="2" t="s">
        <v>1911</v>
      </c>
      <c r="C63" s="2" t="s">
        <v>2176</v>
      </c>
      <c r="D63" s="3">
        <f>(('Calculations'!D62*1)+('Facts'!F145*1))*1</f>
        <v>1644000000.0</v>
      </c>
      <c r="E63" s="3">
        <f>D63/K63</f>
        <v>1644.0</v>
      </c>
      <c r="F63" s="2" t="str">
        <f>IF(ISNUMBER(D63),"calculated","not_calculated")</f>
        <v>calculated</v>
      </c>
      <c r="G63" s="2">
        <f>IF(ISNUMBER(D63),"","检查缺失值、分母与输入；口径变更须重跑Python")</f>
        <v/>
      </c>
      <c r="H63" s="2" t="s">
        <v>1912</v>
      </c>
      <c r="I63" s="2" t="s">
        <v>1814</v>
      </c>
      <c r="J63" s="2" t="s">
        <v>1726</v>
      </c>
      <c r="K63" s="2">
        <v>1000000</v>
      </c>
      <c r="L63" s="2" t="s">
        <v>61</v>
      </c>
      <c r="M63" s="2" t="s">
        <v>62</v>
      </c>
      <c r="N63" s="2" t="s">
        <v>250</v>
      </c>
      <c r="O63" s="2" t="s">
        <v>69</v>
      </c>
    </row>
    <row r="64" spans="1:15">
      <c r="A64" s="2" t="s">
        <v>1913</v>
      </c>
      <c r="B64" s="2" t="s">
        <v>1914</v>
      </c>
      <c r="C64" s="2" t="s">
        <v>2177</v>
      </c>
      <c r="D64" s="3">
        <f>(('Calculations'!D63*1)+('Facts'!F171*1))*1</f>
        <v>-1085000000.0</v>
      </c>
      <c r="E64" s="3">
        <f>D64/K64</f>
        <v>-1085.0</v>
      </c>
      <c r="F64" s="2" t="str">
        <f>IF(ISNUMBER(D64),"calculated","not_calculated")</f>
        <v>calculated</v>
      </c>
      <c r="G64" s="2">
        <f>IF(ISNUMBER(D64),"","检查缺失值、分母与输入；口径变更须重跑Python")</f>
        <v/>
      </c>
      <c r="H64" s="2" t="s">
        <v>1915</v>
      </c>
      <c r="I64" s="2" t="s">
        <v>1818</v>
      </c>
      <c r="J64" s="2" t="s">
        <v>1726</v>
      </c>
      <c r="K64" s="2">
        <v>1000000</v>
      </c>
      <c r="L64" s="2" t="s">
        <v>61</v>
      </c>
      <c r="M64" s="2" t="s">
        <v>62</v>
      </c>
      <c r="N64" s="2" t="s">
        <v>250</v>
      </c>
      <c r="O64" s="2" t="s">
        <v>69</v>
      </c>
    </row>
    <row r="65" spans="1:15">
      <c r="A65" s="2" t="s">
        <v>1916</v>
      </c>
      <c r="B65" s="2" t="s">
        <v>1917</v>
      </c>
      <c r="C65" s="2" t="s">
        <v>2178</v>
      </c>
      <c r="D65" s="3">
        <f>(('Facts'!F131*1)+('Facts'!F151*1))*1</f>
        <v>78000000.0</v>
      </c>
      <c r="E65" s="3">
        <f>D65/K65</f>
        <v>78.0</v>
      </c>
      <c r="F65" s="2" t="str">
        <f>IF(ISNUMBER(D65),"calculated","not_calculated")</f>
        <v>calculated</v>
      </c>
      <c r="G65" s="2">
        <f>IF(ISNUMBER(D65),"","检查缺失值、分母与输入；口径变更须重跑Python")</f>
        <v/>
      </c>
      <c r="H65" s="2" t="s">
        <v>1918</v>
      </c>
      <c r="I65" s="2" t="s">
        <v>1822</v>
      </c>
      <c r="J65" s="2" t="s">
        <v>1726</v>
      </c>
      <c r="K65" s="2">
        <v>1000000</v>
      </c>
      <c r="L65" s="2" t="s">
        <v>61</v>
      </c>
      <c r="M65" s="2" t="s">
        <v>62</v>
      </c>
      <c r="N65" s="2" t="s">
        <v>250</v>
      </c>
      <c r="O65" s="2" t="s">
        <v>69</v>
      </c>
    </row>
    <row r="66" spans="1:15">
      <c r="A66" s="2" t="s">
        <v>1919</v>
      </c>
      <c r="B66" s="2" t="s">
        <v>1920</v>
      </c>
      <c r="C66" s="2" t="s">
        <v>2179</v>
      </c>
      <c r="D66" s="3">
        <f>(('Facts'!F210*1)+('Facts'!F230*1))*1</f>
        <v>1575000000.0</v>
      </c>
      <c r="E66" s="3">
        <f>D66/K66</f>
        <v>1575.0</v>
      </c>
      <c r="F66" s="2" t="str">
        <f>IF(ISNUMBER(D66),"calculated","not_calculated")</f>
        <v>calculated</v>
      </c>
      <c r="G66" s="2">
        <f>IF(ISNUMBER(D66),"","检查缺失值、分母与输入；口径变更须重跑Python")</f>
        <v/>
      </c>
      <c r="H66" s="2" t="s">
        <v>1921</v>
      </c>
      <c r="I66" s="2" t="s">
        <v>1725</v>
      </c>
      <c r="J66" s="2" t="s">
        <v>1726</v>
      </c>
      <c r="K66" s="2">
        <v>1000000</v>
      </c>
      <c r="L66" s="2" t="s">
        <v>61</v>
      </c>
      <c r="M66" s="2" t="s">
        <v>62</v>
      </c>
      <c r="N66" s="2" t="s">
        <v>245</v>
      </c>
      <c r="O66" s="2" t="s">
        <v>63</v>
      </c>
    </row>
    <row r="67" spans="1:15">
      <c r="A67" s="2" t="s">
        <v>1922</v>
      </c>
      <c r="B67" s="2" t="s">
        <v>1923</v>
      </c>
      <c r="C67" s="2" t="s">
        <v>2180</v>
      </c>
      <c r="D67" s="3">
        <f>(('Facts'!F232*1)+('Facts'!F195*-1))*1</f>
        <v>5127000000.0</v>
      </c>
      <c r="E67" s="3">
        <f>D67/K67</f>
        <v>5127.0</v>
      </c>
      <c r="F67" s="2" t="str">
        <f>IF(ISNUMBER(D67),"calculated","not_calculated")</f>
        <v>calculated</v>
      </c>
      <c r="G67" s="2">
        <f>IF(ISNUMBER(D67),"","检查缺失值、分母与输入；口径变更须重跑Python")</f>
        <v/>
      </c>
      <c r="H67" s="2" t="s">
        <v>1924</v>
      </c>
      <c r="I67" s="2" t="s">
        <v>1925</v>
      </c>
      <c r="J67" s="2" t="s">
        <v>1726</v>
      </c>
      <c r="K67" s="2">
        <v>1000000</v>
      </c>
      <c r="L67" s="2" t="s">
        <v>61</v>
      </c>
      <c r="M67" s="2" t="s">
        <v>62</v>
      </c>
      <c r="N67" s="2" t="s">
        <v>250</v>
      </c>
      <c r="O67" s="2" t="s">
        <v>69</v>
      </c>
    </row>
    <row r="68" spans="1:15">
      <c r="A68" s="2" t="s">
        <v>1926</v>
      </c>
      <c r="B68" s="2" t="s">
        <v>1927</v>
      </c>
      <c r="C68" s="2" t="s">
        <v>2181</v>
      </c>
      <c r="D68" s="3">
        <f>(('Facts'!F77*1)+('Facts'!F191*1))*1</f>
        <v>6570000000.0</v>
      </c>
      <c r="E68" s="3">
        <f>D68/K68</f>
        <v>6570.0</v>
      </c>
      <c r="F68" s="2" t="str">
        <f>IF(ISNUMBER(D68),"calculated","not_calculated")</f>
        <v>calculated</v>
      </c>
      <c r="G68" s="2">
        <f>IF(ISNUMBER(D68),"","检查缺失值、分母与输入；口径变更须重跑Python")</f>
        <v/>
      </c>
      <c r="H68" s="2" t="s">
        <v>1928</v>
      </c>
      <c r="I68" s="2" t="s">
        <v>1725</v>
      </c>
      <c r="J68" s="2" t="s">
        <v>1726</v>
      </c>
      <c r="K68" s="2">
        <v>1000000</v>
      </c>
      <c r="L68" s="2" t="s">
        <v>61</v>
      </c>
      <c r="M68" s="2" t="s">
        <v>62</v>
      </c>
      <c r="N68" s="2" t="s">
        <v>250</v>
      </c>
      <c r="O68" s="2" t="s">
        <v>69</v>
      </c>
    </row>
    <row r="69" spans="1:15">
      <c r="A69" s="2" t="s">
        <v>1929</v>
      </c>
      <c r="B69" s="2" t="s">
        <v>1930</v>
      </c>
      <c r="C69" s="2" t="s">
        <v>2182</v>
      </c>
      <c r="D69" s="3">
        <f>(('Facts'!F103*1)+('Facts'!F197*1))*1</f>
        <v>-3879000000.0</v>
      </c>
      <c r="E69" s="3">
        <f>D69/K69</f>
        <v>-3879.0</v>
      </c>
      <c r="F69" s="2" t="str">
        <f>IF(ISNUMBER(D69),"calculated","not_calculated")</f>
        <v>calculated</v>
      </c>
      <c r="G69" s="2">
        <f>IF(ISNUMBER(D69),"","检查缺失值、分母与输入；口径变更须重跑Python")</f>
        <v/>
      </c>
      <c r="H69" s="2" t="s">
        <v>1931</v>
      </c>
      <c r="I69" s="2" t="s">
        <v>1725</v>
      </c>
      <c r="J69" s="2" t="s">
        <v>1726</v>
      </c>
      <c r="K69" s="2">
        <v>1000000</v>
      </c>
      <c r="L69" s="2" t="s">
        <v>61</v>
      </c>
      <c r="M69" s="2" t="s">
        <v>62</v>
      </c>
      <c r="N69" s="2" t="s">
        <v>250</v>
      </c>
      <c r="O69" s="2" t="s">
        <v>69</v>
      </c>
    </row>
    <row r="70" spans="1:15">
      <c r="A70" s="2" t="s">
        <v>1932</v>
      </c>
      <c r="B70" s="2" t="s">
        <v>1933</v>
      </c>
      <c r="C70" s="2" t="s">
        <v>2183</v>
      </c>
      <c r="D70" s="3">
        <f>(('Facts'!F105*1)+('Facts'!F199*1))*1</f>
        <v>-24000000.0</v>
      </c>
      <c r="E70" s="3">
        <f>D70/K70</f>
        <v>-24.0</v>
      </c>
      <c r="F70" s="2" t="str">
        <f>IF(ISNUMBER(D70),"calculated","not_calculated")</f>
        <v>calculated</v>
      </c>
      <c r="G70" s="2">
        <f>IF(ISNUMBER(D70),"","检查缺失值、分母与输入；口径变更须重跑Python")</f>
        <v/>
      </c>
      <c r="H70" s="2" t="s">
        <v>1934</v>
      </c>
      <c r="I70" s="2" t="s">
        <v>1725</v>
      </c>
      <c r="J70" s="2" t="s">
        <v>1726</v>
      </c>
      <c r="K70" s="2">
        <v>1000000</v>
      </c>
      <c r="L70" s="2" t="s">
        <v>61</v>
      </c>
      <c r="M70" s="2" t="s">
        <v>62</v>
      </c>
      <c r="N70" s="2" t="s">
        <v>250</v>
      </c>
      <c r="O70" s="2" t="s">
        <v>69</v>
      </c>
    </row>
    <row r="71" spans="1:15">
      <c r="A71" s="2" t="s">
        <v>1935</v>
      </c>
      <c r="B71" s="2" t="s">
        <v>1936</v>
      </c>
      <c r="C71" s="2" t="s">
        <v>2157</v>
      </c>
      <c r="D71" s="3">
        <f>(('Facts'!F107*1)+('Facts'!F113*1))*1</f>
        <v>-3903000000.0</v>
      </c>
      <c r="E71" s="3">
        <f>D71/K71</f>
        <v>-3903.0</v>
      </c>
      <c r="F71" s="2" t="str">
        <f>IF(ISNUMBER(D71),"calculated","not_calculated")</f>
        <v>calculated</v>
      </c>
      <c r="G71" s="2">
        <f>IF(ISNUMBER(D71),"","检查缺失值、分母与输入；口径变更须重跑Python")</f>
        <v/>
      </c>
      <c r="H71" s="2" t="s">
        <v>1855</v>
      </c>
      <c r="I71" s="2" t="s">
        <v>1725</v>
      </c>
      <c r="J71" s="2" t="s">
        <v>1726</v>
      </c>
      <c r="K71" s="2">
        <v>1000000</v>
      </c>
      <c r="L71" s="2" t="s">
        <v>61</v>
      </c>
      <c r="M71" s="2" t="s">
        <v>62</v>
      </c>
      <c r="N71" s="2" t="s">
        <v>250</v>
      </c>
      <c r="O71" s="2" t="s">
        <v>69</v>
      </c>
    </row>
    <row r="72" spans="1:15">
      <c r="A72" s="2" t="s">
        <v>1937</v>
      </c>
      <c r="B72" s="2" t="s">
        <v>1938</v>
      </c>
      <c r="C72" s="2" t="s">
        <v>2184</v>
      </c>
      <c r="D72" s="3">
        <f>(('Facts'!F212*1)+('Facts'!F210*1)+('Facts'!F228*-1))*1</f>
        <v>9918000000.0</v>
      </c>
      <c r="E72" s="3">
        <f>D72/K72</f>
        <v>9918.0</v>
      </c>
      <c r="F72" s="2" t="str">
        <f>IF(ISNUMBER(D72),"calculated","not_calculated")</f>
        <v>calculated</v>
      </c>
      <c r="G72" s="2">
        <f>IF(ISNUMBER(D72),"","检查缺失值、分母与输入；口径变更须重跑Python")</f>
        <v/>
      </c>
      <c r="H72" s="2" t="s">
        <v>1939</v>
      </c>
      <c r="I72" s="2" t="s">
        <v>1725</v>
      </c>
      <c r="J72" s="2" t="s">
        <v>1726</v>
      </c>
      <c r="K72" s="2">
        <v>1000000</v>
      </c>
      <c r="L72" s="2" t="s">
        <v>61</v>
      </c>
      <c r="M72" s="2" t="s">
        <v>62</v>
      </c>
      <c r="N72" s="2"/>
      <c r="O72" s="2" t="s">
        <v>63</v>
      </c>
    </row>
    <row r="73" spans="1:15">
      <c r="A73" s="2" t="s">
        <v>1940</v>
      </c>
      <c r="B73" s="2" t="s">
        <v>1941</v>
      </c>
      <c r="C73" s="2" t="s">
        <v>2185</v>
      </c>
      <c r="D73" s="3">
        <f>(('Facts'!F212*1)+('Facts'!F228*-1))*1</f>
        <v>8411000000.0</v>
      </c>
      <c r="E73" s="3">
        <f>D73/K73</f>
        <v>8411.0</v>
      </c>
      <c r="F73" s="2" t="str">
        <f>IF(ISNUMBER(D73),"calculated","not_calculated")</f>
        <v>calculated</v>
      </c>
      <c r="G73" s="2">
        <f>IF(ISNUMBER(D73),"","检查缺失值、分母与输入；口径变更须重跑Python")</f>
        <v/>
      </c>
      <c r="H73" s="2" t="s">
        <v>1942</v>
      </c>
      <c r="I73" s="2" t="s">
        <v>1725</v>
      </c>
      <c r="J73" s="2" t="s">
        <v>1726</v>
      </c>
      <c r="K73" s="2">
        <v>1000000</v>
      </c>
      <c r="L73" s="2" t="s">
        <v>61</v>
      </c>
      <c r="M73" s="2" t="s">
        <v>62</v>
      </c>
      <c r="N73" s="2"/>
      <c r="O73" s="2" t="s">
        <v>63</v>
      </c>
    </row>
    <row r="74" spans="1:15">
      <c r="A74" s="2" t="s">
        <v>1943</v>
      </c>
      <c r="B74" s="2" t="s">
        <v>1944</v>
      </c>
      <c r="C74" s="2" t="s">
        <v>2186</v>
      </c>
      <c r="D74" s="3">
        <f>(('Facts'!F44*1)+('Facts'!F52*1))*1</f>
        <v>24337000000.0</v>
      </c>
      <c r="E74" s="3">
        <f>D74/K74</f>
        <v>24337.0</v>
      </c>
      <c r="F74" s="2" t="str">
        <f>IF(ISNUMBER(D74),"calculated","not_calculated")</f>
        <v>calculated</v>
      </c>
      <c r="G74" s="2">
        <f>IF(ISNUMBER(D74),"","检查缺失值、分母与输入；口径变更须重跑Python")</f>
        <v/>
      </c>
      <c r="H74" s="2" t="s">
        <v>1945</v>
      </c>
      <c r="I74" s="2" t="s">
        <v>1725</v>
      </c>
      <c r="J74" s="2" t="s">
        <v>1726</v>
      </c>
      <c r="K74" s="2">
        <v>1000000</v>
      </c>
      <c r="L74" s="2" t="s">
        <v>61</v>
      </c>
      <c r="M74" s="2" t="s">
        <v>62</v>
      </c>
      <c r="N74" s="2"/>
      <c r="O74" s="2" t="s">
        <v>63</v>
      </c>
    </row>
    <row r="75" spans="1:15">
      <c r="A75" s="2" t="s">
        <v>1946</v>
      </c>
      <c r="B75" s="2" t="s">
        <v>1947</v>
      </c>
      <c r="C75" s="2" t="s">
        <v>2187</v>
      </c>
      <c r="D75" s="3">
        <f>(('Facts'!F261*1)+('Facts'!F262*1))*1</f>
        <v>24337000000.0</v>
      </c>
      <c r="E75" s="3">
        <f>D75/K75</f>
        <v>24337.0</v>
      </c>
      <c r="F75" s="2" t="str">
        <f>IF(ISNUMBER(D75),"calculated","not_calculated")</f>
        <v>calculated</v>
      </c>
      <c r="G75" s="2">
        <f>IF(ISNUMBER(D75),"","检查缺失值、分母与输入；口径变更须重跑Python")</f>
        <v/>
      </c>
      <c r="H75" s="2" t="s">
        <v>1948</v>
      </c>
      <c r="I75" s="2" t="s">
        <v>1725</v>
      </c>
      <c r="J75" s="2" t="s">
        <v>1726</v>
      </c>
      <c r="K75" s="2">
        <v>1000000</v>
      </c>
      <c r="L75" s="2" t="s">
        <v>61</v>
      </c>
      <c r="M75" s="2" t="s">
        <v>62</v>
      </c>
      <c r="N75" s="2"/>
      <c r="O75" s="2" t="s">
        <v>63</v>
      </c>
    </row>
    <row r="76" spans="1:15">
      <c r="A76" s="2" t="s">
        <v>1949</v>
      </c>
      <c r="B76" s="2" t="s">
        <v>1950</v>
      </c>
      <c r="C76" s="2" t="s">
        <v>2188</v>
      </c>
      <c r="D76" s="3">
        <f>(('Facts'!F266*1)+('Facts'!F263*-1))*1</f>
        <v>4084000000.0</v>
      </c>
      <c r="E76" s="3">
        <f>D76/K76</f>
        <v>4084.0</v>
      </c>
      <c r="F76" s="2" t="str">
        <f>IF(ISNUMBER(D76),"calculated","not_calculated")</f>
        <v>calculated</v>
      </c>
      <c r="G76" s="2">
        <f>IF(ISNUMBER(D76),"","检查缺失值、分母与输入；口径变更须重跑Python")</f>
        <v/>
      </c>
      <c r="H76" s="2" t="s">
        <v>1951</v>
      </c>
      <c r="I76" s="2" t="s">
        <v>1952</v>
      </c>
      <c r="J76" s="2" t="s">
        <v>1726</v>
      </c>
      <c r="K76" s="2">
        <v>1000000</v>
      </c>
      <c r="L76" s="2" t="s">
        <v>61</v>
      </c>
      <c r="M76" s="2" t="s">
        <v>62</v>
      </c>
      <c r="N76" s="2"/>
      <c r="O76" s="2" t="s">
        <v>63</v>
      </c>
    </row>
    <row r="77" spans="1:15">
      <c r="A77" s="2" t="s">
        <v>1953</v>
      </c>
      <c r="B77" s="2" t="s">
        <v>1954</v>
      </c>
      <c r="C77" s="2" t="s">
        <v>2189</v>
      </c>
      <c r="D77" s="3">
        <f>(('Facts'!F287*1)+('Facts'!F286*-1))*1</f>
        <v>2834000000.0</v>
      </c>
      <c r="E77" s="3">
        <f>D77/K77</f>
        <v>2834.0</v>
      </c>
      <c r="F77" s="2" t="str">
        <f>IF(ISNUMBER(D77),"calculated","not_calculated")</f>
        <v>calculated</v>
      </c>
      <c r="G77" s="2">
        <f>IF(ISNUMBER(D77),"","检查缺失值、分母与输入；口径变更须重跑Python")</f>
        <v/>
      </c>
      <c r="H77" s="2" t="s">
        <v>1955</v>
      </c>
      <c r="I77" s="2" t="s">
        <v>1956</v>
      </c>
      <c r="J77" s="2" t="s">
        <v>1726</v>
      </c>
      <c r="K77" s="2">
        <v>1000000</v>
      </c>
      <c r="L77" s="2" t="s">
        <v>61</v>
      </c>
      <c r="M77" s="2" t="s">
        <v>62</v>
      </c>
      <c r="N77" s="2"/>
      <c r="O77" s="2" t="s">
        <v>786</v>
      </c>
    </row>
    <row r="78" spans="1:15">
      <c r="A78" s="2" t="s">
        <v>1957</v>
      </c>
      <c r="B78" s="2" t="s">
        <v>1958</v>
      </c>
      <c r="C78" s="2" t="s">
        <v>2190</v>
      </c>
      <c r="D78" s="3">
        <f>(('Facts'!F271*1)+('Facts'!F270*-1))*1</f>
        <v>0.6</v>
      </c>
      <c r="E78" s="4">
        <f>D78</f>
        <v>0.6</v>
      </c>
      <c r="F78" s="2" t="str">
        <f>IF(ISNUMBER(D78),"calculated","not_calculated")</f>
        <v>calculated</v>
      </c>
      <c r="G78" s="2">
        <f>IF(ISNUMBER(D78),"","检查缺失值、分母与输入；口径变更须重跑Python")</f>
        <v/>
      </c>
      <c r="H78" s="2" t="s">
        <v>1959</v>
      </c>
      <c r="I78" s="2" t="s">
        <v>1960</v>
      </c>
      <c r="J78" s="2" t="s">
        <v>1961</v>
      </c>
      <c r="K78" s="2">
        <v>1</v>
      </c>
      <c r="L78" s="2" t="s">
        <v>61</v>
      </c>
      <c r="M78" s="2" t="s">
        <v>769</v>
      </c>
      <c r="N78" s="2"/>
      <c r="O78" s="2" t="s">
        <v>63</v>
      </c>
    </row>
    <row r="79" spans="1:15">
      <c r="A79" s="2" t="s">
        <v>1962</v>
      </c>
      <c r="B79" s="2" t="s">
        <v>1963</v>
      </c>
      <c r="C79" s="2" t="s">
        <v>2191</v>
      </c>
      <c r="D79" s="3">
        <f>(('Facts'!F210*1)+('Facts'!F288*1)+('Facts'!F289*-1))*1</f>
        <v>1836000000.0</v>
      </c>
      <c r="E79" s="3">
        <f>D79/K79</f>
        <v>1836.0</v>
      </c>
      <c r="F79" s="2" t="str">
        <f>IF(ISNUMBER(D79),"calculated","not_calculated")</f>
        <v>calculated</v>
      </c>
      <c r="G79" s="2">
        <f>IF(ISNUMBER(D79),"","检查缺失值、分母与输入；口径变更须重跑Python")</f>
        <v/>
      </c>
      <c r="H79" s="2" t="s">
        <v>1964</v>
      </c>
      <c r="I79" s="2" t="s">
        <v>1725</v>
      </c>
      <c r="J79" s="2" t="s">
        <v>1726</v>
      </c>
      <c r="K79" s="2">
        <v>1000000</v>
      </c>
      <c r="L79" s="2" t="s">
        <v>61</v>
      </c>
      <c r="M79" s="2" t="s">
        <v>62</v>
      </c>
      <c r="N79" s="2" t="s">
        <v>816</v>
      </c>
      <c r="O79" s="2" t="s">
        <v>786</v>
      </c>
    </row>
    <row r="80" spans="1:15">
      <c r="A80" s="2" t="s">
        <v>1965</v>
      </c>
      <c r="B80" s="2" t="s">
        <v>1966</v>
      </c>
      <c r="C80" s="2" t="s">
        <v>2192</v>
      </c>
      <c r="D80" s="3">
        <f>(('Facts'!F290*1)+('Facts'!F291*-1))*1</f>
        <v>278000000.0</v>
      </c>
      <c r="E80" s="3">
        <f>D80/K80</f>
        <v>278.0</v>
      </c>
      <c r="F80" s="2" t="str">
        <f>IF(ISNUMBER(D80),"calculated","not_calculated")</f>
        <v>calculated</v>
      </c>
      <c r="G80" s="2">
        <f>IF(ISNUMBER(D80),"","检查缺失值、分母与输入；口径变更须重跑Python")</f>
        <v/>
      </c>
      <c r="H80" s="2" t="s">
        <v>1967</v>
      </c>
      <c r="I80" s="2" t="s">
        <v>1725</v>
      </c>
      <c r="J80" s="2" t="s">
        <v>1726</v>
      </c>
      <c r="K80" s="2">
        <v>1000000</v>
      </c>
      <c r="L80" s="2" t="s">
        <v>61</v>
      </c>
      <c r="M80" s="2" t="s">
        <v>62</v>
      </c>
      <c r="N80" s="2" t="s">
        <v>816</v>
      </c>
      <c r="O80" s="2" t="s">
        <v>786</v>
      </c>
    </row>
    <row r="81" spans="1:15">
      <c r="A81" s="2" t="s">
        <v>1968</v>
      </c>
      <c r="B81" s="2" t="s">
        <v>1969</v>
      </c>
      <c r="C81" s="2" t="s">
        <v>2193</v>
      </c>
      <c r="D81" s="3">
        <f>(('Facts'!F292*1)+('Facts'!F293*1))*1</f>
        <v>276000000.0</v>
      </c>
      <c r="E81" s="3">
        <f>D81/K81</f>
        <v>276.0</v>
      </c>
      <c r="F81" s="2" t="str">
        <f>IF(ISNUMBER(D81),"calculated","not_calculated")</f>
        <v>calculated</v>
      </c>
      <c r="G81" s="2">
        <f>IF(ISNUMBER(D81),"","检查缺失值、分母与输入；口径变更须重跑Python")</f>
        <v/>
      </c>
      <c r="H81" s="2" t="s">
        <v>1970</v>
      </c>
      <c r="I81" s="2" t="s">
        <v>1725</v>
      </c>
      <c r="J81" s="2" t="s">
        <v>1726</v>
      </c>
      <c r="K81" s="2">
        <v>1000000</v>
      </c>
      <c r="L81" s="2" t="s">
        <v>61</v>
      </c>
      <c r="M81" s="2" t="s">
        <v>62</v>
      </c>
      <c r="N81" s="2" t="s">
        <v>816</v>
      </c>
      <c r="O81" s="2" t="s">
        <v>786</v>
      </c>
    </row>
    <row r="82" spans="1:15">
      <c r="A82" s="2" t="s">
        <v>1971</v>
      </c>
      <c r="B82" s="2" t="s">
        <v>1972</v>
      </c>
      <c r="C82" s="2" t="s">
        <v>2194</v>
      </c>
      <c r="D82" s="3">
        <f>(('Facts'!F277*1)+('Facts'!F278*1)+('Facts'!F279*1)+('Facts'!F280*1)+('Facts'!F281*1))*1</f>
        <v>325000000.0</v>
      </c>
      <c r="E82" s="3">
        <f>D82/K82</f>
        <v>325.0</v>
      </c>
      <c r="F82" s="2" t="str">
        <f>IF(ISNUMBER(D82),"calculated","not_calculated")</f>
        <v>calculated</v>
      </c>
      <c r="G82" s="2">
        <f>IF(ISNUMBER(D82),"","检查缺失值、分母与输入；口径变更须重跑Python")</f>
        <v/>
      </c>
      <c r="H82" s="2" t="s">
        <v>1973</v>
      </c>
      <c r="I82" s="2" t="s">
        <v>1725</v>
      </c>
      <c r="J82" s="2" t="s">
        <v>1726</v>
      </c>
      <c r="K82" s="2">
        <v>1000000</v>
      </c>
      <c r="L82" s="2" t="s">
        <v>61</v>
      </c>
      <c r="M82" s="2" t="s">
        <v>62</v>
      </c>
      <c r="N82" s="2"/>
      <c r="O82" s="2" t="s">
        <v>786</v>
      </c>
    </row>
    <row r="83" spans="1:15">
      <c r="A83" s="2" t="s">
        <v>1974</v>
      </c>
      <c r="B83" s="2" t="s">
        <v>1975</v>
      </c>
      <c r="C83" s="2" t="s">
        <v>2195</v>
      </c>
      <c r="D83" s="3">
        <f>(('Facts'!F284*1)+('Facts'!F285*1))*1</f>
        <v>24682000000.0</v>
      </c>
      <c r="E83" s="3">
        <f>D83/K83</f>
        <v>24682.0</v>
      </c>
      <c r="F83" s="2" t="str">
        <f>IF(ISNUMBER(D83),"calculated","not_calculated")</f>
        <v>calculated</v>
      </c>
      <c r="G83" s="2">
        <f>IF(ISNUMBER(D83),"","检查缺失值、分母与输入；口径变更须重跑Python")</f>
        <v/>
      </c>
      <c r="H83" s="2" t="s">
        <v>1976</v>
      </c>
      <c r="I83" s="2" t="s">
        <v>1725</v>
      </c>
      <c r="J83" s="2" t="s">
        <v>1726</v>
      </c>
      <c r="K83" s="2">
        <v>1000000</v>
      </c>
      <c r="L83" s="2" t="s">
        <v>61</v>
      </c>
      <c r="M83" s="2" t="s">
        <v>62</v>
      </c>
      <c r="N83" s="2"/>
      <c r="O83" s="2" t="s">
        <v>786</v>
      </c>
    </row>
    <row r="84" spans="1:15">
      <c r="A84" s="2" t="s">
        <v>1977</v>
      </c>
      <c r="B84" s="2" t="s">
        <v>1978</v>
      </c>
      <c r="C84" s="2" t="s">
        <v>2196</v>
      </c>
      <c r="D84" s="3">
        <f>(('Facts'!F297*1)+('Facts'!F298*-1))*1</f>
        <v>819000000.0</v>
      </c>
      <c r="E84" s="3">
        <f>D84/K84</f>
        <v>819.0</v>
      </c>
      <c r="F84" s="2" t="str">
        <f>IF(ISNUMBER(D84),"calculated","not_calculated")</f>
        <v>calculated</v>
      </c>
      <c r="G84" s="2">
        <f>IF(ISNUMBER(D84),"","检查缺失值、分母与输入；口径变更须重跑Python")</f>
        <v/>
      </c>
      <c r="H84" s="2" t="s">
        <v>1979</v>
      </c>
      <c r="I84" s="2" t="s">
        <v>1725</v>
      </c>
      <c r="J84" s="2" t="s">
        <v>1726</v>
      </c>
      <c r="K84" s="2">
        <v>1000000</v>
      </c>
      <c r="L84" s="2" t="s">
        <v>61</v>
      </c>
      <c r="M84" s="2" t="s">
        <v>62</v>
      </c>
      <c r="N84" s="2" t="s">
        <v>245</v>
      </c>
      <c r="O84" s="2" t="s">
        <v>832</v>
      </c>
    </row>
    <row r="85" spans="1:15">
      <c r="A85" s="2" t="s">
        <v>1980</v>
      </c>
      <c r="B85" s="2" t="s">
        <v>1981</v>
      </c>
      <c r="C85" s="2" t="s">
        <v>2197</v>
      </c>
      <c r="D85" s="3">
        <f>(('Facts'!F299*1)+('Facts'!F300*-1))*1</f>
        <v>8376000000.0</v>
      </c>
      <c r="E85" s="3">
        <f>D85/K85</f>
        <v>8376.0</v>
      </c>
      <c r="F85" s="2" t="str">
        <f>IF(ISNUMBER(D85),"calculated","not_calculated")</f>
        <v>calculated</v>
      </c>
      <c r="G85" s="2">
        <f>IF(ISNUMBER(D85),"","检查缺失值、分母与输入；口径变更须重跑Python")</f>
        <v/>
      </c>
      <c r="H85" s="2" t="s">
        <v>1982</v>
      </c>
      <c r="I85" s="2" t="s">
        <v>1983</v>
      </c>
      <c r="J85" s="2" t="s">
        <v>1726</v>
      </c>
      <c r="K85" s="2">
        <v>1000000</v>
      </c>
      <c r="L85" s="2" t="s">
        <v>61</v>
      </c>
      <c r="M85" s="2" t="s">
        <v>62</v>
      </c>
      <c r="N85" s="2"/>
      <c r="O85" s="2" t="s">
        <v>844</v>
      </c>
    </row>
    <row r="86" spans="1:15">
      <c r="A86" s="2" t="s">
        <v>1984</v>
      </c>
      <c r="B86" s="2" t="s">
        <v>1985</v>
      </c>
      <c r="C86" s="2" t="s">
        <v>2198</v>
      </c>
      <c r="D86" s="3">
        <f>(('Calculations'!D85*1)+('Facts'!F301*-1))*1</f>
        <v>8302000000.0</v>
      </c>
      <c r="E86" s="3">
        <f>D86/K86</f>
        <v>8302.0</v>
      </c>
      <c r="F86" s="2" t="str">
        <f>IF(ISNUMBER(D86),"calculated","not_calculated")</f>
        <v>calculated</v>
      </c>
      <c r="G86" s="2">
        <f>IF(ISNUMBER(D86),"","检查缺失值、分母与输入；口径变更须重跑Python")</f>
        <v/>
      </c>
      <c r="H86" s="2" t="s">
        <v>1986</v>
      </c>
      <c r="I86" s="2" t="s">
        <v>1987</v>
      </c>
      <c r="J86" s="2" t="s">
        <v>1726</v>
      </c>
      <c r="K86" s="2">
        <v>1000000</v>
      </c>
      <c r="L86" s="2" t="s">
        <v>61</v>
      </c>
      <c r="M86" s="2" t="s">
        <v>62</v>
      </c>
      <c r="N86" s="2"/>
      <c r="O86" s="2" t="s">
        <v>844</v>
      </c>
    </row>
    <row r="87" spans="1:15">
      <c r="A87" s="2" t="s">
        <v>1988</v>
      </c>
      <c r="B87" s="2" t="s">
        <v>1989</v>
      </c>
      <c r="C87" s="2" t="s">
        <v>2199</v>
      </c>
      <c r="D87" s="3">
        <f>(('Facts'!F306*1)+('Facts'!F307*-1))*1</f>
        <v>4460600000.0</v>
      </c>
      <c r="E87" s="3">
        <f>D87/K87</f>
        <v>4460.6</v>
      </c>
      <c r="F87" s="2" t="str">
        <f>IF(ISNUMBER(D87),"calculated","not_calculated")</f>
        <v>calculated</v>
      </c>
      <c r="G87" s="2">
        <f>IF(ISNUMBER(D87),"","检查缺失值、分母与输入；口径变更须重跑Python")</f>
        <v/>
      </c>
      <c r="H87" s="2" t="s">
        <v>1990</v>
      </c>
      <c r="I87" s="2" t="s">
        <v>1991</v>
      </c>
      <c r="J87" s="2" t="s">
        <v>1726</v>
      </c>
      <c r="K87" s="2">
        <v>1000000</v>
      </c>
      <c r="L87" s="2" t="s">
        <v>61</v>
      </c>
      <c r="M87" s="2" t="s">
        <v>863</v>
      </c>
      <c r="N87" s="2"/>
      <c r="O87" s="2" t="s">
        <v>844</v>
      </c>
    </row>
    <row r="88" spans="1:15">
      <c r="A88" s="2" t="s">
        <v>1992</v>
      </c>
      <c r="B88" s="2" t="s">
        <v>1993</v>
      </c>
      <c r="C88" s="2" t="s">
        <v>2200</v>
      </c>
      <c r="D88" s="3">
        <f>(('Facts'!F114*1)+('Facts'!F115*-1))*1</f>
        <v>4347000000.0</v>
      </c>
      <c r="E88" s="3">
        <f>D88/K88</f>
        <v>4347.0</v>
      </c>
      <c r="F88" s="2" t="str">
        <f>IF(ISNUMBER(D88),"calculated","not_calculated")</f>
        <v>calculated</v>
      </c>
      <c r="G88" s="2">
        <f>IF(ISNUMBER(D88),"","检查缺失值、分母与输入；口径变更须重跑Python")</f>
        <v/>
      </c>
      <c r="H88" s="2" t="s">
        <v>1994</v>
      </c>
      <c r="I88" s="2" t="s">
        <v>1725</v>
      </c>
      <c r="J88" s="2" t="s">
        <v>1726</v>
      </c>
      <c r="K88" s="2">
        <v>1000000</v>
      </c>
      <c r="L88" s="2" t="s">
        <v>61</v>
      </c>
      <c r="M88" s="2" t="s">
        <v>62</v>
      </c>
      <c r="N88" s="2" t="s">
        <v>245</v>
      </c>
      <c r="O88" s="2" t="s">
        <v>63</v>
      </c>
    </row>
    <row r="89" spans="1:15">
      <c r="A89" s="2" t="s">
        <v>1995</v>
      </c>
      <c r="B89" s="2" t="s">
        <v>1996</v>
      </c>
      <c r="C89" s="2" t="s">
        <v>2201</v>
      </c>
      <c r="D89" s="3">
        <f>(('Facts'!F106*1)+('Facts'!F107*-1))*1</f>
        <v>-59000000.0</v>
      </c>
      <c r="E89" s="3">
        <f>D89/K89</f>
        <v>-59.0</v>
      </c>
      <c r="F89" s="2" t="str">
        <f>IF(ISNUMBER(D89),"calculated","not_calculated")</f>
        <v>calculated</v>
      </c>
      <c r="G89" s="2">
        <f>IF(ISNUMBER(D89),"","检查缺失值、分母与输入；口径变更须重跑Python")</f>
        <v/>
      </c>
      <c r="H89" s="2" t="s">
        <v>1997</v>
      </c>
      <c r="I89" s="2" t="s">
        <v>1725</v>
      </c>
      <c r="J89" s="2" t="s">
        <v>1726</v>
      </c>
      <c r="K89" s="2">
        <v>1000000</v>
      </c>
      <c r="L89" s="2" t="s">
        <v>61</v>
      </c>
      <c r="M89" s="2" t="s">
        <v>62</v>
      </c>
      <c r="N89" s="2" t="s">
        <v>245</v>
      </c>
      <c r="O89" s="2" t="s">
        <v>63</v>
      </c>
    </row>
    <row r="90" spans="1:15">
      <c r="A90" s="2" t="s">
        <v>1998</v>
      </c>
      <c r="B90" s="2" t="s">
        <v>1999</v>
      </c>
      <c r="C90" s="2" t="s">
        <v>2202</v>
      </c>
      <c r="D90" s="3">
        <f>(('Facts'!F112*1)+('Facts'!F113*-1))*1</f>
        <v>4406000000.0</v>
      </c>
      <c r="E90" s="3">
        <f>D90/K90</f>
        <v>4406.0</v>
      </c>
      <c r="F90" s="2" t="str">
        <f>IF(ISNUMBER(D90),"calculated","not_calculated")</f>
        <v>calculated</v>
      </c>
      <c r="G90" s="2">
        <f>IF(ISNUMBER(D90),"","检查缺失值、分母与输入；口径变更须重跑Python")</f>
        <v/>
      </c>
      <c r="H90" s="2" t="s">
        <v>2000</v>
      </c>
      <c r="I90" s="2" t="s">
        <v>1725</v>
      </c>
      <c r="J90" s="2" t="s">
        <v>1726</v>
      </c>
      <c r="K90" s="2">
        <v>1000000</v>
      </c>
      <c r="L90" s="2" t="s">
        <v>61</v>
      </c>
      <c r="M90" s="2" t="s">
        <v>62</v>
      </c>
      <c r="N90" s="2" t="s">
        <v>245</v>
      </c>
      <c r="O90" s="2" t="s">
        <v>63</v>
      </c>
    </row>
    <row r="91" spans="1:15">
      <c r="A91" s="2" t="s">
        <v>2001</v>
      </c>
      <c r="B91" s="2" t="s">
        <v>2002</v>
      </c>
      <c r="C91" s="2" t="s">
        <v>2203</v>
      </c>
      <c r="D91" s="3">
        <f>(('Calculations'!D89*1)+('Calculations'!D90*1))*1</f>
        <v>4347000000.0</v>
      </c>
      <c r="E91" s="3">
        <f>D91/K91</f>
        <v>4347.0</v>
      </c>
      <c r="F91" s="2" t="str">
        <f>IF(ISNUMBER(D91),"calculated","not_calculated")</f>
        <v>calculated</v>
      </c>
      <c r="G91" s="2">
        <f>IF(ISNUMBER(D91),"","检查缺失值、分母与输入；口径变更须重跑Python")</f>
        <v/>
      </c>
      <c r="H91" s="2" t="s">
        <v>2003</v>
      </c>
      <c r="I91" s="2" t="s">
        <v>1725</v>
      </c>
      <c r="J91" s="2" t="s">
        <v>1726</v>
      </c>
      <c r="K91" s="2">
        <v>1000000</v>
      </c>
      <c r="L91" s="2" t="s">
        <v>61</v>
      </c>
      <c r="M91" s="2" t="s">
        <v>62</v>
      </c>
      <c r="N91" s="2" t="s">
        <v>245</v>
      </c>
      <c r="O91" s="2" t="s">
        <v>63</v>
      </c>
    </row>
    <row r="92" spans="1:15">
      <c r="A92" s="2" t="s">
        <v>2004</v>
      </c>
      <c r="B92" s="2" t="s">
        <v>2005</v>
      </c>
      <c r="C92" s="2" t="s">
        <v>2204</v>
      </c>
      <c r="D92" s="3">
        <f>(('Facts'!F316*1)+('Facts'!F317*-1)+('Facts'!F318*-1)+('Facts'!F319*-1))*1</f>
        <v>6247000000.0</v>
      </c>
      <c r="E92" s="3">
        <f>D92/K92</f>
        <v>6247.0</v>
      </c>
      <c r="F92" s="2" t="str">
        <f>IF(ISNUMBER(D92),"calculated","not_calculated")</f>
        <v>calculated</v>
      </c>
      <c r="G92" s="2">
        <f>IF(ISNUMBER(D92),"","检查缺失值、分母与输入；口径变更须重跑Python")</f>
        <v/>
      </c>
      <c r="H92" s="2" t="s">
        <v>2006</v>
      </c>
      <c r="I92" s="2" t="s">
        <v>899</v>
      </c>
      <c r="J92" s="2" t="s">
        <v>1726</v>
      </c>
      <c r="K92" s="2">
        <v>1000000</v>
      </c>
      <c r="L92" s="2" t="s">
        <v>61</v>
      </c>
      <c r="M92" s="2" t="s">
        <v>62</v>
      </c>
      <c r="N92" s="2"/>
      <c r="O92" s="2" t="s">
        <v>63</v>
      </c>
    </row>
    <row r="93" spans="1:15">
      <c r="A93" s="2" t="s">
        <v>2007</v>
      </c>
      <c r="B93" s="2" t="s">
        <v>2008</v>
      </c>
      <c r="C93" s="2" t="s">
        <v>2205</v>
      </c>
      <c r="D93" s="3">
        <f>(('Facts'!F321*1)+('Facts'!F320*1))*1</f>
        <v>6346000000.0</v>
      </c>
      <c r="E93" s="3">
        <f>D93/K93</f>
        <v>6346.0</v>
      </c>
      <c r="F93" s="2" t="str">
        <f>IF(ISNUMBER(D93),"calculated","not_calculated")</f>
        <v>calculated</v>
      </c>
      <c r="G93" s="2">
        <f>IF(ISNUMBER(D93),"","检查缺失值、分母与输入；口径变更须重跑Python")</f>
        <v/>
      </c>
      <c r="H93" s="2" t="s">
        <v>2009</v>
      </c>
      <c r="I93" s="2" t="s">
        <v>899</v>
      </c>
      <c r="J93" s="2" t="s">
        <v>1726</v>
      </c>
      <c r="K93" s="2">
        <v>1000000</v>
      </c>
      <c r="L93" s="2" t="s">
        <v>61</v>
      </c>
      <c r="M93" s="2" t="s">
        <v>62</v>
      </c>
      <c r="N93" s="2"/>
      <c r="O93" s="2" t="s">
        <v>63</v>
      </c>
    </row>
    <row r="94" spans="1:15">
      <c r="A94" s="2" t="s">
        <v>2010</v>
      </c>
      <c r="B94" s="2" t="s">
        <v>2011</v>
      </c>
      <c r="C94" s="2" t="s">
        <v>2206</v>
      </c>
      <c r="D94" s="3">
        <f>(('Facts'!F320*1)+('Facts'!F323*-1)+('Facts'!F324*-1))*1</f>
        <v>-4478000000.0</v>
      </c>
      <c r="E94" s="3">
        <f>D94/K94</f>
        <v>-4478.0</v>
      </c>
      <c r="F94" s="2" t="str">
        <f>IF(ISNUMBER(D94),"calculated","not_calculated")</f>
        <v>calculated</v>
      </c>
      <c r="G94" s="2">
        <f>IF(ISNUMBER(D94),"","检查缺失值、分母与输入；口径变更须重跑Python")</f>
        <v/>
      </c>
      <c r="H94" s="2" t="s">
        <v>2012</v>
      </c>
      <c r="I94" s="2" t="s">
        <v>899</v>
      </c>
      <c r="J94" s="2" t="s">
        <v>1726</v>
      </c>
      <c r="K94" s="2">
        <v>1000000</v>
      </c>
      <c r="L94" s="2" t="s">
        <v>61</v>
      </c>
      <c r="M94" s="2" t="s">
        <v>62</v>
      </c>
      <c r="N94" s="2"/>
      <c r="O94" s="2" t="s">
        <v>63</v>
      </c>
    </row>
    <row r="95" spans="1:15">
      <c r="A95" s="2" t="s">
        <v>2013</v>
      </c>
      <c r="B95" s="2" t="s">
        <v>2014</v>
      </c>
      <c r="C95" s="2" t="s">
        <v>2207</v>
      </c>
      <c r="D95" s="3">
        <f>(('Facts'!F326*1)+('Facts'!F327*1)+('Facts'!F328*1)+('Facts'!F329*-1)+('Facts'!F330*-1))*1</f>
        <v>-4317000000.0</v>
      </c>
      <c r="E95" s="3">
        <f>D95/K95</f>
        <v>-4317.0</v>
      </c>
      <c r="F95" s="2" t="str">
        <f>IF(ISNUMBER(D95),"calculated","not_calculated")</f>
        <v>calculated</v>
      </c>
      <c r="G95" s="2">
        <f>IF(ISNUMBER(D95),"","检查缺失值、分母与输入；口径变更须重跑Python")</f>
        <v/>
      </c>
      <c r="H95" s="2" t="s">
        <v>2015</v>
      </c>
      <c r="I95" s="2" t="s">
        <v>899</v>
      </c>
      <c r="J95" s="2" t="s">
        <v>1726</v>
      </c>
      <c r="K95" s="2">
        <v>1000000</v>
      </c>
      <c r="L95" s="2" t="s">
        <v>61</v>
      </c>
      <c r="M95" s="2" t="s">
        <v>62</v>
      </c>
      <c r="N95" s="2"/>
      <c r="O95" s="2" t="s">
        <v>63</v>
      </c>
    </row>
    <row r="96" spans="1:15">
      <c r="A96" s="2" t="s">
        <v>2016</v>
      </c>
      <c r="B96" s="2" t="s">
        <v>2017</v>
      </c>
      <c r="C96" s="2" t="s">
        <v>2208</v>
      </c>
      <c r="D96" s="3">
        <f>(('Facts'!F325*1)+('Facts'!F331*-1))*1</f>
        <v>-161000000.0</v>
      </c>
      <c r="E96" s="3">
        <f>D96/K96</f>
        <v>-161.0</v>
      </c>
      <c r="F96" s="2" t="str">
        <f>IF(ISNUMBER(D96),"calculated","not_calculated")</f>
        <v>calculated</v>
      </c>
      <c r="G96" s="2">
        <f>IF(ISNUMBER(D96),"","检查缺失值、分母与输入；口径变更须重跑Python")</f>
        <v/>
      </c>
      <c r="H96" s="2" t="s">
        <v>2018</v>
      </c>
      <c r="I96" s="2" t="s">
        <v>899</v>
      </c>
      <c r="J96" s="2" t="s">
        <v>1726</v>
      </c>
      <c r="K96" s="2">
        <v>1000000</v>
      </c>
      <c r="L96" s="2" t="s">
        <v>61</v>
      </c>
      <c r="M96" s="2" t="s">
        <v>62</v>
      </c>
      <c r="N96" s="2"/>
      <c r="O96" s="2" t="s">
        <v>63</v>
      </c>
    </row>
    <row r="97" spans="1:15">
      <c r="A97" s="2" t="s">
        <v>2019</v>
      </c>
      <c r="B97" s="2" t="s">
        <v>2020</v>
      </c>
      <c r="C97" s="2" t="s">
        <v>2209</v>
      </c>
      <c r="D97" s="3">
        <f>(('Facts'!F333*1)+('Facts'!F332*1))*1</f>
        <v>-1796000000.0</v>
      </c>
      <c r="E97" s="3">
        <f>D97/K97</f>
        <v>-1796.0</v>
      </c>
      <c r="F97" s="2" t="str">
        <f>IF(ISNUMBER(D97),"calculated","not_calculated")</f>
        <v>calculated</v>
      </c>
      <c r="G97" s="2">
        <f>IF(ISNUMBER(D97),"","检查缺失值、分母与输入；口径变更须重跑Python")</f>
        <v/>
      </c>
      <c r="H97" s="2" t="s">
        <v>2021</v>
      </c>
      <c r="I97" s="2" t="s">
        <v>899</v>
      </c>
      <c r="J97" s="2" t="s">
        <v>1726</v>
      </c>
      <c r="K97" s="2">
        <v>1000000</v>
      </c>
      <c r="L97" s="2" t="s">
        <v>61</v>
      </c>
      <c r="M97" s="2" t="s">
        <v>62</v>
      </c>
      <c r="N97" s="2"/>
      <c r="O97" s="2" t="s">
        <v>63</v>
      </c>
    </row>
    <row r="98" spans="1:15">
      <c r="A98" s="2" t="s">
        <v>2022</v>
      </c>
      <c r="B98" s="2" t="s">
        <v>2023</v>
      </c>
      <c r="C98" s="2" t="s">
        <v>2210</v>
      </c>
      <c r="D98" s="3">
        <f>(('Facts'!F336*1)+('Facts'!F337*1))*1</f>
        <v>-887000000.0</v>
      </c>
      <c r="E98" s="3">
        <f>D98/K98</f>
        <v>-887.0</v>
      </c>
      <c r="F98" s="2" t="str">
        <f>IF(ISNUMBER(D98),"calculated","not_calculated")</f>
        <v>calculated</v>
      </c>
      <c r="G98" s="2">
        <f>IF(ISNUMBER(D98),"","检查缺失值、分母与输入；口径变更须重跑Python")</f>
        <v/>
      </c>
      <c r="H98" s="2" t="s">
        <v>2024</v>
      </c>
      <c r="I98" s="2" t="s">
        <v>899</v>
      </c>
      <c r="J98" s="2" t="s">
        <v>1726</v>
      </c>
      <c r="K98" s="2">
        <v>1000000</v>
      </c>
      <c r="L98" s="2" t="s">
        <v>61</v>
      </c>
      <c r="M98" s="2" t="s">
        <v>62</v>
      </c>
      <c r="N98" s="2" t="s">
        <v>245</v>
      </c>
      <c r="O98" s="2" t="s">
        <v>63</v>
      </c>
    </row>
    <row r="99" spans="1:15">
      <c r="A99" s="2" t="s">
        <v>2025</v>
      </c>
      <c r="B99" s="2" t="s">
        <v>947</v>
      </c>
      <c r="C99" s="2" t="s">
        <v>2211</v>
      </c>
      <c r="D99" s="3">
        <f>(('Facts'!F335*1)+('Facts'!F337*1))*1</f>
        <v>1188000000.0</v>
      </c>
      <c r="E99" s="3">
        <f>D99/K99</f>
        <v>1188.0</v>
      </c>
      <c r="F99" s="2" t="str">
        <f>IF(ISNUMBER(D99),"calculated","not_calculated")</f>
        <v>calculated</v>
      </c>
      <c r="G99" s="2">
        <f>IF(ISNUMBER(D99),"","检查缺失值、分母与输入；口径变更须重跑Python")</f>
        <v/>
      </c>
      <c r="H99" s="2" t="s">
        <v>2026</v>
      </c>
      <c r="I99" s="2" t="s">
        <v>899</v>
      </c>
      <c r="J99" s="2" t="s">
        <v>1726</v>
      </c>
      <c r="K99" s="2">
        <v>1000000</v>
      </c>
      <c r="L99" s="2" t="s">
        <v>61</v>
      </c>
      <c r="M99" s="2" t="s">
        <v>62</v>
      </c>
      <c r="N99" s="2" t="s">
        <v>245</v>
      </c>
      <c r="O99" s="2" t="s">
        <v>63</v>
      </c>
    </row>
    <row r="100" spans="1:15">
      <c r="A100" s="2" t="s">
        <v>2027</v>
      </c>
      <c r="B100" s="2" t="s">
        <v>2028</v>
      </c>
      <c r="C100" s="2" t="s">
        <v>2212</v>
      </c>
      <c r="D100" s="3">
        <f>(('Facts'!F340*1)+('Facts'!F341*-1))*1</f>
        <v>0.0</v>
      </c>
      <c r="E100" s="3">
        <f>D100/K100</f>
        <v>0.0</v>
      </c>
      <c r="F100" s="2" t="str">
        <f>IF(ISNUMBER(D100),"calculated","not_calculated")</f>
        <v>calculated</v>
      </c>
      <c r="G100" s="2">
        <f>IF(ISNUMBER(D100),"","检查缺失值、分母与输入；口径变更须重跑Python")</f>
        <v/>
      </c>
      <c r="H100" s="2" t="s">
        <v>2029</v>
      </c>
      <c r="I100" s="2" t="s">
        <v>2030</v>
      </c>
      <c r="J100" s="2" t="s">
        <v>1726</v>
      </c>
      <c r="K100" s="2">
        <v>1000000</v>
      </c>
      <c r="L100" s="2" t="s">
        <v>61</v>
      </c>
      <c r="M100" s="2" t="s">
        <v>950</v>
      </c>
      <c r="N100" s="2" t="s">
        <v>250</v>
      </c>
      <c r="O100" s="2" t="s">
        <v>69</v>
      </c>
    </row>
    <row r="101" spans="1:15">
      <c r="A101" s="2" t="s">
        <v>2031</v>
      </c>
      <c r="B101" s="2" t="s">
        <v>2032</v>
      </c>
      <c r="C101" s="2" t="s">
        <v>2213</v>
      </c>
      <c r="D101" s="3">
        <f>(('Facts'!F344*1)+('Facts'!F345*1))*1</f>
        <v>8500000000.0</v>
      </c>
      <c r="E101" s="3">
        <f>D101/K101</f>
        <v>8500.0</v>
      </c>
      <c r="F101" s="2" t="str">
        <f>IF(ISNUMBER(D101),"calculated","not_calculated")</f>
        <v>calculated</v>
      </c>
      <c r="G101" s="2">
        <f>IF(ISNUMBER(D101),"","检查缺失值、分母与输入；口径变更须重跑Python")</f>
        <v/>
      </c>
      <c r="H101" s="2" t="s">
        <v>2033</v>
      </c>
      <c r="I101" s="2" t="s">
        <v>2034</v>
      </c>
      <c r="J101" s="2" t="s">
        <v>1726</v>
      </c>
      <c r="K101" s="2">
        <v>1000000</v>
      </c>
      <c r="L101" s="2" t="s">
        <v>61</v>
      </c>
      <c r="M101" s="2" t="s">
        <v>62</v>
      </c>
      <c r="N101" s="2"/>
      <c r="O101" s="2" t="s">
        <v>963</v>
      </c>
    </row>
    <row r="102" spans="1:15">
      <c r="A102" s="2" t="s">
        <v>2035</v>
      </c>
      <c r="B102" s="2" t="s">
        <v>2036</v>
      </c>
      <c r="C102" s="2" t="s">
        <v>2214</v>
      </c>
      <c r="D102" s="3">
        <f>(('Facts'!F47*1)+('Facts'!F55*1))*1</f>
        <v>5326000000.0</v>
      </c>
      <c r="E102" s="3">
        <f>D102/K102</f>
        <v>5326.0</v>
      </c>
      <c r="F102" s="2" t="str">
        <f>IF(ISNUMBER(D102),"calculated","not_calculated")</f>
        <v>calculated</v>
      </c>
      <c r="G102" s="2">
        <f>IF(ISNUMBER(D102),"","检查缺失值、分母与输入；口径变更须重跑Python")</f>
        <v/>
      </c>
      <c r="H102" s="2" t="s">
        <v>2037</v>
      </c>
      <c r="I102" s="2" t="s">
        <v>2038</v>
      </c>
      <c r="J102" s="2" t="s">
        <v>1726</v>
      </c>
      <c r="K102" s="2">
        <v>1000000</v>
      </c>
      <c r="L102" s="2" t="s">
        <v>61</v>
      </c>
      <c r="M102" s="2" t="s">
        <v>62</v>
      </c>
      <c r="N102" s="2"/>
      <c r="O102" s="2" t="s">
        <v>69</v>
      </c>
    </row>
    <row r="103" spans="1:15">
      <c r="A103" s="2" t="s">
        <v>2039</v>
      </c>
      <c r="B103" s="2" t="s">
        <v>2040</v>
      </c>
      <c r="C103" s="2" t="s">
        <v>2215</v>
      </c>
      <c r="D103" s="3">
        <f>(('Facts'!F46*1)+('Facts'!F54*1))*1</f>
        <v>5229000000.0</v>
      </c>
      <c r="E103" s="3">
        <f>D103/K103</f>
        <v>5229.0</v>
      </c>
      <c r="F103" s="2" t="str">
        <f>IF(ISNUMBER(D103),"calculated","not_calculated")</f>
        <v>calculated</v>
      </c>
      <c r="G103" s="2">
        <f>IF(ISNUMBER(D103),"","检查缺失值、分母与输入；口径变更须重跑Python")</f>
        <v/>
      </c>
      <c r="H103" s="2" t="s">
        <v>2041</v>
      </c>
      <c r="I103" s="2" t="s">
        <v>2038</v>
      </c>
      <c r="J103" s="2" t="s">
        <v>1726</v>
      </c>
      <c r="K103" s="2">
        <v>1000000</v>
      </c>
      <c r="L103" s="2" t="s">
        <v>61</v>
      </c>
      <c r="M103" s="2" t="s">
        <v>62</v>
      </c>
      <c r="N103" s="2"/>
      <c r="O103" s="2" t="s">
        <v>63</v>
      </c>
    </row>
    <row r="104" spans="1:15">
      <c r="A104" s="2" t="s">
        <v>2042</v>
      </c>
      <c r="B104" s="2" t="s">
        <v>2043</v>
      </c>
      <c r="C104" s="2" t="s">
        <v>2216</v>
      </c>
      <c r="D104" s="3">
        <f>(AVERAGE('Calculations'!D102,'Calculations'!D103))*1</f>
        <v>5277500000.0</v>
      </c>
      <c r="E104" s="3">
        <f>D104/K104</f>
        <v>5277.5</v>
      </c>
      <c r="F104" s="2" t="str">
        <f>IF(ISNUMBER(D104),"calculated","not_calculated")</f>
        <v>calculated</v>
      </c>
      <c r="G104" s="2">
        <f>IF(ISNUMBER(D104),"","检查缺失值、分母与输入；口径变更须重跑Python")</f>
        <v/>
      </c>
      <c r="H104" s="2" t="s">
        <v>2044</v>
      </c>
      <c r="I104" s="2" t="s">
        <v>2038</v>
      </c>
      <c r="J104" s="2" t="s">
        <v>1726</v>
      </c>
      <c r="K104" s="2">
        <v>1000000</v>
      </c>
      <c r="L104" s="2" t="s">
        <v>61</v>
      </c>
      <c r="M104" s="2" t="s">
        <v>62</v>
      </c>
      <c r="N104" s="2" t="s">
        <v>245</v>
      </c>
      <c r="O104" s="2" t="s">
        <v>63</v>
      </c>
    </row>
    <row r="105" spans="1:15">
      <c r="A105" s="2" t="s">
        <v>2045</v>
      </c>
      <c r="B105" s="2" t="s">
        <v>2046</v>
      </c>
      <c r="C105" s="2" t="s">
        <v>2217</v>
      </c>
      <c r="D105" s="3">
        <f>(('Facts'!F122-'Facts'!F354))*1</f>
        <v>12000000.0</v>
      </c>
      <c r="E105" s="3">
        <f>D105/K105</f>
        <v>12.0</v>
      </c>
      <c r="F105" s="2" t="str">
        <f>IF(ISNUMBER(D105),"calculated","not_calculated")</f>
        <v>calculated</v>
      </c>
      <c r="G105" s="2">
        <f>IF(ISNUMBER(D105),"","检查缺失值、分母与输入；口径变更须重跑Python")</f>
        <v/>
      </c>
      <c r="H105" s="2" t="s">
        <v>2047</v>
      </c>
      <c r="I105" s="2" t="s">
        <v>2038</v>
      </c>
      <c r="J105" s="2" t="s">
        <v>1726</v>
      </c>
      <c r="K105" s="2">
        <v>1000000</v>
      </c>
      <c r="L105" s="2" t="s">
        <v>61</v>
      </c>
      <c r="M105" s="2" t="s">
        <v>62</v>
      </c>
      <c r="N105" s="2" t="s">
        <v>245</v>
      </c>
      <c r="O105" s="2" t="s">
        <v>63</v>
      </c>
    </row>
    <row r="106" spans="1:15">
      <c r="A106" s="2" t="s">
        <v>2048</v>
      </c>
      <c r="B106" s="2" t="s">
        <v>2049</v>
      </c>
      <c r="C106" s="2" t="s">
        <v>2218</v>
      </c>
      <c r="D106" s="3">
        <f>(('Facts'!F355-'Facts'!F84))*1</f>
        <v>1000000.0</v>
      </c>
      <c r="E106" s="3">
        <f>D106/K106</f>
        <v>1.0</v>
      </c>
      <c r="F106" s="2" t="str">
        <f>IF(ISNUMBER(D106),"calculated","not_calculated")</f>
        <v>calculated</v>
      </c>
      <c r="G106" s="2">
        <f>IF(ISNUMBER(D106),"","检查缺失值、分母与输入；口径变更须重跑Python")</f>
        <v/>
      </c>
      <c r="H106" s="2" t="s">
        <v>2050</v>
      </c>
      <c r="I106" s="2" t="s">
        <v>2051</v>
      </c>
      <c r="J106" s="2" t="s">
        <v>1726</v>
      </c>
      <c r="K106" s="2">
        <v>1000000</v>
      </c>
      <c r="L106" s="2" t="s">
        <v>61</v>
      </c>
      <c r="M106" s="2" t="s">
        <v>62</v>
      </c>
      <c r="N106" s="2" t="s">
        <v>245</v>
      </c>
      <c r="O106" s="2" t="s">
        <v>63</v>
      </c>
    </row>
    <row r="107" spans="1:15">
      <c r="A107" s="2" t="s">
        <v>2052</v>
      </c>
      <c r="B107" s="2" t="s">
        <v>2053</v>
      </c>
      <c r="C107" s="2" t="s">
        <v>2219</v>
      </c>
      <c r="D107" s="3">
        <f>(('Facts'!F349*-1)+('Facts'!F350*-1)+('Facts'!F351*1))*1</f>
        <v>-972000000.0</v>
      </c>
      <c r="E107" s="3">
        <f>D107/K107</f>
        <v>-972.0</v>
      </c>
      <c r="F107" s="2" t="str">
        <f>IF(ISNUMBER(D107),"calculated","not_calculated")</f>
        <v>calculated</v>
      </c>
      <c r="G107" s="2">
        <f>IF(ISNUMBER(D107),"","检查缺失值、分母与输入；口径变更须重跑Python")</f>
        <v/>
      </c>
      <c r="H107" s="2" t="s">
        <v>2054</v>
      </c>
      <c r="I107" s="2" t="s">
        <v>2038</v>
      </c>
      <c r="J107" s="2" t="s">
        <v>1726</v>
      </c>
      <c r="K107" s="2">
        <v>1000000</v>
      </c>
      <c r="L107" s="2" t="s">
        <v>61</v>
      </c>
      <c r="M107" s="2" t="s">
        <v>62</v>
      </c>
      <c r="N107" s="2" t="s">
        <v>245</v>
      </c>
      <c r="O107" s="2" t="s">
        <v>63</v>
      </c>
    </row>
    <row r="108" spans="1:15">
      <c r="A108" s="2" t="s">
        <v>2055</v>
      </c>
      <c r="B108" s="2" t="s">
        <v>2056</v>
      </c>
      <c r="C108" s="2" t="s">
        <v>2220</v>
      </c>
      <c r="D108" s="3">
        <f>(('Facts'!F358*1)+('Facts'!F359*1)+('Facts'!F356*1))*1</f>
        <v>690000000.0</v>
      </c>
      <c r="E108" s="3">
        <f>D108/K108</f>
        <v>690.0</v>
      </c>
      <c r="F108" s="2" t="str">
        <f>IF(ISNUMBER(D108),"calculated","not_calculated")</f>
        <v>calculated</v>
      </c>
      <c r="G108" s="2">
        <f>IF(ISNUMBER(D108),"","检查缺失值、分母与输入；口径变更须重跑Python")</f>
        <v/>
      </c>
      <c r="H108" s="2" t="s">
        <v>2057</v>
      </c>
      <c r="I108" s="2" t="s">
        <v>2038</v>
      </c>
      <c r="J108" s="2" t="s">
        <v>1726</v>
      </c>
      <c r="K108" s="2">
        <v>1000000</v>
      </c>
      <c r="L108" s="2" t="s">
        <v>61</v>
      </c>
      <c r="M108" s="2" t="s">
        <v>62</v>
      </c>
      <c r="N108" s="2" t="s">
        <v>245</v>
      </c>
      <c r="O108" s="2" t="s">
        <v>63</v>
      </c>
    </row>
    <row r="109" spans="1:15">
      <c r="A109" s="2" t="s">
        <v>2058</v>
      </c>
      <c r="B109" s="2" t="s">
        <v>2059</v>
      </c>
      <c r="C109" s="2" t="s">
        <v>2221</v>
      </c>
      <c r="D109" s="3">
        <f>(('Facts'!F361*1)+('Facts'!F356*1)+('Facts'!F357*-1))*1</f>
        <v>322000000.0</v>
      </c>
      <c r="E109" s="3">
        <f>D109/K109</f>
        <v>322.0</v>
      </c>
      <c r="F109" s="2" t="str">
        <f>IF(ISNUMBER(D109),"calculated","not_calculated")</f>
        <v>calculated</v>
      </c>
      <c r="G109" s="2">
        <f>IF(ISNUMBER(D109),"","检查缺失值、分母与输入；口径变更须重跑Python")</f>
        <v/>
      </c>
      <c r="H109" s="2" t="s">
        <v>2060</v>
      </c>
      <c r="I109" s="2" t="s">
        <v>2038</v>
      </c>
      <c r="J109" s="2" t="s">
        <v>1726</v>
      </c>
      <c r="K109" s="2">
        <v>1000000</v>
      </c>
      <c r="L109" s="2" t="s">
        <v>61</v>
      </c>
      <c r="M109" s="2" t="s">
        <v>62</v>
      </c>
      <c r="N109" s="2" t="s">
        <v>245</v>
      </c>
      <c r="O109" s="2" t="s">
        <v>63</v>
      </c>
    </row>
    <row r="110" spans="1:15">
      <c r="A110" s="2" t="s">
        <v>2061</v>
      </c>
      <c r="B110" s="2" t="s">
        <v>2062</v>
      </c>
      <c r="C110" s="2" t="s">
        <v>2222</v>
      </c>
      <c r="D110" s="3">
        <f>(('Facts'!F364-'Facts'!F365))*1</f>
        <v>296000000.0</v>
      </c>
      <c r="E110" s="3">
        <f>D110/K110</f>
        <v>296.0</v>
      </c>
      <c r="F110" s="2" t="str">
        <f>IF(ISNUMBER(D110),"calculated","not_calculated")</f>
        <v>calculated</v>
      </c>
      <c r="G110" s="2">
        <f>IF(ISNUMBER(D110),"","检查缺失值、分母与输入；口径变更须重跑Python")</f>
        <v/>
      </c>
      <c r="H110" s="2" t="s">
        <v>2063</v>
      </c>
      <c r="I110" s="2" t="s">
        <v>2038</v>
      </c>
      <c r="J110" s="2" t="s">
        <v>1726</v>
      </c>
      <c r="K110" s="2">
        <v>1000000</v>
      </c>
      <c r="L110" s="2" t="s">
        <v>61</v>
      </c>
      <c r="M110" s="2" t="s">
        <v>62</v>
      </c>
      <c r="N110" s="2" t="s">
        <v>816</v>
      </c>
      <c r="O110" s="2" t="s">
        <v>786</v>
      </c>
    </row>
    <row r="111" spans="1:15">
      <c r="A111" s="2" t="s">
        <v>2064</v>
      </c>
      <c r="B111" s="2" t="s">
        <v>2065</v>
      </c>
      <c r="C111" s="2" t="s">
        <v>2223</v>
      </c>
      <c r="D111" s="3">
        <f>(('Facts'!F366-'Facts'!F367))*1</f>
        <v>371000000.0</v>
      </c>
      <c r="E111" s="3">
        <f>D111/K111</f>
        <v>371.0</v>
      </c>
      <c r="F111" s="2" t="str">
        <f>IF(ISNUMBER(D111),"calculated","not_calculated")</f>
        <v>calculated</v>
      </c>
      <c r="G111" s="2">
        <f>IF(ISNUMBER(D111),"","检查缺失值、分母与输入；口径变更须重跑Python")</f>
        <v/>
      </c>
      <c r="H111" s="2" t="s">
        <v>2066</v>
      </c>
      <c r="I111" s="2" t="s">
        <v>2038</v>
      </c>
      <c r="J111" s="2" t="s">
        <v>1726</v>
      </c>
      <c r="K111" s="2">
        <v>1000000</v>
      </c>
      <c r="L111" s="2" t="s">
        <v>61</v>
      </c>
      <c r="M111" s="2" t="s">
        <v>62</v>
      </c>
      <c r="N111" s="2" t="s">
        <v>245</v>
      </c>
      <c r="O111" s="2" t="s">
        <v>832</v>
      </c>
    </row>
    <row r="112" spans="1:15">
      <c r="A112" s="2" t="s">
        <v>2067</v>
      </c>
      <c r="B112" s="2" t="s">
        <v>2068</v>
      </c>
      <c r="C112" s="2" t="s">
        <v>2224</v>
      </c>
      <c r="D112" s="3">
        <f>IF(OR('Calculations'!D111&lt;=0,'Calculations'!D110&lt;0),NA(),((('Calculations'!D110-'Calculations'!D111)/'Calculations'!D111))*1)</f>
        <v>-0.20215633423180593</v>
      </c>
      <c r="E112" s="5">
        <f>D112</f>
        <v>-0.20215633423180593</v>
      </c>
      <c r="F112" s="2" t="str">
        <f>IF(ISNUMBER(D112),"calculated","not_calculated")</f>
        <v>calculated</v>
      </c>
      <c r="G112" s="2">
        <f>IF(ISNUMBER(D112),"","检查缺失值、分母与输入；口径变更须重跑Python")</f>
        <v/>
      </c>
      <c r="H112" s="2" t="s">
        <v>2069</v>
      </c>
      <c r="I112" s="2" t="s">
        <v>2038</v>
      </c>
      <c r="J112" s="2" t="s">
        <v>2070</v>
      </c>
      <c r="K112" s="2">
        <v>1</v>
      </c>
      <c r="L112" s="2" t="s">
        <v>61</v>
      </c>
      <c r="M112" s="2" t="s">
        <v>62</v>
      </c>
      <c r="N112" s="2" t="s">
        <v>816</v>
      </c>
      <c r="O112" s="2" t="s">
        <v>786</v>
      </c>
    </row>
    <row r="113" spans="1:15">
      <c r="A113" s="2" t="s">
        <v>2071</v>
      </c>
      <c r="B113" s="2" t="s">
        <v>2072</v>
      </c>
      <c r="C113" s="2" t="s">
        <v>2225</v>
      </c>
      <c r="D113" s="3">
        <f>(('Facts'!F369*1)+('Facts'!F370*1)+('Facts'!F371*1))*1</f>
        <v>-24000000.0</v>
      </c>
      <c r="E113" s="3">
        <f>D113/K113</f>
        <v>-24.0</v>
      </c>
      <c r="F113" s="2" t="str">
        <f>IF(ISNUMBER(D113),"calculated","not_calculated")</f>
        <v>calculated</v>
      </c>
      <c r="G113" s="2">
        <f>IF(ISNUMBER(D113),"","检查缺失值、分母与输入；口径变更须重跑Python")</f>
        <v/>
      </c>
      <c r="H113" s="2" t="s">
        <v>2073</v>
      </c>
      <c r="I113" s="2" t="s">
        <v>2038</v>
      </c>
      <c r="J113" s="2" t="s">
        <v>1726</v>
      </c>
      <c r="K113" s="2">
        <v>1000000</v>
      </c>
      <c r="L113" s="2" t="s">
        <v>61</v>
      </c>
      <c r="M113" s="2" t="s">
        <v>62</v>
      </c>
      <c r="N113" s="2" t="s">
        <v>816</v>
      </c>
      <c r="O113" s="2" t="s">
        <v>786</v>
      </c>
    </row>
    <row r="114" spans="1:15">
      <c r="A114" s="2" t="s">
        <v>2074</v>
      </c>
      <c r="B114" s="2" t="s">
        <v>2075</v>
      </c>
      <c r="C114" s="2" t="s">
        <v>2226</v>
      </c>
      <c r="D114" s="3">
        <f>(('Calculations'!D113*1)+('Facts'!F368*1))*1</f>
        <v>940000000.0</v>
      </c>
      <c r="E114" s="3">
        <f>D114/K114</f>
        <v>940.0</v>
      </c>
      <c r="F114" s="2" t="str">
        <f>IF(ISNUMBER(D114),"calculated","not_calculated")</f>
        <v>calculated</v>
      </c>
      <c r="G114" s="2">
        <f>IF(ISNUMBER(D114),"","检查缺失值、分母与输入；口径变更须重跑Python")</f>
        <v/>
      </c>
      <c r="H114" s="2" t="s">
        <v>2076</v>
      </c>
      <c r="I114" s="2" t="s">
        <v>2038</v>
      </c>
      <c r="J114" s="2" t="s">
        <v>1726</v>
      </c>
      <c r="K114" s="2">
        <v>1000000</v>
      </c>
      <c r="L114" s="2" t="s">
        <v>61</v>
      </c>
      <c r="M114" s="2" t="s">
        <v>62</v>
      </c>
      <c r="N114" s="2" t="s">
        <v>816</v>
      </c>
      <c r="O114" s="2" t="s">
        <v>786</v>
      </c>
    </row>
    <row r="115" spans="1:15">
      <c r="A115" s="2" t="s">
        <v>2077</v>
      </c>
      <c r="B115" s="2" t="s">
        <v>2078</v>
      </c>
      <c r="C115" s="2" t="s">
        <v>2227</v>
      </c>
      <c r="D115" s="3">
        <f>IF('Facts'!F373&lt;=0,NA(),(('Facts'!F372/'Facts'!F373))*1)</f>
        <v>0.9001161440185831</v>
      </c>
      <c r="E115" s="5">
        <f>D115</f>
        <v>0.9001161440185831</v>
      </c>
      <c r="F115" s="2" t="str">
        <f>IF(ISNUMBER(D115),"calculated","not_calculated")</f>
        <v>calculated</v>
      </c>
      <c r="G115" s="2">
        <f>IF(ISNUMBER(D115),"","检查缺失值、分母与输入；口径变更须重跑Python")</f>
        <v/>
      </c>
      <c r="H115" s="2" t="s">
        <v>2079</v>
      </c>
      <c r="I115" s="2" t="s">
        <v>2038</v>
      </c>
      <c r="J115" s="2" t="s">
        <v>2070</v>
      </c>
      <c r="K115" s="2">
        <v>1</v>
      </c>
      <c r="L115" s="2" t="s">
        <v>61</v>
      </c>
      <c r="M115" s="2" t="s">
        <v>62</v>
      </c>
      <c r="N115" s="2"/>
      <c r="O115" s="2" t="s">
        <v>63</v>
      </c>
    </row>
    <row r="116" spans="1:15">
      <c r="A116" s="2" t="s">
        <v>2080</v>
      </c>
      <c r="B116" s="2" t="s">
        <v>2081</v>
      </c>
      <c r="C116" s="2" t="s">
        <v>2228</v>
      </c>
      <c r="D116" s="3">
        <f>IF('Facts'!F375&lt;=0,NA(),(('Facts'!F374/'Facts'!F375))*1)</f>
        <v>0.30260777811275247</v>
      </c>
      <c r="E116" s="5">
        <f>D116</f>
        <v>0.30260777811275247</v>
      </c>
      <c r="F116" s="2" t="str">
        <f>IF(ISNUMBER(D116),"calculated","not_calculated")</f>
        <v>calculated</v>
      </c>
      <c r="G116" s="2">
        <f>IF(ISNUMBER(D116),"","检查缺失值、分母与输入；口径变更须重跑Python")</f>
        <v/>
      </c>
      <c r="H116" s="2" t="s">
        <v>2082</v>
      </c>
      <c r="I116" s="2" t="s">
        <v>2038</v>
      </c>
      <c r="J116" s="2" t="s">
        <v>2070</v>
      </c>
      <c r="K116" s="2">
        <v>1</v>
      </c>
      <c r="L116" s="2" t="s">
        <v>61</v>
      </c>
      <c r="M116" s="2" t="s">
        <v>62</v>
      </c>
      <c r="N116" s="2"/>
      <c r="O116" s="2" t="s">
        <v>63</v>
      </c>
    </row>
    <row r="117" spans="1:15">
      <c r="A117" s="2" t="s">
        <v>2083</v>
      </c>
      <c r="B117" s="2" t="s">
        <v>2084</v>
      </c>
      <c r="C117" s="2" t="s">
        <v>2229</v>
      </c>
      <c r="D117" s="3">
        <f>IF('Facts'!F377&lt;=0,NA(),(('Facts'!F376/'Facts'!F377))*1)</f>
        <v>0.42680893631210404</v>
      </c>
      <c r="E117" s="5">
        <f>D117</f>
        <v>0.42680893631210404</v>
      </c>
      <c r="F117" s="2" t="str">
        <f>IF(ISNUMBER(D117),"calculated","not_calculated")</f>
        <v>calculated</v>
      </c>
      <c r="G117" s="2">
        <f>IF(ISNUMBER(D117),"","检查缺失值、分母与输入；口径变更须重跑Python")</f>
        <v/>
      </c>
      <c r="H117" s="2" t="s">
        <v>2085</v>
      </c>
      <c r="I117" s="2" t="s">
        <v>2038</v>
      </c>
      <c r="J117" s="2" t="s">
        <v>2070</v>
      </c>
      <c r="K117" s="2">
        <v>1</v>
      </c>
      <c r="L117" s="2" t="s">
        <v>61</v>
      </c>
      <c r="M117" s="2" t="s">
        <v>62</v>
      </c>
      <c r="N117" s="2" t="s">
        <v>1048</v>
      </c>
      <c r="O117" s="2" t="s">
        <v>63</v>
      </c>
    </row>
    <row r="118" spans="1:15">
      <c r="A118" s="2" t="s">
        <v>2086</v>
      </c>
      <c r="B118" s="2" t="s">
        <v>2087</v>
      </c>
      <c r="C118" s="2" t="s">
        <v>2230</v>
      </c>
      <c r="D118" s="3">
        <f>(('Facts'!F383-'Facts'!F384))*1</f>
        <v>40000000.0</v>
      </c>
      <c r="E118" s="3">
        <f>D118/K118</f>
        <v>40.0</v>
      </c>
      <c r="F118" s="2" t="str">
        <f>IF(ISNUMBER(D118),"calculated","not_calculated")</f>
        <v>calculated</v>
      </c>
      <c r="G118" s="2">
        <f>IF(ISNUMBER(D118),"","检查缺失值、分母与输入；口径变更须重跑Python")</f>
        <v/>
      </c>
      <c r="H118" s="2" t="s">
        <v>2088</v>
      </c>
      <c r="I118" s="2" t="s">
        <v>2089</v>
      </c>
      <c r="J118" s="2" t="s">
        <v>1726</v>
      </c>
      <c r="K118" s="2">
        <v>1000000</v>
      </c>
      <c r="L118" s="2" t="s">
        <v>61</v>
      </c>
      <c r="M118" s="2" t="s">
        <v>1067</v>
      </c>
      <c r="N118" s="2" t="s">
        <v>245</v>
      </c>
      <c r="O118" s="2" t="s">
        <v>63</v>
      </c>
    </row>
    <row r="119" spans="1:15">
      <c r="A119" s="2" t="s">
        <v>2090</v>
      </c>
      <c r="B119" s="2" t="s">
        <v>2091</v>
      </c>
      <c r="C119" s="2" t="s">
        <v>2231</v>
      </c>
      <c r="D119" s="3">
        <f>(('Facts'!F389*1)+('Facts'!F390*1))*1</f>
        <v>1.392</v>
      </c>
      <c r="E119" s="5">
        <f>D119</f>
        <v>1.392</v>
      </c>
      <c r="F119" s="2" t="str">
        <f>IF(ISNUMBER(D119),"calculated","not_calculated")</f>
        <v>calculated</v>
      </c>
      <c r="G119" s="2">
        <f>IF(ISNUMBER(D119),"","检查缺失值、分母与输入；口径变更须重跑Python")</f>
        <v/>
      </c>
      <c r="H119" s="2" t="s">
        <v>2092</v>
      </c>
      <c r="I119" s="2" t="s">
        <v>2093</v>
      </c>
      <c r="J119" s="2" t="s">
        <v>2070</v>
      </c>
      <c r="K119" s="2">
        <v>1</v>
      </c>
      <c r="L119" s="2" t="s">
        <v>61</v>
      </c>
      <c r="M119" s="2" t="s">
        <v>1067</v>
      </c>
      <c r="N119" s="2" t="s">
        <v>245</v>
      </c>
      <c r="O119" s="2" t="s">
        <v>63</v>
      </c>
    </row>
    <row r="120" spans="1:15">
      <c r="A120" s="2" t="s">
        <v>2094</v>
      </c>
      <c r="B120" s="2" t="s">
        <v>2095</v>
      </c>
      <c r="C120" s="2" t="s">
        <v>2232</v>
      </c>
      <c r="D120" s="3">
        <f>(('Calculations'!D119-'Facts'!F391))*1</f>
        <v>0.0004</v>
      </c>
      <c r="E120" s="6">
        <f>D120*100</f>
        <v>0.04</v>
      </c>
      <c r="F120" s="2" t="str">
        <f>IF(ISNUMBER(D120),"calculated","not_calculated")</f>
        <v>calculated</v>
      </c>
      <c r="G120" s="2">
        <f>IF(ISNUMBER(D120),"","检查缺失值、分母与输入；口径变更须重跑Python")</f>
        <v/>
      </c>
      <c r="H120" s="2" t="s">
        <v>2096</v>
      </c>
      <c r="I120" s="2" t="s">
        <v>2097</v>
      </c>
      <c r="J120" s="2" t="s">
        <v>2098</v>
      </c>
      <c r="K120" s="2">
        <v>1</v>
      </c>
      <c r="L120" s="2" t="s">
        <v>61</v>
      </c>
      <c r="M120" s="2" t="s">
        <v>1067</v>
      </c>
      <c r="N120" s="2" t="s">
        <v>245</v>
      </c>
      <c r="O120" s="2" t="s">
        <v>63</v>
      </c>
    </row>
    <row r="121" spans="1:15">
      <c r="A121" s="2" t="s">
        <v>2099</v>
      </c>
      <c r="B121" s="2" t="s">
        <v>2100</v>
      </c>
      <c r="C121" s="2" t="s">
        <v>2233</v>
      </c>
      <c r="D121" s="3">
        <f>(('Facts'!F392*'Facts'!F391))*1</f>
        <v>823521.048</v>
      </c>
      <c r="E121" s="3">
        <f>D121/K121</f>
        <v>823521.048</v>
      </c>
      <c r="F121" s="2" t="str">
        <f>IF(ISNUMBER(D121),"calculated","not_calculated")</f>
        <v>calculated</v>
      </c>
      <c r="G121" s="2">
        <f>IF(ISNUMBER(D121),"","检查缺失值、分母与输入；口径变更须重跑Python")</f>
        <v/>
      </c>
      <c r="H121" s="2" t="s">
        <v>2101</v>
      </c>
      <c r="I121" s="2" t="s">
        <v>2102</v>
      </c>
      <c r="J121" s="2" t="s">
        <v>60</v>
      </c>
      <c r="K121" s="2">
        <v>1</v>
      </c>
      <c r="L121" s="2" t="s">
        <v>61</v>
      </c>
      <c r="M121" s="2" t="s">
        <v>1067</v>
      </c>
      <c r="N121" s="2" t="s">
        <v>245</v>
      </c>
      <c r="O121" s="2" t="s">
        <v>63</v>
      </c>
    </row>
    <row r="122" spans="1:15">
      <c r="A122" s="2" t="s">
        <v>2103</v>
      </c>
      <c r="B122" s="2" t="s">
        <v>2104</v>
      </c>
      <c r="C122" s="2" t="s">
        <v>2234</v>
      </c>
      <c r="D122" s="3">
        <f>(('Facts'!F393-'Calculations'!D121))*1</f>
        <v>0.952</v>
      </c>
      <c r="E122" s="3">
        <f>D122/K122</f>
        <v>0.952</v>
      </c>
      <c r="F122" s="2" t="str">
        <f>IF(ISNUMBER(D122),"calculated","not_calculated")</f>
        <v>calculated</v>
      </c>
      <c r="G122" s="2">
        <f>IF(ISNUMBER(D122),"","检查缺失值、分母与输入；口径变更须重跑Python")</f>
        <v/>
      </c>
      <c r="H122" s="2" t="s">
        <v>2105</v>
      </c>
      <c r="I122" s="2" t="s">
        <v>2106</v>
      </c>
      <c r="J122" s="2" t="s">
        <v>60</v>
      </c>
      <c r="K122" s="2">
        <v>1</v>
      </c>
      <c r="L122" s="2" t="s">
        <v>61</v>
      </c>
      <c r="M122" s="2" t="s">
        <v>1067</v>
      </c>
      <c r="N122" s="2" t="s">
        <v>245</v>
      </c>
      <c r="O122" s="2" t="s">
        <v>63</v>
      </c>
    </row>
    <row r="123" spans="1:15">
      <c r="A123" s="2" t="s">
        <v>2107</v>
      </c>
      <c r="B123" s="2" t="s">
        <v>2108</v>
      </c>
      <c r="C123" s="2" t="s">
        <v>2235</v>
      </c>
      <c r="D123" s="3">
        <f>(('Facts'!F398*1)+('Facts'!F399*1))*1</f>
        <v>5197000000.0</v>
      </c>
      <c r="E123" s="3">
        <f>D123/K123</f>
        <v>5197.0</v>
      </c>
      <c r="F123" s="2" t="str">
        <f>IF(ISNUMBER(D123),"calculated","not_calculated")</f>
        <v>calculated</v>
      </c>
      <c r="G123" s="2">
        <f>IF(ISNUMBER(D123),"","检查缺失值、分母与输入；口径变更须重跑Python")</f>
        <v/>
      </c>
      <c r="H123" s="2" t="s">
        <v>2109</v>
      </c>
      <c r="I123" s="2" t="s">
        <v>2110</v>
      </c>
      <c r="J123" s="2" t="s">
        <v>1726</v>
      </c>
      <c r="K123" s="2">
        <v>1000000</v>
      </c>
      <c r="L123" s="2" t="s">
        <v>61</v>
      </c>
      <c r="M123" s="2" t="s">
        <v>1113</v>
      </c>
      <c r="N123" s="2"/>
      <c r="O123" s="2" t="s">
        <v>786</v>
      </c>
    </row>
    <row r="124" spans="1:15">
      <c r="A124" s="2" t="s">
        <v>2111</v>
      </c>
      <c r="B124" s="2" t="s">
        <v>2112</v>
      </c>
      <c r="C124" s="2" t="s">
        <v>2236</v>
      </c>
      <c r="D124" s="3">
        <f>(('Facts'!F588*0.5)+('Facts'!F589*0.3)+('Facts'!F590*0.2))*1</f>
        <v>2.0</v>
      </c>
      <c r="E124" s="3">
        <f>D124/K124</f>
        <v>2.0</v>
      </c>
      <c r="F124" s="2" t="str">
        <f>IF(ISNUMBER(D124),"calculated","not_calculated")</f>
        <v>calculated</v>
      </c>
      <c r="G124" s="2">
        <f>IF(ISNUMBER(D124),"","检查缺失值、分母与输入；口径变更须重跑Python")</f>
        <v/>
      </c>
      <c r="H124" s="2" t="s">
        <v>2113</v>
      </c>
      <c r="I124" s="2" t="s">
        <v>2114</v>
      </c>
      <c r="J124" s="2" t="s">
        <v>1551</v>
      </c>
      <c r="K124" s="2">
        <v>1</v>
      </c>
      <c r="L124" s="2" t="s">
        <v>61</v>
      </c>
      <c r="M124" s="2" t="s">
        <v>1533</v>
      </c>
      <c r="N124" s="2"/>
      <c r="O124" s="2" t="s">
        <v>7</v>
      </c>
    </row>
  </sheetData>
  <autoFilter ref="A1:O124"/>
  <pageMargins left="0.25" right="0.25" top="0.75" bottom="0.75" header="0.3" footer="0.3"/>
  <pageSetup paperSize="8" fitToHeight="0" orientation="landscape"/>
</worksheet>
</file>

<file path=xl/worksheets/sheet4.xml><?xml version="1.0" encoding="utf-8"?>
<worksheet xmlns="http://schemas.openxmlformats.org/spreadsheetml/2006/main" xmlns:r="http://schemas.openxmlformats.org/officeDocument/2006/relationships">
  <sheetPr>
    <pageSetUpPr fitToPage="1"/>
  </sheetPr>
  <dimension ref="A1:J85"/>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8.7109375" customWidth="1"/>
    <col min="2" max="2" width="30.7109375" customWidth="1"/>
    <col min="3" max="4" width="22.7109375" customWidth="1"/>
    <col min="5" max="6" width="24.7109375" customWidth="1"/>
    <col min="7" max="7" width="25.7109375" customWidth="1"/>
    <col min="8" max="8" width="38.7109375" customWidth="1"/>
    <col min="9" max="9" width="28.7109375" customWidth="1"/>
    <col min="10" max="10" width="12.7109375" customWidth="1"/>
  </cols>
  <sheetData>
    <row r="1" spans="1:10" ht="32" customHeight="1">
      <c r="A1" s="1" t="s">
        <v>40</v>
      </c>
      <c r="B1" s="1" t="s">
        <v>2237</v>
      </c>
      <c r="C1" s="1" t="s">
        <v>2238</v>
      </c>
      <c r="D1" s="1" t="s">
        <v>2239</v>
      </c>
      <c r="E1" s="1" t="s">
        <v>2240</v>
      </c>
      <c r="F1" s="1" t="s">
        <v>2241</v>
      </c>
      <c r="G1" s="1" t="s">
        <v>52</v>
      </c>
      <c r="H1" s="1" t="s">
        <v>2242</v>
      </c>
      <c r="I1" s="1" t="s">
        <v>2243</v>
      </c>
      <c r="J1" s="1" t="s">
        <v>2244</v>
      </c>
    </row>
    <row r="2" spans="1:10" ht="33" customHeight="1">
      <c r="A2" s="2" t="s">
        <v>2245</v>
      </c>
      <c r="B2" s="2" t="s">
        <v>1722</v>
      </c>
      <c r="C2" s="2" t="s">
        <v>102</v>
      </c>
      <c r="D2" s="2" t="s">
        <v>1721</v>
      </c>
      <c r="E2" s="2">
        <f>ROUND('Facts'!F16-'Calculations'!D2,J2)</f>
        <v>0.0</v>
      </c>
      <c r="F2" s="2">
        <v>0</v>
      </c>
      <c r="G2" s="2" t="str">
        <f>IF(COUNT(E2,F2)&lt;2,"not_tested",IF(ABS(E2)&lt;=F2,"within_input_tolerance","unexplained_difference"))</f>
        <v>within_input_tolerance</v>
      </c>
      <c r="H2" s="2" t="s">
        <v>2247</v>
      </c>
      <c r="I2" s="2">
        <f>IF(ISNUMBER(E2),"","missing or unavailable input")</f>
        <v/>
      </c>
      <c r="J2">
        <v>0</v>
      </c>
    </row>
    <row r="3" spans="1:10" ht="33" customHeight="1">
      <c r="A3" s="2" t="s">
        <v>2248</v>
      </c>
      <c r="B3" s="2" t="s">
        <v>1728</v>
      </c>
      <c r="C3" s="2" t="s">
        <v>147</v>
      </c>
      <c r="D3" s="2" t="s">
        <v>1727</v>
      </c>
      <c r="E3" s="2">
        <f>ROUND('Facts'!F34-'Calculations'!D3,J3)</f>
        <v>0.0</v>
      </c>
      <c r="F3" s="2">
        <v>0</v>
      </c>
      <c r="G3" s="2" t="str">
        <f>IF(COUNT(E3,F3)&lt;2,"not_tested",IF(ABS(E3)&lt;=F3,"within_input_tolerance","unexplained_difference"))</f>
        <v>within_input_tolerance</v>
      </c>
      <c r="H3" s="2" t="s">
        <v>2247</v>
      </c>
      <c r="I3" s="2">
        <f>IF(ISNUMBER(E3),"","missing or unavailable input")</f>
        <v/>
      </c>
      <c r="J3">
        <v>0</v>
      </c>
    </row>
    <row r="4" spans="1:10" ht="33" customHeight="1">
      <c r="A4" s="2" t="s">
        <v>2249</v>
      </c>
      <c r="B4" s="2" t="s">
        <v>1731</v>
      </c>
      <c r="C4" s="2" t="s">
        <v>187</v>
      </c>
      <c r="D4" s="2" t="s">
        <v>1730</v>
      </c>
      <c r="E4" s="2">
        <f>ROUND('Facts'!F50-'Calculations'!D4,J4)</f>
        <v>0.0</v>
      </c>
      <c r="F4" s="2">
        <v>0</v>
      </c>
      <c r="G4" s="2" t="str">
        <f>IF(COUNT(E4,F4)&lt;2,"not_tested",IF(ABS(E4)&lt;=F4,"within_input_tolerance","unexplained_difference"))</f>
        <v>within_input_tolerance</v>
      </c>
      <c r="H4" s="2" t="s">
        <v>2247</v>
      </c>
      <c r="I4" s="2">
        <f>IF(ISNUMBER(E4),"","missing or unavailable input")</f>
        <v/>
      </c>
      <c r="J4">
        <v>0</v>
      </c>
    </row>
    <row r="5" spans="1:10" ht="33" customHeight="1">
      <c r="A5" s="2" t="s">
        <v>2250</v>
      </c>
      <c r="B5" s="2" t="s">
        <v>1734</v>
      </c>
      <c r="C5" s="2" t="s">
        <v>212</v>
      </c>
      <c r="D5" s="2" t="s">
        <v>1733</v>
      </c>
      <c r="E5" s="2">
        <f>ROUND('Facts'!F60-'Calculations'!D5,J5)</f>
        <v>0.0</v>
      </c>
      <c r="F5" s="2">
        <v>0</v>
      </c>
      <c r="G5" s="2" t="str">
        <f>IF(COUNT(E5,F5)&lt;2,"not_tested",IF(ABS(E5)&lt;=F5,"within_input_tolerance","unexplained_difference"))</f>
        <v>within_input_tolerance</v>
      </c>
      <c r="H5" s="2" t="s">
        <v>2247</v>
      </c>
      <c r="I5" s="2">
        <f>IF(ISNUMBER(E5),"","missing or unavailable input")</f>
        <v/>
      </c>
      <c r="J5">
        <v>0</v>
      </c>
    </row>
    <row r="6" spans="1:10" ht="33" customHeight="1">
      <c r="A6" s="2" t="s">
        <v>2251</v>
      </c>
      <c r="B6" s="2" t="s">
        <v>1737</v>
      </c>
      <c r="C6" s="2" t="s">
        <v>237</v>
      </c>
      <c r="D6" s="2" t="s">
        <v>1736</v>
      </c>
      <c r="E6" s="2">
        <f>ROUND('Facts'!F70-'Calculations'!D6,J6)</f>
        <v>0.0</v>
      </c>
      <c r="F6" s="2">
        <v>0</v>
      </c>
      <c r="G6" s="2" t="str">
        <f>IF(COUNT(E6,F6)&lt;2,"not_tested",IF(ABS(E6)&lt;=F6,"within_input_tolerance","unexplained_difference"))</f>
        <v>within_input_tolerance</v>
      </c>
      <c r="H6" s="2" t="s">
        <v>2247</v>
      </c>
      <c r="I6" s="2">
        <f>IF(ISNUMBER(E6),"","missing or unavailable input")</f>
        <v/>
      </c>
      <c r="J6">
        <v>0</v>
      </c>
    </row>
    <row r="7" spans="1:10" ht="33" customHeight="1">
      <c r="A7" s="2" t="s">
        <v>2252</v>
      </c>
      <c r="B7" s="2" t="s">
        <v>1740</v>
      </c>
      <c r="C7" s="2" t="s">
        <v>147</v>
      </c>
      <c r="D7" s="2" t="s">
        <v>1739</v>
      </c>
      <c r="E7" s="2">
        <f>ROUND('Facts'!F34-'Calculations'!D7,J7)</f>
        <v>0.0</v>
      </c>
      <c r="F7" s="2">
        <v>0</v>
      </c>
      <c r="G7" s="2" t="str">
        <f>IF(COUNT(E7,F7)&lt;2,"not_tested",IF(ABS(E7)&lt;=F7,"within_input_tolerance","unexplained_difference"))</f>
        <v>within_input_tolerance</v>
      </c>
      <c r="H7" s="2" t="s">
        <v>2247</v>
      </c>
      <c r="I7" s="2">
        <f>IF(ISNUMBER(E7),"","missing or unavailable input")</f>
        <v/>
      </c>
      <c r="J7">
        <v>0</v>
      </c>
    </row>
    <row r="8" spans="1:10" ht="33" customHeight="1">
      <c r="A8" s="2" t="s">
        <v>2253</v>
      </c>
      <c r="B8" s="2" t="s">
        <v>1743</v>
      </c>
      <c r="C8" s="2" t="s">
        <v>256</v>
      </c>
      <c r="D8" s="2" t="s">
        <v>1742</v>
      </c>
      <c r="E8" s="2">
        <f>ROUND('Facts'!F76-'Calculations'!D8,J8)</f>
        <v>0.0</v>
      </c>
      <c r="F8" s="2">
        <v>0</v>
      </c>
      <c r="G8" s="2" t="str">
        <f>IF(COUNT(E8,F8)&lt;2,"not_tested",IF(ABS(E8)&lt;=F8,"within_input_tolerance","unexplained_difference"))</f>
        <v>within_input_tolerance</v>
      </c>
      <c r="H8" s="2" t="s">
        <v>2247</v>
      </c>
      <c r="I8" s="2">
        <f>IF(ISNUMBER(E8),"","missing or unavailable input")</f>
        <v/>
      </c>
      <c r="J8">
        <v>0</v>
      </c>
    </row>
    <row r="9" spans="1:10" ht="33" customHeight="1">
      <c r="A9" s="2" t="s">
        <v>2254</v>
      </c>
      <c r="B9" s="2" t="s">
        <v>1746</v>
      </c>
      <c r="C9" s="2" t="s">
        <v>296</v>
      </c>
      <c r="D9" s="2" t="s">
        <v>1745</v>
      </c>
      <c r="E9" s="2">
        <f>ROUND('Facts'!F92-'Calculations'!D9,J9)</f>
        <v>0.0</v>
      </c>
      <c r="F9" s="2">
        <v>0</v>
      </c>
      <c r="G9" s="2" t="str">
        <f>IF(COUNT(E9,F9)&lt;2,"not_tested",IF(ABS(E9)&lt;=F9,"within_input_tolerance","unexplained_difference"))</f>
        <v>within_input_tolerance</v>
      </c>
      <c r="H9" s="2" t="s">
        <v>2247</v>
      </c>
      <c r="I9" s="2">
        <f>IF(ISNUMBER(E9),"","missing or unavailable input")</f>
        <v/>
      </c>
      <c r="J9">
        <v>0</v>
      </c>
    </row>
    <row r="10" spans="1:10" ht="33" customHeight="1">
      <c r="A10" s="2" t="s">
        <v>2255</v>
      </c>
      <c r="B10" s="2" t="s">
        <v>1749</v>
      </c>
      <c r="C10" s="2" t="s">
        <v>321</v>
      </c>
      <c r="D10" s="2" t="s">
        <v>1748</v>
      </c>
      <c r="E10" s="2">
        <f>ROUND('Facts'!F102-'Calculations'!D10,J10)</f>
        <v>0.0</v>
      </c>
      <c r="F10" s="2">
        <v>0</v>
      </c>
      <c r="G10" s="2" t="str">
        <f>IF(COUNT(E10,F10)&lt;2,"not_tested",IF(ABS(E10)&lt;=F10,"within_input_tolerance","unexplained_difference"))</f>
        <v>within_input_tolerance</v>
      </c>
      <c r="H10" s="2" t="s">
        <v>2247</v>
      </c>
      <c r="I10" s="2">
        <f>IF(ISNUMBER(E10),"","missing or unavailable input")</f>
        <v/>
      </c>
      <c r="J10">
        <v>0</v>
      </c>
    </row>
    <row r="11" spans="1:10" ht="33" customHeight="1">
      <c r="A11" s="2" t="s">
        <v>2256</v>
      </c>
      <c r="B11" s="2" t="s">
        <v>1752</v>
      </c>
      <c r="C11" s="2" t="s">
        <v>331</v>
      </c>
      <c r="D11" s="2" t="s">
        <v>1751</v>
      </c>
      <c r="E11" s="2">
        <f>ROUND('Facts'!F106-'Calculations'!D11,J11)</f>
        <v>0.0</v>
      </c>
      <c r="F11" s="2">
        <v>0</v>
      </c>
      <c r="G11" s="2" t="str">
        <f>IF(COUNT(E11,F11)&lt;2,"not_tested",IF(ABS(E11)&lt;=F11,"within_input_tolerance","unexplained_difference"))</f>
        <v>within_input_tolerance</v>
      </c>
      <c r="H11" s="2" t="s">
        <v>2247</v>
      </c>
      <c r="I11" s="2">
        <f>IF(ISNUMBER(E11),"","missing or unavailable input")</f>
        <v/>
      </c>
      <c r="J11">
        <v>0</v>
      </c>
    </row>
    <row r="12" spans="1:10" ht="33" customHeight="1">
      <c r="A12" s="2" t="s">
        <v>2257</v>
      </c>
      <c r="B12" s="2" t="s">
        <v>1755</v>
      </c>
      <c r="C12" s="2" t="s">
        <v>351</v>
      </c>
      <c r="D12" s="2" t="s">
        <v>1754</v>
      </c>
      <c r="E12" s="2">
        <f>ROUND('Facts'!F114-'Calculations'!D12,J12)</f>
        <v>0.0</v>
      </c>
      <c r="F12" s="2">
        <v>0</v>
      </c>
      <c r="G12" s="2" t="str">
        <f>IF(COUNT(E12,F12)&lt;2,"not_tested",IF(ABS(E12)&lt;=F12,"within_input_tolerance","unexplained_difference"))</f>
        <v>within_input_tolerance</v>
      </c>
      <c r="H12" s="2" t="s">
        <v>2247</v>
      </c>
      <c r="I12" s="2">
        <f>IF(ISNUMBER(E12),"","missing or unavailable input")</f>
        <v/>
      </c>
      <c r="J12">
        <v>0</v>
      </c>
    </row>
    <row r="13" spans="1:10" ht="33" customHeight="1">
      <c r="A13" s="2" t="s">
        <v>2258</v>
      </c>
      <c r="B13" s="2" t="s">
        <v>1758</v>
      </c>
      <c r="C13" s="2" t="s">
        <v>361</v>
      </c>
      <c r="D13" s="2" t="s">
        <v>1757</v>
      </c>
      <c r="E13" s="2">
        <f>ROUND('Facts'!F118-'Calculations'!D13,J13)</f>
        <v>0.0</v>
      </c>
      <c r="F13" s="2">
        <v>0</v>
      </c>
      <c r="G13" s="2" t="str">
        <f>IF(COUNT(E13,F13)&lt;2,"not_tested",IF(ABS(E13)&lt;=F13,"within_input_tolerance","unexplained_difference"))</f>
        <v>within_input_tolerance</v>
      </c>
      <c r="H13" s="2" t="s">
        <v>2247</v>
      </c>
      <c r="I13" s="2">
        <f>IF(ISNUMBER(E13),"","missing or unavailable input")</f>
        <v/>
      </c>
      <c r="J13">
        <v>0</v>
      </c>
    </row>
    <row r="14" spans="1:10" ht="33" customHeight="1">
      <c r="A14" s="2" t="s">
        <v>2259</v>
      </c>
      <c r="B14" s="2" t="s">
        <v>1761</v>
      </c>
      <c r="C14" s="2" t="s">
        <v>447</v>
      </c>
      <c r="D14" s="2" t="s">
        <v>1760</v>
      </c>
      <c r="E14" s="2">
        <f>ROUND('Facts'!F152-'Calculations'!D14,J14)</f>
        <v>0.0</v>
      </c>
      <c r="F14" s="2">
        <v>0</v>
      </c>
      <c r="G14" s="2" t="str">
        <f>IF(COUNT(E14,F14)&lt;2,"not_tested",IF(ABS(E14)&lt;=F14,"within_input_tolerance","unexplained_difference"))</f>
        <v>within_input_tolerance</v>
      </c>
      <c r="H14" s="2" t="s">
        <v>2247</v>
      </c>
      <c r="I14" s="2">
        <f>IF(ISNUMBER(E14),"","missing or unavailable input")</f>
        <v/>
      </c>
      <c r="J14">
        <v>0</v>
      </c>
    </row>
    <row r="15" spans="1:10" ht="33" customHeight="1">
      <c r="A15" s="2" t="s">
        <v>2260</v>
      </c>
      <c r="B15" s="2" t="s">
        <v>1764</v>
      </c>
      <c r="C15" s="2" t="s">
        <v>497</v>
      </c>
      <c r="D15" s="2" t="s">
        <v>1763</v>
      </c>
      <c r="E15" s="2">
        <f>ROUND('Facts'!F172-'Calculations'!D15,J15)</f>
        <v>0.0</v>
      </c>
      <c r="F15" s="2">
        <v>0</v>
      </c>
      <c r="G15" s="2" t="str">
        <f>IF(COUNT(E15,F15)&lt;2,"not_tested",IF(ABS(E15)&lt;=F15,"within_input_tolerance","unexplained_difference"))</f>
        <v>within_input_tolerance</v>
      </c>
      <c r="H15" s="2" t="s">
        <v>2247</v>
      </c>
      <c r="I15" s="2">
        <f>IF(ISNUMBER(E15),"","missing or unavailable input")</f>
        <v/>
      </c>
      <c r="J15">
        <v>0</v>
      </c>
    </row>
    <row r="16" spans="1:10" ht="33" customHeight="1">
      <c r="A16" s="2" t="s">
        <v>2261</v>
      </c>
      <c r="B16" s="2" t="s">
        <v>1767</v>
      </c>
      <c r="C16" s="2" t="s">
        <v>502</v>
      </c>
      <c r="D16" s="2" t="s">
        <v>1766</v>
      </c>
      <c r="E16" s="2">
        <f>ROUND('Facts'!F174-'Calculations'!D16,J16)</f>
        <v>0.0</v>
      </c>
      <c r="F16" s="2">
        <v>0</v>
      </c>
      <c r="G16" s="2" t="str">
        <f>IF(COUNT(E16,F16)&lt;2,"not_tested",IF(ABS(E16)&lt;=F16,"within_input_tolerance","unexplained_difference"))</f>
        <v>within_input_tolerance</v>
      </c>
      <c r="H16" s="2" t="s">
        <v>2247</v>
      </c>
      <c r="I16" s="2">
        <f>IF(ISNUMBER(E16),"","missing or unavailable input")</f>
        <v/>
      </c>
      <c r="J16">
        <v>0</v>
      </c>
    </row>
    <row r="17" spans="1:10" ht="33" customHeight="1">
      <c r="A17" s="2" t="s">
        <v>2262</v>
      </c>
      <c r="B17" s="2" t="s">
        <v>1770</v>
      </c>
      <c r="C17" s="2" t="s">
        <v>603</v>
      </c>
      <c r="D17" s="2" t="s">
        <v>1769</v>
      </c>
      <c r="E17" s="2">
        <f>ROUND('Facts'!F212-'Calculations'!D17,J17)</f>
        <v>0.0</v>
      </c>
      <c r="F17" s="2">
        <v>0</v>
      </c>
      <c r="G17" s="2" t="str">
        <f>IF(COUNT(E17,F17)&lt;2,"not_tested",IF(ABS(E17)&lt;=F17,"within_input_tolerance","unexplained_difference"))</f>
        <v>within_input_tolerance</v>
      </c>
      <c r="H17" s="2" t="s">
        <v>2247</v>
      </c>
      <c r="I17" s="2">
        <f>IF(ISNUMBER(E17),"","missing or unavailable input")</f>
        <v/>
      </c>
      <c r="J17">
        <v>0</v>
      </c>
    </row>
    <row r="18" spans="1:10" ht="33" customHeight="1">
      <c r="A18" s="2" t="s">
        <v>2263</v>
      </c>
      <c r="B18" s="2" t="s">
        <v>1773</v>
      </c>
      <c r="C18" s="2" t="s">
        <v>643</v>
      </c>
      <c r="D18" s="2" t="s">
        <v>1772</v>
      </c>
      <c r="E18" s="2">
        <f>ROUND('Facts'!F228-'Calculations'!D18,J18)</f>
        <v>0.0</v>
      </c>
      <c r="F18" s="2">
        <v>0</v>
      </c>
      <c r="G18" s="2" t="str">
        <f>IF(COUNT(E18,F18)&lt;2,"not_tested",IF(ABS(E18)&lt;=F18,"within_input_tolerance","unexplained_difference"))</f>
        <v>within_input_tolerance</v>
      </c>
      <c r="H18" s="2" t="s">
        <v>2247</v>
      </c>
      <c r="I18" s="2">
        <f>IF(ISNUMBER(E18),"","missing or unavailable input")</f>
        <v/>
      </c>
      <c r="J18">
        <v>0</v>
      </c>
    </row>
    <row r="19" spans="1:10" ht="33" customHeight="1">
      <c r="A19" s="2" t="s">
        <v>2264</v>
      </c>
      <c r="B19" s="2" t="s">
        <v>1776</v>
      </c>
      <c r="C19" s="2" t="s">
        <v>563</v>
      </c>
      <c r="D19" s="2" t="s">
        <v>1775</v>
      </c>
      <c r="E19" s="2">
        <f>ROUND('Facts'!F196-'Calculations'!D19,J19)</f>
        <v>0.0</v>
      </c>
      <c r="F19" s="2">
        <v>0</v>
      </c>
      <c r="G19" s="2" t="str">
        <f>IF(COUNT(E19,F19)&lt;2,"not_tested",IF(ABS(E19)&lt;=F19,"within_input_tolerance","unexplained_difference"))</f>
        <v>within_input_tolerance</v>
      </c>
      <c r="H19" s="2" t="s">
        <v>2247</v>
      </c>
      <c r="I19" s="2">
        <f>IF(ISNUMBER(E19),"","missing or unavailable input")</f>
        <v/>
      </c>
      <c r="J19">
        <v>0</v>
      </c>
    </row>
    <row r="20" spans="1:10" ht="33" customHeight="1">
      <c r="A20" s="2" t="s">
        <v>2265</v>
      </c>
      <c r="B20" s="2" t="s">
        <v>1779</v>
      </c>
      <c r="C20" s="2" t="s">
        <v>336</v>
      </c>
      <c r="D20" s="2" t="s">
        <v>1778</v>
      </c>
      <c r="E20" s="2">
        <f>ROUND('Facts'!F108-'Calculations'!D20,J20)</f>
        <v>0.0</v>
      </c>
      <c r="F20" s="2">
        <v>0</v>
      </c>
      <c r="G20" s="2" t="str">
        <f>IF(COUNT(E20,F20)&lt;2,"not_tested",IF(ABS(E20)&lt;=F20,"within_input_tolerance","unexplained_difference"))</f>
        <v>within_input_tolerance</v>
      </c>
      <c r="H20" s="2" t="s">
        <v>2247</v>
      </c>
      <c r="I20" s="2">
        <f>IF(ISNUMBER(E20),"","missing or unavailable input")</f>
        <v/>
      </c>
      <c r="J20">
        <v>0</v>
      </c>
    </row>
    <row r="21" spans="1:10" ht="33" customHeight="1">
      <c r="A21" s="2" t="s">
        <v>2266</v>
      </c>
      <c r="B21" s="2" t="s">
        <v>1782</v>
      </c>
      <c r="C21" s="2" t="s">
        <v>326</v>
      </c>
      <c r="D21" s="2" t="s">
        <v>1781</v>
      </c>
      <c r="E21" s="2">
        <f>ROUND('Facts'!F104-'Calculations'!D21,J21)</f>
        <v>0.0</v>
      </c>
      <c r="F21" s="2">
        <v>0</v>
      </c>
      <c r="G21" s="2" t="str">
        <f>IF(COUNT(E21,F21)&lt;2,"not_tested",IF(ABS(E21)&lt;=F21,"within_input_tolerance","unexplained_difference"))</f>
        <v>within_input_tolerance</v>
      </c>
      <c r="H21" s="2" t="s">
        <v>2247</v>
      </c>
      <c r="I21" s="2">
        <f>IF(ISNUMBER(E21),"","missing or unavailable input")</f>
        <v/>
      </c>
      <c r="J21">
        <v>0</v>
      </c>
    </row>
    <row r="22" spans="1:10" ht="33" customHeight="1">
      <c r="A22" s="2" t="s">
        <v>2267</v>
      </c>
      <c r="B22" s="2" t="s">
        <v>1785</v>
      </c>
      <c r="C22" s="2" t="s">
        <v>723</v>
      </c>
      <c r="D22" s="2" t="s">
        <v>1784</v>
      </c>
      <c r="E22" s="2">
        <f>ROUND('Facts'!F256-'Calculations'!D22,J22)</f>
        <v>0.0</v>
      </c>
      <c r="F22" s="2">
        <v>0</v>
      </c>
      <c r="G22" s="2" t="str">
        <f>IF(COUNT(E22,F22)&lt;2,"not_tested",IF(ABS(E22)&lt;=F22,"within_input_tolerance","unexplained_difference"))</f>
        <v>within_input_tolerance</v>
      </c>
      <c r="H22" s="2" t="s">
        <v>2247</v>
      </c>
      <c r="I22" s="2">
        <f>IF(ISNUMBER(E22),"","missing or unavailable input")</f>
        <v/>
      </c>
      <c r="J22">
        <v>0</v>
      </c>
    </row>
    <row r="23" spans="1:10" ht="33" customHeight="1">
      <c r="A23" s="2" t="s">
        <v>2268</v>
      </c>
      <c r="B23" s="2" t="s">
        <v>1788</v>
      </c>
      <c r="C23" s="2" t="s">
        <v>728</v>
      </c>
      <c r="D23" s="2" t="s">
        <v>1787</v>
      </c>
      <c r="E23" s="2">
        <f>ROUND('Facts'!F258-'Calculations'!D23,J23)</f>
        <v>0.0</v>
      </c>
      <c r="F23" s="2">
        <v>0</v>
      </c>
      <c r="G23" s="2" t="str">
        <f>IF(COUNT(E23,F23)&lt;2,"not_tested",IF(ABS(E23)&lt;=F23,"within_input_tolerance","unexplained_difference"))</f>
        <v>within_input_tolerance</v>
      </c>
      <c r="H23" s="2" t="s">
        <v>2247</v>
      </c>
      <c r="I23" s="2">
        <f>IF(ISNUMBER(E23),"","missing or unavailable input")</f>
        <v/>
      </c>
      <c r="J23">
        <v>0</v>
      </c>
    </row>
    <row r="24" spans="1:10" ht="33" customHeight="1">
      <c r="A24" s="2" t="s">
        <v>2269</v>
      </c>
      <c r="B24" s="2" t="s">
        <v>1791</v>
      </c>
      <c r="C24" s="2" t="s">
        <v>512</v>
      </c>
      <c r="D24" s="2" t="s">
        <v>1790</v>
      </c>
      <c r="E24" s="2">
        <f>ROUND('Facts'!F178-'Calculations'!D24,J24)</f>
        <v>0.0</v>
      </c>
      <c r="F24" s="2">
        <v>0</v>
      </c>
      <c r="G24" s="2" t="str">
        <f>IF(COUNT(E24,F24)&lt;2,"not_tested",IF(ABS(E24)&lt;=F24,"within_input_tolerance","unexplained_difference"))</f>
        <v>within_input_tolerance</v>
      </c>
      <c r="H24" s="2" t="s">
        <v>2247</v>
      </c>
      <c r="I24" s="2">
        <f>IF(ISNUMBER(E24),"","missing or unavailable input")</f>
        <v/>
      </c>
      <c r="J24">
        <v>0</v>
      </c>
    </row>
    <row r="25" spans="1:10" ht="33" customHeight="1">
      <c r="A25" s="2" t="s">
        <v>2270</v>
      </c>
      <c r="B25" s="2" t="s">
        <v>1794</v>
      </c>
      <c r="C25" s="2" t="s">
        <v>301</v>
      </c>
      <c r="D25" s="2" t="s">
        <v>1793</v>
      </c>
      <c r="E25" s="2">
        <f>ROUND('Facts'!F94-'Calculations'!D25,J25)</f>
        <v>0.0</v>
      </c>
      <c r="F25" s="2">
        <v>0</v>
      </c>
      <c r="G25" s="2" t="str">
        <f>IF(COUNT(E25,F25)&lt;2,"not_tested",IF(ABS(E25)&lt;=F25,"within_input_tolerance","unexplained_difference"))</f>
        <v>within_input_tolerance</v>
      </c>
      <c r="H25" s="2" t="s">
        <v>2247</v>
      </c>
      <c r="I25" s="2">
        <f>IF(ISNUMBER(E25),"","missing or unavailable input")</f>
        <v/>
      </c>
      <c r="J25">
        <v>0</v>
      </c>
    </row>
    <row r="26" spans="1:10" ht="33" customHeight="1">
      <c r="A26" s="2" t="s">
        <v>2271</v>
      </c>
      <c r="B26" s="2" t="s">
        <v>1797</v>
      </c>
      <c r="C26" s="2" t="s">
        <v>346</v>
      </c>
      <c r="D26" s="2" t="s">
        <v>1796</v>
      </c>
      <c r="E26" s="2">
        <f>ROUND('Facts'!F112-'Calculations'!D26,J26)</f>
        <v>0.0</v>
      </c>
      <c r="F26" s="2">
        <v>0</v>
      </c>
      <c r="G26" s="2" t="str">
        <f>IF(COUNT(E26,F26)&lt;2,"not_tested",IF(ABS(E26)&lt;=F26,"within_input_tolerance","unexplained_difference"))</f>
        <v>within_input_tolerance</v>
      </c>
      <c r="H26" s="2" t="s">
        <v>2247</v>
      </c>
      <c r="I26" s="2">
        <f>IF(ISNUMBER(E26),"","missing or unavailable input")</f>
        <v/>
      </c>
      <c r="J26">
        <v>0</v>
      </c>
    </row>
    <row r="27" spans="1:10" ht="33" customHeight="1">
      <c r="A27" s="2" t="s">
        <v>2272</v>
      </c>
      <c r="B27" s="2" t="s">
        <v>2273</v>
      </c>
      <c r="C27" s="2" t="s">
        <v>422</v>
      </c>
      <c r="D27" s="2" t="s">
        <v>1799</v>
      </c>
      <c r="E27" s="2">
        <f>ROUND('Facts'!F142-'Calculations'!D27,J27)</f>
        <v>0.0</v>
      </c>
      <c r="F27" s="2">
        <v>0</v>
      </c>
      <c r="G27" s="2" t="str">
        <f>IF(COUNT(E27,F27)&lt;2,"not_tested",IF(ABS(E27)&lt;=F27,"within_input_tolerance","unexplained_difference"))</f>
        <v>within_input_tolerance</v>
      </c>
      <c r="H27" s="2" t="s">
        <v>2247</v>
      </c>
      <c r="I27" s="2">
        <f>IF(ISNUMBER(E27),"","missing or unavailable input")</f>
        <v/>
      </c>
      <c r="J27">
        <v>0</v>
      </c>
    </row>
    <row r="28" spans="1:10" ht="33" customHeight="1">
      <c r="A28" s="2" t="s">
        <v>2274</v>
      </c>
      <c r="B28" s="2" t="s">
        <v>2275</v>
      </c>
      <c r="C28" s="2" t="s">
        <v>512</v>
      </c>
      <c r="D28" s="2" t="s">
        <v>1802</v>
      </c>
      <c r="E28" s="2">
        <f>ROUND('Facts'!F178-'Calculations'!D28,J28)</f>
        <v>0.0</v>
      </c>
      <c r="F28" s="2">
        <v>0</v>
      </c>
      <c r="G28" s="2" t="str">
        <f>IF(COUNT(E28,F28)&lt;2,"not_tested",IF(ABS(E28)&lt;=F28,"within_input_tolerance","unexplained_difference"))</f>
        <v>within_input_tolerance</v>
      </c>
      <c r="H28" s="2" t="s">
        <v>2247</v>
      </c>
      <c r="I28" s="2">
        <f>IF(ISNUMBER(E28),"","missing or unavailable input")</f>
        <v/>
      </c>
      <c r="J28">
        <v>0</v>
      </c>
    </row>
    <row r="29" spans="1:10" ht="33" customHeight="1">
      <c r="A29" s="2" t="s">
        <v>2276</v>
      </c>
      <c r="B29" s="2" t="s">
        <v>2277</v>
      </c>
      <c r="C29" s="2" t="s">
        <v>237</v>
      </c>
      <c r="D29" s="2" t="s">
        <v>1805</v>
      </c>
      <c r="E29" s="2">
        <f>ROUND('Facts'!F70-'Calculations'!D29,J29)</f>
        <v>0.0</v>
      </c>
      <c r="F29" s="2">
        <v>0</v>
      </c>
      <c r="G29" s="2" t="str">
        <f>IF(COUNT(E29,F29)&lt;2,"not_tested",IF(ABS(E29)&lt;=F29,"within_input_tolerance","unexplained_difference"))</f>
        <v>within_input_tolerance</v>
      </c>
      <c r="H29" s="2" t="s">
        <v>2247</v>
      </c>
      <c r="I29" s="2">
        <f>IF(ISNUMBER(E29),"","missing or unavailable input")</f>
        <v/>
      </c>
      <c r="J29">
        <v>0</v>
      </c>
    </row>
    <row r="30" spans="1:10" ht="33" customHeight="1">
      <c r="A30" s="2" t="s">
        <v>2278</v>
      </c>
      <c r="B30" s="2" t="s">
        <v>1824</v>
      </c>
      <c r="C30" s="2" t="s">
        <v>105</v>
      </c>
      <c r="D30" s="2" t="s">
        <v>1823</v>
      </c>
      <c r="E30" s="2">
        <f>ROUND('Facts'!F17-'Calculations'!D34,J30)</f>
        <v>0.0</v>
      </c>
      <c r="F30" s="2">
        <v>0</v>
      </c>
      <c r="G30" s="2" t="str">
        <f>IF(COUNT(E30,F30)&lt;2,"not_tested",IF(ABS(E30)&lt;=F30,"within_input_tolerance","unexplained_difference"))</f>
        <v>within_input_tolerance</v>
      </c>
      <c r="H30" s="2" t="s">
        <v>2247</v>
      </c>
      <c r="I30" s="2">
        <f>IF(ISNUMBER(E30),"","missing or unavailable input")</f>
        <v/>
      </c>
      <c r="J30">
        <v>0</v>
      </c>
    </row>
    <row r="31" spans="1:10" ht="33" customHeight="1">
      <c r="A31" s="2" t="s">
        <v>2279</v>
      </c>
      <c r="B31" s="2" t="s">
        <v>1827</v>
      </c>
      <c r="C31" s="2" t="s">
        <v>150</v>
      </c>
      <c r="D31" s="2" t="s">
        <v>1826</v>
      </c>
      <c r="E31" s="2">
        <f>ROUND('Facts'!F35-'Calculations'!D35,J31)</f>
        <v>0.0</v>
      </c>
      <c r="F31" s="2">
        <v>0</v>
      </c>
      <c r="G31" s="2" t="str">
        <f>IF(COUNT(E31,F31)&lt;2,"not_tested",IF(ABS(E31)&lt;=F31,"within_input_tolerance","unexplained_difference"))</f>
        <v>within_input_tolerance</v>
      </c>
      <c r="H31" s="2" t="s">
        <v>2247</v>
      </c>
      <c r="I31" s="2">
        <f>IF(ISNUMBER(E31),"","missing or unavailable input")</f>
        <v/>
      </c>
      <c r="J31">
        <v>0</v>
      </c>
    </row>
    <row r="32" spans="1:10" ht="33" customHeight="1">
      <c r="A32" s="2" t="s">
        <v>2280</v>
      </c>
      <c r="B32" s="2" t="s">
        <v>1830</v>
      </c>
      <c r="C32" s="2" t="s">
        <v>190</v>
      </c>
      <c r="D32" s="2" t="s">
        <v>1829</v>
      </c>
      <c r="E32" s="2">
        <f>ROUND('Facts'!F51-'Calculations'!D36,J32)</f>
        <v>0.0</v>
      </c>
      <c r="F32" s="2">
        <v>0</v>
      </c>
      <c r="G32" s="2" t="str">
        <f>IF(COUNT(E32,F32)&lt;2,"not_tested",IF(ABS(E32)&lt;=F32,"within_input_tolerance","unexplained_difference"))</f>
        <v>within_input_tolerance</v>
      </c>
      <c r="H32" s="2" t="s">
        <v>2247</v>
      </c>
      <c r="I32" s="2">
        <f>IF(ISNUMBER(E32),"","missing or unavailable input")</f>
        <v/>
      </c>
      <c r="J32">
        <v>0</v>
      </c>
    </row>
    <row r="33" spans="1:10" ht="33" customHeight="1">
      <c r="A33" s="2" t="s">
        <v>2281</v>
      </c>
      <c r="B33" s="2" t="s">
        <v>1833</v>
      </c>
      <c r="C33" s="2" t="s">
        <v>215</v>
      </c>
      <c r="D33" s="2" t="s">
        <v>1832</v>
      </c>
      <c r="E33" s="2">
        <f>ROUND('Facts'!F61-'Calculations'!D37,J33)</f>
        <v>0.0</v>
      </c>
      <c r="F33" s="2">
        <v>0</v>
      </c>
      <c r="G33" s="2" t="str">
        <f>IF(COUNT(E33,F33)&lt;2,"not_tested",IF(ABS(E33)&lt;=F33,"within_input_tolerance","unexplained_difference"))</f>
        <v>within_input_tolerance</v>
      </c>
      <c r="H33" s="2" t="s">
        <v>2247</v>
      </c>
      <c r="I33" s="2">
        <f>IF(ISNUMBER(E33),"","missing or unavailable input")</f>
        <v/>
      </c>
      <c r="J33">
        <v>0</v>
      </c>
    </row>
    <row r="34" spans="1:10" ht="33" customHeight="1">
      <c r="A34" s="2" t="s">
        <v>2282</v>
      </c>
      <c r="B34" s="2" t="s">
        <v>1836</v>
      </c>
      <c r="C34" s="2" t="s">
        <v>240</v>
      </c>
      <c r="D34" s="2" t="s">
        <v>1835</v>
      </c>
      <c r="E34" s="2">
        <f>ROUND('Facts'!F71-'Calculations'!D38,J34)</f>
        <v>0.0</v>
      </c>
      <c r="F34" s="2">
        <v>0</v>
      </c>
      <c r="G34" s="2" t="str">
        <f>IF(COUNT(E34,F34)&lt;2,"not_tested",IF(ABS(E34)&lt;=F34,"within_input_tolerance","unexplained_difference"))</f>
        <v>within_input_tolerance</v>
      </c>
      <c r="H34" s="2" t="s">
        <v>2247</v>
      </c>
      <c r="I34" s="2">
        <f>IF(ISNUMBER(E34),"","missing or unavailable input")</f>
        <v/>
      </c>
      <c r="J34">
        <v>0</v>
      </c>
    </row>
    <row r="35" spans="1:10" ht="33" customHeight="1">
      <c r="A35" s="2" t="s">
        <v>2283</v>
      </c>
      <c r="B35" s="2" t="s">
        <v>1839</v>
      </c>
      <c r="C35" s="2" t="s">
        <v>150</v>
      </c>
      <c r="D35" s="2" t="s">
        <v>1838</v>
      </c>
      <c r="E35" s="2">
        <f>ROUND('Facts'!F35-'Calculations'!D39,J35)</f>
        <v>0.0</v>
      </c>
      <c r="F35" s="2">
        <v>0</v>
      </c>
      <c r="G35" s="2" t="str">
        <f>IF(COUNT(E35,F35)&lt;2,"not_tested",IF(ABS(E35)&lt;=F35,"within_input_tolerance","unexplained_difference"))</f>
        <v>within_input_tolerance</v>
      </c>
      <c r="H35" s="2" t="s">
        <v>2247</v>
      </c>
      <c r="I35" s="2">
        <f>IF(ISNUMBER(E35),"","missing or unavailable input")</f>
        <v/>
      </c>
      <c r="J35">
        <v>0</v>
      </c>
    </row>
    <row r="36" spans="1:10" ht="33" customHeight="1">
      <c r="A36" s="2" t="s">
        <v>2284</v>
      </c>
      <c r="B36" s="2" t="s">
        <v>1842</v>
      </c>
      <c r="C36" s="2" t="s">
        <v>259</v>
      </c>
      <c r="D36" s="2" t="s">
        <v>1841</v>
      </c>
      <c r="E36" s="2">
        <f>ROUND('Facts'!F77-'Calculations'!D40,J36)</f>
        <v>0.0</v>
      </c>
      <c r="F36" s="2">
        <v>0</v>
      </c>
      <c r="G36" s="2" t="str">
        <f>IF(COUNT(E36,F36)&lt;2,"not_tested",IF(ABS(E36)&lt;=F36,"within_input_tolerance","unexplained_difference"))</f>
        <v>within_input_tolerance</v>
      </c>
      <c r="H36" s="2" t="s">
        <v>2247</v>
      </c>
      <c r="I36" s="2">
        <f>IF(ISNUMBER(E36),"","missing or unavailable input")</f>
        <v/>
      </c>
      <c r="J36">
        <v>0</v>
      </c>
    </row>
    <row r="37" spans="1:10" ht="33" customHeight="1">
      <c r="A37" s="2" t="s">
        <v>2285</v>
      </c>
      <c r="B37" s="2" t="s">
        <v>1845</v>
      </c>
      <c r="C37" s="2" t="s">
        <v>299</v>
      </c>
      <c r="D37" s="2" t="s">
        <v>1844</v>
      </c>
      <c r="E37" s="2">
        <f>ROUND('Facts'!F93-'Calculations'!D41,J37)</f>
        <v>0.0</v>
      </c>
      <c r="F37" s="2">
        <v>0</v>
      </c>
      <c r="G37" s="2" t="str">
        <f>IF(COUNT(E37,F37)&lt;2,"not_tested",IF(ABS(E37)&lt;=F37,"within_input_tolerance","unexplained_difference"))</f>
        <v>within_input_tolerance</v>
      </c>
      <c r="H37" s="2" t="s">
        <v>2247</v>
      </c>
      <c r="I37" s="2">
        <f>IF(ISNUMBER(E37),"","missing or unavailable input")</f>
        <v/>
      </c>
      <c r="J37">
        <v>0</v>
      </c>
    </row>
    <row r="38" spans="1:10" ht="33" customHeight="1">
      <c r="A38" s="2" t="s">
        <v>2286</v>
      </c>
      <c r="B38" s="2" t="s">
        <v>1848</v>
      </c>
      <c r="C38" s="2" t="s">
        <v>324</v>
      </c>
      <c r="D38" s="2" t="s">
        <v>1847</v>
      </c>
      <c r="E38" s="2">
        <f>ROUND('Facts'!F103-'Calculations'!D42,J38)</f>
        <v>0.0</v>
      </c>
      <c r="F38" s="2">
        <v>0</v>
      </c>
      <c r="G38" s="2" t="str">
        <f>IF(COUNT(E38,F38)&lt;2,"not_tested",IF(ABS(E38)&lt;=F38,"within_input_tolerance","unexplained_difference"))</f>
        <v>within_input_tolerance</v>
      </c>
      <c r="H38" s="2" t="s">
        <v>2247</v>
      </c>
      <c r="I38" s="2">
        <f>IF(ISNUMBER(E38),"","missing or unavailable input")</f>
        <v/>
      </c>
      <c r="J38">
        <v>0</v>
      </c>
    </row>
    <row r="39" spans="1:10" ht="33" customHeight="1">
      <c r="A39" s="2" t="s">
        <v>2287</v>
      </c>
      <c r="B39" s="2" t="s">
        <v>1851</v>
      </c>
      <c r="C39" s="2" t="s">
        <v>334</v>
      </c>
      <c r="D39" s="2" t="s">
        <v>1850</v>
      </c>
      <c r="E39" s="2">
        <f>ROUND('Facts'!F107-'Calculations'!D43,J39)</f>
        <v>0.0</v>
      </c>
      <c r="F39" s="2">
        <v>0</v>
      </c>
      <c r="G39" s="2" t="str">
        <f>IF(COUNT(E39,F39)&lt;2,"not_tested",IF(ABS(E39)&lt;=F39,"within_input_tolerance","unexplained_difference"))</f>
        <v>within_input_tolerance</v>
      </c>
      <c r="H39" s="2" t="s">
        <v>2247</v>
      </c>
      <c r="I39" s="2">
        <f>IF(ISNUMBER(E39),"","missing or unavailable input")</f>
        <v/>
      </c>
      <c r="J39">
        <v>0</v>
      </c>
    </row>
    <row r="40" spans="1:10" ht="33" customHeight="1">
      <c r="A40" s="2" t="s">
        <v>2288</v>
      </c>
      <c r="B40" s="2" t="s">
        <v>1854</v>
      </c>
      <c r="C40" s="2" t="s">
        <v>354</v>
      </c>
      <c r="D40" s="2" t="s">
        <v>1853</v>
      </c>
      <c r="E40" s="2">
        <f>ROUND('Facts'!F115-'Calculations'!D44,J40)</f>
        <v>0.0</v>
      </c>
      <c r="F40" s="2">
        <v>0</v>
      </c>
      <c r="G40" s="2" t="str">
        <f>IF(COUNT(E40,F40)&lt;2,"not_tested",IF(ABS(E40)&lt;=F40,"within_input_tolerance","unexplained_difference"))</f>
        <v>within_input_tolerance</v>
      </c>
      <c r="H40" s="2" t="s">
        <v>2247</v>
      </c>
      <c r="I40" s="2">
        <f>IF(ISNUMBER(E40),"","missing or unavailable input")</f>
        <v/>
      </c>
      <c r="J40">
        <v>0</v>
      </c>
    </row>
    <row r="41" spans="1:10" ht="33" customHeight="1">
      <c r="A41" s="2" t="s">
        <v>2289</v>
      </c>
      <c r="B41" s="2" t="s">
        <v>1857</v>
      </c>
      <c r="C41" s="2" t="s">
        <v>364</v>
      </c>
      <c r="D41" s="2" t="s">
        <v>1856</v>
      </c>
      <c r="E41" s="2">
        <f>ROUND('Facts'!F119-'Calculations'!D45,J41)</f>
        <v>0.0</v>
      </c>
      <c r="F41" s="2">
        <v>0</v>
      </c>
      <c r="G41" s="2" t="str">
        <f>IF(COUNT(E41,F41)&lt;2,"not_tested",IF(ABS(E41)&lt;=F41,"within_input_tolerance","unexplained_difference"))</f>
        <v>within_input_tolerance</v>
      </c>
      <c r="H41" s="2" t="s">
        <v>2247</v>
      </c>
      <c r="I41" s="2">
        <f>IF(ISNUMBER(E41),"","missing or unavailable input")</f>
        <v/>
      </c>
      <c r="J41">
        <v>0</v>
      </c>
    </row>
    <row r="42" spans="1:10" ht="33" customHeight="1">
      <c r="A42" s="2" t="s">
        <v>2290</v>
      </c>
      <c r="B42" s="2" t="s">
        <v>1860</v>
      </c>
      <c r="C42" s="2" t="s">
        <v>450</v>
      </c>
      <c r="D42" s="2" t="s">
        <v>1859</v>
      </c>
      <c r="E42" s="2">
        <f>ROUND('Facts'!F153-'Calculations'!D46,J42)</f>
        <v>0.0</v>
      </c>
      <c r="F42" s="2">
        <v>0</v>
      </c>
      <c r="G42" s="2" t="str">
        <f>IF(COUNT(E42,F42)&lt;2,"not_tested",IF(ABS(E42)&lt;=F42,"within_input_tolerance","unexplained_difference"))</f>
        <v>within_input_tolerance</v>
      </c>
      <c r="H42" s="2" t="s">
        <v>2247</v>
      </c>
      <c r="I42" s="2">
        <f>IF(ISNUMBER(E42),"","missing or unavailable input")</f>
        <v/>
      </c>
      <c r="J42">
        <v>0</v>
      </c>
    </row>
    <row r="43" spans="1:10" ht="33" customHeight="1">
      <c r="A43" s="2" t="s">
        <v>2291</v>
      </c>
      <c r="B43" s="2" t="s">
        <v>1863</v>
      </c>
      <c r="C43" s="2" t="s">
        <v>500</v>
      </c>
      <c r="D43" s="2" t="s">
        <v>1862</v>
      </c>
      <c r="E43" s="2">
        <f>ROUND('Facts'!F173-'Calculations'!D47,J43)</f>
        <v>0.0</v>
      </c>
      <c r="F43" s="2">
        <v>0</v>
      </c>
      <c r="G43" s="2" t="str">
        <f>IF(COUNT(E43,F43)&lt;2,"not_tested",IF(ABS(E43)&lt;=F43,"within_input_tolerance","unexplained_difference"))</f>
        <v>within_input_tolerance</v>
      </c>
      <c r="H43" s="2" t="s">
        <v>2247</v>
      </c>
      <c r="I43" s="2">
        <f>IF(ISNUMBER(E43),"","missing or unavailable input")</f>
        <v/>
      </c>
      <c r="J43">
        <v>0</v>
      </c>
    </row>
    <row r="44" spans="1:10" ht="33" customHeight="1">
      <c r="A44" s="2" t="s">
        <v>2292</v>
      </c>
      <c r="B44" s="2" t="s">
        <v>1866</v>
      </c>
      <c r="C44" s="2" t="s">
        <v>505</v>
      </c>
      <c r="D44" s="2" t="s">
        <v>1865</v>
      </c>
      <c r="E44" s="2">
        <f>ROUND('Facts'!F175-'Calculations'!D48,J44)</f>
        <v>0.0</v>
      </c>
      <c r="F44" s="2">
        <v>0</v>
      </c>
      <c r="G44" s="2" t="str">
        <f>IF(COUNT(E44,F44)&lt;2,"not_tested",IF(ABS(E44)&lt;=F44,"within_input_tolerance","unexplained_difference"))</f>
        <v>within_input_tolerance</v>
      </c>
      <c r="H44" s="2" t="s">
        <v>2247</v>
      </c>
      <c r="I44" s="2">
        <f>IF(ISNUMBER(E44),"","missing or unavailable input")</f>
        <v/>
      </c>
      <c r="J44">
        <v>0</v>
      </c>
    </row>
    <row r="45" spans="1:10" ht="33" customHeight="1">
      <c r="A45" s="2" t="s">
        <v>2293</v>
      </c>
      <c r="B45" s="2" t="s">
        <v>1869</v>
      </c>
      <c r="C45" s="2" t="s">
        <v>606</v>
      </c>
      <c r="D45" s="2" t="s">
        <v>1868</v>
      </c>
      <c r="E45" s="2">
        <f>ROUND('Facts'!F213-'Calculations'!D49,J45)</f>
        <v>0.0</v>
      </c>
      <c r="F45" s="2">
        <v>0</v>
      </c>
      <c r="G45" s="2" t="str">
        <f>IF(COUNT(E45,F45)&lt;2,"not_tested",IF(ABS(E45)&lt;=F45,"within_input_tolerance","unexplained_difference"))</f>
        <v>within_input_tolerance</v>
      </c>
      <c r="H45" s="2" t="s">
        <v>2247</v>
      </c>
      <c r="I45" s="2">
        <f>IF(ISNUMBER(E45),"","missing or unavailable input")</f>
        <v/>
      </c>
      <c r="J45">
        <v>0</v>
      </c>
    </row>
    <row r="46" spans="1:10" ht="33" customHeight="1">
      <c r="A46" s="2" t="s">
        <v>2294</v>
      </c>
      <c r="B46" s="2" t="s">
        <v>1872</v>
      </c>
      <c r="C46" s="2" t="s">
        <v>646</v>
      </c>
      <c r="D46" s="2" t="s">
        <v>1871</v>
      </c>
      <c r="E46" s="2">
        <f>ROUND('Facts'!F229-'Calculations'!D50,J46)</f>
        <v>0.0</v>
      </c>
      <c r="F46" s="2">
        <v>0</v>
      </c>
      <c r="G46" s="2" t="str">
        <f>IF(COUNT(E46,F46)&lt;2,"not_tested",IF(ABS(E46)&lt;=F46,"within_input_tolerance","unexplained_difference"))</f>
        <v>within_input_tolerance</v>
      </c>
      <c r="H46" s="2" t="s">
        <v>2247</v>
      </c>
      <c r="I46" s="2">
        <f>IF(ISNUMBER(E46),"","missing or unavailable input")</f>
        <v/>
      </c>
      <c r="J46">
        <v>0</v>
      </c>
    </row>
    <row r="47" spans="1:10" ht="33" customHeight="1">
      <c r="A47" s="2" t="s">
        <v>2295</v>
      </c>
      <c r="B47" s="2" t="s">
        <v>1875</v>
      </c>
      <c r="C47" s="2" t="s">
        <v>566</v>
      </c>
      <c r="D47" s="2" t="s">
        <v>1874</v>
      </c>
      <c r="E47" s="2">
        <f>ROUND('Facts'!F197-'Calculations'!D51,J47)</f>
        <v>0.0</v>
      </c>
      <c r="F47" s="2">
        <v>0</v>
      </c>
      <c r="G47" s="2" t="str">
        <f>IF(COUNT(E47,F47)&lt;2,"not_tested",IF(ABS(E47)&lt;=F47,"within_input_tolerance","unexplained_difference"))</f>
        <v>within_input_tolerance</v>
      </c>
      <c r="H47" s="2" t="s">
        <v>2247</v>
      </c>
      <c r="I47" s="2">
        <f>IF(ISNUMBER(E47),"","missing or unavailable input")</f>
        <v/>
      </c>
      <c r="J47">
        <v>0</v>
      </c>
    </row>
    <row r="48" spans="1:10" ht="33" customHeight="1">
      <c r="A48" s="2" t="s">
        <v>2296</v>
      </c>
      <c r="B48" s="2" t="s">
        <v>1878</v>
      </c>
      <c r="C48" s="2" t="s">
        <v>339</v>
      </c>
      <c r="D48" s="2" t="s">
        <v>1877</v>
      </c>
      <c r="E48" s="2">
        <f>ROUND('Facts'!F109-'Calculations'!D52,J48)</f>
        <v>0.0</v>
      </c>
      <c r="F48" s="2">
        <v>0</v>
      </c>
      <c r="G48" s="2" t="str">
        <f>IF(COUNT(E48,F48)&lt;2,"not_tested",IF(ABS(E48)&lt;=F48,"within_input_tolerance","unexplained_difference"))</f>
        <v>within_input_tolerance</v>
      </c>
      <c r="H48" s="2" t="s">
        <v>2247</v>
      </c>
      <c r="I48" s="2">
        <f>IF(ISNUMBER(E48),"","missing or unavailable input")</f>
        <v/>
      </c>
      <c r="J48">
        <v>0</v>
      </c>
    </row>
    <row r="49" spans="1:10" ht="33" customHeight="1">
      <c r="A49" s="2" t="s">
        <v>2297</v>
      </c>
      <c r="B49" s="2" t="s">
        <v>1881</v>
      </c>
      <c r="C49" s="2" t="s">
        <v>329</v>
      </c>
      <c r="D49" s="2" t="s">
        <v>1880</v>
      </c>
      <c r="E49" s="2">
        <f>ROUND('Facts'!F105-'Calculations'!D53,J49)</f>
        <v>0.0</v>
      </c>
      <c r="F49" s="2">
        <v>0</v>
      </c>
      <c r="G49" s="2" t="str">
        <f>IF(COUNT(E49,F49)&lt;2,"not_tested",IF(ABS(E49)&lt;=F49,"within_input_tolerance","unexplained_difference"))</f>
        <v>within_input_tolerance</v>
      </c>
      <c r="H49" s="2" t="s">
        <v>2247</v>
      </c>
      <c r="I49" s="2">
        <f>IF(ISNUMBER(E49),"","missing or unavailable input")</f>
        <v/>
      </c>
      <c r="J49">
        <v>0</v>
      </c>
    </row>
    <row r="50" spans="1:10" ht="33" customHeight="1">
      <c r="A50" s="2" t="s">
        <v>2298</v>
      </c>
      <c r="B50" s="2" t="s">
        <v>1884</v>
      </c>
      <c r="C50" s="2" t="s">
        <v>726</v>
      </c>
      <c r="D50" s="2" t="s">
        <v>1883</v>
      </c>
      <c r="E50" s="2">
        <f>ROUND('Facts'!F257-'Calculations'!D54,J50)</f>
        <v>0.0</v>
      </c>
      <c r="F50" s="2">
        <v>0</v>
      </c>
      <c r="G50" s="2" t="str">
        <f>IF(COUNT(E50,F50)&lt;2,"not_tested",IF(ABS(E50)&lt;=F50,"within_input_tolerance","unexplained_difference"))</f>
        <v>within_input_tolerance</v>
      </c>
      <c r="H50" s="2" t="s">
        <v>2247</v>
      </c>
      <c r="I50" s="2">
        <f>IF(ISNUMBER(E50),"","missing or unavailable input")</f>
        <v/>
      </c>
      <c r="J50">
        <v>0</v>
      </c>
    </row>
    <row r="51" spans="1:10" ht="33" customHeight="1">
      <c r="A51" s="2" t="s">
        <v>2299</v>
      </c>
      <c r="B51" s="2" t="s">
        <v>1887</v>
      </c>
      <c r="C51" s="2" t="s">
        <v>731</v>
      </c>
      <c r="D51" s="2" t="s">
        <v>1886</v>
      </c>
      <c r="E51" s="2">
        <f>ROUND('Facts'!F259-'Calculations'!D55,J51)</f>
        <v>0.0</v>
      </c>
      <c r="F51" s="2">
        <v>0</v>
      </c>
      <c r="G51" s="2" t="str">
        <f>IF(COUNT(E51,F51)&lt;2,"not_tested",IF(ABS(E51)&lt;=F51,"within_input_tolerance","unexplained_difference"))</f>
        <v>within_input_tolerance</v>
      </c>
      <c r="H51" s="2" t="s">
        <v>2247</v>
      </c>
      <c r="I51" s="2">
        <f>IF(ISNUMBER(E51),"","missing or unavailable input")</f>
        <v/>
      </c>
      <c r="J51">
        <v>0</v>
      </c>
    </row>
    <row r="52" spans="1:10" ht="33" customHeight="1">
      <c r="A52" s="2" t="s">
        <v>2300</v>
      </c>
      <c r="B52" s="2" t="s">
        <v>1890</v>
      </c>
      <c r="C52" s="2" t="s">
        <v>516</v>
      </c>
      <c r="D52" s="2" t="s">
        <v>1889</v>
      </c>
      <c r="E52" s="2">
        <f>ROUND('Facts'!F179-'Calculations'!D56,J52)</f>
        <v>0.0</v>
      </c>
      <c r="F52" s="2">
        <v>0</v>
      </c>
      <c r="G52" s="2" t="str">
        <f>IF(COUNT(E52,F52)&lt;2,"not_tested",IF(ABS(E52)&lt;=F52,"within_input_tolerance","unexplained_difference"))</f>
        <v>within_input_tolerance</v>
      </c>
      <c r="H52" s="2" t="s">
        <v>2247</v>
      </c>
      <c r="I52" s="2">
        <f>IF(ISNUMBER(E52),"","missing or unavailable input")</f>
        <v/>
      </c>
      <c r="J52">
        <v>0</v>
      </c>
    </row>
    <row r="53" spans="1:10" ht="33" customHeight="1">
      <c r="A53" s="2" t="s">
        <v>2301</v>
      </c>
      <c r="B53" s="2" t="s">
        <v>1893</v>
      </c>
      <c r="C53" s="2" t="s">
        <v>304</v>
      </c>
      <c r="D53" s="2" t="s">
        <v>1892</v>
      </c>
      <c r="E53" s="2">
        <f>ROUND('Facts'!F95-'Calculations'!D57,J53)</f>
        <v>0.0</v>
      </c>
      <c r="F53" s="2">
        <v>0</v>
      </c>
      <c r="G53" s="2" t="str">
        <f>IF(COUNT(E53,F53)&lt;2,"not_tested",IF(ABS(E53)&lt;=F53,"within_input_tolerance","unexplained_difference"))</f>
        <v>within_input_tolerance</v>
      </c>
      <c r="H53" s="2" t="s">
        <v>2247</v>
      </c>
      <c r="I53" s="2">
        <f>IF(ISNUMBER(E53),"","missing or unavailable input")</f>
        <v/>
      </c>
      <c r="J53">
        <v>0</v>
      </c>
    </row>
    <row r="54" spans="1:10" ht="33" customHeight="1">
      <c r="A54" s="2" t="s">
        <v>2302</v>
      </c>
      <c r="B54" s="2" t="s">
        <v>1896</v>
      </c>
      <c r="C54" s="2" t="s">
        <v>349</v>
      </c>
      <c r="D54" s="2" t="s">
        <v>1895</v>
      </c>
      <c r="E54" s="2">
        <f>ROUND('Facts'!F113-'Calculations'!D58,J54)</f>
        <v>0.0</v>
      </c>
      <c r="F54" s="2">
        <v>0</v>
      </c>
      <c r="G54" s="2" t="str">
        <f>IF(COUNT(E54,F54)&lt;2,"not_tested",IF(ABS(E54)&lt;=F54,"within_input_tolerance","unexplained_difference"))</f>
        <v>within_input_tolerance</v>
      </c>
      <c r="H54" s="2" t="s">
        <v>2247</v>
      </c>
      <c r="I54" s="2">
        <f>IF(ISNUMBER(E54),"","missing or unavailable input")</f>
        <v/>
      </c>
      <c r="J54">
        <v>0</v>
      </c>
    </row>
    <row r="55" spans="1:10" ht="33" customHeight="1">
      <c r="A55" s="2" t="s">
        <v>2303</v>
      </c>
      <c r="B55" s="2" t="s">
        <v>2304</v>
      </c>
      <c r="C55" s="2" t="s">
        <v>425</v>
      </c>
      <c r="D55" s="2" t="s">
        <v>1898</v>
      </c>
      <c r="E55" s="2">
        <f>ROUND('Facts'!F143-'Calculations'!D59,J55)</f>
        <v>0.0</v>
      </c>
      <c r="F55" s="2">
        <v>0</v>
      </c>
      <c r="G55" s="2" t="str">
        <f>IF(COUNT(E55,F55)&lt;2,"not_tested",IF(ABS(E55)&lt;=F55,"within_input_tolerance","unexplained_difference"))</f>
        <v>within_input_tolerance</v>
      </c>
      <c r="H55" s="2" t="s">
        <v>2247</v>
      </c>
      <c r="I55" s="2">
        <f>IF(ISNUMBER(E55),"","missing or unavailable input")</f>
        <v/>
      </c>
      <c r="J55">
        <v>0</v>
      </c>
    </row>
    <row r="56" spans="1:10" ht="33" customHeight="1">
      <c r="A56" s="2" t="s">
        <v>2305</v>
      </c>
      <c r="B56" s="2" t="s">
        <v>2306</v>
      </c>
      <c r="C56" s="2" t="s">
        <v>516</v>
      </c>
      <c r="D56" s="2" t="s">
        <v>1901</v>
      </c>
      <c r="E56" s="2">
        <f>ROUND('Facts'!F179-'Calculations'!D60,J56)</f>
        <v>0.0</v>
      </c>
      <c r="F56" s="2">
        <v>0</v>
      </c>
      <c r="G56" s="2" t="str">
        <f>IF(COUNT(E56,F56)&lt;2,"not_tested",IF(ABS(E56)&lt;=F56,"within_input_tolerance","unexplained_difference"))</f>
        <v>within_input_tolerance</v>
      </c>
      <c r="H56" s="2" t="s">
        <v>2247</v>
      </c>
      <c r="I56" s="2">
        <f>IF(ISNUMBER(E56),"","missing or unavailable input")</f>
        <v/>
      </c>
      <c r="J56">
        <v>0</v>
      </c>
    </row>
    <row r="57" spans="1:10" ht="33" customHeight="1">
      <c r="A57" s="2" t="s">
        <v>2307</v>
      </c>
      <c r="B57" s="2" t="s">
        <v>2308</v>
      </c>
      <c r="C57" s="2" t="s">
        <v>240</v>
      </c>
      <c r="D57" s="2" t="s">
        <v>1904</v>
      </c>
      <c r="E57" s="2">
        <f>ROUND('Facts'!F71-'Calculations'!D61,J57)</f>
        <v>0.0</v>
      </c>
      <c r="F57" s="2">
        <v>0</v>
      </c>
      <c r="G57" s="2" t="str">
        <f>IF(COUNT(E57,F57)&lt;2,"not_tested",IF(ABS(E57)&lt;=F57,"within_input_tolerance","unexplained_difference"))</f>
        <v>within_input_tolerance</v>
      </c>
      <c r="H57" s="2" t="s">
        <v>2247</v>
      </c>
      <c r="I57" s="2">
        <f>IF(ISNUMBER(E57),"","missing or unavailable input")</f>
        <v/>
      </c>
      <c r="J57">
        <v>0</v>
      </c>
    </row>
    <row r="58" spans="1:10" ht="33" customHeight="1">
      <c r="A58" s="2" t="s">
        <v>2309</v>
      </c>
      <c r="B58" s="2" t="s">
        <v>2310</v>
      </c>
      <c r="C58" s="2" t="s">
        <v>341</v>
      </c>
      <c r="D58" s="2" t="s">
        <v>1919</v>
      </c>
      <c r="E58" s="2">
        <f>ROUND('Facts'!F110-'Calculations'!D66,J58)</f>
        <v>0.0</v>
      </c>
      <c r="F58" s="2">
        <v>0</v>
      </c>
      <c r="G58" s="2" t="str">
        <f>IF(COUNT(E58,F58)&lt;2,"not_tested",IF(ABS(E58)&lt;=F58,"within_input_tolerance","unexplained_difference"))</f>
        <v>within_input_tolerance</v>
      </c>
      <c r="H58" s="2" t="s">
        <v>2247</v>
      </c>
      <c r="I58" s="2">
        <f>IF(ISNUMBER(E58),"","missing or unavailable input")</f>
        <v/>
      </c>
      <c r="J58">
        <v>0</v>
      </c>
    </row>
    <row r="59" spans="1:10" ht="33" customHeight="1">
      <c r="A59" s="2" t="s">
        <v>2311</v>
      </c>
      <c r="B59" s="2" t="s">
        <v>2312</v>
      </c>
      <c r="C59" s="2" t="s">
        <v>659</v>
      </c>
      <c r="D59" s="2" t="s">
        <v>1922</v>
      </c>
      <c r="E59" s="2">
        <f>ROUND('Facts'!F233-'Calculations'!D67,J59)</f>
        <v>0.0</v>
      </c>
      <c r="F59" s="2">
        <v>0</v>
      </c>
      <c r="G59" s="2" t="str">
        <f>IF(COUNT(E59,F59)&lt;2,"not_tested",IF(ABS(E59)&lt;=F59,"within_input_tolerance","unexplained_difference"))</f>
        <v>within_input_tolerance</v>
      </c>
      <c r="H59" s="2" t="s">
        <v>2247</v>
      </c>
      <c r="I59" s="2">
        <f>IF(ISNUMBER(E59),"","missing or unavailable input")</f>
        <v/>
      </c>
      <c r="J59">
        <v>0</v>
      </c>
    </row>
    <row r="60" spans="1:10" ht="48" customHeight="1">
      <c r="A60" s="2" t="s">
        <v>2313</v>
      </c>
      <c r="B60" s="2" t="s">
        <v>2314</v>
      </c>
      <c r="C60" s="2" t="s">
        <v>661</v>
      </c>
      <c r="D60" s="2" t="s">
        <v>1926</v>
      </c>
      <c r="E60" s="2">
        <f>ROUND('Facts'!F234-'Calculations'!D68,J60)</f>
        <v>-2000000.0</v>
      </c>
      <c r="F60" s="2">
        <v>0</v>
      </c>
      <c r="G60" s="2" t="str">
        <f>IF(COUNT(E60,F60)&lt;2,"not_tested",IF(ABS(E60)&lt;=F60,"within_input_tolerance","unexplained_difference"))</f>
        <v>unexplained_difference</v>
      </c>
      <c r="H60" s="2" t="s">
        <v>2316</v>
      </c>
      <c r="I60" s="2">
        <f>IF(ISNUMBER(E60),"","missing or unavailable input")</f>
        <v/>
      </c>
      <c r="J60">
        <v>0</v>
      </c>
    </row>
    <row r="61" spans="1:10" ht="33" customHeight="1">
      <c r="A61" s="2" t="s">
        <v>2317</v>
      </c>
      <c r="B61" s="2" t="s">
        <v>2318</v>
      </c>
      <c r="C61" s="2" t="s">
        <v>665</v>
      </c>
      <c r="D61" s="2" t="s">
        <v>1929</v>
      </c>
      <c r="E61" s="2">
        <f>ROUND('Facts'!F235-'Calculations'!D69,J61)</f>
        <v>0.0</v>
      </c>
      <c r="F61" s="2">
        <v>0</v>
      </c>
      <c r="G61" s="2" t="str">
        <f>IF(COUNT(E61,F61)&lt;2,"not_tested",IF(ABS(E61)&lt;=F61,"within_input_tolerance","unexplained_difference"))</f>
        <v>within_input_tolerance</v>
      </c>
      <c r="H61" s="2" t="s">
        <v>2247</v>
      </c>
      <c r="I61" s="2">
        <f>IF(ISNUMBER(E61),"","missing or unavailable input")</f>
        <v/>
      </c>
      <c r="J61">
        <v>0</v>
      </c>
    </row>
    <row r="62" spans="1:10" ht="33" customHeight="1">
      <c r="A62" s="2" t="s">
        <v>2319</v>
      </c>
      <c r="B62" s="2" t="s">
        <v>2320</v>
      </c>
      <c r="C62" s="2" t="s">
        <v>668</v>
      </c>
      <c r="D62" s="2" t="s">
        <v>1932</v>
      </c>
      <c r="E62" s="2">
        <f>ROUND('Facts'!F236-'Calculations'!D70,J62)</f>
        <v>0.0</v>
      </c>
      <c r="F62" s="2">
        <v>0</v>
      </c>
      <c r="G62" s="2" t="str">
        <f>IF(COUNT(E62,F62)&lt;2,"not_tested",IF(ABS(E62)&lt;=F62,"within_input_tolerance","unexplained_difference"))</f>
        <v>within_input_tolerance</v>
      </c>
      <c r="H62" s="2" t="s">
        <v>2247</v>
      </c>
      <c r="I62" s="2">
        <f>IF(ISNUMBER(E62),"","missing or unavailable input")</f>
        <v/>
      </c>
      <c r="J62">
        <v>0</v>
      </c>
    </row>
    <row r="63" spans="1:10" ht="33" customHeight="1">
      <c r="A63" s="2" t="s">
        <v>2321</v>
      </c>
      <c r="B63" s="2" t="s">
        <v>2322</v>
      </c>
      <c r="C63" s="2" t="s">
        <v>671</v>
      </c>
      <c r="D63" s="2" t="s">
        <v>1935</v>
      </c>
      <c r="E63" s="2">
        <f>ROUND('Facts'!F237-'Calculations'!D71,J63)</f>
        <v>0.0</v>
      </c>
      <c r="F63" s="2">
        <v>0</v>
      </c>
      <c r="G63" s="2" t="str">
        <f>IF(COUNT(E63,F63)&lt;2,"not_tested",IF(ABS(E63)&lt;=F63,"within_input_tolerance","unexplained_difference"))</f>
        <v>within_input_tolerance</v>
      </c>
      <c r="H63" s="2" t="s">
        <v>2247</v>
      </c>
      <c r="I63" s="2">
        <f>IF(ISNUMBER(E63),"","missing or unavailable input")</f>
        <v/>
      </c>
      <c r="J63">
        <v>0</v>
      </c>
    </row>
    <row r="64" spans="1:10" ht="33" customHeight="1">
      <c r="A64" s="2" t="s">
        <v>2323</v>
      </c>
      <c r="B64" s="2" t="s">
        <v>2324</v>
      </c>
      <c r="C64" s="2" t="s">
        <v>733</v>
      </c>
      <c r="D64" s="2" t="s">
        <v>1943</v>
      </c>
      <c r="E64" s="2">
        <f>ROUND('Facts'!F260-'Calculations'!D74,J64)</f>
        <v>0.0</v>
      </c>
      <c r="F64" s="2">
        <v>0</v>
      </c>
      <c r="G64" s="2" t="str">
        <f>IF(COUNT(E64,F64)&lt;2,"not_tested",IF(ABS(E64)&lt;=F64,"within_input_tolerance","unexplained_difference"))</f>
        <v>within_input_tolerance</v>
      </c>
      <c r="H64" s="2" t="s">
        <v>2247</v>
      </c>
      <c r="I64" s="2">
        <f>IF(ISNUMBER(E64),"","missing or unavailable input")</f>
        <v/>
      </c>
      <c r="J64">
        <v>0</v>
      </c>
    </row>
    <row r="65" spans="1:10" ht="33" customHeight="1">
      <c r="A65" s="2" t="s">
        <v>2325</v>
      </c>
      <c r="B65" s="2" t="s">
        <v>2326</v>
      </c>
      <c r="C65" s="2" t="s">
        <v>733</v>
      </c>
      <c r="D65" s="2" t="s">
        <v>1946</v>
      </c>
      <c r="E65" s="2">
        <f>ROUND('Facts'!F260-'Calculations'!D75,J65)</f>
        <v>0.0</v>
      </c>
      <c r="F65" s="2">
        <v>0</v>
      </c>
      <c r="G65" s="2" t="str">
        <f>IF(COUNT(E65,F65)&lt;2,"not_tested",IF(ABS(E65)&lt;=F65,"within_input_tolerance","unexplained_difference"))</f>
        <v>within_input_tolerance</v>
      </c>
      <c r="H65" s="2" t="s">
        <v>2247</v>
      </c>
      <c r="I65" s="2">
        <f>IF(ISNUMBER(E65),"","missing or unavailable input")</f>
        <v/>
      </c>
      <c r="J65">
        <v>0</v>
      </c>
    </row>
    <row r="66" spans="1:10" ht="33" customHeight="1">
      <c r="A66" s="2" t="s">
        <v>2327</v>
      </c>
      <c r="B66" s="2" t="s">
        <v>2328</v>
      </c>
      <c r="C66" s="2" t="s">
        <v>783</v>
      </c>
      <c r="D66" s="2" t="s">
        <v>1962</v>
      </c>
      <c r="E66" s="2">
        <f>ROUND('Facts'!F274-'Calculations'!D79,J66)</f>
        <v>0.0</v>
      </c>
      <c r="F66" s="2">
        <v>0</v>
      </c>
      <c r="G66" s="2" t="str">
        <f>IF(COUNT(E66,F66)&lt;2,"not_tested",IF(ABS(E66)&lt;=F66,"within_input_tolerance","unexplained_difference"))</f>
        <v>within_input_tolerance</v>
      </c>
      <c r="H66" s="2" t="s">
        <v>2247</v>
      </c>
      <c r="I66" s="2">
        <f>IF(ISNUMBER(E66),"","missing or unavailable input")</f>
        <v/>
      </c>
      <c r="J66">
        <v>0</v>
      </c>
    </row>
    <row r="67" spans="1:10" ht="33" customHeight="1">
      <c r="A67" s="2" t="s">
        <v>2329</v>
      </c>
      <c r="B67" s="2" t="s">
        <v>1966</v>
      </c>
      <c r="C67" s="2" t="s">
        <v>823</v>
      </c>
      <c r="D67" s="2" t="s">
        <v>1965</v>
      </c>
      <c r="E67" s="2">
        <f>ROUND('Facts'!F292-'Calculations'!D80,J67)</f>
        <v>0.0</v>
      </c>
      <c r="F67" s="2">
        <v>0</v>
      </c>
      <c r="G67" s="2" t="str">
        <f>IF(COUNT(E67,F67)&lt;2,"not_tested",IF(ABS(E67)&lt;=F67,"within_input_tolerance","unexplained_difference"))</f>
        <v>within_input_tolerance</v>
      </c>
      <c r="H67" s="2" t="s">
        <v>2247</v>
      </c>
      <c r="I67" s="2">
        <f>IF(ISNUMBER(E67),"","missing or unavailable input")</f>
        <v/>
      </c>
      <c r="J67">
        <v>0</v>
      </c>
    </row>
    <row r="68" spans="1:10" ht="33" customHeight="1">
      <c r="A68" s="2" t="s">
        <v>2330</v>
      </c>
      <c r="B68" s="2" t="s">
        <v>2331</v>
      </c>
      <c r="C68" s="2" t="s">
        <v>827</v>
      </c>
      <c r="D68" s="2" t="s">
        <v>1968</v>
      </c>
      <c r="E68" s="2">
        <f>ROUND('Facts'!F294-'Calculations'!D81,J68)</f>
        <v>0.0</v>
      </c>
      <c r="F68" s="2">
        <v>0</v>
      </c>
      <c r="G68" s="2" t="str">
        <f>IF(COUNT(E68,F68)&lt;2,"not_tested",IF(ABS(E68)&lt;=F68,"within_input_tolerance","unexplained_difference"))</f>
        <v>within_input_tolerance</v>
      </c>
      <c r="H68" s="2" t="s">
        <v>2247</v>
      </c>
      <c r="I68" s="2">
        <f>IF(ISNUMBER(E68),"","missing or unavailable input")</f>
        <v/>
      </c>
      <c r="J68">
        <v>0</v>
      </c>
    </row>
    <row r="69" spans="1:10" ht="33" customHeight="1">
      <c r="A69" s="2" t="s">
        <v>2332</v>
      </c>
      <c r="B69" s="2" t="s">
        <v>2333</v>
      </c>
      <c r="C69" s="2" t="s">
        <v>802</v>
      </c>
      <c r="D69" s="2" t="s">
        <v>1971</v>
      </c>
      <c r="E69" s="2">
        <f>ROUND('Facts'!F282-'Calculations'!D82,J69)</f>
        <v>0.0</v>
      </c>
      <c r="F69" s="2">
        <v>0</v>
      </c>
      <c r="G69" s="2" t="str">
        <f>IF(COUNT(E69,F69)&lt;2,"not_tested",IF(ABS(E69)&lt;=F69,"within_input_tolerance","unexplained_difference"))</f>
        <v>within_input_tolerance</v>
      </c>
      <c r="H69" s="2" t="s">
        <v>2247</v>
      </c>
      <c r="I69" s="2">
        <f>IF(ISNUMBER(E69),"","missing or unavailable input")</f>
        <v/>
      </c>
      <c r="J69">
        <v>0</v>
      </c>
    </row>
    <row r="70" spans="1:10" ht="33" customHeight="1">
      <c r="A70" s="2" t="s">
        <v>2334</v>
      </c>
      <c r="B70" s="2" t="s">
        <v>2335</v>
      </c>
      <c r="C70" s="2" t="s">
        <v>804</v>
      </c>
      <c r="D70" s="2" t="s">
        <v>1974</v>
      </c>
      <c r="E70" s="2">
        <f>ROUND('Facts'!F283-'Calculations'!D83,J70)</f>
        <v>0.0</v>
      </c>
      <c r="F70" s="2">
        <v>0</v>
      </c>
      <c r="G70" s="2" t="str">
        <f>IF(COUNT(E70,F70)&lt;2,"not_tested",IF(ABS(E70)&lt;=F70,"within_input_tolerance","unexplained_difference"))</f>
        <v>within_input_tolerance</v>
      </c>
      <c r="H70" s="2" t="s">
        <v>2247</v>
      </c>
      <c r="I70" s="2">
        <f>IF(ISNUMBER(E70),"","missing or unavailable input")</f>
        <v/>
      </c>
      <c r="J70">
        <v>0</v>
      </c>
    </row>
    <row r="71" spans="1:10" ht="33" customHeight="1">
      <c r="A71" s="2" t="s">
        <v>2336</v>
      </c>
      <c r="B71" s="2" t="s">
        <v>2337</v>
      </c>
      <c r="C71" s="2" t="s">
        <v>829</v>
      </c>
      <c r="D71" s="2" t="s">
        <v>1977</v>
      </c>
      <c r="E71" s="2">
        <f>ROUND('Facts'!F295-'Calculations'!D84,J71)</f>
        <v>0.0</v>
      </c>
      <c r="F71" s="2">
        <v>0</v>
      </c>
      <c r="G71" s="2" t="str">
        <f>IF(COUNT(E71,F71)&lt;2,"not_tested",IF(ABS(E71)&lt;=F71,"within_input_tolerance","unexplained_difference"))</f>
        <v>within_input_tolerance</v>
      </c>
      <c r="H71" s="2" t="s">
        <v>2247</v>
      </c>
      <c r="I71" s="2">
        <f>IF(ISNUMBER(E71),"","missing or unavailable input")</f>
        <v/>
      </c>
      <c r="J71">
        <v>0</v>
      </c>
    </row>
    <row r="72" spans="1:10" ht="48" customHeight="1">
      <c r="A72" s="2" t="s">
        <v>2338</v>
      </c>
      <c r="B72" s="2" t="s">
        <v>2339</v>
      </c>
      <c r="C72" s="2" t="s">
        <v>833</v>
      </c>
      <c r="D72" s="2" t="s">
        <v>1977</v>
      </c>
      <c r="E72" s="2">
        <f>ROUND('Facts'!F296-'Calculations'!D84,J72)</f>
        <v>11000000.0</v>
      </c>
      <c r="F72" s="2">
        <v>0</v>
      </c>
      <c r="G72" s="2" t="str">
        <f>IF(COUNT(E72,F72)&lt;2,"not_tested",IF(ABS(E72)&lt;=F72,"within_input_tolerance","unexplained_difference"))</f>
        <v>unexplained_difference</v>
      </c>
      <c r="H72" s="2" t="s">
        <v>2340</v>
      </c>
      <c r="I72" s="2">
        <f>IF(ISNUMBER(E72),"","missing or unavailable input")</f>
        <v/>
      </c>
      <c r="J72">
        <v>0</v>
      </c>
    </row>
    <row r="73" spans="1:10" ht="33" customHeight="1">
      <c r="A73" s="2" t="s">
        <v>2341</v>
      </c>
      <c r="B73" s="2" t="s">
        <v>2342</v>
      </c>
      <c r="C73" s="2" t="s">
        <v>1992</v>
      </c>
      <c r="D73" s="2" t="s">
        <v>2001</v>
      </c>
      <c r="E73" s="2">
        <f>ROUND('Calculations'!D88-'Calculations'!D91,J73)</f>
        <v>0.0</v>
      </c>
      <c r="F73" s="2">
        <v>0</v>
      </c>
      <c r="G73" s="2" t="str">
        <f>IF(COUNT(E73,F73)&lt;2,"not_tested",IF(ABS(E73)&lt;=F73,"within_input_tolerance","unexplained_difference"))</f>
        <v>within_input_tolerance</v>
      </c>
      <c r="H73" s="2" t="s">
        <v>2247</v>
      </c>
      <c r="I73" s="2">
        <f>IF(ISNUMBER(E73),"","missing or unavailable input")</f>
        <v/>
      </c>
      <c r="J73">
        <v>0</v>
      </c>
    </row>
    <row r="74" spans="1:10" ht="33" customHeight="1">
      <c r="A74" s="2" t="s">
        <v>2343</v>
      </c>
      <c r="B74" s="2" t="s">
        <v>2005</v>
      </c>
      <c r="C74" s="2" t="s">
        <v>906</v>
      </c>
      <c r="D74" s="2" t="s">
        <v>2004</v>
      </c>
      <c r="E74" s="2">
        <f>ROUND('Facts'!F320-'Calculations'!D92,J74)</f>
        <v>0.0</v>
      </c>
      <c r="F74" s="2">
        <v>0</v>
      </c>
      <c r="G74" s="2" t="str">
        <f>IF(COUNT(E74,F74)&lt;2,"not_tested",IF(ABS(E74)&lt;=F74,"within_input_tolerance","unexplained_difference"))</f>
        <v>within_input_tolerance</v>
      </c>
      <c r="H74" s="2" t="s">
        <v>2344</v>
      </c>
      <c r="I74" s="2">
        <f>IF(ISNUMBER(E74),"","missing or unavailable input")</f>
        <v/>
      </c>
      <c r="J74">
        <v>0</v>
      </c>
    </row>
    <row r="75" spans="1:10" ht="33" customHeight="1">
      <c r="A75" s="2" t="s">
        <v>2345</v>
      </c>
      <c r="B75" s="2" t="s">
        <v>2008</v>
      </c>
      <c r="C75" s="2" t="s">
        <v>911</v>
      </c>
      <c r="D75" s="2" t="s">
        <v>2007</v>
      </c>
      <c r="E75" s="2">
        <f>ROUND('Facts'!F322-'Calculations'!D93,J75)</f>
        <v>0.0</v>
      </c>
      <c r="F75" s="2">
        <v>0</v>
      </c>
      <c r="G75" s="2" t="str">
        <f>IF(COUNT(E75,F75)&lt;2,"not_tested",IF(ABS(E75)&lt;=F75,"within_input_tolerance","unexplained_difference"))</f>
        <v>within_input_tolerance</v>
      </c>
      <c r="H75" s="2" t="s">
        <v>2344</v>
      </c>
      <c r="I75" s="2">
        <f>IF(ISNUMBER(E75),"","missing or unavailable input")</f>
        <v/>
      </c>
      <c r="J75">
        <v>0</v>
      </c>
    </row>
    <row r="76" spans="1:10" ht="33" customHeight="1">
      <c r="A76" s="2" t="s">
        <v>2346</v>
      </c>
      <c r="B76" s="2" t="s">
        <v>2011</v>
      </c>
      <c r="C76" s="2" t="s">
        <v>917</v>
      </c>
      <c r="D76" s="2" t="s">
        <v>2010</v>
      </c>
      <c r="E76" s="2">
        <f>ROUND('Facts'!F325-'Calculations'!D94,J76)</f>
        <v>0.0</v>
      </c>
      <c r="F76" s="2">
        <v>0</v>
      </c>
      <c r="G76" s="2" t="str">
        <f>IF(COUNT(E76,F76)&lt;2,"not_tested",IF(ABS(E76)&lt;=F76,"within_input_tolerance","unexplained_difference"))</f>
        <v>within_input_tolerance</v>
      </c>
      <c r="H76" s="2" t="s">
        <v>2344</v>
      </c>
      <c r="I76" s="2">
        <f>IF(ISNUMBER(E76),"","missing or unavailable input")</f>
        <v/>
      </c>
      <c r="J76">
        <v>0</v>
      </c>
    </row>
    <row r="77" spans="1:10" ht="33" customHeight="1">
      <c r="A77" s="2" t="s">
        <v>2347</v>
      </c>
      <c r="B77" s="2" t="s">
        <v>2014</v>
      </c>
      <c r="C77" s="2" t="s">
        <v>929</v>
      </c>
      <c r="D77" s="2" t="s">
        <v>2013</v>
      </c>
      <c r="E77" s="2">
        <f>ROUND('Facts'!F331-'Calculations'!D95,J77)</f>
        <v>0.0</v>
      </c>
      <c r="F77" s="2">
        <v>0</v>
      </c>
      <c r="G77" s="2" t="str">
        <f>IF(COUNT(E77,F77)&lt;2,"not_tested",IF(ABS(E77)&lt;=F77,"within_input_tolerance","unexplained_difference"))</f>
        <v>within_input_tolerance</v>
      </c>
      <c r="H77" s="2" t="s">
        <v>2344</v>
      </c>
      <c r="I77" s="2">
        <f>IF(ISNUMBER(E77),"","missing or unavailable input")</f>
        <v/>
      </c>
      <c r="J77">
        <v>0</v>
      </c>
    </row>
    <row r="78" spans="1:10" ht="33" customHeight="1">
      <c r="A78" s="2" t="s">
        <v>2348</v>
      </c>
      <c r="B78" s="2" t="s">
        <v>2017</v>
      </c>
      <c r="C78" s="2" t="s">
        <v>931</v>
      </c>
      <c r="D78" s="2" t="s">
        <v>2016</v>
      </c>
      <c r="E78" s="2">
        <f>ROUND('Facts'!F332-'Calculations'!D96,J78)</f>
        <v>0.0</v>
      </c>
      <c r="F78" s="2">
        <v>0</v>
      </c>
      <c r="G78" s="2" t="str">
        <f>IF(COUNT(E78,F78)&lt;2,"not_tested",IF(ABS(E78)&lt;=F78,"within_input_tolerance","unexplained_difference"))</f>
        <v>within_input_tolerance</v>
      </c>
      <c r="H78" s="2" t="s">
        <v>2344</v>
      </c>
      <c r="I78" s="2">
        <f>IF(ISNUMBER(E78),"","missing or unavailable input")</f>
        <v/>
      </c>
      <c r="J78">
        <v>0</v>
      </c>
    </row>
    <row r="79" spans="1:10" ht="33" customHeight="1">
      <c r="A79" s="2" t="s">
        <v>2349</v>
      </c>
      <c r="B79" s="2" t="s">
        <v>2020</v>
      </c>
      <c r="C79" s="2" t="s">
        <v>935</v>
      </c>
      <c r="D79" s="2" t="s">
        <v>2019</v>
      </c>
      <c r="E79" s="2">
        <f>ROUND('Facts'!F334-'Calculations'!D97,J79)</f>
        <v>0.0</v>
      </c>
      <c r="F79" s="2">
        <v>0</v>
      </c>
      <c r="G79" s="2" t="str">
        <f>IF(COUNT(E79,F79)&lt;2,"not_tested",IF(ABS(E79)&lt;=F79,"within_input_tolerance","unexplained_difference"))</f>
        <v>within_input_tolerance</v>
      </c>
      <c r="H79" s="2" t="s">
        <v>2344</v>
      </c>
      <c r="I79" s="2">
        <f>IF(ISNUMBER(E79),"","missing or unavailable input")</f>
        <v/>
      </c>
      <c r="J79">
        <v>0</v>
      </c>
    </row>
    <row r="80" spans="1:10" ht="33" customHeight="1">
      <c r="A80" s="2" t="s">
        <v>2350</v>
      </c>
      <c r="B80" s="2" t="s">
        <v>2023</v>
      </c>
      <c r="C80" s="2" t="s">
        <v>944</v>
      </c>
      <c r="D80" s="2" t="s">
        <v>2022</v>
      </c>
      <c r="E80" s="2">
        <f>ROUND('Facts'!F338-'Calculations'!D98,J80)</f>
        <v>0.0</v>
      </c>
      <c r="F80" s="2">
        <v>0</v>
      </c>
      <c r="G80" s="2" t="str">
        <f>IF(COUNT(E80,F80)&lt;2,"not_tested",IF(ABS(E80)&lt;=F80,"within_input_tolerance","unexplained_difference"))</f>
        <v>within_input_tolerance</v>
      </c>
      <c r="H80" s="2" t="s">
        <v>2344</v>
      </c>
      <c r="I80" s="2">
        <f>IF(ISNUMBER(E80),"","missing or unavailable input")</f>
        <v/>
      </c>
      <c r="J80">
        <v>0</v>
      </c>
    </row>
    <row r="81" spans="1:10" ht="33" customHeight="1">
      <c r="A81" s="2" t="s">
        <v>2351</v>
      </c>
      <c r="B81" s="2" t="s">
        <v>947</v>
      </c>
      <c r="C81" s="2" t="s">
        <v>946</v>
      </c>
      <c r="D81" s="2" t="s">
        <v>2025</v>
      </c>
      <c r="E81" s="2">
        <f>ROUND('Facts'!F339-'Calculations'!D99,J81)</f>
        <v>0.0</v>
      </c>
      <c r="F81" s="2">
        <v>0</v>
      </c>
      <c r="G81" s="2" t="str">
        <f>IF(COUNT(E81,F81)&lt;2,"not_tested",IF(ABS(E81)&lt;=F81,"within_input_tolerance","unexplained_difference"))</f>
        <v>within_input_tolerance</v>
      </c>
      <c r="H81" s="2" t="s">
        <v>2344</v>
      </c>
      <c r="I81" s="2">
        <f>IF(ISNUMBER(E81),"","missing or unavailable input")</f>
        <v/>
      </c>
      <c r="J81">
        <v>0</v>
      </c>
    </row>
    <row r="82" spans="1:10" ht="33" customHeight="1">
      <c r="A82" s="2" t="s">
        <v>2352</v>
      </c>
      <c r="B82" s="2" t="s">
        <v>2353</v>
      </c>
      <c r="C82" s="2" t="s">
        <v>954</v>
      </c>
      <c r="D82" s="2" t="s">
        <v>2027</v>
      </c>
      <c r="E82" s="2">
        <f>ROUND('Facts'!F342-'Calculations'!D100,J82)</f>
        <v>0.0</v>
      </c>
      <c r="F82" s="2">
        <v>0</v>
      </c>
      <c r="G82" s="2" t="str">
        <f>IF(COUNT(E82,F82)&lt;2,"not_tested",IF(ABS(E82)&lt;=F82,"within_input_tolerance","unexplained_difference"))</f>
        <v>within_input_tolerance</v>
      </c>
      <c r="H82" s="2" t="s">
        <v>2344</v>
      </c>
      <c r="I82" s="2">
        <f>IF(ISNUMBER(E82),"","missing or unavailable input")</f>
        <v/>
      </c>
      <c r="J82">
        <v>0</v>
      </c>
    </row>
    <row r="83" spans="1:10" ht="33" customHeight="1">
      <c r="A83" s="2" t="s">
        <v>2354</v>
      </c>
      <c r="B83" s="2" t="s">
        <v>2355</v>
      </c>
      <c r="C83" s="2" t="s">
        <v>306</v>
      </c>
      <c r="D83" s="2" t="s">
        <v>2052</v>
      </c>
      <c r="E83" s="2">
        <f>ROUND('Facts'!F96-'Calculations'!D107,J83)</f>
        <v>0.0</v>
      </c>
      <c r="F83" s="2">
        <v>0</v>
      </c>
      <c r="G83" s="2" t="str">
        <f>IF(COUNT(E83,F83)&lt;2,"not_tested",IF(ABS(E83)&lt;=F83,"within_input_tolerance","unexplained_difference"))</f>
        <v>within_input_tolerance</v>
      </c>
      <c r="H83" s="2" t="s">
        <v>2356</v>
      </c>
      <c r="I83" s="2">
        <f>IF(ISNUMBER(E83),"","missing or unavailable input")</f>
        <v/>
      </c>
      <c r="J83">
        <v>0</v>
      </c>
    </row>
    <row r="84" spans="1:10" ht="33" customHeight="1">
      <c r="A84" s="2" t="s">
        <v>2357</v>
      </c>
      <c r="B84" s="2" t="s">
        <v>2358</v>
      </c>
      <c r="C84" s="2" t="s">
        <v>286</v>
      </c>
      <c r="D84" s="2" t="s">
        <v>2055</v>
      </c>
      <c r="E84" s="2">
        <f>ROUND('Facts'!F88-'Calculations'!D108,J84)</f>
        <v>0.0</v>
      </c>
      <c r="F84" s="2">
        <v>0</v>
      </c>
      <c r="G84" s="2" t="str">
        <f>IF(COUNT(E84,F84)&lt;2,"not_tested",IF(ABS(E84)&lt;=F84,"within_input_tolerance","unexplained_difference"))</f>
        <v>within_input_tolerance</v>
      </c>
      <c r="H84" s="2" t="s">
        <v>2356</v>
      </c>
      <c r="I84" s="2">
        <f>IF(ISNUMBER(E84),"","missing or unavailable input")</f>
        <v/>
      </c>
      <c r="J84">
        <v>0</v>
      </c>
    </row>
    <row r="85" spans="1:10" ht="33" customHeight="1">
      <c r="A85" s="2" t="s">
        <v>2359</v>
      </c>
      <c r="B85" s="2" t="s">
        <v>2360</v>
      </c>
      <c r="C85" s="2" t="s">
        <v>1007</v>
      </c>
      <c r="D85" s="2" t="s">
        <v>2058</v>
      </c>
      <c r="E85" s="2">
        <f>ROUND('Facts'!F362-'Calculations'!D109,J85)</f>
        <v>0.0</v>
      </c>
      <c r="F85" s="2">
        <v>0</v>
      </c>
      <c r="G85" s="2" t="str">
        <f>IF(COUNT(E85,F85)&lt;2,"not_tested",IF(ABS(E85)&lt;=F85,"within_input_tolerance","unexplained_difference"))</f>
        <v>within_input_tolerance</v>
      </c>
      <c r="H85" s="2" t="s">
        <v>2356</v>
      </c>
      <c r="I85" s="2">
        <f>IF(ISNUMBER(E85),"","missing or unavailable input")</f>
        <v/>
      </c>
      <c r="J85">
        <v>0</v>
      </c>
    </row>
  </sheetData>
  <autoFilter ref="A1:J85"/>
  <pageMargins left="0.25" right="0.25" top="0.75" bottom="0.75" header="0.3" footer="0.3"/>
  <pageSetup paperSize="8" fitToHeight="0" orientation="landscape"/>
</worksheet>
</file>

<file path=xl/worksheets/sheet5.xml><?xml version="1.0" encoding="utf-8"?>
<worksheet xmlns="http://schemas.openxmlformats.org/spreadsheetml/2006/main" xmlns:r="http://schemas.openxmlformats.org/officeDocument/2006/relationships">
  <dimension ref="A1:F23"/>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0.7109375" customWidth="1"/>
    <col min="2" max="2" width="60.7109375" customWidth="1"/>
    <col min="3" max="3" width="100.7109375" customWidth="1"/>
    <col min="4" max="4" width="20.7109375" customWidth="1"/>
    <col min="5" max="6" width="70.7109375" customWidth="1"/>
  </cols>
  <sheetData>
    <row r="1" spans="1:6" ht="32" customHeight="1">
      <c r="A1" s="1" t="s">
        <v>40</v>
      </c>
      <c r="B1" s="1" t="s">
        <v>2361</v>
      </c>
      <c r="C1" s="1" t="s">
        <v>2362</v>
      </c>
      <c r="D1" s="1" t="s">
        <v>2363</v>
      </c>
      <c r="E1" s="1" t="s">
        <v>2364</v>
      </c>
      <c r="F1" s="1" t="s">
        <v>2365</v>
      </c>
    </row>
    <row r="2" spans="1:6">
      <c r="A2" s="2" t="s">
        <v>2366</v>
      </c>
      <c r="B2" s="2" t="s">
        <v>2367</v>
      </c>
      <c r="C2" s="2" t="s">
        <v>2368</v>
      </c>
      <c r="D2" s="2" t="s">
        <v>2369</v>
      </c>
      <c r="E2" s="2" t="s">
        <v>2370</v>
      </c>
      <c r="F2" s="2" t="s">
        <v>2371</v>
      </c>
    </row>
    <row r="3" spans="1:6">
      <c r="A3" s="2" t="s">
        <v>2372</v>
      </c>
      <c r="B3" s="2" t="s">
        <v>2373</v>
      </c>
      <c r="C3" s="2" t="s">
        <v>2374</v>
      </c>
      <c r="D3" s="2" t="s">
        <v>2375</v>
      </c>
      <c r="E3" s="2" t="s">
        <v>2376</v>
      </c>
      <c r="F3" s="2" t="s">
        <v>2377</v>
      </c>
    </row>
    <row r="4" spans="1:6">
      <c r="A4" s="2" t="s">
        <v>2378</v>
      </c>
      <c r="B4" s="2" t="s">
        <v>2379</v>
      </c>
      <c r="C4" s="2" t="s">
        <v>2380</v>
      </c>
      <c r="D4" s="2" t="s">
        <v>2381</v>
      </c>
      <c r="E4" s="2"/>
      <c r="F4" s="2" t="s">
        <v>2382</v>
      </c>
    </row>
    <row r="5" spans="1:6">
      <c r="A5" s="2" t="s">
        <v>2383</v>
      </c>
      <c r="B5" s="2" t="s">
        <v>2384</v>
      </c>
      <c r="C5" s="2" t="s">
        <v>2385</v>
      </c>
      <c r="D5" s="2" t="s">
        <v>2386</v>
      </c>
      <c r="E5" s="2"/>
      <c r="F5" s="2" t="s">
        <v>2387</v>
      </c>
    </row>
    <row r="6" spans="1:6">
      <c r="A6" s="2" t="s">
        <v>2388</v>
      </c>
      <c r="B6" s="2" t="s">
        <v>2389</v>
      </c>
      <c r="C6" s="2" t="s">
        <v>2390</v>
      </c>
      <c r="D6" s="2" t="s">
        <v>2391</v>
      </c>
      <c r="E6" s="2" t="s">
        <v>2392</v>
      </c>
      <c r="F6" s="2" t="s">
        <v>2393</v>
      </c>
    </row>
    <row r="7" spans="1:6">
      <c r="A7" s="2" t="s">
        <v>2394</v>
      </c>
      <c r="B7" s="2" t="s">
        <v>2395</v>
      </c>
      <c r="C7" s="2" t="s">
        <v>2396</v>
      </c>
      <c r="D7" s="2" t="s">
        <v>844</v>
      </c>
      <c r="E7" s="2" t="s">
        <v>2397</v>
      </c>
      <c r="F7" s="2" t="s">
        <v>2398</v>
      </c>
    </row>
    <row r="8" spans="1:6">
      <c r="A8" s="2" t="s">
        <v>2399</v>
      </c>
      <c r="B8" s="2" t="s">
        <v>2400</v>
      </c>
      <c r="C8" s="2" t="s">
        <v>2401</v>
      </c>
      <c r="D8" s="2" t="s">
        <v>844</v>
      </c>
      <c r="E8" s="2" t="s">
        <v>2402</v>
      </c>
      <c r="F8" s="2" t="s">
        <v>2403</v>
      </c>
    </row>
    <row r="9" spans="1:6">
      <c r="A9" s="2" t="s">
        <v>2404</v>
      </c>
      <c r="B9" s="2" t="s">
        <v>2405</v>
      </c>
      <c r="C9" s="2" t="s">
        <v>2406</v>
      </c>
      <c r="D9" s="2" t="s">
        <v>2381</v>
      </c>
      <c r="E9" s="2" t="s">
        <v>2407</v>
      </c>
      <c r="F9" s="2" t="s">
        <v>2408</v>
      </c>
    </row>
    <row r="10" spans="1:6">
      <c r="A10" s="2" t="s">
        <v>2409</v>
      </c>
      <c r="B10" s="2" t="s">
        <v>2410</v>
      </c>
      <c r="C10" s="2" t="s">
        <v>2411</v>
      </c>
      <c r="D10" s="2" t="s">
        <v>844</v>
      </c>
      <c r="E10" s="2" t="s">
        <v>2412</v>
      </c>
      <c r="F10" s="2" t="s">
        <v>2413</v>
      </c>
    </row>
    <row r="11" spans="1:6">
      <c r="A11" s="2" t="s">
        <v>2414</v>
      </c>
      <c r="B11" s="2" t="s">
        <v>2415</v>
      </c>
      <c r="C11" s="2" t="s">
        <v>2416</v>
      </c>
      <c r="D11" s="2" t="s">
        <v>2417</v>
      </c>
      <c r="E11" s="2" t="s">
        <v>2418</v>
      </c>
      <c r="F11" s="2" t="s">
        <v>2419</v>
      </c>
    </row>
    <row r="12" spans="1:6">
      <c r="A12" s="2" t="s">
        <v>2420</v>
      </c>
      <c r="B12" s="2" t="s">
        <v>2421</v>
      </c>
      <c r="C12" s="2" t="s">
        <v>2422</v>
      </c>
      <c r="D12" s="2" t="s">
        <v>2423</v>
      </c>
      <c r="E12" s="2" t="s">
        <v>2424</v>
      </c>
      <c r="F12" s="2" t="s">
        <v>2425</v>
      </c>
    </row>
    <row r="13" spans="1:6">
      <c r="A13" s="2" t="s">
        <v>2426</v>
      </c>
      <c r="B13" s="2" t="s">
        <v>2427</v>
      </c>
      <c r="C13" s="2" t="s">
        <v>2428</v>
      </c>
      <c r="D13" s="2" t="s">
        <v>2429</v>
      </c>
      <c r="E13" s="2" t="s">
        <v>2430</v>
      </c>
      <c r="F13" s="2" t="s">
        <v>2431</v>
      </c>
    </row>
    <row r="14" spans="1:6">
      <c r="A14" s="2" t="s">
        <v>2432</v>
      </c>
      <c r="B14" s="2" t="s">
        <v>2433</v>
      </c>
      <c r="C14" s="2" t="s">
        <v>2434</v>
      </c>
      <c r="D14" s="2" t="s">
        <v>2435</v>
      </c>
      <c r="E14" s="2" t="s">
        <v>2436</v>
      </c>
      <c r="F14" s="2" t="s">
        <v>2431</v>
      </c>
    </row>
    <row r="15" spans="1:6">
      <c r="A15" s="2" t="s">
        <v>2437</v>
      </c>
      <c r="B15" s="2" t="s">
        <v>2438</v>
      </c>
      <c r="C15" s="2" t="s">
        <v>2439</v>
      </c>
      <c r="D15" s="2" t="s">
        <v>2440</v>
      </c>
      <c r="E15" s="2" t="s">
        <v>2441</v>
      </c>
      <c r="F15" s="2" t="s">
        <v>2431</v>
      </c>
    </row>
    <row r="16" spans="1:6">
      <c r="A16" s="2" t="s">
        <v>2442</v>
      </c>
      <c r="B16" s="2" t="s">
        <v>2443</v>
      </c>
      <c r="C16" s="2" t="s">
        <v>2444</v>
      </c>
      <c r="D16" s="2" t="s">
        <v>2445</v>
      </c>
      <c r="E16" s="2" t="s">
        <v>2446</v>
      </c>
      <c r="F16" s="2" t="s">
        <v>2431</v>
      </c>
    </row>
    <row r="17" spans="1:6">
      <c r="A17" s="2" t="s">
        <v>2447</v>
      </c>
      <c r="B17" s="2" t="s">
        <v>2448</v>
      </c>
      <c r="C17" s="2" t="s">
        <v>2449</v>
      </c>
      <c r="D17" s="2" t="s">
        <v>2381</v>
      </c>
      <c r="E17" s="2" t="s">
        <v>2450</v>
      </c>
      <c r="F17" s="2" t="s">
        <v>2451</v>
      </c>
    </row>
    <row r="18" spans="1:6">
      <c r="A18" s="2" t="s">
        <v>2452</v>
      </c>
      <c r="B18" s="2" t="s">
        <v>2453</v>
      </c>
      <c r="C18" s="2" t="s">
        <v>2454</v>
      </c>
      <c r="D18" s="2" t="s">
        <v>2455</v>
      </c>
      <c r="E18" s="2" t="s">
        <v>2456</v>
      </c>
      <c r="F18" s="2" t="s">
        <v>2457</v>
      </c>
    </row>
    <row r="19" spans="1:6">
      <c r="A19" s="2" t="s">
        <v>2458</v>
      </c>
      <c r="B19" s="2" t="s">
        <v>2459</v>
      </c>
      <c r="C19" s="2" t="s">
        <v>2460</v>
      </c>
      <c r="D19" s="2" t="s">
        <v>2461</v>
      </c>
      <c r="E19" s="2" t="s">
        <v>2462</v>
      </c>
      <c r="F19" s="2" t="s">
        <v>2463</v>
      </c>
    </row>
    <row r="20" spans="1:6">
      <c r="A20" s="2" t="s">
        <v>2464</v>
      </c>
      <c r="B20" s="2" t="s">
        <v>2465</v>
      </c>
      <c r="C20" s="2" t="s">
        <v>2466</v>
      </c>
      <c r="D20" s="2" t="s">
        <v>2467</v>
      </c>
      <c r="E20" s="2" t="s">
        <v>2468</v>
      </c>
      <c r="F20" s="2" t="s">
        <v>2469</v>
      </c>
    </row>
    <row r="21" spans="1:6">
      <c r="A21" s="2" t="s">
        <v>2470</v>
      </c>
      <c r="B21" s="2" t="s">
        <v>2471</v>
      </c>
      <c r="C21" s="2" t="s">
        <v>2472</v>
      </c>
      <c r="D21" s="2" t="s">
        <v>786</v>
      </c>
      <c r="E21" s="2" t="s">
        <v>2473</v>
      </c>
      <c r="F21" s="2" t="s">
        <v>2474</v>
      </c>
    </row>
    <row r="22" spans="1:6">
      <c r="A22" s="2" t="s">
        <v>2475</v>
      </c>
      <c r="B22" s="2" t="s">
        <v>2476</v>
      </c>
      <c r="C22" s="2" t="s">
        <v>2477</v>
      </c>
      <c r="D22" s="2" t="s">
        <v>2478</v>
      </c>
      <c r="E22" s="2" t="s">
        <v>2479</v>
      </c>
      <c r="F22" s="2" t="s">
        <v>2480</v>
      </c>
    </row>
    <row r="23" spans="1:6">
      <c r="A23" s="2" t="s">
        <v>2481</v>
      </c>
      <c r="B23" s="2" t="s">
        <v>2482</v>
      </c>
      <c r="C23" s="2" t="s">
        <v>2483</v>
      </c>
      <c r="D23" s="2" t="s">
        <v>786</v>
      </c>
      <c r="E23" s="2" t="s">
        <v>2484</v>
      </c>
      <c r="F23" s="2" t="s">
        <v>2485</v>
      </c>
    </row>
  </sheetData>
  <autoFilter ref="A1:F23"/>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89"/>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0.7109375" customWidth="1"/>
    <col min="3" max="3" width="45.7109375" customWidth="1"/>
    <col min="4" max="4" width="90.7109375" customWidth="1"/>
    <col min="5" max="5" width="65.7109375" customWidth="1"/>
  </cols>
  <sheetData>
    <row r="1" spans="1:5" ht="32" customHeight="1">
      <c r="A1" s="1" t="s">
        <v>40</v>
      </c>
      <c r="B1" s="1" t="s">
        <v>2486</v>
      </c>
      <c r="C1" s="1" t="s">
        <v>2487</v>
      </c>
      <c r="D1" s="1" t="s">
        <v>2488</v>
      </c>
      <c r="E1" s="1" t="s">
        <v>2489</v>
      </c>
    </row>
    <row r="2" spans="1:5">
      <c r="A2" s="2" t="s">
        <v>58</v>
      </c>
      <c r="B2" s="2" t="s">
        <v>2366</v>
      </c>
      <c r="C2" s="2" t="s">
        <v>2490</v>
      </c>
      <c r="D2" s="2" t="s">
        <v>2491</v>
      </c>
      <c r="E2" s="2" t="s">
        <v>2492</v>
      </c>
    </row>
    <row r="3" spans="1:5">
      <c r="A3" s="2" t="s">
        <v>244</v>
      </c>
      <c r="B3" s="2" t="s">
        <v>2366</v>
      </c>
      <c r="C3" s="2" t="s">
        <v>2493</v>
      </c>
      <c r="D3" s="2" t="s">
        <v>2494</v>
      </c>
      <c r="E3" s="2" t="s">
        <v>2492</v>
      </c>
    </row>
    <row r="4" spans="1:5">
      <c r="A4" s="2" t="s">
        <v>368</v>
      </c>
      <c r="B4" s="2" t="s">
        <v>2366</v>
      </c>
      <c r="C4" s="2" t="s">
        <v>2495</v>
      </c>
      <c r="D4" s="2" t="s">
        <v>2496</v>
      </c>
      <c r="E4" s="2" t="s">
        <v>2492</v>
      </c>
    </row>
    <row r="5" spans="1:5">
      <c r="A5" s="2" t="s">
        <v>520</v>
      </c>
      <c r="B5" s="2" t="s">
        <v>2366</v>
      </c>
      <c r="C5" s="2" t="s">
        <v>2497</v>
      </c>
      <c r="D5" s="2" t="s">
        <v>2498</v>
      </c>
      <c r="E5" s="2" t="s">
        <v>2492</v>
      </c>
    </row>
    <row r="6" spans="1:5">
      <c r="A6" s="2" t="s">
        <v>549</v>
      </c>
      <c r="B6" s="2" t="s">
        <v>2366</v>
      </c>
      <c r="C6" s="2" t="s">
        <v>2499</v>
      </c>
      <c r="D6" s="2" t="s">
        <v>2500</v>
      </c>
      <c r="E6" s="2" t="s">
        <v>2492</v>
      </c>
    </row>
    <row r="7" spans="1:5">
      <c r="A7" s="2" t="s">
        <v>657</v>
      </c>
      <c r="B7" s="2" t="s">
        <v>2372</v>
      </c>
      <c r="C7" s="2" t="s">
        <v>2501</v>
      </c>
      <c r="D7" s="2" t="s">
        <v>2502</v>
      </c>
      <c r="E7" s="2" t="s">
        <v>2492</v>
      </c>
    </row>
    <row r="8" spans="1:5">
      <c r="A8" s="2" t="s">
        <v>676</v>
      </c>
      <c r="B8" s="2" t="s">
        <v>2372</v>
      </c>
      <c r="C8" s="2" t="s">
        <v>2503</v>
      </c>
      <c r="D8" s="2" t="s">
        <v>2504</v>
      </c>
      <c r="E8" s="2" t="s">
        <v>2492</v>
      </c>
    </row>
    <row r="9" spans="1:5">
      <c r="A9" s="2" t="s">
        <v>2505</v>
      </c>
      <c r="B9" s="2" t="s">
        <v>2378</v>
      </c>
      <c r="C9" s="2" t="s">
        <v>2506</v>
      </c>
      <c r="D9" s="2" t="s">
        <v>2507</v>
      </c>
      <c r="E9" s="2" t="s">
        <v>2508</v>
      </c>
    </row>
    <row r="10" spans="1:5">
      <c r="A10" s="2" t="s">
        <v>838</v>
      </c>
      <c r="B10" s="2" t="s">
        <v>2378</v>
      </c>
      <c r="C10" s="2" t="s">
        <v>2509</v>
      </c>
      <c r="D10" s="2" t="s">
        <v>2510</v>
      </c>
      <c r="E10" s="2" t="s">
        <v>2511</v>
      </c>
    </row>
    <row r="11" spans="1:5">
      <c r="A11" s="2" t="s">
        <v>663</v>
      </c>
      <c r="B11" s="2" t="s">
        <v>2372</v>
      </c>
      <c r="C11" s="2" t="s">
        <v>2512</v>
      </c>
      <c r="D11" s="2" t="s">
        <v>2513</v>
      </c>
      <c r="E11" s="2" t="s">
        <v>2492</v>
      </c>
    </row>
    <row r="12" spans="1:5">
      <c r="A12" s="2" t="s">
        <v>683</v>
      </c>
      <c r="B12" s="2" t="s">
        <v>2366</v>
      </c>
      <c r="C12" s="2" t="s">
        <v>2514</v>
      </c>
      <c r="D12" s="2" t="s">
        <v>2515</v>
      </c>
      <c r="E12" s="2" t="s">
        <v>2492</v>
      </c>
    </row>
    <row r="13" spans="1:5">
      <c r="A13" s="2" t="s">
        <v>709</v>
      </c>
      <c r="B13" s="2" t="s">
        <v>2366</v>
      </c>
      <c r="C13" s="2" t="s">
        <v>2516</v>
      </c>
      <c r="D13" s="2" t="s">
        <v>2517</v>
      </c>
      <c r="E13" s="2" t="s">
        <v>2492</v>
      </c>
    </row>
    <row r="14" spans="1:5">
      <c r="A14" s="2" t="s">
        <v>735</v>
      </c>
      <c r="B14" s="2" t="s">
        <v>2366</v>
      </c>
      <c r="C14" s="2" t="s">
        <v>2518</v>
      </c>
      <c r="D14" s="2" t="s">
        <v>2519</v>
      </c>
      <c r="E14" s="2" t="s">
        <v>2492</v>
      </c>
    </row>
    <row r="15" spans="1:5">
      <c r="A15" s="2" t="s">
        <v>767</v>
      </c>
      <c r="B15" s="2" t="s">
        <v>2366</v>
      </c>
      <c r="C15" s="2" t="s">
        <v>2520</v>
      </c>
      <c r="D15" s="2" t="s">
        <v>2521</v>
      </c>
      <c r="E15" s="2" t="s">
        <v>2492</v>
      </c>
    </row>
    <row r="16" spans="1:5">
      <c r="A16" s="2" t="s">
        <v>2522</v>
      </c>
      <c r="B16" s="2" t="s">
        <v>2366</v>
      </c>
      <c r="C16" s="2" t="s">
        <v>2523</v>
      </c>
      <c r="D16" s="2" t="s">
        <v>2524</v>
      </c>
      <c r="E16" s="2" t="s">
        <v>2492</v>
      </c>
    </row>
    <row r="17" spans="1:5">
      <c r="A17" s="2" t="s">
        <v>2525</v>
      </c>
      <c r="B17" s="2" t="s">
        <v>2366</v>
      </c>
      <c r="C17" s="2" t="s">
        <v>2526</v>
      </c>
      <c r="D17" s="2" t="s">
        <v>2527</v>
      </c>
      <c r="E17" s="2" t="s">
        <v>2492</v>
      </c>
    </row>
    <row r="18" spans="1:5">
      <c r="A18" s="2" t="s">
        <v>2528</v>
      </c>
      <c r="B18" s="2" t="s">
        <v>2383</v>
      </c>
      <c r="C18" s="2" t="s">
        <v>2529</v>
      </c>
      <c r="D18" s="2" t="s">
        <v>2530</v>
      </c>
      <c r="E18" s="2" t="s">
        <v>2492</v>
      </c>
    </row>
    <row r="19" spans="1:5">
      <c r="A19" s="2" t="s">
        <v>785</v>
      </c>
      <c r="B19" s="2" t="s">
        <v>2388</v>
      </c>
      <c r="C19" s="2" t="s">
        <v>2531</v>
      </c>
      <c r="D19" s="2" t="s">
        <v>2532</v>
      </c>
      <c r="E19" s="2" t="s">
        <v>2492</v>
      </c>
    </row>
    <row r="20" spans="1:5">
      <c r="A20" s="2" t="s">
        <v>793</v>
      </c>
      <c r="B20" s="2" t="s">
        <v>2388</v>
      </c>
      <c r="C20" s="2" t="s">
        <v>2533</v>
      </c>
      <c r="D20" s="2" t="s">
        <v>2534</v>
      </c>
      <c r="E20" s="2" t="s">
        <v>2492</v>
      </c>
    </row>
    <row r="21" spans="1:5">
      <c r="A21" s="2" t="s">
        <v>843</v>
      </c>
      <c r="B21" s="2" t="s">
        <v>2388</v>
      </c>
      <c r="C21" s="2" t="s">
        <v>2535</v>
      </c>
      <c r="D21" s="2" t="s">
        <v>2536</v>
      </c>
      <c r="E21" s="2" t="s">
        <v>2492</v>
      </c>
    </row>
    <row r="22" spans="1:5">
      <c r="A22" s="2" t="s">
        <v>871</v>
      </c>
      <c r="B22" s="2" t="s">
        <v>2388</v>
      </c>
      <c r="C22" s="2" t="s">
        <v>2537</v>
      </c>
      <c r="D22" s="2" t="s">
        <v>2538</v>
      </c>
      <c r="E22" s="2" t="s">
        <v>2492</v>
      </c>
    </row>
    <row r="23" spans="1:5">
      <c r="A23" s="2" t="s">
        <v>2539</v>
      </c>
      <c r="B23" s="2" t="s">
        <v>2394</v>
      </c>
      <c r="C23" s="2" t="s">
        <v>2540</v>
      </c>
      <c r="D23" s="2" t="s">
        <v>2541</v>
      </c>
      <c r="E23" s="2" t="s">
        <v>2492</v>
      </c>
    </row>
    <row r="24" spans="1:5">
      <c r="A24" s="2" t="s">
        <v>862</v>
      </c>
      <c r="B24" s="2" t="s">
        <v>2399</v>
      </c>
      <c r="C24" s="2" t="s">
        <v>2542</v>
      </c>
      <c r="D24" s="2" t="s">
        <v>2543</v>
      </c>
      <c r="E24" s="2" t="s">
        <v>2492</v>
      </c>
    </row>
    <row r="25" spans="1:5">
      <c r="A25" s="2" t="s">
        <v>875</v>
      </c>
      <c r="B25" s="2" t="s">
        <v>2366</v>
      </c>
      <c r="C25" s="2" t="s">
        <v>2544</v>
      </c>
      <c r="D25" s="2" t="s">
        <v>2545</v>
      </c>
      <c r="E25" s="2" t="s">
        <v>2492</v>
      </c>
    </row>
    <row r="26" spans="1:5">
      <c r="A26" s="2" t="s">
        <v>2546</v>
      </c>
      <c r="B26" s="2" t="s">
        <v>2404</v>
      </c>
      <c r="C26" s="2" t="s">
        <v>2547</v>
      </c>
      <c r="D26" s="2" t="s">
        <v>2548</v>
      </c>
      <c r="E26" s="2" t="s">
        <v>2549</v>
      </c>
    </row>
    <row r="27" spans="1:5">
      <c r="A27" s="2" t="s">
        <v>2550</v>
      </c>
      <c r="B27" s="2" t="s">
        <v>2409</v>
      </c>
      <c r="C27" s="2" t="s">
        <v>2551</v>
      </c>
      <c r="D27" s="2" t="s">
        <v>2552</v>
      </c>
      <c r="E27" s="2" t="s">
        <v>2553</v>
      </c>
    </row>
    <row r="28" spans="1:5">
      <c r="A28" s="2" t="s">
        <v>2554</v>
      </c>
      <c r="B28" s="2" t="s">
        <v>2409</v>
      </c>
      <c r="C28" s="2" t="s">
        <v>2555</v>
      </c>
      <c r="D28" s="2" t="s">
        <v>2556</v>
      </c>
      <c r="E28" s="2" t="s">
        <v>2553</v>
      </c>
    </row>
    <row r="29" spans="1:5">
      <c r="A29" s="2" t="s">
        <v>2557</v>
      </c>
      <c r="B29" s="2" t="s">
        <v>2409</v>
      </c>
      <c r="C29" s="2" t="s">
        <v>2558</v>
      </c>
      <c r="D29" s="2" t="s">
        <v>2559</v>
      </c>
      <c r="E29" s="2" t="s">
        <v>2553</v>
      </c>
    </row>
    <row r="30" spans="1:5">
      <c r="A30" s="2" t="s">
        <v>962</v>
      </c>
      <c r="B30" s="2" t="s">
        <v>2414</v>
      </c>
      <c r="C30" s="2" t="s">
        <v>2560</v>
      </c>
      <c r="D30" s="2" t="s">
        <v>2561</v>
      </c>
      <c r="E30" s="2" t="s">
        <v>2553</v>
      </c>
    </row>
    <row r="31" spans="1:5">
      <c r="A31" s="2" t="s">
        <v>2562</v>
      </c>
      <c r="B31" s="2" t="s">
        <v>2414</v>
      </c>
      <c r="C31" s="2" t="s">
        <v>2563</v>
      </c>
      <c r="D31" s="2" t="s">
        <v>2564</v>
      </c>
      <c r="E31" s="2" t="s">
        <v>2553</v>
      </c>
    </row>
    <row r="32" spans="1:5">
      <c r="A32" s="2" t="s">
        <v>2565</v>
      </c>
      <c r="B32" s="2" t="s">
        <v>2409</v>
      </c>
      <c r="C32" s="2" t="s">
        <v>2566</v>
      </c>
      <c r="D32" s="2" t="s">
        <v>2567</v>
      </c>
      <c r="E32" s="2" t="s">
        <v>2553</v>
      </c>
    </row>
    <row r="33" spans="1:5">
      <c r="A33" s="2" t="s">
        <v>2568</v>
      </c>
      <c r="B33" s="2" t="s">
        <v>2388</v>
      </c>
      <c r="C33" s="2" t="s">
        <v>2569</v>
      </c>
      <c r="D33" s="2" t="s">
        <v>2570</v>
      </c>
      <c r="E33" s="2" t="s">
        <v>2553</v>
      </c>
    </row>
    <row r="34" spans="1:5">
      <c r="A34" s="2" t="s">
        <v>2571</v>
      </c>
      <c r="B34" s="2" t="s">
        <v>2420</v>
      </c>
      <c r="C34" s="2" t="s">
        <v>2572</v>
      </c>
      <c r="D34" s="2" t="s">
        <v>2573</v>
      </c>
      <c r="E34" s="2" t="s">
        <v>2553</v>
      </c>
    </row>
    <row r="35" spans="1:5">
      <c r="A35" s="2" t="s">
        <v>2574</v>
      </c>
      <c r="B35" s="2" t="s">
        <v>2366</v>
      </c>
      <c r="C35" s="2" t="s">
        <v>2575</v>
      </c>
      <c r="D35" s="2" t="s">
        <v>2576</v>
      </c>
      <c r="E35" s="2" t="s">
        <v>2553</v>
      </c>
    </row>
    <row r="36" spans="1:5">
      <c r="A36" s="2" t="s">
        <v>2577</v>
      </c>
      <c r="B36" s="2" t="s">
        <v>2437</v>
      </c>
      <c r="C36" s="2" t="s">
        <v>2578</v>
      </c>
      <c r="D36" s="2" t="s">
        <v>2579</v>
      </c>
      <c r="E36" s="2" t="s">
        <v>2580</v>
      </c>
    </row>
    <row r="37" spans="1:5">
      <c r="A37" s="2" t="s">
        <v>975</v>
      </c>
      <c r="B37" s="2" t="s">
        <v>2366</v>
      </c>
      <c r="C37" s="2" t="s">
        <v>2581</v>
      </c>
      <c r="D37" s="2" t="s">
        <v>2582</v>
      </c>
      <c r="E37" s="2" t="s">
        <v>2580</v>
      </c>
    </row>
    <row r="38" spans="1:5">
      <c r="A38" s="2" t="s">
        <v>970</v>
      </c>
      <c r="B38" s="2" t="s">
        <v>2366</v>
      </c>
      <c r="C38" s="2" t="s">
        <v>2583</v>
      </c>
      <c r="D38" s="2" t="s">
        <v>2584</v>
      </c>
      <c r="E38" s="2" t="s">
        <v>2580</v>
      </c>
    </row>
    <row r="39" spans="1:5">
      <c r="A39" s="2" t="s">
        <v>978</v>
      </c>
      <c r="B39" s="2" t="s">
        <v>2366</v>
      </c>
      <c r="C39" s="2" t="s">
        <v>2585</v>
      </c>
      <c r="D39" s="2" t="s">
        <v>2586</v>
      </c>
      <c r="E39" s="2" t="s">
        <v>2580</v>
      </c>
    </row>
    <row r="40" spans="1:5">
      <c r="A40" s="2" t="s">
        <v>990</v>
      </c>
      <c r="B40" s="2" t="s">
        <v>2366</v>
      </c>
      <c r="C40" s="2" t="s">
        <v>2587</v>
      </c>
      <c r="D40" s="2" t="s">
        <v>2588</v>
      </c>
      <c r="E40" s="2" t="s">
        <v>2580</v>
      </c>
    </row>
    <row r="41" spans="1:5">
      <c r="A41" s="2" t="s">
        <v>995</v>
      </c>
      <c r="B41" s="2" t="s">
        <v>2366</v>
      </c>
      <c r="C41" s="2" t="s">
        <v>2589</v>
      </c>
      <c r="D41" s="2" t="s">
        <v>2590</v>
      </c>
      <c r="E41" s="2" t="s">
        <v>2580</v>
      </c>
    </row>
    <row r="42" spans="1:5">
      <c r="A42" s="2" t="s">
        <v>985</v>
      </c>
      <c r="B42" s="2" t="s">
        <v>2447</v>
      </c>
      <c r="C42" s="2" t="s">
        <v>2591</v>
      </c>
      <c r="D42" s="2" t="s">
        <v>2592</v>
      </c>
      <c r="E42" s="2" t="s">
        <v>2580</v>
      </c>
    </row>
    <row r="43" spans="1:5">
      <c r="A43" s="2" t="s">
        <v>1014</v>
      </c>
      <c r="B43" s="2" t="s">
        <v>2388</v>
      </c>
      <c r="C43" s="2" t="s">
        <v>2593</v>
      </c>
      <c r="D43" s="2" t="s">
        <v>2594</v>
      </c>
      <c r="E43" s="2" t="s">
        <v>2580</v>
      </c>
    </row>
    <row r="44" spans="1:5">
      <c r="A44" s="2" t="s">
        <v>1023</v>
      </c>
      <c r="B44" s="2" t="s">
        <v>2432</v>
      </c>
      <c r="C44" s="2" t="s">
        <v>2595</v>
      </c>
      <c r="D44" s="2" t="s">
        <v>2596</v>
      </c>
      <c r="E44" s="2" t="s">
        <v>2580</v>
      </c>
    </row>
    <row r="45" spans="1:5">
      <c r="A45" s="2" t="s">
        <v>1033</v>
      </c>
      <c r="B45" s="2" t="s">
        <v>2426</v>
      </c>
      <c r="C45" s="2" t="s">
        <v>2597</v>
      </c>
      <c r="D45" s="2" t="s">
        <v>2598</v>
      </c>
      <c r="E45" s="2" t="s">
        <v>2580</v>
      </c>
    </row>
    <row r="46" spans="1:5">
      <c r="A46" s="2" t="s">
        <v>1040</v>
      </c>
      <c r="B46" s="2" t="s">
        <v>2426</v>
      </c>
      <c r="C46" s="2" t="s">
        <v>2599</v>
      </c>
      <c r="D46" s="2" t="s">
        <v>2600</v>
      </c>
      <c r="E46" s="2" t="s">
        <v>2580</v>
      </c>
    </row>
    <row r="47" spans="1:5">
      <c r="A47" s="2" t="s">
        <v>2601</v>
      </c>
      <c r="B47" s="2" t="s">
        <v>2442</v>
      </c>
      <c r="C47" s="2" t="s">
        <v>2602</v>
      </c>
      <c r="D47" s="2" t="s">
        <v>2603</v>
      </c>
      <c r="E47" s="2" t="s">
        <v>2580</v>
      </c>
    </row>
    <row r="48" spans="1:5">
      <c r="A48" s="2" t="s">
        <v>2604</v>
      </c>
      <c r="B48" s="2" t="s">
        <v>2366</v>
      </c>
      <c r="C48" s="2" t="s">
        <v>2605</v>
      </c>
      <c r="D48" s="2" t="s">
        <v>2606</v>
      </c>
      <c r="E48" s="2" t="s">
        <v>2607</v>
      </c>
    </row>
    <row r="49" spans="1:5">
      <c r="A49" s="2" t="s">
        <v>2608</v>
      </c>
      <c r="B49" s="2" t="s">
        <v>2366</v>
      </c>
      <c r="C49" s="2" t="s">
        <v>2609</v>
      </c>
      <c r="D49" s="2" t="s">
        <v>2610</v>
      </c>
      <c r="E49" s="2" t="s">
        <v>2611</v>
      </c>
    </row>
    <row r="50" spans="1:5">
      <c r="A50" s="2" t="s">
        <v>2612</v>
      </c>
      <c r="B50" s="2" t="s">
        <v>2388</v>
      </c>
      <c r="C50" s="2" t="s">
        <v>2613</v>
      </c>
      <c r="D50" s="2" t="s">
        <v>2614</v>
      </c>
      <c r="E50" s="2" t="s">
        <v>2615</v>
      </c>
    </row>
    <row r="51" spans="1:5">
      <c r="A51" s="2" t="s">
        <v>1101</v>
      </c>
      <c r="B51" s="2" t="s">
        <v>2452</v>
      </c>
      <c r="C51" s="2" t="s">
        <v>2616</v>
      </c>
      <c r="D51" s="2" t="s">
        <v>2617</v>
      </c>
      <c r="E51" s="2" t="s">
        <v>2618</v>
      </c>
    </row>
    <row r="52" spans="1:5">
      <c r="A52" s="2" t="s">
        <v>2619</v>
      </c>
      <c r="B52" s="2" t="s">
        <v>2452</v>
      </c>
      <c r="C52" s="2" t="s">
        <v>2620</v>
      </c>
      <c r="D52" s="2" t="s">
        <v>2621</v>
      </c>
      <c r="E52" s="2" t="s">
        <v>2622</v>
      </c>
    </row>
    <row r="53" spans="1:5">
      <c r="A53" s="2" t="s">
        <v>2623</v>
      </c>
      <c r="B53" s="2" t="s">
        <v>2452</v>
      </c>
      <c r="C53" s="2" t="s">
        <v>2624</v>
      </c>
      <c r="D53" s="2" t="s">
        <v>2625</v>
      </c>
      <c r="E53" s="2" t="s">
        <v>2626</v>
      </c>
    </row>
    <row r="54" spans="1:5">
      <c r="A54" s="2" t="s">
        <v>1066</v>
      </c>
      <c r="B54" s="2" t="s">
        <v>2452</v>
      </c>
      <c r="C54" s="2" t="s">
        <v>2627</v>
      </c>
      <c r="D54" s="2" t="s">
        <v>2628</v>
      </c>
      <c r="E54" s="2" t="s">
        <v>2629</v>
      </c>
    </row>
    <row r="55" spans="1:5">
      <c r="A55" s="2" t="s">
        <v>1095</v>
      </c>
      <c r="B55" s="2" t="s">
        <v>2452</v>
      </c>
      <c r="C55" s="2" t="s">
        <v>2630</v>
      </c>
      <c r="D55" s="2" t="s">
        <v>2631</v>
      </c>
      <c r="E55" s="2" t="s">
        <v>2632</v>
      </c>
    </row>
    <row r="56" spans="1:5">
      <c r="A56" s="2" t="s">
        <v>2633</v>
      </c>
      <c r="B56" s="2" t="s">
        <v>2399</v>
      </c>
      <c r="C56" s="2" t="s">
        <v>2634</v>
      </c>
      <c r="D56" s="2" t="s">
        <v>2635</v>
      </c>
      <c r="E56" s="2" t="s">
        <v>2636</v>
      </c>
    </row>
    <row r="57" spans="1:5">
      <c r="A57" s="2" t="s">
        <v>2637</v>
      </c>
      <c r="B57" s="2" t="s">
        <v>2399</v>
      </c>
      <c r="C57" s="2" t="s">
        <v>2638</v>
      </c>
      <c r="D57" s="2" t="s">
        <v>2639</v>
      </c>
      <c r="E57" s="2" t="s">
        <v>2640</v>
      </c>
    </row>
    <row r="58" spans="1:5">
      <c r="A58" s="2" t="s">
        <v>2641</v>
      </c>
      <c r="B58" s="2" t="s">
        <v>2366</v>
      </c>
      <c r="C58" s="2" t="s">
        <v>2642</v>
      </c>
      <c r="D58" s="2" t="s">
        <v>2643</v>
      </c>
      <c r="E58" s="2" t="s">
        <v>2644</v>
      </c>
    </row>
    <row r="59" spans="1:5">
      <c r="A59" s="2" t="s">
        <v>2645</v>
      </c>
      <c r="B59" s="2" t="s">
        <v>2399</v>
      </c>
      <c r="C59" s="2" t="s">
        <v>2646</v>
      </c>
      <c r="D59" s="2" t="s">
        <v>2647</v>
      </c>
      <c r="E59" s="2" t="s">
        <v>2648</v>
      </c>
    </row>
    <row r="60" spans="1:5">
      <c r="A60" s="2" t="s">
        <v>1112</v>
      </c>
      <c r="B60" s="2" t="s">
        <v>2388</v>
      </c>
      <c r="C60" s="2" t="s">
        <v>2649</v>
      </c>
      <c r="D60" s="2" t="s">
        <v>2650</v>
      </c>
      <c r="E60" s="2" t="s">
        <v>2651</v>
      </c>
    </row>
    <row r="61" spans="1:5">
      <c r="A61" s="2" t="s">
        <v>1138</v>
      </c>
      <c r="B61" s="2" t="s">
        <v>2447</v>
      </c>
      <c r="C61" s="2" t="s">
        <v>2652</v>
      </c>
      <c r="D61" s="2" t="s">
        <v>2653</v>
      </c>
      <c r="E61" s="2" t="s">
        <v>2654</v>
      </c>
    </row>
    <row r="62" spans="1:5">
      <c r="A62" s="2" t="s">
        <v>1119</v>
      </c>
      <c r="B62" s="2" t="s">
        <v>2432</v>
      </c>
      <c r="C62" s="2" t="s">
        <v>2655</v>
      </c>
      <c r="D62" s="2" t="s">
        <v>2656</v>
      </c>
      <c r="E62" s="2" t="s">
        <v>2657</v>
      </c>
    </row>
    <row r="63" spans="1:5">
      <c r="A63" s="2" t="s">
        <v>1171</v>
      </c>
      <c r="B63" s="2" t="s">
        <v>2409</v>
      </c>
      <c r="C63" s="2" t="s">
        <v>2658</v>
      </c>
      <c r="D63" s="2" t="s">
        <v>2659</v>
      </c>
      <c r="E63" s="2" t="s">
        <v>2660</v>
      </c>
    </row>
    <row r="64" spans="1:5">
      <c r="A64" s="2" t="s">
        <v>2661</v>
      </c>
      <c r="B64" s="2" t="s">
        <v>2437</v>
      </c>
      <c r="C64" s="2" t="s">
        <v>2662</v>
      </c>
      <c r="D64" s="2" t="s">
        <v>2663</v>
      </c>
      <c r="E64" s="2" t="s">
        <v>2664</v>
      </c>
    </row>
    <row r="65" spans="1:5">
      <c r="A65" s="2" t="s">
        <v>2665</v>
      </c>
      <c r="B65" s="2" t="s">
        <v>2399</v>
      </c>
      <c r="C65" s="2" t="s">
        <v>2666</v>
      </c>
      <c r="D65" s="2" t="s">
        <v>2667</v>
      </c>
      <c r="E65" s="2" t="s">
        <v>2668</v>
      </c>
    </row>
    <row r="66" spans="1:5">
      <c r="A66" s="2" t="s">
        <v>2669</v>
      </c>
      <c r="B66" s="2" t="s">
        <v>2366</v>
      </c>
      <c r="C66" s="2" t="s">
        <v>2670</v>
      </c>
      <c r="D66" s="2" t="s">
        <v>2671</v>
      </c>
      <c r="E66" s="2" t="s">
        <v>2672</v>
      </c>
    </row>
    <row r="67" spans="1:5">
      <c r="A67" s="2" t="s">
        <v>1339</v>
      </c>
      <c r="B67" s="2" t="s">
        <v>2432</v>
      </c>
      <c r="C67" s="2" t="s">
        <v>2673</v>
      </c>
      <c r="D67" s="2" t="s">
        <v>2674</v>
      </c>
      <c r="E67" s="2" t="s">
        <v>2675</v>
      </c>
    </row>
    <row r="68" spans="1:5">
      <c r="A68" s="2" t="s">
        <v>1532</v>
      </c>
      <c r="B68" s="2" t="s">
        <v>2442</v>
      </c>
      <c r="C68" s="2" t="s">
        <v>2676</v>
      </c>
      <c r="D68" s="2" t="s">
        <v>2677</v>
      </c>
      <c r="E68" s="2" t="s">
        <v>2678</v>
      </c>
    </row>
    <row r="69" spans="1:5">
      <c r="A69" s="2" t="s">
        <v>2679</v>
      </c>
      <c r="B69" s="2" t="s">
        <v>2458</v>
      </c>
      <c r="C69" s="2" t="s">
        <v>2680</v>
      </c>
      <c r="D69" s="2" t="s">
        <v>2681</v>
      </c>
      <c r="E69" s="2" t="s">
        <v>2678</v>
      </c>
    </row>
    <row r="70" spans="1:5">
      <c r="A70" s="2" t="s">
        <v>2682</v>
      </c>
      <c r="B70" s="2" t="s">
        <v>2475</v>
      </c>
      <c r="C70" s="2" t="s">
        <v>2683</v>
      </c>
      <c r="D70" s="2" t="s">
        <v>2684</v>
      </c>
      <c r="E70" s="2" t="s">
        <v>2678</v>
      </c>
    </row>
    <row r="71" spans="1:5">
      <c r="A71" s="2" t="s">
        <v>2685</v>
      </c>
      <c r="B71" s="2" t="s">
        <v>2366</v>
      </c>
      <c r="C71" s="2" t="s">
        <v>2686</v>
      </c>
      <c r="D71" s="2" t="s">
        <v>2687</v>
      </c>
      <c r="E71" s="2" t="s">
        <v>2678</v>
      </c>
    </row>
    <row r="72" spans="1:5">
      <c r="A72" s="2" t="s">
        <v>2688</v>
      </c>
      <c r="B72" s="2" t="s">
        <v>2366</v>
      </c>
      <c r="C72" s="2" t="s">
        <v>2689</v>
      </c>
      <c r="D72" s="2" t="s">
        <v>2690</v>
      </c>
      <c r="E72" s="2" t="s">
        <v>2678</v>
      </c>
    </row>
    <row r="73" spans="1:5">
      <c r="A73" s="2" t="s">
        <v>1586</v>
      </c>
      <c r="B73" s="2" t="s">
        <v>2432</v>
      </c>
      <c r="C73" s="2" t="s">
        <v>2691</v>
      </c>
      <c r="D73" s="2" t="s">
        <v>2692</v>
      </c>
      <c r="E73" s="2" t="s">
        <v>2678</v>
      </c>
    </row>
    <row r="74" spans="1:5">
      <c r="A74" s="2" t="s">
        <v>2693</v>
      </c>
      <c r="B74" s="2" t="s">
        <v>2388</v>
      </c>
      <c r="C74" s="2" t="s">
        <v>2694</v>
      </c>
      <c r="D74" s="2" t="s">
        <v>2695</v>
      </c>
      <c r="E74" s="2" t="s">
        <v>2678</v>
      </c>
    </row>
    <row r="75" spans="1:5">
      <c r="A75" s="2" t="s">
        <v>1685</v>
      </c>
      <c r="B75" s="2" t="s">
        <v>2399</v>
      </c>
      <c r="C75" s="2" t="s">
        <v>2696</v>
      </c>
      <c r="D75" s="2" t="s">
        <v>2697</v>
      </c>
      <c r="E75" s="2" t="s">
        <v>2678</v>
      </c>
    </row>
    <row r="76" spans="1:5">
      <c r="A76" s="2" t="s">
        <v>2698</v>
      </c>
      <c r="B76" s="2" t="s">
        <v>2464</v>
      </c>
      <c r="C76" s="2" t="s">
        <v>2699</v>
      </c>
      <c r="D76" s="2" t="s">
        <v>2700</v>
      </c>
      <c r="E76" s="2" t="s">
        <v>2678</v>
      </c>
    </row>
    <row r="77" spans="1:5">
      <c r="A77" s="2" t="s">
        <v>2701</v>
      </c>
      <c r="B77" s="2" t="s">
        <v>2452</v>
      </c>
      <c r="C77" s="2" t="s">
        <v>2702</v>
      </c>
      <c r="D77" s="2" t="s">
        <v>2703</v>
      </c>
      <c r="E77" s="2" t="s">
        <v>2678</v>
      </c>
    </row>
    <row r="78" spans="1:5">
      <c r="A78" s="2" t="s">
        <v>2704</v>
      </c>
      <c r="B78" s="2" t="s">
        <v>2481</v>
      </c>
      <c r="C78" s="2" t="s">
        <v>2705</v>
      </c>
      <c r="D78" s="2" t="s">
        <v>2706</v>
      </c>
      <c r="E78" s="2" t="s">
        <v>2678</v>
      </c>
    </row>
    <row r="79" spans="1:5">
      <c r="A79" s="2" t="s">
        <v>2707</v>
      </c>
      <c r="B79" s="2" t="s">
        <v>2470</v>
      </c>
      <c r="C79" s="2" t="s">
        <v>2708</v>
      </c>
      <c r="D79" s="2" t="s">
        <v>2709</v>
      </c>
      <c r="E79" s="2" t="s">
        <v>2678</v>
      </c>
    </row>
    <row r="80" spans="1:5">
      <c r="A80" s="2" t="s">
        <v>1578</v>
      </c>
      <c r="B80" s="2" t="s">
        <v>2409</v>
      </c>
      <c r="C80" s="2" t="s">
        <v>2710</v>
      </c>
      <c r="D80" s="2" t="s">
        <v>2711</v>
      </c>
      <c r="E80" s="2" t="s">
        <v>2678</v>
      </c>
    </row>
    <row r="81" spans="1:5">
      <c r="A81" s="2" t="s">
        <v>2712</v>
      </c>
      <c r="B81" s="2" t="s">
        <v>2366</v>
      </c>
      <c r="C81" s="2" t="s">
        <v>2713</v>
      </c>
      <c r="D81" s="2" t="s">
        <v>2714</v>
      </c>
      <c r="E81" s="2" t="s">
        <v>2715</v>
      </c>
    </row>
    <row r="82" spans="1:5">
      <c r="A82" s="2" t="s">
        <v>2716</v>
      </c>
      <c r="B82" s="2" t="s">
        <v>2432</v>
      </c>
      <c r="C82" s="2" t="s">
        <v>2717</v>
      </c>
      <c r="D82" s="2" t="s">
        <v>2718</v>
      </c>
      <c r="E82" s="2" t="s">
        <v>2719</v>
      </c>
    </row>
    <row r="83" spans="1:5">
      <c r="A83" s="2" t="s">
        <v>1599</v>
      </c>
      <c r="B83" s="2" t="s">
        <v>2366</v>
      </c>
      <c r="C83" s="2" t="s">
        <v>2720</v>
      </c>
      <c r="D83" s="2" t="s">
        <v>2721</v>
      </c>
      <c r="E83" s="2" t="s">
        <v>2722</v>
      </c>
    </row>
    <row r="84" spans="1:5">
      <c r="A84" s="2" t="s">
        <v>1604</v>
      </c>
      <c r="B84" s="2" t="s">
        <v>2458</v>
      </c>
      <c r="C84" s="2" t="s">
        <v>2723</v>
      </c>
      <c r="D84" s="2" t="s">
        <v>2724</v>
      </c>
      <c r="E84" s="2" t="s">
        <v>2725</v>
      </c>
    </row>
    <row r="85" spans="1:5">
      <c r="A85" s="2" t="s">
        <v>1622</v>
      </c>
      <c r="B85" s="2" t="s">
        <v>2458</v>
      </c>
      <c r="C85" s="2" t="s">
        <v>2726</v>
      </c>
      <c r="D85" s="2" t="s">
        <v>2727</v>
      </c>
      <c r="E85" s="2" t="s">
        <v>2725</v>
      </c>
    </row>
    <row r="86" spans="1:5">
      <c r="A86" s="2" t="s">
        <v>1617</v>
      </c>
      <c r="B86" s="2" t="s">
        <v>2464</v>
      </c>
      <c r="C86" s="2" t="s">
        <v>2728</v>
      </c>
      <c r="D86" s="2" t="s">
        <v>2729</v>
      </c>
      <c r="E86" s="2" t="s">
        <v>2725</v>
      </c>
    </row>
    <row r="87" spans="1:5">
      <c r="A87" s="2" t="s">
        <v>1631</v>
      </c>
      <c r="B87" s="2" t="s">
        <v>2470</v>
      </c>
      <c r="C87" s="2" t="s">
        <v>2730</v>
      </c>
      <c r="D87" s="2" t="s">
        <v>2731</v>
      </c>
      <c r="E87" s="2" t="s">
        <v>2725</v>
      </c>
    </row>
    <row r="88" spans="1:5">
      <c r="A88" s="2" t="s">
        <v>1628</v>
      </c>
      <c r="B88" s="2" t="s">
        <v>2388</v>
      </c>
      <c r="C88" s="2" t="s">
        <v>2732</v>
      </c>
      <c r="D88" s="2" t="s">
        <v>2733</v>
      </c>
      <c r="E88" s="2" t="s">
        <v>2725</v>
      </c>
    </row>
    <row r="89" spans="1:5">
      <c r="A89" s="2" t="s">
        <v>2734</v>
      </c>
      <c r="B89" s="2" t="s">
        <v>2458</v>
      </c>
      <c r="C89" s="2" t="s">
        <v>2735</v>
      </c>
      <c r="D89" s="2" t="s">
        <v>2736</v>
      </c>
      <c r="E89" s="2" t="s">
        <v>2737</v>
      </c>
    </row>
  </sheetData>
  <autoFilter ref="A1:E8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30"/>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8.7109375" customWidth="1"/>
    <col min="2" max="2" width="45.7109375" customWidth="1"/>
    <col min="3" max="3" width="85.7109375" customWidth="1"/>
    <col min="4" max="4" width="75.7109375" customWidth="1"/>
    <col min="5" max="5" width="18.7109375" customWidth="1"/>
    <col min="6" max="7" width="35.7109375" customWidth="1"/>
    <col min="8" max="9" width="75.7109375" customWidth="1"/>
  </cols>
  <sheetData>
    <row r="1" spans="1:9" ht="32" customHeight="1">
      <c r="A1" s="1" t="s">
        <v>40</v>
      </c>
      <c r="B1" s="1" t="s">
        <v>2738</v>
      </c>
      <c r="C1" s="1" t="s">
        <v>2739</v>
      </c>
      <c r="D1" s="1" t="s">
        <v>2740</v>
      </c>
      <c r="E1" s="1" t="s">
        <v>52</v>
      </c>
      <c r="F1" s="1" t="s">
        <v>2741</v>
      </c>
      <c r="G1" s="1" t="s">
        <v>2742</v>
      </c>
      <c r="H1" s="1" t="s">
        <v>2743</v>
      </c>
      <c r="I1" s="1" t="s">
        <v>2744</v>
      </c>
    </row>
    <row r="2" spans="1:9">
      <c r="A2" s="2" t="s">
        <v>2745</v>
      </c>
      <c r="B2" s="2" t="s">
        <v>2746</v>
      </c>
      <c r="C2" s="2" t="s">
        <v>2747</v>
      </c>
      <c r="D2" s="2" t="s">
        <v>2748</v>
      </c>
      <c r="E2" s="2" t="s">
        <v>2749</v>
      </c>
      <c r="F2" s="2" t="s">
        <v>2750</v>
      </c>
      <c r="G2" s="2" t="s">
        <v>2751</v>
      </c>
      <c r="H2" s="2" t="s">
        <v>2752</v>
      </c>
      <c r="I2" s="2" t="s">
        <v>2753</v>
      </c>
    </row>
    <row r="3" spans="1:9">
      <c r="A3" s="2" t="s">
        <v>2754</v>
      </c>
      <c r="B3" s="2" t="s">
        <v>2755</v>
      </c>
      <c r="C3" s="2" t="s">
        <v>2756</v>
      </c>
      <c r="D3" s="2" t="s">
        <v>2757</v>
      </c>
      <c r="E3" s="2" t="s">
        <v>2749</v>
      </c>
      <c r="F3" s="2" t="s">
        <v>2758</v>
      </c>
      <c r="G3" s="2" t="s">
        <v>2759</v>
      </c>
      <c r="H3" s="2" t="s">
        <v>2760</v>
      </c>
      <c r="I3" s="2" t="s">
        <v>2761</v>
      </c>
    </row>
    <row r="4" spans="1:9">
      <c r="A4" s="2" t="s">
        <v>2762</v>
      </c>
      <c r="B4" s="2" t="s">
        <v>2763</v>
      </c>
      <c r="C4" s="2" t="s">
        <v>2764</v>
      </c>
      <c r="D4" s="2" t="s">
        <v>2765</v>
      </c>
      <c r="E4" s="2" t="s">
        <v>2749</v>
      </c>
      <c r="F4" s="2" t="s">
        <v>2766</v>
      </c>
      <c r="G4" s="2" t="s">
        <v>2767</v>
      </c>
      <c r="H4" s="2" t="s">
        <v>2768</v>
      </c>
      <c r="I4" s="2" t="s">
        <v>2769</v>
      </c>
    </row>
    <row r="5" spans="1:9">
      <c r="A5" s="2" t="s">
        <v>2770</v>
      </c>
      <c r="B5" s="2" t="s">
        <v>2771</v>
      </c>
      <c r="C5" s="2" t="s">
        <v>2772</v>
      </c>
      <c r="D5" s="2" t="s">
        <v>2773</v>
      </c>
      <c r="E5" s="2" t="s">
        <v>2774</v>
      </c>
      <c r="F5" s="2" t="s">
        <v>2775</v>
      </c>
      <c r="G5" s="2" t="s">
        <v>2776</v>
      </c>
      <c r="H5" s="2" t="s">
        <v>2777</v>
      </c>
      <c r="I5" s="2" t="s">
        <v>2778</v>
      </c>
    </row>
    <row r="6" spans="1:9">
      <c r="A6" s="2" t="s">
        <v>2779</v>
      </c>
      <c r="B6" s="2" t="s">
        <v>2780</v>
      </c>
      <c r="C6" s="2" t="s">
        <v>2781</v>
      </c>
      <c r="D6" s="2" t="s">
        <v>2782</v>
      </c>
      <c r="E6" s="2" t="s">
        <v>2774</v>
      </c>
      <c r="F6" s="2" t="s">
        <v>2783</v>
      </c>
      <c r="G6" s="2"/>
      <c r="H6" s="2" t="s">
        <v>2784</v>
      </c>
      <c r="I6" s="2" t="s">
        <v>2785</v>
      </c>
    </row>
    <row r="7" spans="1:9">
      <c r="A7" s="2" t="s">
        <v>2786</v>
      </c>
      <c r="B7" s="2" t="s">
        <v>2787</v>
      </c>
      <c r="C7" s="2" t="s">
        <v>2788</v>
      </c>
      <c r="D7" s="2" t="s">
        <v>2789</v>
      </c>
      <c r="E7" s="2" t="s">
        <v>2774</v>
      </c>
      <c r="F7" s="2" t="s">
        <v>2790</v>
      </c>
      <c r="G7" s="2"/>
      <c r="H7" s="2" t="s">
        <v>2791</v>
      </c>
      <c r="I7" s="2" t="s">
        <v>2792</v>
      </c>
    </row>
    <row r="8" spans="1:9">
      <c r="A8" s="2" t="s">
        <v>2793</v>
      </c>
      <c r="B8" s="2" t="s">
        <v>2794</v>
      </c>
      <c r="C8" s="2" t="s">
        <v>2795</v>
      </c>
      <c r="D8" s="2" t="s">
        <v>2796</v>
      </c>
      <c r="E8" s="2" t="s">
        <v>2774</v>
      </c>
      <c r="F8" s="2" t="s">
        <v>2797</v>
      </c>
      <c r="G8" s="2"/>
      <c r="H8" s="2" t="s">
        <v>2798</v>
      </c>
      <c r="I8" s="2" t="s">
        <v>2799</v>
      </c>
    </row>
    <row r="9" spans="1:9">
      <c r="A9" s="2" t="s">
        <v>2800</v>
      </c>
      <c r="B9" s="2" t="s">
        <v>2801</v>
      </c>
      <c r="C9" s="2" t="s">
        <v>2802</v>
      </c>
      <c r="D9" s="2" t="s">
        <v>2803</v>
      </c>
      <c r="E9" s="2" t="s">
        <v>2749</v>
      </c>
      <c r="F9" s="2" t="s">
        <v>2804</v>
      </c>
      <c r="G9" s="2"/>
      <c r="H9" s="2" t="s">
        <v>2805</v>
      </c>
      <c r="I9" s="2" t="s">
        <v>2806</v>
      </c>
    </row>
    <row r="10" spans="1:9">
      <c r="A10" s="2" t="s">
        <v>2807</v>
      </c>
      <c r="B10" s="2" t="s">
        <v>2808</v>
      </c>
      <c r="C10" s="2" t="s">
        <v>2809</v>
      </c>
      <c r="D10" s="2" t="s">
        <v>2810</v>
      </c>
      <c r="E10" s="2" t="s">
        <v>2774</v>
      </c>
      <c r="F10" s="2" t="s">
        <v>2811</v>
      </c>
      <c r="G10" s="2" t="s">
        <v>891</v>
      </c>
      <c r="H10" s="2" t="s">
        <v>2812</v>
      </c>
      <c r="I10" s="2" t="s">
        <v>2813</v>
      </c>
    </row>
    <row r="11" spans="1:9">
      <c r="A11" s="2" t="s">
        <v>2814</v>
      </c>
      <c r="B11" s="2" t="s">
        <v>2815</v>
      </c>
      <c r="C11" s="2" t="s">
        <v>2816</v>
      </c>
      <c r="D11" s="2" t="s">
        <v>2817</v>
      </c>
      <c r="E11" s="2" t="s">
        <v>2774</v>
      </c>
      <c r="F11" s="2" t="s">
        <v>2818</v>
      </c>
      <c r="G11" s="2" t="s">
        <v>2819</v>
      </c>
      <c r="H11" s="2" t="s">
        <v>2820</v>
      </c>
      <c r="I11" s="2" t="s">
        <v>2821</v>
      </c>
    </row>
    <row r="12" spans="1:9">
      <c r="A12" s="2" t="s">
        <v>2822</v>
      </c>
      <c r="B12" s="2" t="s">
        <v>2823</v>
      </c>
      <c r="C12" s="2" t="s">
        <v>2824</v>
      </c>
      <c r="D12" s="2" t="s">
        <v>2825</v>
      </c>
      <c r="E12" s="2" t="s">
        <v>2749</v>
      </c>
      <c r="F12" s="2" t="s">
        <v>2826</v>
      </c>
      <c r="G12" s="2" t="s">
        <v>891</v>
      </c>
      <c r="H12" s="2" t="s">
        <v>2827</v>
      </c>
      <c r="I12" s="2" t="s">
        <v>2828</v>
      </c>
    </row>
    <row r="13" spans="1:9">
      <c r="A13" s="2" t="s">
        <v>2829</v>
      </c>
      <c r="B13" s="2" t="s">
        <v>2830</v>
      </c>
      <c r="C13" s="2" t="s">
        <v>2831</v>
      </c>
      <c r="D13" s="2" t="s">
        <v>2832</v>
      </c>
      <c r="E13" s="2" t="s">
        <v>2833</v>
      </c>
      <c r="F13" s="2" t="s">
        <v>2834</v>
      </c>
      <c r="G13" s="2"/>
      <c r="H13" s="2" t="s">
        <v>2835</v>
      </c>
      <c r="I13" s="2" t="s">
        <v>2836</v>
      </c>
    </row>
    <row r="14" spans="1:9">
      <c r="A14" s="2" t="s">
        <v>2837</v>
      </c>
      <c r="B14" s="2" t="s">
        <v>2838</v>
      </c>
      <c r="C14" s="2" t="s">
        <v>2839</v>
      </c>
      <c r="D14" s="2" t="s">
        <v>2840</v>
      </c>
      <c r="E14" s="2" t="s">
        <v>2749</v>
      </c>
      <c r="F14" s="2" t="s">
        <v>875</v>
      </c>
      <c r="G14" s="2"/>
      <c r="H14" s="2" t="s">
        <v>2841</v>
      </c>
      <c r="I14" s="2" t="s">
        <v>2842</v>
      </c>
    </row>
    <row r="15" spans="1:9">
      <c r="A15" s="2" t="s">
        <v>2843</v>
      </c>
      <c r="B15" s="2" t="s">
        <v>2844</v>
      </c>
      <c r="C15" s="2" t="s">
        <v>2845</v>
      </c>
      <c r="D15" s="2" t="s">
        <v>2846</v>
      </c>
      <c r="E15" s="2" t="s">
        <v>2774</v>
      </c>
      <c r="F15" s="2" t="s">
        <v>2847</v>
      </c>
      <c r="G15" s="2"/>
      <c r="H15" s="2" t="s">
        <v>2848</v>
      </c>
      <c r="I15" s="2" t="s">
        <v>2799</v>
      </c>
    </row>
    <row r="16" spans="1:9">
      <c r="A16" s="2" t="s">
        <v>2849</v>
      </c>
      <c r="B16" s="2" t="s">
        <v>2850</v>
      </c>
      <c r="C16" s="2" t="s">
        <v>2851</v>
      </c>
      <c r="D16" s="2" t="s">
        <v>2852</v>
      </c>
      <c r="E16" s="2" t="s">
        <v>2749</v>
      </c>
      <c r="F16" s="2" t="s">
        <v>2853</v>
      </c>
      <c r="G16" s="2"/>
      <c r="H16" s="2" t="s">
        <v>2854</v>
      </c>
      <c r="I16" s="2" t="s">
        <v>2855</v>
      </c>
    </row>
    <row r="17" spans="1:9">
      <c r="A17" s="2" t="s">
        <v>2856</v>
      </c>
      <c r="B17" s="2" t="s">
        <v>2857</v>
      </c>
      <c r="C17" s="2" t="s">
        <v>2858</v>
      </c>
      <c r="D17" s="2" t="s">
        <v>2859</v>
      </c>
      <c r="E17" s="2" t="s">
        <v>2749</v>
      </c>
      <c r="F17" s="2" t="s">
        <v>2860</v>
      </c>
      <c r="G17" s="2" t="s">
        <v>2861</v>
      </c>
      <c r="H17" s="2" t="s">
        <v>2862</v>
      </c>
      <c r="I17" s="2" t="s">
        <v>2863</v>
      </c>
    </row>
    <row r="18" spans="1:9">
      <c r="A18" s="2" t="s">
        <v>2864</v>
      </c>
      <c r="B18" s="2" t="s">
        <v>2865</v>
      </c>
      <c r="C18" s="2" t="s">
        <v>2866</v>
      </c>
      <c r="D18" s="2" t="s">
        <v>2867</v>
      </c>
      <c r="E18" s="2" t="s">
        <v>2749</v>
      </c>
      <c r="F18" s="2" t="s">
        <v>2868</v>
      </c>
      <c r="G18" s="2" t="s">
        <v>2869</v>
      </c>
      <c r="H18" s="2" t="s">
        <v>2870</v>
      </c>
      <c r="I18" s="2" t="s">
        <v>2871</v>
      </c>
    </row>
    <row r="19" spans="1:9">
      <c r="A19" s="2" t="s">
        <v>2872</v>
      </c>
      <c r="B19" s="2" t="s">
        <v>2873</v>
      </c>
      <c r="C19" s="2" t="s">
        <v>2874</v>
      </c>
      <c r="D19" s="2" t="s">
        <v>2875</v>
      </c>
      <c r="E19" s="2" t="s">
        <v>2774</v>
      </c>
      <c r="F19" s="2" t="s">
        <v>2876</v>
      </c>
      <c r="G19" s="2"/>
      <c r="H19" s="2" t="s">
        <v>2877</v>
      </c>
      <c r="I19" s="2" t="s">
        <v>2878</v>
      </c>
    </row>
    <row r="20" spans="1:9">
      <c r="A20" s="2" t="s">
        <v>2879</v>
      </c>
      <c r="B20" s="2" t="s">
        <v>2880</v>
      </c>
      <c r="C20" s="2" t="s">
        <v>2881</v>
      </c>
      <c r="D20" s="2" t="s">
        <v>2882</v>
      </c>
      <c r="E20" s="2" t="s">
        <v>2749</v>
      </c>
      <c r="F20" s="2" t="s">
        <v>2883</v>
      </c>
      <c r="G20" s="2" t="s">
        <v>2884</v>
      </c>
      <c r="H20" s="2" t="s">
        <v>2885</v>
      </c>
      <c r="I20" s="2" t="s">
        <v>2886</v>
      </c>
    </row>
    <row r="21" spans="1:9">
      <c r="A21" s="2" t="s">
        <v>2887</v>
      </c>
      <c r="B21" s="2" t="s">
        <v>2888</v>
      </c>
      <c r="C21" s="2" t="s">
        <v>2889</v>
      </c>
      <c r="D21" s="2" t="s">
        <v>2890</v>
      </c>
      <c r="E21" s="2" t="s">
        <v>2749</v>
      </c>
      <c r="F21" s="2" t="s">
        <v>2891</v>
      </c>
      <c r="G21" s="2" t="s">
        <v>2892</v>
      </c>
      <c r="H21" s="2" t="s">
        <v>2893</v>
      </c>
      <c r="I21" s="2" t="s">
        <v>2894</v>
      </c>
    </row>
    <row r="22" spans="1:9">
      <c r="A22" s="2" t="s">
        <v>2895</v>
      </c>
      <c r="B22" s="2" t="s">
        <v>2896</v>
      </c>
      <c r="C22" s="2" t="s">
        <v>2897</v>
      </c>
      <c r="D22" s="2" t="s">
        <v>2898</v>
      </c>
      <c r="E22" s="2" t="s">
        <v>2749</v>
      </c>
      <c r="F22" s="2" t="s">
        <v>2899</v>
      </c>
      <c r="G22" s="2" t="s">
        <v>2900</v>
      </c>
      <c r="H22" s="2" t="s">
        <v>2901</v>
      </c>
      <c r="I22" s="2" t="s">
        <v>2902</v>
      </c>
    </row>
    <row r="23" spans="1:9">
      <c r="A23" s="2" t="s">
        <v>2903</v>
      </c>
      <c r="B23" s="2" t="s">
        <v>2904</v>
      </c>
      <c r="C23" s="2" t="s">
        <v>2905</v>
      </c>
      <c r="D23" s="2" t="s">
        <v>2906</v>
      </c>
      <c r="E23" s="2" t="s">
        <v>2833</v>
      </c>
      <c r="F23" s="2" t="s">
        <v>2907</v>
      </c>
      <c r="G23" s="2"/>
      <c r="H23" s="2" t="s">
        <v>2908</v>
      </c>
      <c r="I23" s="2" t="s">
        <v>2909</v>
      </c>
    </row>
    <row r="24" spans="1:9">
      <c r="A24" s="2" t="s">
        <v>2910</v>
      </c>
      <c r="B24" s="2" t="s">
        <v>2911</v>
      </c>
      <c r="C24" s="2" t="s">
        <v>2912</v>
      </c>
      <c r="D24" s="2" t="s">
        <v>2913</v>
      </c>
      <c r="E24" s="2" t="s">
        <v>2749</v>
      </c>
      <c r="F24" s="2" t="s">
        <v>2914</v>
      </c>
      <c r="G24" s="2"/>
      <c r="H24" s="2" t="s">
        <v>2915</v>
      </c>
      <c r="I24" s="2" t="s">
        <v>2916</v>
      </c>
    </row>
    <row r="25" spans="1:9">
      <c r="A25" s="2" t="s">
        <v>2917</v>
      </c>
      <c r="B25" s="2" t="s">
        <v>2918</v>
      </c>
      <c r="C25" s="2" t="s">
        <v>2919</v>
      </c>
      <c r="D25" s="2" t="s">
        <v>2920</v>
      </c>
      <c r="E25" s="2" t="s">
        <v>2749</v>
      </c>
      <c r="F25" s="2" t="s">
        <v>2921</v>
      </c>
      <c r="G25" s="2"/>
      <c r="H25" s="2" t="s">
        <v>2922</v>
      </c>
      <c r="I25" s="2" t="s">
        <v>2923</v>
      </c>
    </row>
    <row r="26" spans="1:9">
      <c r="A26" s="2" t="s">
        <v>2924</v>
      </c>
      <c r="B26" s="2" t="s">
        <v>2925</v>
      </c>
      <c r="C26" s="2" t="s">
        <v>2926</v>
      </c>
      <c r="D26" s="2" t="s">
        <v>2927</v>
      </c>
      <c r="E26" s="2" t="s">
        <v>2749</v>
      </c>
      <c r="F26" s="2" t="s">
        <v>2928</v>
      </c>
      <c r="G26" s="2" t="s">
        <v>2929</v>
      </c>
      <c r="H26" s="2" t="s">
        <v>2930</v>
      </c>
      <c r="I26" s="2" t="s">
        <v>2931</v>
      </c>
    </row>
    <row r="27" spans="1:9">
      <c r="A27" s="2" t="s">
        <v>2932</v>
      </c>
      <c r="B27" s="2" t="s">
        <v>2933</v>
      </c>
      <c r="C27" s="2" t="s">
        <v>2934</v>
      </c>
      <c r="D27" s="2" t="s">
        <v>2935</v>
      </c>
      <c r="E27" s="2" t="s">
        <v>2749</v>
      </c>
      <c r="F27" s="2" t="s">
        <v>2936</v>
      </c>
      <c r="G27" s="2" t="s">
        <v>2937</v>
      </c>
      <c r="H27" s="2" t="s">
        <v>2938</v>
      </c>
      <c r="I27" s="2" t="s">
        <v>2939</v>
      </c>
    </row>
    <row r="28" spans="1:9">
      <c r="A28" s="2" t="s">
        <v>2940</v>
      </c>
      <c r="B28" s="2" t="s">
        <v>2941</v>
      </c>
      <c r="C28" s="2" t="s">
        <v>2942</v>
      </c>
      <c r="D28" s="2" t="s">
        <v>2943</v>
      </c>
      <c r="E28" s="2" t="s">
        <v>2749</v>
      </c>
      <c r="F28" s="2" t="s">
        <v>2944</v>
      </c>
      <c r="G28" s="2" t="s">
        <v>2945</v>
      </c>
      <c r="H28" s="2" t="s">
        <v>2946</v>
      </c>
      <c r="I28" s="2" t="s">
        <v>2947</v>
      </c>
    </row>
    <row r="29" spans="1:9">
      <c r="A29" s="2" t="s">
        <v>2948</v>
      </c>
      <c r="B29" s="2" t="s">
        <v>2949</v>
      </c>
      <c r="C29" s="2" t="s">
        <v>2950</v>
      </c>
      <c r="D29" s="2" t="s">
        <v>2951</v>
      </c>
      <c r="E29" s="2" t="s">
        <v>2749</v>
      </c>
      <c r="F29" s="2" t="s">
        <v>2952</v>
      </c>
      <c r="G29" s="2" t="s">
        <v>2953</v>
      </c>
      <c r="H29" s="2" t="s">
        <v>2954</v>
      </c>
      <c r="I29" s="2" t="s">
        <v>2955</v>
      </c>
    </row>
    <row r="30" spans="1:9">
      <c r="A30" s="2" t="s">
        <v>2956</v>
      </c>
      <c r="B30" s="2" t="s">
        <v>2957</v>
      </c>
      <c r="C30" s="2" t="s">
        <v>2958</v>
      </c>
      <c r="D30" s="2" t="s">
        <v>2959</v>
      </c>
      <c r="E30" s="2" t="s">
        <v>2749</v>
      </c>
      <c r="F30" s="2" t="s">
        <v>2960</v>
      </c>
      <c r="G30" s="2" t="s">
        <v>2961</v>
      </c>
      <c r="H30" s="2" t="s">
        <v>2962</v>
      </c>
      <c r="I30" s="2" t="s">
        <v>2963</v>
      </c>
    </row>
  </sheetData>
  <autoFilter ref="A1:I30"/>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15"/>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0" width="28.7109375" customWidth="1"/>
  </cols>
  <sheetData>
    <row r="1" spans="1:10" ht="32" customHeight="1">
      <c r="A1" s="1" t="s">
        <v>40</v>
      </c>
      <c r="B1" s="1" t="s">
        <v>2964</v>
      </c>
      <c r="C1" s="1" t="s">
        <v>2965</v>
      </c>
      <c r="D1" s="1" t="s">
        <v>2966</v>
      </c>
      <c r="E1" s="1" t="s">
        <v>2967</v>
      </c>
      <c r="F1" s="1" t="s">
        <v>2968</v>
      </c>
      <c r="G1" s="1" t="s">
        <v>52</v>
      </c>
      <c r="H1" s="1" t="s">
        <v>2969</v>
      </c>
      <c r="I1" s="1" t="s">
        <v>42</v>
      </c>
      <c r="J1" s="1" t="s">
        <v>2970</v>
      </c>
    </row>
    <row r="2" spans="1:10">
      <c r="A2" s="2" t="s">
        <v>2971</v>
      </c>
      <c r="B2" s="2" t="s">
        <v>2770</v>
      </c>
      <c r="C2" s="2" t="s">
        <v>2972</v>
      </c>
      <c r="D2" s="2" t="s">
        <v>2973</v>
      </c>
      <c r="E2" s="2" t="s">
        <v>2974</v>
      </c>
      <c r="F2" s="2" t="s">
        <v>2975</v>
      </c>
      <c r="G2" s="2" t="s">
        <v>2976</v>
      </c>
      <c r="H2" s="2" t="s">
        <v>2977</v>
      </c>
      <c r="I2" s="2" t="s">
        <v>2978</v>
      </c>
      <c r="J2" s="2" t="s">
        <v>2979</v>
      </c>
    </row>
    <row r="3" spans="1:10">
      <c r="A3" s="2" t="s">
        <v>2980</v>
      </c>
      <c r="B3" s="2" t="s">
        <v>2779</v>
      </c>
      <c r="C3" s="2" t="s">
        <v>2981</v>
      </c>
      <c r="D3" s="2" t="s">
        <v>2973</v>
      </c>
      <c r="E3" s="2" t="s">
        <v>2974</v>
      </c>
      <c r="F3" s="2" t="s">
        <v>2982</v>
      </c>
      <c r="G3" s="2" t="s">
        <v>2976</v>
      </c>
      <c r="H3" s="2" t="s">
        <v>2983</v>
      </c>
      <c r="I3" s="2" t="s">
        <v>2984</v>
      </c>
      <c r="J3" s="2" t="s">
        <v>2979</v>
      </c>
    </row>
    <row r="4" spans="1:10">
      <c r="A4" s="2" t="s">
        <v>2985</v>
      </c>
      <c r="B4" s="2" t="s">
        <v>2793</v>
      </c>
      <c r="C4" s="2" t="s">
        <v>2986</v>
      </c>
      <c r="D4" s="2" t="s">
        <v>2973</v>
      </c>
      <c r="E4" s="2" t="s">
        <v>2974</v>
      </c>
      <c r="F4" s="2" t="s">
        <v>2987</v>
      </c>
      <c r="G4" s="2" t="s">
        <v>2976</v>
      </c>
      <c r="H4" s="2" t="s">
        <v>2988</v>
      </c>
      <c r="I4" s="2" t="s">
        <v>2989</v>
      </c>
      <c r="J4" s="2" t="s">
        <v>2979</v>
      </c>
    </row>
    <row r="5" spans="1:10">
      <c r="A5" s="2" t="s">
        <v>2990</v>
      </c>
      <c r="B5" s="2" t="s">
        <v>2829</v>
      </c>
      <c r="C5" s="2" t="s">
        <v>2991</v>
      </c>
      <c r="D5" s="2" t="s">
        <v>2973</v>
      </c>
      <c r="E5" s="2" t="s">
        <v>2974</v>
      </c>
      <c r="F5" s="2" t="s">
        <v>2992</v>
      </c>
      <c r="G5" s="2" t="s">
        <v>2976</v>
      </c>
      <c r="H5" s="2" t="s">
        <v>2993</v>
      </c>
      <c r="I5" s="2" t="s">
        <v>2994</v>
      </c>
      <c r="J5" s="2" t="s">
        <v>2979</v>
      </c>
    </row>
    <row r="6" spans="1:10">
      <c r="A6" s="2" t="s">
        <v>2995</v>
      </c>
      <c r="B6" s="2" t="s">
        <v>2814</v>
      </c>
      <c r="C6" s="2" t="s">
        <v>2996</v>
      </c>
      <c r="D6" s="2" t="s">
        <v>2973</v>
      </c>
      <c r="E6" s="2" t="s">
        <v>2974</v>
      </c>
      <c r="F6" s="2" t="s">
        <v>2997</v>
      </c>
      <c r="G6" s="2" t="s">
        <v>2976</v>
      </c>
      <c r="H6" s="2" t="s">
        <v>2998</v>
      </c>
      <c r="I6" s="2" t="s">
        <v>2999</v>
      </c>
      <c r="J6" s="2" t="s">
        <v>2979</v>
      </c>
    </row>
    <row r="7" spans="1:10">
      <c r="A7" s="2" t="s">
        <v>3000</v>
      </c>
      <c r="B7" s="2" t="s">
        <v>2822</v>
      </c>
      <c r="C7" s="2" t="s">
        <v>3001</v>
      </c>
      <c r="D7" s="2" t="s">
        <v>2973</v>
      </c>
      <c r="E7" s="2" t="s">
        <v>2974</v>
      </c>
      <c r="F7" s="2" t="s">
        <v>3002</v>
      </c>
      <c r="G7" s="2" t="s">
        <v>2976</v>
      </c>
      <c r="H7" s="2" t="s">
        <v>3003</v>
      </c>
      <c r="I7" s="2" t="s">
        <v>3004</v>
      </c>
      <c r="J7" s="2" t="s">
        <v>2979</v>
      </c>
    </row>
    <row r="8" spans="1:10">
      <c r="A8" s="2" t="s">
        <v>3005</v>
      </c>
      <c r="B8" s="2" t="s">
        <v>2837</v>
      </c>
      <c r="C8" s="2" t="s">
        <v>3006</v>
      </c>
      <c r="D8" s="2" t="s">
        <v>2973</v>
      </c>
      <c r="E8" s="2" t="s">
        <v>2974</v>
      </c>
      <c r="F8" s="2" t="s">
        <v>3007</v>
      </c>
      <c r="G8" s="2" t="s">
        <v>2976</v>
      </c>
      <c r="H8" s="2" t="s">
        <v>3008</v>
      </c>
      <c r="I8" s="2" t="s">
        <v>875</v>
      </c>
      <c r="J8" s="2" t="s">
        <v>2979</v>
      </c>
    </row>
    <row r="9" spans="1:10">
      <c r="A9" s="2" t="s">
        <v>3009</v>
      </c>
      <c r="B9" s="2" t="s">
        <v>2856</v>
      </c>
      <c r="C9" s="2" t="s">
        <v>3010</v>
      </c>
      <c r="D9" s="2" t="s">
        <v>3011</v>
      </c>
      <c r="E9" s="2" t="s">
        <v>3012</v>
      </c>
      <c r="F9" s="2" t="s">
        <v>3013</v>
      </c>
      <c r="G9" s="2" t="s">
        <v>2976</v>
      </c>
      <c r="H9" s="2" t="s">
        <v>3014</v>
      </c>
      <c r="I9" s="2" t="s">
        <v>3015</v>
      </c>
      <c r="J9" s="2" t="s">
        <v>3016</v>
      </c>
    </row>
    <row r="10" spans="1:10">
      <c r="A10" s="2" t="s">
        <v>3017</v>
      </c>
      <c r="B10" s="2" t="s">
        <v>2887</v>
      </c>
      <c r="C10" s="2" t="s">
        <v>3018</v>
      </c>
      <c r="D10" s="2" t="s">
        <v>3019</v>
      </c>
      <c r="E10" s="2" t="s">
        <v>3020</v>
      </c>
      <c r="F10" s="2" t="s">
        <v>3021</v>
      </c>
      <c r="G10" s="2" t="s">
        <v>2976</v>
      </c>
      <c r="H10" s="2" t="s">
        <v>3022</v>
      </c>
      <c r="I10" s="2" t="s">
        <v>3023</v>
      </c>
      <c r="J10" s="2" t="s">
        <v>3024</v>
      </c>
    </row>
    <row r="11" spans="1:10">
      <c r="A11" s="2" t="s">
        <v>3025</v>
      </c>
      <c r="B11" s="2" t="s">
        <v>2887</v>
      </c>
      <c r="C11" s="2" t="s">
        <v>3026</v>
      </c>
      <c r="D11" s="2" t="s">
        <v>3027</v>
      </c>
      <c r="E11" s="2" t="s">
        <v>3028</v>
      </c>
      <c r="F11" s="2" t="s">
        <v>3029</v>
      </c>
      <c r="G11" s="2" t="s">
        <v>3030</v>
      </c>
      <c r="H11" s="2" t="s">
        <v>3031</v>
      </c>
      <c r="I11" s="2" t="s">
        <v>3032</v>
      </c>
      <c r="J11" s="2" t="s">
        <v>3033</v>
      </c>
    </row>
    <row r="12" spans="1:10">
      <c r="A12" s="2" t="s">
        <v>3034</v>
      </c>
      <c r="B12" s="2" t="s">
        <v>2895</v>
      </c>
      <c r="C12" s="2" t="s">
        <v>3035</v>
      </c>
      <c r="D12" s="2" t="s">
        <v>3036</v>
      </c>
      <c r="E12" s="2" t="s">
        <v>3037</v>
      </c>
      <c r="F12" s="2" t="s">
        <v>3038</v>
      </c>
      <c r="G12" s="2" t="s">
        <v>2976</v>
      </c>
      <c r="H12" s="2" t="s">
        <v>3039</v>
      </c>
      <c r="I12" s="2" t="s">
        <v>3040</v>
      </c>
      <c r="J12" s="2" t="s">
        <v>3024</v>
      </c>
    </row>
    <row r="13" spans="1:10">
      <c r="A13" s="2" t="s">
        <v>3041</v>
      </c>
      <c r="B13" s="2" t="s">
        <v>2910</v>
      </c>
      <c r="C13" s="2" t="s">
        <v>3042</v>
      </c>
      <c r="D13" s="2" t="s">
        <v>3043</v>
      </c>
      <c r="E13" s="2" t="s">
        <v>3044</v>
      </c>
      <c r="F13" s="2" t="s">
        <v>3045</v>
      </c>
      <c r="G13" s="2" t="s">
        <v>2976</v>
      </c>
      <c r="H13" s="2" t="s">
        <v>3046</v>
      </c>
      <c r="I13" s="2" t="s">
        <v>3047</v>
      </c>
      <c r="J13" s="2" t="s">
        <v>3024</v>
      </c>
    </row>
    <row r="14" spans="1:10">
      <c r="A14" s="2" t="s">
        <v>3048</v>
      </c>
      <c r="B14" s="2" t="s">
        <v>2910</v>
      </c>
      <c r="C14" s="2" t="s">
        <v>3049</v>
      </c>
      <c r="D14" s="2" t="s">
        <v>3050</v>
      </c>
      <c r="E14" s="2" t="s">
        <v>3051</v>
      </c>
      <c r="F14" s="2" t="s">
        <v>3052</v>
      </c>
      <c r="G14" s="2" t="s">
        <v>3030</v>
      </c>
      <c r="H14" s="2" t="s">
        <v>3053</v>
      </c>
      <c r="I14" s="2" t="s">
        <v>3054</v>
      </c>
      <c r="J14" s="2" t="s">
        <v>3033</v>
      </c>
    </row>
    <row r="15" spans="1:10">
      <c r="A15" s="2" t="s">
        <v>3055</v>
      </c>
      <c r="B15" s="2" t="s">
        <v>2745</v>
      </c>
      <c r="C15" s="2" t="s">
        <v>3056</v>
      </c>
      <c r="D15" s="2" t="s">
        <v>3057</v>
      </c>
      <c r="E15" s="2" t="s">
        <v>3058</v>
      </c>
      <c r="F15" s="2" t="s">
        <v>3059</v>
      </c>
      <c r="G15" s="2" t="s">
        <v>2976</v>
      </c>
      <c r="H15" s="2" t="s">
        <v>3060</v>
      </c>
      <c r="I15" s="2" t="s">
        <v>3061</v>
      </c>
      <c r="J15" s="2" t="s">
        <v>3062</v>
      </c>
    </row>
  </sheetData>
  <autoFilter ref="A1:J1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14"/>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18.7109375" customWidth="1"/>
    <col min="3" max="3" width="75.7109375" customWidth="1"/>
    <col min="4" max="4" width="70.7109375" customWidth="1"/>
    <col min="5" max="5" width="30.7109375" customWidth="1"/>
    <col min="6" max="6" width="75.7109375" customWidth="1"/>
  </cols>
  <sheetData>
    <row r="1" spans="1:6" ht="32" customHeight="1">
      <c r="A1" s="1" t="s">
        <v>40</v>
      </c>
      <c r="B1" s="1" t="s">
        <v>2964</v>
      </c>
      <c r="C1" s="1" t="s">
        <v>3063</v>
      </c>
      <c r="D1" s="1" t="s">
        <v>3064</v>
      </c>
      <c r="E1" s="1" t="s">
        <v>3065</v>
      </c>
      <c r="F1" s="1" t="s">
        <v>3066</v>
      </c>
    </row>
    <row r="2" spans="1:6">
      <c r="A2" s="2" t="s">
        <v>3067</v>
      </c>
      <c r="B2" s="2" t="s">
        <v>2770</v>
      </c>
      <c r="C2" s="2" t="s">
        <v>3068</v>
      </c>
      <c r="D2" s="2" t="s">
        <v>3069</v>
      </c>
      <c r="E2" s="2" t="s">
        <v>3070</v>
      </c>
      <c r="F2" s="2" t="s">
        <v>3071</v>
      </c>
    </row>
    <row r="3" spans="1:6">
      <c r="A3" s="2" t="s">
        <v>3072</v>
      </c>
      <c r="B3" s="2" t="s">
        <v>2779</v>
      </c>
      <c r="C3" s="2" t="s">
        <v>3073</v>
      </c>
      <c r="D3" s="2" t="s">
        <v>3074</v>
      </c>
      <c r="E3" s="2" t="s">
        <v>3075</v>
      </c>
      <c r="F3" s="2" t="s">
        <v>3076</v>
      </c>
    </row>
    <row r="4" spans="1:6">
      <c r="A4" s="2" t="s">
        <v>3077</v>
      </c>
      <c r="B4" s="2" t="s">
        <v>2762</v>
      </c>
      <c r="C4" s="2" t="s">
        <v>3078</v>
      </c>
      <c r="D4" s="2" t="s">
        <v>3079</v>
      </c>
      <c r="E4" s="2" t="s">
        <v>3080</v>
      </c>
      <c r="F4" s="2" t="s">
        <v>3081</v>
      </c>
    </row>
    <row r="5" spans="1:6">
      <c r="A5" s="2" t="s">
        <v>3082</v>
      </c>
      <c r="B5" s="2" t="s">
        <v>2940</v>
      </c>
      <c r="C5" s="2" t="s">
        <v>3083</v>
      </c>
      <c r="D5" s="2" t="s">
        <v>3084</v>
      </c>
      <c r="E5" s="2" t="s">
        <v>3085</v>
      </c>
      <c r="F5" s="2" t="s">
        <v>3086</v>
      </c>
    </row>
    <row r="6" spans="1:6">
      <c r="A6" s="2" t="s">
        <v>3087</v>
      </c>
      <c r="B6" s="2" t="s">
        <v>2762</v>
      </c>
      <c r="C6" s="2" t="s">
        <v>3088</v>
      </c>
      <c r="D6" s="2" t="s">
        <v>3089</v>
      </c>
      <c r="E6" s="2" t="s">
        <v>3090</v>
      </c>
      <c r="F6" s="2" t="s">
        <v>3091</v>
      </c>
    </row>
    <row r="7" spans="1:6">
      <c r="A7" s="2" t="s">
        <v>3092</v>
      </c>
      <c r="B7" s="2" t="s">
        <v>2814</v>
      </c>
      <c r="C7" s="2" t="s">
        <v>3093</v>
      </c>
      <c r="D7" s="2" t="s">
        <v>3094</v>
      </c>
      <c r="E7" s="2" t="s">
        <v>3095</v>
      </c>
      <c r="F7" s="2" t="s">
        <v>3096</v>
      </c>
    </row>
    <row r="8" spans="1:6">
      <c r="A8" s="2" t="s">
        <v>3097</v>
      </c>
      <c r="B8" s="2" t="s">
        <v>2829</v>
      </c>
      <c r="C8" s="2" t="s">
        <v>3098</v>
      </c>
      <c r="D8" s="2" t="s">
        <v>3099</v>
      </c>
      <c r="E8" s="2" t="s">
        <v>3100</v>
      </c>
      <c r="F8" s="2" t="s">
        <v>3101</v>
      </c>
    </row>
    <row r="9" spans="1:6">
      <c r="A9" s="2" t="s">
        <v>3102</v>
      </c>
      <c r="B9" s="2" t="s">
        <v>2837</v>
      </c>
      <c r="C9" s="2" t="s">
        <v>3103</v>
      </c>
      <c r="D9" s="2" t="s">
        <v>3104</v>
      </c>
      <c r="E9" s="2" t="s">
        <v>3105</v>
      </c>
      <c r="F9" s="2" t="s">
        <v>3106</v>
      </c>
    </row>
    <row r="10" spans="1:6">
      <c r="A10" s="2" t="s">
        <v>3107</v>
      </c>
      <c r="B10" s="2" t="s">
        <v>2856</v>
      </c>
      <c r="C10" s="2" t="s">
        <v>3108</v>
      </c>
      <c r="D10" s="2" t="s">
        <v>3109</v>
      </c>
      <c r="E10" s="2" t="s">
        <v>3110</v>
      </c>
      <c r="F10" s="2" t="s">
        <v>3111</v>
      </c>
    </row>
    <row r="11" spans="1:6">
      <c r="A11" s="2" t="s">
        <v>3112</v>
      </c>
      <c r="B11" s="2" t="s">
        <v>2887</v>
      </c>
      <c r="C11" s="2" t="s">
        <v>3113</v>
      </c>
      <c r="D11" s="2" t="s">
        <v>3114</v>
      </c>
      <c r="E11" s="2" t="s">
        <v>3115</v>
      </c>
      <c r="F11" s="2" t="s">
        <v>3116</v>
      </c>
    </row>
    <row r="12" spans="1:6">
      <c r="A12" s="2" t="s">
        <v>3117</v>
      </c>
      <c r="B12" s="2" t="s">
        <v>2903</v>
      </c>
      <c r="C12" s="2" t="s">
        <v>3118</v>
      </c>
      <c r="D12" s="2" t="s">
        <v>3119</v>
      </c>
      <c r="E12" s="2" t="s">
        <v>3120</v>
      </c>
      <c r="F12" s="2" t="s">
        <v>3121</v>
      </c>
    </row>
    <row r="13" spans="1:6">
      <c r="A13" s="2" t="s">
        <v>3122</v>
      </c>
      <c r="B13" s="2" t="s">
        <v>2895</v>
      </c>
      <c r="C13" s="2" t="s">
        <v>3123</v>
      </c>
      <c r="D13" s="2" t="s">
        <v>3124</v>
      </c>
      <c r="E13" s="2" t="s">
        <v>3125</v>
      </c>
      <c r="F13" s="2" t="s">
        <v>3126</v>
      </c>
    </row>
    <row r="14" spans="1:6">
      <c r="A14" s="2" t="s">
        <v>3127</v>
      </c>
      <c r="B14" s="2" t="s">
        <v>2745</v>
      </c>
      <c r="C14" s="2" t="s">
        <v>3128</v>
      </c>
      <c r="D14" s="2" t="s">
        <v>3129</v>
      </c>
      <c r="E14" s="2" t="s">
        <v>3130</v>
      </c>
      <c r="F14" s="2" t="s">
        <v>3131</v>
      </c>
    </row>
  </sheetData>
  <autoFilter ref="A1:F14"/>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327"/>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6" width="28.7109375" customWidth="1"/>
  </cols>
  <sheetData>
    <row r="1" spans="1:6" ht="32" customHeight="1">
      <c r="A1" s="1" t="s">
        <v>3132</v>
      </c>
      <c r="B1" s="1" t="s">
        <v>3133</v>
      </c>
      <c r="C1" s="1" t="s">
        <v>3134</v>
      </c>
      <c r="D1" s="1" t="s">
        <v>3135</v>
      </c>
      <c r="E1" s="1" t="s">
        <v>3136</v>
      </c>
      <c r="F1" s="1" t="s">
        <v>3137</v>
      </c>
    </row>
    <row r="2" spans="1:6">
      <c r="A2" s="2" t="s">
        <v>3138</v>
      </c>
      <c r="B2" s="2" t="s">
        <v>3139</v>
      </c>
      <c r="C2" s="2" t="s">
        <v>3140</v>
      </c>
      <c r="D2" s="2" t="s">
        <v>3141</v>
      </c>
      <c r="E2" s="2" t="s">
        <v>3142</v>
      </c>
      <c r="F2" s="2" t="s">
        <v>3143</v>
      </c>
    </row>
    <row r="3" spans="1:6">
      <c r="A3" s="2" t="s">
        <v>3138</v>
      </c>
      <c r="B3" s="2" t="s">
        <v>3139</v>
      </c>
      <c r="C3" s="2" t="s">
        <v>3144</v>
      </c>
      <c r="D3" s="2" t="s">
        <v>3145</v>
      </c>
      <c r="E3" s="2" t="s">
        <v>3142</v>
      </c>
      <c r="F3" s="2" t="s">
        <v>3143</v>
      </c>
    </row>
    <row r="4" spans="1:6">
      <c r="A4" s="2" t="s">
        <v>3138</v>
      </c>
      <c r="B4" s="2" t="s">
        <v>3139</v>
      </c>
      <c r="C4" s="2" t="s">
        <v>66</v>
      </c>
      <c r="D4" s="2" t="s">
        <v>3146</v>
      </c>
      <c r="E4" s="2" t="s">
        <v>3142</v>
      </c>
      <c r="F4" s="2" t="s">
        <v>3143</v>
      </c>
    </row>
    <row r="5" spans="1:6">
      <c r="A5" s="2" t="s">
        <v>3138</v>
      </c>
      <c r="B5" s="2" t="s">
        <v>3139</v>
      </c>
      <c r="C5" s="2" t="s">
        <v>3147</v>
      </c>
      <c r="D5" s="2" t="s">
        <v>3148</v>
      </c>
      <c r="E5" s="2" t="s">
        <v>3142</v>
      </c>
      <c r="F5" s="2" t="s">
        <v>3143</v>
      </c>
    </row>
    <row r="6" spans="1:6">
      <c r="A6" s="2" t="s">
        <v>3138</v>
      </c>
      <c r="B6" s="2" t="s">
        <v>3139</v>
      </c>
      <c r="C6" s="2" t="s">
        <v>3149</v>
      </c>
      <c r="D6" s="2" t="s">
        <v>3150</v>
      </c>
      <c r="E6" s="2" t="s">
        <v>3142</v>
      </c>
      <c r="F6" s="2" t="s">
        <v>3143</v>
      </c>
    </row>
    <row r="7" spans="1:6">
      <c r="A7" s="2" t="s">
        <v>3138</v>
      </c>
      <c r="B7" s="2" t="s">
        <v>3139</v>
      </c>
      <c r="C7" s="2" t="s">
        <v>3151</v>
      </c>
      <c r="D7" s="2" t="s">
        <v>3152</v>
      </c>
      <c r="E7" s="2" t="s">
        <v>3142</v>
      </c>
      <c r="F7" s="2" t="s">
        <v>3143</v>
      </c>
    </row>
    <row r="8" spans="1:6">
      <c r="A8" s="2" t="s">
        <v>3138</v>
      </c>
      <c r="B8" s="2" t="s">
        <v>3139</v>
      </c>
      <c r="C8" s="2" t="s">
        <v>3153</v>
      </c>
      <c r="D8" s="2" t="s">
        <v>3154</v>
      </c>
      <c r="E8" s="2" t="s">
        <v>3142</v>
      </c>
      <c r="F8" s="2" t="s">
        <v>3143</v>
      </c>
    </row>
    <row r="9" spans="1:6">
      <c r="A9" s="2" t="s">
        <v>3138</v>
      </c>
      <c r="B9" s="2" t="s">
        <v>3139</v>
      </c>
      <c r="C9" s="2" t="s">
        <v>3155</v>
      </c>
      <c r="D9" s="2" t="s">
        <v>3156</v>
      </c>
      <c r="E9" s="2" t="s">
        <v>3142</v>
      </c>
      <c r="F9" s="2" t="s">
        <v>3143</v>
      </c>
    </row>
    <row r="10" spans="1:6">
      <c r="A10" s="2" t="s">
        <v>3138</v>
      </c>
      <c r="B10" s="2" t="s">
        <v>3139</v>
      </c>
      <c r="C10" s="2" t="s">
        <v>3157</v>
      </c>
      <c r="D10" s="2" t="s">
        <v>3158</v>
      </c>
      <c r="E10" s="2" t="s">
        <v>3142</v>
      </c>
      <c r="F10" s="2" t="s">
        <v>3143</v>
      </c>
    </row>
    <row r="11" spans="1:6">
      <c r="A11" s="2" t="s">
        <v>3138</v>
      </c>
      <c r="B11" s="2" t="s">
        <v>3139</v>
      </c>
      <c r="C11" s="2" t="s">
        <v>3159</v>
      </c>
      <c r="D11" s="2" t="s">
        <v>3160</v>
      </c>
      <c r="E11" s="2" t="s">
        <v>3142</v>
      </c>
      <c r="F11" s="2" t="s">
        <v>3143</v>
      </c>
    </row>
    <row r="12" spans="1:6">
      <c r="A12" s="2" t="s">
        <v>3138</v>
      </c>
      <c r="B12" s="2" t="s">
        <v>3139</v>
      </c>
      <c r="C12" s="2" t="s">
        <v>3161</v>
      </c>
      <c r="D12" s="2" t="s">
        <v>3162</v>
      </c>
      <c r="E12" s="2" t="s">
        <v>3142</v>
      </c>
      <c r="F12" s="2" t="s">
        <v>3143</v>
      </c>
    </row>
    <row r="13" spans="1:6">
      <c r="A13" s="2" t="s">
        <v>3138</v>
      </c>
      <c r="B13" s="2" t="s">
        <v>3139</v>
      </c>
      <c r="C13" s="2" t="s">
        <v>3163</v>
      </c>
      <c r="D13" s="2" t="s">
        <v>3164</v>
      </c>
      <c r="E13" s="2" t="s">
        <v>3142</v>
      </c>
      <c r="F13" s="2" t="s">
        <v>3143</v>
      </c>
    </row>
    <row r="14" spans="1:6">
      <c r="A14" s="2" t="s">
        <v>3138</v>
      </c>
      <c r="B14" s="2" t="s">
        <v>3139</v>
      </c>
      <c r="C14" s="2" t="s">
        <v>3165</v>
      </c>
      <c r="D14" s="2" t="s">
        <v>3166</v>
      </c>
      <c r="E14" s="2" t="s">
        <v>3142</v>
      </c>
      <c r="F14" s="2" t="s">
        <v>3143</v>
      </c>
    </row>
    <row r="15" spans="1:6">
      <c r="A15" s="2" t="s">
        <v>3138</v>
      </c>
      <c r="B15" s="2" t="s">
        <v>3139</v>
      </c>
      <c r="C15" s="2" t="s">
        <v>3167</v>
      </c>
      <c r="D15" s="2" t="s">
        <v>3168</v>
      </c>
      <c r="E15" s="2" t="s">
        <v>3142</v>
      </c>
      <c r="F15" s="2" t="s">
        <v>3143</v>
      </c>
    </row>
    <row r="16" spans="1:6">
      <c r="A16" s="2" t="s">
        <v>3138</v>
      </c>
      <c r="B16" s="2" t="s">
        <v>3139</v>
      </c>
      <c r="C16" s="2" t="s">
        <v>3169</v>
      </c>
      <c r="D16" s="2" t="s">
        <v>3170</v>
      </c>
      <c r="E16" s="2" t="s">
        <v>3142</v>
      </c>
      <c r="F16" s="2" t="s">
        <v>3143</v>
      </c>
    </row>
    <row r="17" spans="1:6">
      <c r="A17" s="2" t="s">
        <v>3138</v>
      </c>
      <c r="B17" s="2" t="s">
        <v>3139</v>
      </c>
      <c r="C17" s="2" t="s">
        <v>3171</v>
      </c>
      <c r="D17" s="2" t="s">
        <v>3172</v>
      </c>
      <c r="E17" s="2" t="s">
        <v>3142</v>
      </c>
      <c r="F17" s="2" t="s">
        <v>3143</v>
      </c>
    </row>
    <row r="18" spans="1:6">
      <c r="A18" s="2" t="s">
        <v>3138</v>
      </c>
      <c r="B18" s="2" t="s">
        <v>3139</v>
      </c>
      <c r="C18" s="2" t="s">
        <v>3173</v>
      </c>
      <c r="D18" s="2" t="s">
        <v>3174</v>
      </c>
      <c r="E18" s="2" t="s">
        <v>3142</v>
      </c>
      <c r="F18" s="2" t="s">
        <v>3143</v>
      </c>
    </row>
    <row r="19" spans="1:6">
      <c r="A19" s="2" t="s">
        <v>3138</v>
      </c>
      <c r="B19" s="2" t="s">
        <v>3139</v>
      </c>
      <c r="C19" s="2" t="s">
        <v>3175</v>
      </c>
      <c r="D19" s="2" t="s">
        <v>3176</v>
      </c>
      <c r="E19" s="2" t="s">
        <v>3142</v>
      </c>
      <c r="F19" s="2" t="s">
        <v>3143</v>
      </c>
    </row>
    <row r="20" spans="1:6">
      <c r="A20" s="2" t="s">
        <v>3138</v>
      </c>
      <c r="B20" s="2" t="s">
        <v>3139</v>
      </c>
      <c r="C20" s="2" t="s">
        <v>3177</v>
      </c>
      <c r="D20" s="2" t="s">
        <v>3178</v>
      </c>
      <c r="E20" s="2" t="s">
        <v>3142</v>
      </c>
      <c r="F20" s="2" t="s">
        <v>3143</v>
      </c>
    </row>
    <row r="21" spans="1:6">
      <c r="A21" s="2" t="s">
        <v>3138</v>
      </c>
      <c r="B21" s="2" t="s">
        <v>3179</v>
      </c>
      <c r="C21" s="2" t="s">
        <v>3140</v>
      </c>
      <c r="D21" s="2" t="s">
        <v>3180</v>
      </c>
      <c r="E21" s="2" t="s">
        <v>3142</v>
      </c>
      <c r="F21" s="2" t="s">
        <v>3143</v>
      </c>
    </row>
    <row r="22" spans="1:6">
      <c r="A22" s="2" t="s">
        <v>3138</v>
      </c>
      <c r="B22" s="2" t="s">
        <v>3179</v>
      </c>
      <c r="C22" s="2" t="s">
        <v>3144</v>
      </c>
      <c r="D22" s="2" t="s">
        <v>3181</v>
      </c>
      <c r="E22" s="2" t="s">
        <v>3142</v>
      </c>
      <c r="F22" s="2" t="s">
        <v>3143</v>
      </c>
    </row>
    <row r="23" spans="1:6">
      <c r="A23" s="2" t="s">
        <v>3138</v>
      </c>
      <c r="B23" s="2" t="s">
        <v>3179</v>
      </c>
      <c r="C23" s="2" t="s">
        <v>66</v>
      </c>
      <c r="D23" s="2" t="s">
        <v>3182</v>
      </c>
      <c r="E23" s="2" t="s">
        <v>3142</v>
      </c>
      <c r="F23" s="2" t="s">
        <v>3143</v>
      </c>
    </row>
    <row r="24" spans="1:6">
      <c r="A24" s="2" t="s">
        <v>3138</v>
      </c>
      <c r="B24" s="2" t="s">
        <v>3179</v>
      </c>
      <c r="C24" s="2" t="s">
        <v>3147</v>
      </c>
      <c r="D24" s="2" t="s">
        <v>3183</v>
      </c>
      <c r="E24" s="2" t="s">
        <v>3142</v>
      </c>
      <c r="F24" s="2" t="s">
        <v>3143</v>
      </c>
    </row>
    <row r="25" spans="1:6">
      <c r="A25" s="2" t="s">
        <v>3138</v>
      </c>
      <c r="B25" s="2" t="s">
        <v>3179</v>
      </c>
      <c r="C25" s="2" t="s">
        <v>3149</v>
      </c>
      <c r="D25" s="2" t="s">
        <v>3184</v>
      </c>
      <c r="E25" s="2" t="s">
        <v>3142</v>
      </c>
      <c r="F25" s="2" t="s">
        <v>3143</v>
      </c>
    </row>
    <row r="26" spans="1:6">
      <c r="A26" s="2" t="s">
        <v>3138</v>
      </c>
      <c r="B26" s="2" t="s">
        <v>3179</v>
      </c>
      <c r="C26" s="2" t="s">
        <v>3151</v>
      </c>
      <c r="D26" s="2" t="s">
        <v>3185</v>
      </c>
      <c r="E26" s="2" t="s">
        <v>3142</v>
      </c>
      <c r="F26" s="2" t="s">
        <v>3143</v>
      </c>
    </row>
    <row r="27" spans="1:6">
      <c r="A27" s="2" t="s">
        <v>3138</v>
      </c>
      <c r="B27" s="2" t="s">
        <v>3179</v>
      </c>
      <c r="C27" s="2" t="s">
        <v>3153</v>
      </c>
      <c r="D27" s="2" t="s">
        <v>3186</v>
      </c>
      <c r="E27" s="2" t="s">
        <v>3142</v>
      </c>
      <c r="F27" s="2" t="s">
        <v>3143</v>
      </c>
    </row>
    <row r="28" spans="1:6">
      <c r="A28" s="2" t="s">
        <v>3138</v>
      </c>
      <c r="B28" s="2" t="s">
        <v>3179</v>
      </c>
      <c r="C28" s="2" t="s">
        <v>3155</v>
      </c>
      <c r="D28" s="2" t="s">
        <v>3187</v>
      </c>
      <c r="E28" s="2" t="s">
        <v>3142</v>
      </c>
      <c r="F28" s="2" t="s">
        <v>3143</v>
      </c>
    </row>
    <row r="29" spans="1:6">
      <c r="A29" s="2" t="s">
        <v>3138</v>
      </c>
      <c r="B29" s="2" t="s">
        <v>3179</v>
      </c>
      <c r="C29" s="2" t="s">
        <v>3157</v>
      </c>
      <c r="D29" s="2" t="s">
        <v>3188</v>
      </c>
      <c r="E29" s="2" t="s">
        <v>3142</v>
      </c>
      <c r="F29" s="2" t="s">
        <v>3143</v>
      </c>
    </row>
    <row r="30" spans="1:6">
      <c r="A30" s="2" t="s">
        <v>3138</v>
      </c>
      <c r="B30" s="2" t="s">
        <v>3179</v>
      </c>
      <c r="C30" s="2" t="s">
        <v>3159</v>
      </c>
      <c r="D30" s="2" t="s">
        <v>3189</v>
      </c>
      <c r="E30" s="2" t="s">
        <v>3142</v>
      </c>
      <c r="F30" s="2" t="s">
        <v>3143</v>
      </c>
    </row>
    <row r="31" spans="1:6">
      <c r="A31" s="2" t="s">
        <v>3138</v>
      </c>
      <c r="B31" s="2" t="s">
        <v>3179</v>
      </c>
      <c r="C31" s="2" t="s">
        <v>3161</v>
      </c>
      <c r="D31" s="2" t="s">
        <v>3190</v>
      </c>
      <c r="E31" s="2" t="s">
        <v>3142</v>
      </c>
      <c r="F31" s="2" t="s">
        <v>3143</v>
      </c>
    </row>
    <row r="32" spans="1:6">
      <c r="A32" s="2" t="s">
        <v>3138</v>
      </c>
      <c r="B32" s="2" t="s">
        <v>3179</v>
      </c>
      <c r="C32" s="2" t="s">
        <v>3163</v>
      </c>
      <c r="D32" s="2" t="s">
        <v>3191</v>
      </c>
      <c r="E32" s="2" t="s">
        <v>3142</v>
      </c>
      <c r="F32" s="2" t="s">
        <v>3143</v>
      </c>
    </row>
    <row r="33" spans="1:6">
      <c r="A33" s="2" t="s">
        <v>3138</v>
      </c>
      <c r="B33" s="2" t="s">
        <v>3179</v>
      </c>
      <c r="C33" s="2" t="s">
        <v>3165</v>
      </c>
      <c r="D33" s="2" t="s">
        <v>3192</v>
      </c>
      <c r="E33" s="2" t="s">
        <v>3142</v>
      </c>
      <c r="F33" s="2" t="s">
        <v>3143</v>
      </c>
    </row>
    <row r="34" spans="1:6">
      <c r="A34" s="2" t="s">
        <v>3138</v>
      </c>
      <c r="B34" s="2" t="s">
        <v>3179</v>
      </c>
      <c r="C34" s="2" t="s">
        <v>3167</v>
      </c>
      <c r="D34" s="2" t="s">
        <v>3168</v>
      </c>
      <c r="E34" s="2" t="s">
        <v>3142</v>
      </c>
      <c r="F34" s="2" t="s">
        <v>3143</v>
      </c>
    </row>
    <row r="35" spans="1:6">
      <c r="A35" s="2" t="s">
        <v>3138</v>
      </c>
      <c r="B35" s="2" t="s">
        <v>3179</v>
      </c>
      <c r="C35" s="2" t="s">
        <v>3169</v>
      </c>
      <c r="D35" s="2" t="s">
        <v>3193</v>
      </c>
      <c r="E35" s="2" t="s">
        <v>3142</v>
      </c>
      <c r="F35" s="2" t="s">
        <v>3143</v>
      </c>
    </row>
    <row r="36" spans="1:6">
      <c r="A36" s="2" t="s">
        <v>3138</v>
      </c>
      <c r="B36" s="2" t="s">
        <v>3179</v>
      </c>
      <c r="C36" s="2" t="s">
        <v>3171</v>
      </c>
      <c r="D36" s="2" t="s">
        <v>3194</v>
      </c>
      <c r="E36" s="2" t="s">
        <v>3142</v>
      </c>
      <c r="F36" s="2" t="s">
        <v>3143</v>
      </c>
    </row>
    <row r="37" spans="1:6">
      <c r="A37" s="2" t="s">
        <v>3138</v>
      </c>
      <c r="B37" s="2" t="s">
        <v>3179</v>
      </c>
      <c r="C37" s="2" t="s">
        <v>3173</v>
      </c>
      <c r="D37" s="2" t="s">
        <v>3195</v>
      </c>
      <c r="E37" s="2" t="s">
        <v>3142</v>
      </c>
      <c r="F37" s="2" t="s">
        <v>3143</v>
      </c>
    </row>
    <row r="38" spans="1:6">
      <c r="A38" s="2" t="s">
        <v>3138</v>
      </c>
      <c r="B38" s="2" t="s">
        <v>3179</v>
      </c>
      <c r="C38" s="2" t="s">
        <v>3175</v>
      </c>
      <c r="D38" s="2" t="s">
        <v>3196</v>
      </c>
      <c r="E38" s="2" t="s">
        <v>3142</v>
      </c>
      <c r="F38" s="2" t="s">
        <v>3143</v>
      </c>
    </row>
    <row r="39" spans="1:6">
      <c r="A39" s="2" t="s">
        <v>3138</v>
      </c>
      <c r="B39" s="2" t="s">
        <v>3179</v>
      </c>
      <c r="C39" s="2" t="s">
        <v>3177</v>
      </c>
      <c r="D39" s="2" t="s">
        <v>3197</v>
      </c>
      <c r="E39" s="2" t="s">
        <v>3142</v>
      </c>
      <c r="F39" s="2" t="s">
        <v>3143</v>
      </c>
    </row>
    <row r="40" spans="1:6">
      <c r="A40" s="2" t="s">
        <v>3138</v>
      </c>
      <c r="B40" s="2" t="s">
        <v>3198</v>
      </c>
      <c r="C40" s="2" t="s">
        <v>3140</v>
      </c>
      <c r="D40" s="2" t="s">
        <v>3199</v>
      </c>
      <c r="E40" s="2" t="s">
        <v>3142</v>
      </c>
      <c r="F40" s="2" t="s">
        <v>3143</v>
      </c>
    </row>
    <row r="41" spans="1:6">
      <c r="A41" s="2" t="s">
        <v>3138</v>
      </c>
      <c r="B41" s="2" t="s">
        <v>3198</v>
      </c>
      <c r="C41" s="2" t="s">
        <v>3144</v>
      </c>
      <c r="D41" s="2" t="s">
        <v>3200</v>
      </c>
      <c r="E41" s="2" t="s">
        <v>3142</v>
      </c>
      <c r="F41" s="2" t="s">
        <v>3143</v>
      </c>
    </row>
    <row r="42" spans="1:6">
      <c r="A42" s="2" t="s">
        <v>3138</v>
      </c>
      <c r="B42" s="2" t="s">
        <v>3198</v>
      </c>
      <c r="C42" s="2" t="s">
        <v>66</v>
      </c>
      <c r="D42" s="2" t="s">
        <v>3146</v>
      </c>
      <c r="E42" s="2" t="s">
        <v>3142</v>
      </c>
      <c r="F42" s="2" t="s">
        <v>3143</v>
      </c>
    </row>
    <row r="43" spans="1:6">
      <c r="A43" s="2" t="s">
        <v>3138</v>
      </c>
      <c r="B43" s="2" t="s">
        <v>3198</v>
      </c>
      <c r="C43" s="2" t="s">
        <v>3147</v>
      </c>
      <c r="D43" s="2" t="s">
        <v>3201</v>
      </c>
      <c r="E43" s="2" t="s">
        <v>3142</v>
      </c>
      <c r="F43" s="2" t="s">
        <v>3143</v>
      </c>
    </row>
    <row r="44" spans="1:6">
      <c r="A44" s="2" t="s">
        <v>3138</v>
      </c>
      <c r="B44" s="2" t="s">
        <v>3198</v>
      </c>
      <c r="C44" s="2" t="s">
        <v>3149</v>
      </c>
      <c r="D44" s="2" t="s">
        <v>3202</v>
      </c>
      <c r="E44" s="2" t="s">
        <v>3142</v>
      </c>
      <c r="F44" s="2" t="s">
        <v>3143</v>
      </c>
    </row>
    <row r="45" spans="1:6">
      <c r="A45" s="2" t="s">
        <v>3138</v>
      </c>
      <c r="B45" s="2" t="s">
        <v>3198</v>
      </c>
      <c r="C45" s="2" t="s">
        <v>3151</v>
      </c>
      <c r="D45" s="2" t="s">
        <v>3203</v>
      </c>
      <c r="E45" s="2" t="s">
        <v>3142</v>
      </c>
      <c r="F45" s="2" t="s">
        <v>3143</v>
      </c>
    </row>
    <row r="46" spans="1:6">
      <c r="A46" s="2" t="s">
        <v>3138</v>
      </c>
      <c r="B46" s="2" t="s">
        <v>3198</v>
      </c>
      <c r="C46" s="2" t="s">
        <v>3153</v>
      </c>
      <c r="D46" s="2" t="s">
        <v>3204</v>
      </c>
      <c r="E46" s="2" t="s">
        <v>3142</v>
      </c>
      <c r="F46" s="2" t="s">
        <v>3143</v>
      </c>
    </row>
    <row r="47" spans="1:6">
      <c r="A47" s="2" t="s">
        <v>3138</v>
      </c>
      <c r="B47" s="2" t="s">
        <v>3198</v>
      </c>
      <c r="C47" s="2" t="s">
        <v>3155</v>
      </c>
      <c r="D47" s="2" t="s">
        <v>3205</v>
      </c>
      <c r="E47" s="2" t="s">
        <v>3142</v>
      </c>
      <c r="F47" s="2" t="s">
        <v>3143</v>
      </c>
    </row>
    <row r="48" spans="1:6">
      <c r="A48" s="2" t="s">
        <v>3138</v>
      </c>
      <c r="B48" s="2" t="s">
        <v>3198</v>
      </c>
      <c r="C48" s="2" t="s">
        <v>3157</v>
      </c>
      <c r="D48" s="2" t="s">
        <v>3206</v>
      </c>
      <c r="E48" s="2" t="s">
        <v>3142</v>
      </c>
      <c r="F48" s="2" t="s">
        <v>3143</v>
      </c>
    </row>
    <row r="49" spans="1:6">
      <c r="A49" s="2" t="s">
        <v>3138</v>
      </c>
      <c r="B49" s="2" t="s">
        <v>3198</v>
      </c>
      <c r="C49" s="2" t="s">
        <v>3159</v>
      </c>
      <c r="D49" s="2" t="s">
        <v>3207</v>
      </c>
      <c r="E49" s="2" t="s">
        <v>3142</v>
      </c>
      <c r="F49" s="2" t="s">
        <v>3143</v>
      </c>
    </row>
    <row r="50" spans="1:6">
      <c r="A50" s="2" t="s">
        <v>3138</v>
      </c>
      <c r="B50" s="2" t="s">
        <v>3198</v>
      </c>
      <c r="C50" s="2" t="s">
        <v>3161</v>
      </c>
      <c r="D50" s="2" t="s">
        <v>3208</v>
      </c>
      <c r="E50" s="2" t="s">
        <v>3142</v>
      </c>
      <c r="F50" s="2" t="s">
        <v>3143</v>
      </c>
    </row>
    <row r="51" spans="1:6">
      <c r="A51" s="2" t="s">
        <v>3138</v>
      </c>
      <c r="B51" s="2" t="s">
        <v>3198</v>
      </c>
      <c r="C51" s="2" t="s">
        <v>3163</v>
      </c>
      <c r="D51" s="2" t="s">
        <v>3209</v>
      </c>
      <c r="E51" s="2" t="s">
        <v>3142</v>
      </c>
      <c r="F51" s="2" t="s">
        <v>3143</v>
      </c>
    </row>
    <row r="52" spans="1:6">
      <c r="A52" s="2" t="s">
        <v>3138</v>
      </c>
      <c r="B52" s="2" t="s">
        <v>3198</v>
      </c>
      <c r="C52" s="2" t="s">
        <v>3165</v>
      </c>
      <c r="D52" s="2" t="s">
        <v>3210</v>
      </c>
      <c r="E52" s="2" t="s">
        <v>3142</v>
      </c>
      <c r="F52" s="2" t="s">
        <v>3143</v>
      </c>
    </row>
    <row r="53" spans="1:6">
      <c r="A53" s="2" t="s">
        <v>3138</v>
      </c>
      <c r="B53" s="2" t="s">
        <v>3198</v>
      </c>
      <c r="C53" s="2" t="s">
        <v>3167</v>
      </c>
      <c r="D53" s="2" t="s">
        <v>3168</v>
      </c>
      <c r="E53" s="2" t="s">
        <v>3142</v>
      </c>
      <c r="F53" s="2" t="s">
        <v>3143</v>
      </c>
    </row>
    <row r="54" spans="1:6">
      <c r="A54" s="2" t="s">
        <v>3138</v>
      </c>
      <c r="B54" s="2" t="s">
        <v>3198</v>
      </c>
      <c r="C54" s="2" t="s">
        <v>3169</v>
      </c>
      <c r="D54" s="2" t="s">
        <v>3211</v>
      </c>
      <c r="E54" s="2" t="s">
        <v>3142</v>
      </c>
      <c r="F54" s="2" t="s">
        <v>3143</v>
      </c>
    </row>
    <row r="55" spans="1:6">
      <c r="A55" s="2" t="s">
        <v>3138</v>
      </c>
      <c r="B55" s="2" t="s">
        <v>3198</v>
      </c>
      <c r="C55" s="2" t="s">
        <v>3171</v>
      </c>
      <c r="D55" s="2" t="s">
        <v>3212</v>
      </c>
      <c r="E55" s="2" t="s">
        <v>3142</v>
      </c>
      <c r="F55" s="2" t="s">
        <v>3143</v>
      </c>
    </row>
    <row r="56" spans="1:6">
      <c r="A56" s="2" t="s">
        <v>3138</v>
      </c>
      <c r="B56" s="2" t="s">
        <v>3198</v>
      </c>
      <c r="C56" s="2" t="s">
        <v>3173</v>
      </c>
      <c r="D56" s="2" t="s">
        <v>3213</v>
      </c>
      <c r="E56" s="2" t="s">
        <v>3142</v>
      </c>
      <c r="F56" s="2" t="s">
        <v>3143</v>
      </c>
    </row>
    <row r="57" spans="1:6">
      <c r="A57" s="2" t="s">
        <v>3138</v>
      </c>
      <c r="B57" s="2" t="s">
        <v>3198</v>
      </c>
      <c r="C57" s="2" t="s">
        <v>3175</v>
      </c>
      <c r="D57" s="2" t="s">
        <v>3214</v>
      </c>
      <c r="E57" s="2" t="s">
        <v>3142</v>
      </c>
      <c r="F57" s="2" t="s">
        <v>3143</v>
      </c>
    </row>
    <row r="58" spans="1:6">
      <c r="A58" s="2" t="s">
        <v>3138</v>
      </c>
      <c r="B58" s="2" t="s">
        <v>3198</v>
      </c>
      <c r="C58" s="2" t="s">
        <v>3177</v>
      </c>
      <c r="D58" s="2" t="s">
        <v>3215</v>
      </c>
      <c r="E58" s="2" t="s">
        <v>3142</v>
      </c>
      <c r="F58" s="2" t="s">
        <v>3143</v>
      </c>
    </row>
    <row r="59" spans="1:6">
      <c r="A59" s="2" t="s">
        <v>3138</v>
      </c>
      <c r="B59" s="2" t="s">
        <v>3216</v>
      </c>
      <c r="C59" s="2" t="s">
        <v>3217</v>
      </c>
      <c r="D59" s="2" t="s">
        <v>3218</v>
      </c>
      <c r="E59" s="2" t="s">
        <v>3219</v>
      </c>
      <c r="F59" s="2" t="s">
        <v>3220</v>
      </c>
    </row>
    <row r="60" spans="1:6">
      <c r="A60" s="2" t="s">
        <v>3138</v>
      </c>
      <c r="B60" s="2" t="s">
        <v>3216</v>
      </c>
      <c r="C60" s="2" t="s">
        <v>3221</v>
      </c>
      <c r="D60" s="2" t="s">
        <v>3222</v>
      </c>
      <c r="E60" s="2" t="s">
        <v>3219</v>
      </c>
      <c r="F60" s="2" t="s">
        <v>3220</v>
      </c>
    </row>
    <row r="61" spans="1:6">
      <c r="A61" s="2" t="s">
        <v>3138</v>
      </c>
      <c r="B61" s="2" t="s">
        <v>3216</v>
      </c>
      <c r="C61" s="2" t="s">
        <v>3223</v>
      </c>
      <c r="D61" s="2" t="s">
        <v>3224</v>
      </c>
      <c r="E61" s="2" t="s">
        <v>3219</v>
      </c>
      <c r="F61" s="2" t="s">
        <v>3220</v>
      </c>
    </row>
    <row r="62" spans="1:6">
      <c r="A62" s="2" t="s">
        <v>3138</v>
      </c>
      <c r="B62" s="2" t="s">
        <v>3216</v>
      </c>
      <c r="C62" s="2" t="s">
        <v>3225</v>
      </c>
      <c r="D62" s="2" t="s">
        <v>3226</v>
      </c>
      <c r="E62" s="2" t="s">
        <v>3219</v>
      </c>
      <c r="F62" s="2" t="s">
        <v>3220</v>
      </c>
    </row>
    <row r="63" spans="1:6">
      <c r="A63" s="2" t="s">
        <v>3138</v>
      </c>
      <c r="B63" s="2" t="s">
        <v>3216</v>
      </c>
      <c r="C63" s="2" t="s">
        <v>3227</v>
      </c>
      <c r="D63" s="2" t="s">
        <v>3228</v>
      </c>
      <c r="E63" s="2" t="s">
        <v>3219</v>
      </c>
      <c r="F63" s="2" t="s">
        <v>3220</v>
      </c>
    </row>
    <row r="64" spans="1:6">
      <c r="A64" s="2" t="s">
        <v>3138</v>
      </c>
      <c r="B64" s="2" t="s">
        <v>3216</v>
      </c>
      <c r="C64" s="2" t="s">
        <v>3229</v>
      </c>
      <c r="D64" s="2" t="s">
        <v>3230</v>
      </c>
      <c r="E64" s="2" t="s">
        <v>3219</v>
      </c>
      <c r="F64" s="2" t="s">
        <v>3220</v>
      </c>
    </row>
    <row r="65" spans="1:6">
      <c r="A65" s="2" t="s">
        <v>3138</v>
      </c>
      <c r="B65" s="2" t="s">
        <v>3216</v>
      </c>
      <c r="C65" s="2" t="s">
        <v>3231</v>
      </c>
      <c r="D65" s="2" t="s">
        <v>3232</v>
      </c>
      <c r="E65" s="2" t="s">
        <v>3219</v>
      </c>
      <c r="F65" s="2" t="s">
        <v>3220</v>
      </c>
    </row>
    <row r="66" spans="1:6">
      <c r="A66" s="2" t="s">
        <v>3138</v>
      </c>
      <c r="B66" s="2" t="s">
        <v>3216</v>
      </c>
      <c r="C66" s="2" t="s">
        <v>3233</v>
      </c>
      <c r="D66" s="2" t="s">
        <v>3234</v>
      </c>
      <c r="E66" s="2" t="s">
        <v>3219</v>
      </c>
      <c r="F66" s="2" t="s">
        <v>3220</v>
      </c>
    </row>
    <row r="67" spans="1:6">
      <c r="A67" s="2" t="s">
        <v>3138</v>
      </c>
      <c r="B67" s="2" t="s">
        <v>3139</v>
      </c>
      <c r="C67" s="2" t="s">
        <v>3235</v>
      </c>
      <c r="D67" s="2" t="s">
        <v>3236</v>
      </c>
      <c r="E67" s="2" t="s">
        <v>3237</v>
      </c>
      <c r="F67" s="2" t="s">
        <v>3238</v>
      </c>
    </row>
    <row r="68" spans="1:6">
      <c r="A68" s="2" t="s">
        <v>3138</v>
      </c>
      <c r="B68" s="2" t="s">
        <v>3139</v>
      </c>
      <c r="C68" s="2" t="s">
        <v>3239</v>
      </c>
      <c r="D68" s="2" t="s">
        <v>3240</v>
      </c>
      <c r="E68" s="2" t="s">
        <v>3237</v>
      </c>
      <c r="F68" s="2" t="s">
        <v>3238</v>
      </c>
    </row>
    <row r="69" spans="1:6">
      <c r="A69" s="2" t="s">
        <v>3138</v>
      </c>
      <c r="B69" s="2" t="s">
        <v>3139</v>
      </c>
      <c r="C69" s="2" t="s">
        <v>3241</v>
      </c>
      <c r="D69" s="2" t="s">
        <v>3242</v>
      </c>
      <c r="E69" s="2" t="s">
        <v>3237</v>
      </c>
      <c r="F69" s="2" t="s">
        <v>3238</v>
      </c>
    </row>
    <row r="70" spans="1:6">
      <c r="A70" s="2" t="s">
        <v>3138</v>
      </c>
      <c r="B70" s="2" t="s">
        <v>3179</v>
      </c>
      <c r="C70" s="2" t="s">
        <v>3235</v>
      </c>
      <c r="D70" s="2" t="s">
        <v>3243</v>
      </c>
      <c r="E70" s="2" t="s">
        <v>3237</v>
      </c>
      <c r="F70" s="2" t="s">
        <v>3238</v>
      </c>
    </row>
    <row r="71" spans="1:6">
      <c r="A71" s="2" t="s">
        <v>3138</v>
      </c>
      <c r="B71" s="2" t="s">
        <v>3179</v>
      </c>
      <c r="C71" s="2" t="s">
        <v>3239</v>
      </c>
      <c r="D71" s="2" t="s">
        <v>3244</v>
      </c>
      <c r="E71" s="2" t="s">
        <v>3237</v>
      </c>
      <c r="F71" s="2" t="s">
        <v>3238</v>
      </c>
    </row>
    <row r="72" spans="1:6">
      <c r="A72" s="2" t="s">
        <v>3138</v>
      </c>
      <c r="B72" s="2" t="s">
        <v>3179</v>
      </c>
      <c r="C72" s="2" t="s">
        <v>3241</v>
      </c>
      <c r="D72" s="2" t="s">
        <v>3245</v>
      </c>
      <c r="E72" s="2" t="s">
        <v>3237</v>
      </c>
      <c r="F72" s="2" t="s">
        <v>3238</v>
      </c>
    </row>
    <row r="73" spans="1:6">
      <c r="A73" s="2" t="s">
        <v>3246</v>
      </c>
      <c r="B73" s="2" t="s">
        <v>3139</v>
      </c>
      <c r="C73" s="2" t="s">
        <v>3140</v>
      </c>
      <c r="D73" s="2" t="s">
        <v>3141</v>
      </c>
      <c r="E73" s="2" t="s">
        <v>3142</v>
      </c>
      <c r="F73" s="2" t="s">
        <v>3143</v>
      </c>
    </row>
    <row r="74" spans="1:6">
      <c r="A74" s="2" t="s">
        <v>3246</v>
      </c>
      <c r="B74" s="2" t="s">
        <v>3139</v>
      </c>
      <c r="C74" s="2" t="s">
        <v>3144</v>
      </c>
      <c r="D74" s="2" t="s">
        <v>3145</v>
      </c>
      <c r="E74" s="2" t="s">
        <v>3142</v>
      </c>
      <c r="F74" s="2" t="s">
        <v>3143</v>
      </c>
    </row>
    <row r="75" spans="1:6">
      <c r="A75" s="2" t="s">
        <v>3246</v>
      </c>
      <c r="B75" s="2" t="s">
        <v>3139</v>
      </c>
      <c r="C75" s="2" t="s">
        <v>66</v>
      </c>
      <c r="D75" s="2" t="s">
        <v>3146</v>
      </c>
      <c r="E75" s="2" t="s">
        <v>3142</v>
      </c>
      <c r="F75" s="2" t="s">
        <v>3143</v>
      </c>
    </row>
    <row r="76" spans="1:6">
      <c r="A76" s="2" t="s">
        <v>3246</v>
      </c>
      <c r="B76" s="2" t="s">
        <v>3139</v>
      </c>
      <c r="C76" s="2" t="s">
        <v>3147</v>
      </c>
      <c r="D76" s="2" t="s">
        <v>3148</v>
      </c>
      <c r="E76" s="2" t="s">
        <v>3142</v>
      </c>
      <c r="F76" s="2" t="s">
        <v>3143</v>
      </c>
    </row>
    <row r="77" spans="1:6">
      <c r="A77" s="2" t="s">
        <v>3246</v>
      </c>
      <c r="B77" s="2" t="s">
        <v>3139</v>
      </c>
      <c r="C77" s="2" t="s">
        <v>3149</v>
      </c>
      <c r="D77" s="2" t="s">
        <v>3150</v>
      </c>
      <c r="E77" s="2" t="s">
        <v>3142</v>
      </c>
      <c r="F77" s="2" t="s">
        <v>3143</v>
      </c>
    </row>
    <row r="78" spans="1:6">
      <c r="A78" s="2" t="s">
        <v>3246</v>
      </c>
      <c r="B78" s="2" t="s">
        <v>3139</v>
      </c>
      <c r="C78" s="2" t="s">
        <v>3151</v>
      </c>
      <c r="D78" s="2" t="s">
        <v>3152</v>
      </c>
      <c r="E78" s="2" t="s">
        <v>3142</v>
      </c>
      <c r="F78" s="2" t="s">
        <v>3143</v>
      </c>
    </row>
    <row r="79" spans="1:6">
      <c r="A79" s="2" t="s">
        <v>3246</v>
      </c>
      <c r="B79" s="2" t="s">
        <v>3139</v>
      </c>
      <c r="C79" s="2" t="s">
        <v>3153</v>
      </c>
      <c r="D79" s="2" t="s">
        <v>3154</v>
      </c>
      <c r="E79" s="2" t="s">
        <v>3142</v>
      </c>
      <c r="F79" s="2" t="s">
        <v>3143</v>
      </c>
    </row>
    <row r="80" spans="1:6">
      <c r="A80" s="2" t="s">
        <v>3246</v>
      </c>
      <c r="B80" s="2" t="s">
        <v>3139</v>
      </c>
      <c r="C80" s="2" t="s">
        <v>3155</v>
      </c>
      <c r="D80" s="2" t="s">
        <v>3156</v>
      </c>
      <c r="E80" s="2" t="s">
        <v>3142</v>
      </c>
      <c r="F80" s="2" t="s">
        <v>3143</v>
      </c>
    </row>
    <row r="81" spans="1:6">
      <c r="A81" s="2" t="s">
        <v>3246</v>
      </c>
      <c r="B81" s="2" t="s">
        <v>3139</v>
      </c>
      <c r="C81" s="2" t="s">
        <v>3157</v>
      </c>
      <c r="D81" s="2" t="s">
        <v>3158</v>
      </c>
      <c r="E81" s="2" t="s">
        <v>3142</v>
      </c>
      <c r="F81" s="2" t="s">
        <v>3143</v>
      </c>
    </row>
    <row r="82" spans="1:6">
      <c r="A82" s="2" t="s">
        <v>3246</v>
      </c>
      <c r="B82" s="2" t="s">
        <v>3139</v>
      </c>
      <c r="C82" s="2" t="s">
        <v>3159</v>
      </c>
      <c r="D82" s="2" t="s">
        <v>3160</v>
      </c>
      <c r="E82" s="2" t="s">
        <v>3142</v>
      </c>
      <c r="F82" s="2" t="s">
        <v>3143</v>
      </c>
    </row>
    <row r="83" spans="1:6">
      <c r="A83" s="2" t="s">
        <v>3246</v>
      </c>
      <c r="B83" s="2" t="s">
        <v>3139</v>
      </c>
      <c r="C83" s="2" t="s">
        <v>3161</v>
      </c>
      <c r="D83" s="2" t="s">
        <v>3162</v>
      </c>
      <c r="E83" s="2" t="s">
        <v>3142</v>
      </c>
      <c r="F83" s="2" t="s">
        <v>3143</v>
      </c>
    </row>
    <row r="84" spans="1:6">
      <c r="A84" s="2" t="s">
        <v>3246</v>
      </c>
      <c r="B84" s="2" t="s">
        <v>3139</v>
      </c>
      <c r="C84" s="2" t="s">
        <v>3163</v>
      </c>
      <c r="D84" s="2" t="s">
        <v>3164</v>
      </c>
      <c r="E84" s="2" t="s">
        <v>3142</v>
      </c>
      <c r="F84" s="2" t="s">
        <v>3143</v>
      </c>
    </row>
    <row r="85" spans="1:6">
      <c r="A85" s="2" t="s">
        <v>3246</v>
      </c>
      <c r="B85" s="2" t="s">
        <v>3139</v>
      </c>
      <c r="C85" s="2" t="s">
        <v>3165</v>
      </c>
      <c r="D85" s="2" t="s">
        <v>3166</v>
      </c>
      <c r="E85" s="2" t="s">
        <v>3142</v>
      </c>
      <c r="F85" s="2" t="s">
        <v>3143</v>
      </c>
    </row>
    <row r="86" spans="1:6">
      <c r="A86" s="2" t="s">
        <v>3246</v>
      </c>
      <c r="B86" s="2" t="s">
        <v>3139</v>
      </c>
      <c r="C86" s="2" t="s">
        <v>3167</v>
      </c>
      <c r="D86" s="2" t="s">
        <v>3168</v>
      </c>
      <c r="E86" s="2" t="s">
        <v>3142</v>
      </c>
      <c r="F86" s="2" t="s">
        <v>3143</v>
      </c>
    </row>
    <row r="87" spans="1:6">
      <c r="A87" s="2" t="s">
        <v>3246</v>
      </c>
      <c r="B87" s="2" t="s">
        <v>3139</v>
      </c>
      <c r="C87" s="2" t="s">
        <v>3169</v>
      </c>
      <c r="D87" s="2" t="s">
        <v>3170</v>
      </c>
      <c r="E87" s="2" t="s">
        <v>3142</v>
      </c>
      <c r="F87" s="2" t="s">
        <v>3143</v>
      </c>
    </row>
    <row r="88" spans="1:6">
      <c r="A88" s="2" t="s">
        <v>3246</v>
      </c>
      <c r="B88" s="2" t="s">
        <v>3139</v>
      </c>
      <c r="C88" s="2" t="s">
        <v>3171</v>
      </c>
      <c r="D88" s="2" t="s">
        <v>3172</v>
      </c>
      <c r="E88" s="2" t="s">
        <v>3142</v>
      </c>
      <c r="F88" s="2" t="s">
        <v>3143</v>
      </c>
    </row>
    <row r="89" spans="1:6">
      <c r="A89" s="2" t="s">
        <v>3246</v>
      </c>
      <c r="B89" s="2" t="s">
        <v>3139</v>
      </c>
      <c r="C89" s="2" t="s">
        <v>3173</v>
      </c>
      <c r="D89" s="2" t="s">
        <v>3174</v>
      </c>
      <c r="E89" s="2" t="s">
        <v>3142</v>
      </c>
      <c r="F89" s="2" t="s">
        <v>3143</v>
      </c>
    </row>
    <row r="90" spans="1:6">
      <c r="A90" s="2" t="s">
        <v>3246</v>
      </c>
      <c r="B90" s="2" t="s">
        <v>3139</v>
      </c>
      <c r="C90" s="2" t="s">
        <v>3175</v>
      </c>
      <c r="D90" s="2" t="s">
        <v>3176</v>
      </c>
      <c r="E90" s="2" t="s">
        <v>3142</v>
      </c>
      <c r="F90" s="2" t="s">
        <v>3143</v>
      </c>
    </row>
    <row r="91" spans="1:6">
      <c r="A91" s="2" t="s">
        <v>3246</v>
      </c>
      <c r="B91" s="2" t="s">
        <v>3139</v>
      </c>
      <c r="C91" s="2" t="s">
        <v>3177</v>
      </c>
      <c r="D91" s="2" t="s">
        <v>3178</v>
      </c>
      <c r="E91" s="2" t="s">
        <v>3142</v>
      </c>
      <c r="F91" s="2" t="s">
        <v>3143</v>
      </c>
    </row>
    <row r="92" spans="1:6">
      <c r="A92" s="2" t="s">
        <v>3246</v>
      </c>
      <c r="B92" s="2" t="s">
        <v>3179</v>
      </c>
      <c r="C92" s="2" t="s">
        <v>3140</v>
      </c>
      <c r="D92" s="2" t="s">
        <v>3247</v>
      </c>
      <c r="E92" s="2" t="s">
        <v>3142</v>
      </c>
      <c r="F92" s="2" t="s">
        <v>3143</v>
      </c>
    </row>
    <row r="93" spans="1:6">
      <c r="A93" s="2" t="s">
        <v>3246</v>
      </c>
      <c r="B93" s="2" t="s">
        <v>3179</v>
      </c>
      <c r="C93" s="2" t="s">
        <v>3144</v>
      </c>
      <c r="D93" s="2" t="s">
        <v>3248</v>
      </c>
      <c r="E93" s="2" t="s">
        <v>3142</v>
      </c>
      <c r="F93" s="2" t="s">
        <v>3143</v>
      </c>
    </row>
    <row r="94" spans="1:6">
      <c r="A94" s="2" t="s">
        <v>3246</v>
      </c>
      <c r="B94" s="2" t="s">
        <v>3179</v>
      </c>
      <c r="C94" s="2" t="s">
        <v>66</v>
      </c>
      <c r="D94" s="2" t="s">
        <v>3249</v>
      </c>
      <c r="E94" s="2" t="s">
        <v>3142</v>
      </c>
      <c r="F94" s="2" t="s">
        <v>3143</v>
      </c>
    </row>
    <row r="95" spans="1:6">
      <c r="A95" s="2" t="s">
        <v>3246</v>
      </c>
      <c r="B95" s="2" t="s">
        <v>3179</v>
      </c>
      <c r="C95" s="2" t="s">
        <v>3147</v>
      </c>
      <c r="D95" s="2" t="s">
        <v>3250</v>
      </c>
      <c r="E95" s="2" t="s">
        <v>3142</v>
      </c>
      <c r="F95" s="2" t="s">
        <v>3143</v>
      </c>
    </row>
    <row r="96" spans="1:6">
      <c r="A96" s="2" t="s">
        <v>3246</v>
      </c>
      <c r="B96" s="2" t="s">
        <v>3179</v>
      </c>
      <c r="C96" s="2" t="s">
        <v>3149</v>
      </c>
      <c r="D96" s="2" t="s">
        <v>3251</v>
      </c>
      <c r="E96" s="2" t="s">
        <v>3142</v>
      </c>
      <c r="F96" s="2" t="s">
        <v>3143</v>
      </c>
    </row>
    <row r="97" spans="1:6">
      <c r="A97" s="2" t="s">
        <v>3246</v>
      </c>
      <c r="B97" s="2" t="s">
        <v>3179</v>
      </c>
      <c r="C97" s="2" t="s">
        <v>3151</v>
      </c>
      <c r="D97" s="2" t="s">
        <v>3185</v>
      </c>
      <c r="E97" s="2" t="s">
        <v>3142</v>
      </c>
      <c r="F97" s="2" t="s">
        <v>3143</v>
      </c>
    </row>
    <row r="98" spans="1:6">
      <c r="A98" s="2" t="s">
        <v>3246</v>
      </c>
      <c r="B98" s="2" t="s">
        <v>3179</v>
      </c>
      <c r="C98" s="2" t="s">
        <v>3153</v>
      </c>
      <c r="D98" s="2" t="s">
        <v>3252</v>
      </c>
      <c r="E98" s="2" t="s">
        <v>3142</v>
      </c>
      <c r="F98" s="2" t="s">
        <v>3143</v>
      </c>
    </row>
    <row r="99" spans="1:6">
      <c r="A99" s="2" t="s">
        <v>3246</v>
      </c>
      <c r="B99" s="2" t="s">
        <v>3179</v>
      </c>
      <c r="C99" s="2" t="s">
        <v>3155</v>
      </c>
      <c r="D99" s="2" t="s">
        <v>3253</v>
      </c>
      <c r="E99" s="2" t="s">
        <v>3142</v>
      </c>
      <c r="F99" s="2" t="s">
        <v>3143</v>
      </c>
    </row>
    <row r="100" spans="1:6">
      <c r="A100" s="2" t="s">
        <v>3246</v>
      </c>
      <c r="B100" s="2" t="s">
        <v>3179</v>
      </c>
      <c r="C100" s="2" t="s">
        <v>3157</v>
      </c>
      <c r="D100" s="2" t="s">
        <v>3254</v>
      </c>
      <c r="E100" s="2" t="s">
        <v>3142</v>
      </c>
      <c r="F100" s="2" t="s">
        <v>3143</v>
      </c>
    </row>
    <row r="101" spans="1:6">
      <c r="A101" s="2" t="s">
        <v>3246</v>
      </c>
      <c r="B101" s="2" t="s">
        <v>3179</v>
      </c>
      <c r="C101" s="2" t="s">
        <v>3159</v>
      </c>
      <c r="D101" s="2" t="s">
        <v>3255</v>
      </c>
      <c r="E101" s="2" t="s">
        <v>3142</v>
      </c>
      <c r="F101" s="2" t="s">
        <v>3143</v>
      </c>
    </row>
    <row r="102" spans="1:6">
      <c r="A102" s="2" t="s">
        <v>3246</v>
      </c>
      <c r="B102" s="2" t="s">
        <v>3179</v>
      </c>
      <c r="C102" s="2" t="s">
        <v>3161</v>
      </c>
      <c r="D102" s="2" t="s">
        <v>3256</v>
      </c>
      <c r="E102" s="2" t="s">
        <v>3142</v>
      </c>
      <c r="F102" s="2" t="s">
        <v>3143</v>
      </c>
    </row>
    <row r="103" spans="1:6">
      <c r="A103" s="2" t="s">
        <v>3246</v>
      </c>
      <c r="B103" s="2" t="s">
        <v>3179</v>
      </c>
      <c r="C103" s="2" t="s">
        <v>3163</v>
      </c>
      <c r="D103" s="2" t="s">
        <v>3257</v>
      </c>
      <c r="E103" s="2" t="s">
        <v>3142</v>
      </c>
      <c r="F103" s="2" t="s">
        <v>3143</v>
      </c>
    </row>
    <row r="104" spans="1:6">
      <c r="A104" s="2" t="s">
        <v>3246</v>
      </c>
      <c r="B104" s="2" t="s">
        <v>3179</v>
      </c>
      <c r="C104" s="2" t="s">
        <v>3165</v>
      </c>
      <c r="D104" s="2" t="s">
        <v>3192</v>
      </c>
      <c r="E104" s="2" t="s">
        <v>3142</v>
      </c>
      <c r="F104" s="2" t="s">
        <v>3143</v>
      </c>
    </row>
    <row r="105" spans="1:6">
      <c r="A105" s="2" t="s">
        <v>3246</v>
      </c>
      <c r="B105" s="2" t="s">
        <v>3179</v>
      </c>
      <c r="C105" s="2" t="s">
        <v>3167</v>
      </c>
      <c r="D105" s="2" t="s">
        <v>3168</v>
      </c>
      <c r="E105" s="2" t="s">
        <v>3142</v>
      </c>
      <c r="F105" s="2" t="s">
        <v>3143</v>
      </c>
    </row>
    <row r="106" spans="1:6">
      <c r="A106" s="2" t="s">
        <v>3246</v>
      </c>
      <c r="B106" s="2" t="s">
        <v>3179</v>
      </c>
      <c r="C106" s="2" t="s">
        <v>3169</v>
      </c>
      <c r="D106" s="2" t="s">
        <v>3258</v>
      </c>
      <c r="E106" s="2" t="s">
        <v>3142</v>
      </c>
      <c r="F106" s="2" t="s">
        <v>3143</v>
      </c>
    </row>
    <row r="107" spans="1:6">
      <c r="A107" s="2" t="s">
        <v>3246</v>
      </c>
      <c r="B107" s="2" t="s">
        <v>3179</v>
      </c>
      <c r="C107" s="2" t="s">
        <v>3171</v>
      </c>
      <c r="D107" s="2" t="s">
        <v>3259</v>
      </c>
      <c r="E107" s="2" t="s">
        <v>3142</v>
      </c>
      <c r="F107" s="2" t="s">
        <v>3143</v>
      </c>
    </row>
    <row r="108" spans="1:6">
      <c r="A108" s="2" t="s">
        <v>3246</v>
      </c>
      <c r="B108" s="2" t="s">
        <v>3179</v>
      </c>
      <c r="C108" s="2" t="s">
        <v>3173</v>
      </c>
      <c r="D108" s="2" t="s">
        <v>3260</v>
      </c>
      <c r="E108" s="2" t="s">
        <v>3142</v>
      </c>
      <c r="F108" s="2" t="s">
        <v>3143</v>
      </c>
    </row>
    <row r="109" spans="1:6">
      <c r="A109" s="2" t="s">
        <v>3246</v>
      </c>
      <c r="B109" s="2" t="s">
        <v>3179</v>
      </c>
      <c r="C109" s="2" t="s">
        <v>3175</v>
      </c>
      <c r="D109" s="2" t="s">
        <v>3261</v>
      </c>
      <c r="E109" s="2" t="s">
        <v>3142</v>
      </c>
      <c r="F109" s="2" t="s">
        <v>3143</v>
      </c>
    </row>
    <row r="110" spans="1:6">
      <c r="A110" s="2" t="s">
        <v>3246</v>
      </c>
      <c r="B110" s="2" t="s">
        <v>3179</v>
      </c>
      <c r="C110" s="2" t="s">
        <v>3177</v>
      </c>
      <c r="D110" s="2" t="s">
        <v>3262</v>
      </c>
      <c r="E110" s="2" t="s">
        <v>3142</v>
      </c>
      <c r="F110" s="2" t="s">
        <v>3143</v>
      </c>
    </row>
    <row r="111" spans="1:6">
      <c r="A111" s="2" t="s">
        <v>3246</v>
      </c>
      <c r="B111" s="2" t="s">
        <v>3198</v>
      </c>
      <c r="C111" s="2" t="s">
        <v>3140</v>
      </c>
      <c r="D111" s="2" t="s">
        <v>3263</v>
      </c>
      <c r="E111" s="2" t="s">
        <v>3142</v>
      </c>
      <c r="F111" s="2" t="s">
        <v>3143</v>
      </c>
    </row>
    <row r="112" spans="1:6">
      <c r="A112" s="2" t="s">
        <v>3246</v>
      </c>
      <c r="B112" s="2" t="s">
        <v>3198</v>
      </c>
      <c r="C112" s="2" t="s">
        <v>3144</v>
      </c>
      <c r="D112" s="2" t="s">
        <v>3264</v>
      </c>
      <c r="E112" s="2" t="s">
        <v>3142</v>
      </c>
      <c r="F112" s="2" t="s">
        <v>3143</v>
      </c>
    </row>
    <row r="113" spans="1:6">
      <c r="A113" s="2" t="s">
        <v>3246</v>
      </c>
      <c r="B113" s="2" t="s">
        <v>3198</v>
      </c>
      <c r="C113" s="2" t="s">
        <v>66</v>
      </c>
      <c r="D113" s="2" t="s">
        <v>3249</v>
      </c>
      <c r="E113" s="2" t="s">
        <v>3142</v>
      </c>
      <c r="F113" s="2" t="s">
        <v>3143</v>
      </c>
    </row>
    <row r="114" spans="1:6">
      <c r="A114" s="2" t="s">
        <v>3246</v>
      </c>
      <c r="B114" s="2" t="s">
        <v>3198</v>
      </c>
      <c r="C114" s="2" t="s">
        <v>3147</v>
      </c>
      <c r="D114" s="2" t="s">
        <v>3265</v>
      </c>
      <c r="E114" s="2" t="s">
        <v>3142</v>
      </c>
      <c r="F114" s="2" t="s">
        <v>3143</v>
      </c>
    </row>
    <row r="115" spans="1:6">
      <c r="A115" s="2" t="s">
        <v>3246</v>
      </c>
      <c r="B115" s="2" t="s">
        <v>3198</v>
      </c>
      <c r="C115" s="2" t="s">
        <v>3149</v>
      </c>
      <c r="D115" s="2" t="s">
        <v>3266</v>
      </c>
      <c r="E115" s="2" t="s">
        <v>3142</v>
      </c>
      <c r="F115" s="2" t="s">
        <v>3143</v>
      </c>
    </row>
    <row r="116" spans="1:6">
      <c r="A116" s="2" t="s">
        <v>3246</v>
      </c>
      <c r="B116" s="2" t="s">
        <v>3198</v>
      </c>
      <c r="C116" s="2" t="s">
        <v>3151</v>
      </c>
      <c r="D116" s="2" t="s">
        <v>3203</v>
      </c>
      <c r="E116" s="2" t="s">
        <v>3142</v>
      </c>
      <c r="F116" s="2" t="s">
        <v>3143</v>
      </c>
    </row>
    <row r="117" spans="1:6">
      <c r="A117" s="2" t="s">
        <v>3246</v>
      </c>
      <c r="B117" s="2" t="s">
        <v>3198</v>
      </c>
      <c r="C117" s="2" t="s">
        <v>3153</v>
      </c>
      <c r="D117" s="2" t="s">
        <v>3267</v>
      </c>
      <c r="E117" s="2" t="s">
        <v>3142</v>
      </c>
      <c r="F117" s="2" t="s">
        <v>3143</v>
      </c>
    </row>
    <row r="118" spans="1:6">
      <c r="A118" s="2" t="s">
        <v>3246</v>
      </c>
      <c r="B118" s="2" t="s">
        <v>3198</v>
      </c>
      <c r="C118" s="2" t="s">
        <v>3155</v>
      </c>
      <c r="D118" s="2" t="s">
        <v>3268</v>
      </c>
      <c r="E118" s="2" t="s">
        <v>3142</v>
      </c>
      <c r="F118" s="2" t="s">
        <v>3143</v>
      </c>
    </row>
    <row r="119" spans="1:6">
      <c r="A119" s="2" t="s">
        <v>3246</v>
      </c>
      <c r="B119" s="2" t="s">
        <v>3198</v>
      </c>
      <c r="C119" s="2" t="s">
        <v>3157</v>
      </c>
      <c r="D119" s="2" t="s">
        <v>3269</v>
      </c>
      <c r="E119" s="2" t="s">
        <v>3142</v>
      </c>
      <c r="F119" s="2" t="s">
        <v>3143</v>
      </c>
    </row>
    <row r="120" spans="1:6">
      <c r="A120" s="2" t="s">
        <v>3246</v>
      </c>
      <c r="B120" s="2" t="s">
        <v>3198</v>
      </c>
      <c r="C120" s="2" t="s">
        <v>3159</v>
      </c>
      <c r="D120" s="2" t="s">
        <v>3270</v>
      </c>
      <c r="E120" s="2" t="s">
        <v>3142</v>
      </c>
      <c r="F120" s="2" t="s">
        <v>3143</v>
      </c>
    </row>
    <row r="121" spans="1:6">
      <c r="A121" s="2" t="s">
        <v>3246</v>
      </c>
      <c r="B121" s="2" t="s">
        <v>3198</v>
      </c>
      <c r="C121" s="2" t="s">
        <v>3161</v>
      </c>
      <c r="D121" s="2" t="s">
        <v>3271</v>
      </c>
      <c r="E121" s="2" t="s">
        <v>3142</v>
      </c>
      <c r="F121" s="2" t="s">
        <v>3143</v>
      </c>
    </row>
    <row r="122" spans="1:6">
      <c r="A122" s="2" t="s">
        <v>3246</v>
      </c>
      <c r="B122" s="2" t="s">
        <v>3198</v>
      </c>
      <c r="C122" s="2" t="s">
        <v>3163</v>
      </c>
      <c r="D122" s="2" t="s">
        <v>3272</v>
      </c>
      <c r="E122" s="2" t="s">
        <v>3142</v>
      </c>
      <c r="F122" s="2" t="s">
        <v>3143</v>
      </c>
    </row>
    <row r="123" spans="1:6">
      <c r="A123" s="2" t="s">
        <v>3246</v>
      </c>
      <c r="B123" s="2" t="s">
        <v>3198</v>
      </c>
      <c r="C123" s="2" t="s">
        <v>3165</v>
      </c>
      <c r="D123" s="2" t="s">
        <v>3192</v>
      </c>
      <c r="E123" s="2" t="s">
        <v>3142</v>
      </c>
      <c r="F123" s="2" t="s">
        <v>3143</v>
      </c>
    </row>
    <row r="124" spans="1:6">
      <c r="A124" s="2" t="s">
        <v>3246</v>
      </c>
      <c r="B124" s="2" t="s">
        <v>3198</v>
      </c>
      <c r="C124" s="2" t="s">
        <v>3167</v>
      </c>
      <c r="D124" s="2" t="s">
        <v>3168</v>
      </c>
      <c r="E124" s="2" t="s">
        <v>3142</v>
      </c>
      <c r="F124" s="2" t="s">
        <v>3143</v>
      </c>
    </row>
    <row r="125" spans="1:6">
      <c r="A125" s="2" t="s">
        <v>3246</v>
      </c>
      <c r="B125" s="2" t="s">
        <v>3198</v>
      </c>
      <c r="C125" s="2" t="s">
        <v>3169</v>
      </c>
      <c r="D125" s="2" t="s">
        <v>3273</v>
      </c>
      <c r="E125" s="2" t="s">
        <v>3142</v>
      </c>
      <c r="F125" s="2" t="s">
        <v>3143</v>
      </c>
    </row>
    <row r="126" spans="1:6">
      <c r="A126" s="2" t="s">
        <v>3246</v>
      </c>
      <c r="B126" s="2" t="s">
        <v>3198</v>
      </c>
      <c r="C126" s="2" t="s">
        <v>3171</v>
      </c>
      <c r="D126" s="2" t="s">
        <v>3274</v>
      </c>
      <c r="E126" s="2" t="s">
        <v>3142</v>
      </c>
      <c r="F126" s="2" t="s">
        <v>3143</v>
      </c>
    </row>
    <row r="127" spans="1:6">
      <c r="A127" s="2" t="s">
        <v>3246</v>
      </c>
      <c r="B127" s="2" t="s">
        <v>3198</v>
      </c>
      <c r="C127" s="2" t="s">
        <v>3173</v>
      </c>
      <c r="D127" s="2" t="s">
        <v>3275</v>
      </c>
      <c r="E127" s="2" t="s">
        <v>3142</v>
      </c>
      <c r="F127" s="2" t="s">
        <v>3143</v>
      </c>
    </row>
    <row r="128" spans="1:6">
      <c r="A128" s="2" t="s">
        <v>3246</v>
      </c>
      <c r="B128" s="2" t="s">
        <v>3198</v>
      </c>
      <c r="C128" s="2" t="s">
        <v>3175</v>
      </c>
      <c r="D128" s="2" t="s">
        <v>3276</v>
      </c>
      <c r="E128" s="2" t="s">
        <v>3142</v>
      </c>
      <c r="F128" s="2" t="s">
        <v>3143</v>
      </c>
    </row>
    <row r="129" spans="1:6">
      <c r="A129" s="2" t="s">
        <v>3246</v>
      </c>
      <c r="B129" s="2" t="s">
        <v>3198</v>
      </c>
      <c r="C129" s="2" t="s">
        <v>3177</v>
      </c>
      <c r="D129" s="2" t="s">
        <v>3277</v>
      </c>
      <c r="E129" s="2" t="s">
        <v>3142</v>
      </c>
      <c r="F129" s="2" t="s">
        <v>3143</v>
      </c>
    </row>
    <row r="130" spans="1:6">
      <c r="A130" s="2" t="s">
        <v>3246</v>
      </c>
      <c r="B130" s="2" t="s">
        <v>3216</v>
      </c>
      <c r="C130" s="2" t="s">
        <v>3217</v>
      </c>
      <c r="D130" s="2" t="s">
        <v>3278</v>
      </c>
      <c r="E130" s="2" t="s">
        <v>3219</v>
      </c>
      <c r="F130" s="2" t="s">
        <v>3220</v>
      </c>
    </row>
    <row r="131" spans="1:6">
      <c r="A131" s="2" t="s">
        <v>3246</v>
      </c>
      <c r="B131" s="2" t="s">
        <v>3216</v>
      </c>
      <c r="C131" s="2" t="s">
        <v>3221</v>
      </c>
      <c r="D131" s="2" t="s">
        <v>3222</v>
      </c>
      <c r="E131" s="2" t="s">
        <v>3219</v>
      </c>
      <c r="F131" s="2" t="s">
        <v>3220</v>
      </c>
    </row>
    <row r="132" spans="1:6">
      <c r="A132" s="2" t="s">
        <v>3246</v>
      </c>
      <c r="B132" s="2" t="s">
        <v>3216</v>
      </c>
      <c r="C132" s="2" t="s">
        <v>3223</v>
      </c>
      <c r="D132" s="2" t="s">
        <v>3279</v>
      </c>
      <c r="E132" s="2" t="s">
        <v>3219</v>
      </c>
      <c r="F132" s="2" t="s">
        <v>3220</v>
      </c>
    </row>
    <row r="133" spans="1:6">
      <c r="A133" s="2" t="s">
        <v>3246</v>
      </c>
      <c r="B133" s="2" t="s">
        <v>3216</v>
      </c>
      <c r="C133" s="2" t="s">
        <v>3225</v>
      </c>
      <c r="D133" s="2" t="s">
        <v>3226</v>
      </c>
      <c r="E133" s="2" t="s">
        <v>3219</v>
      </c>
      <c r="F133" s="2" t="s">
        <v>3220</v>
      </c>
    </row>
    <row r="134" spans="1:6">
      <c r="A134" s="2" t="s">
        <v>3246</v>
      </c>
      <c r="B134" s="2" t="s">
        <v>3216</v>
      </c>
      <c r="C134" s="2" t="s">
        <v>3227</v>
      </c>
      <c r="D134" s="2" t="s">
        <v>3228</v>
      </c>
      <c r="E134" s="2" t="s">
        <v>3219</v>
      </c>
      <c r="F134" s="2" t="s">
        <v>3220</v>
      </c>
    </row>
    <row r="135" spans="1:6">
      <c r="A135" s="2" t="s">
        <v>3246</v>
      </c>
      <c r="B135" s="2" t="s">
        <v>3216</v>
      </c>
      <c r="C135" s="2" t="s">
        <v>3229</v>
      </c>
      <c r="D135" s="2" t="s">
        <v>3230</v>
      </c>
      <c r="E135" s="2" t="s">
        <v>3219</v>
      </c>
      <c r="F135" s="2" t="s">
        <v>3220</v>
      </c>
    </row>
    <row r="136" spans="1:6">
      <c r="A136" s="2" t="s">
        <v>3246</v>
      </c>
      <c r="B136" s="2" t="s">
        <v>3216</v>
      </c>
      <c r="C136" s="2" t="s">
        <v>3231</v>
      </c>
      <c r="D136" s="2" t="s">
        <v>3232</v>
      </c>
      <c r="E136" s="2" t="s">
        <v>3219</v>
      </c>
      <c r="F136" s="2" t="s">
        <v>3220</v>
      </c>
    </row>
    <row r="137" spans="1:6">
      <c r="A137" s="2" t="s">
        <v>3246</v>
      </c>
      <c r="B137" s="2" t="s">
        <v>3216</v>
      </c>
      <c r="C137" s="2" t="s">
        <v>3233</v>
      </c>
      <c r="D137" s="2" t="s">
        <v>3280</v>
      </c>
      <c r="E137" s="2" t="s">
        <v>3219</v>
      </c>
      <c r="F137" s="2" t="s">
        <v>3220</v>
      </c>
    </row>
    <row r="138" spans="1:6">
      <c r="A138" s="2" t="s">
        <v>3281</v>
      </c>
      <c r="B138" s="2" t="s">
        <v>3139</v>
      </c>
      <c r="C138" s="2" t="s">
        <v>3140</v>
      </c>
      <c r="D138" s="2" t="s">
        <v>3282</v>
      </c>
      <c r="E138" s="2" t="s">
        <v>3142</v>
      </c>
      <c r="F138" s="2" t="s">
        <v>3143</v>
      </c>
    </row>
    <row r="139" spans="1:6">
      <c r="A139" s="2" t="s">
        <v>3281</v>
      </c>
      <c r="B139" s="2" t="s">
        <v>3139</v>
      </c>
      <c r="C139" s="2" t="s">
        <v>3144</v>
      </c>
      <c r="D139" s="2" t="s">
        <v>3283</v>
      </c>
      <c r="E139" s="2" t="s">
        <v>3142</v>
      </c>
      <c r="F139" s="2" t="s">
        <v>3143</v>
      </c>
    </row>
    <row r="140" spans="1:6">
      <c r="A140" s="2" t="s">
        <v>3281</v>
      </c>
      <c r="B140" s="2" t="s">
        <v>3139</v>
      </c>
      <c r="C140" s="2" t="s">
        <v>66</v>
      </c>
      <c r="D140" s="2" t="s">
        <v>3284</v>
      </c>
      <c r="E140" s="2" t="s">
        <v>3142</v>
      </c>
      <c r="F140" s="2" t="s">
        <v>3143</v>
      </c>
    </row>
    <row r="141" spans="1:6">
      <c r="A141" s="2" t="s">
        <v>3281</v>
      </c>
      <c r="B141" s="2" t="s">
        <v>3139</v>
      </c>
      <c r="C141" s="2" t="s">
        <v>3147</v>
      </c>
      <c r="D141" s="2" t="s">
        <v>3285</v>
      </c>
      <c r="E141" s="2" t="s">
        <v>3142</v>
      </c>
      <c r="F141" s="2" t="s">
        <v>3143</v>
      </c>
    </row>
    <row r="142" spans="1:6">
      <c r="A142" s="2" t="s">
        <v>3281</v>
      </c>
      <c r="B142" s="2" t="s">
        <v>3139</v>
      </c>
      <c r="C142" s="2" t="s">
        <v>3149</v>
      </c>
      <c r="D142" s="2" t="s">
        <v>3286</v>
      </c>
      <c r="E142" s="2" t="s">
        <v>3142</v>
      </c>
      <c r="F142" s="2" t="s">
        <v>3143</v>
      </c>
    </row>
    <row r="143" spans="1:6">
      <c r="A143" s="2" t="s">
        <v>3281</v>
      </c>
      <c r="B143" s="2" t="s">
        <v>3139</v>
      </c>
      <c r="C143" s="2" t="s">
        <v>3151</v>
      </c>
      <c r="D143" s="2" t="s">
        <v>3152</v>
      </c>
      <c r="E143" s="2" t="s">
        <v>3142</v>
      </c>
      <c r="F143" s="2" t="s">
        <v>3143</v>
      </c>
    </row>
    <row r="144" spans="1:6">
      <c r="A144" s="2" t="s">
        <v>3281</v>
      </c>
      <c r="B144" s="2" t="s">
        <v>3139</v>
      </c>
      <c r="C144" s="2" t="s">
        <v>3153</v>
      </c>
      <c r="D144" s="2" t="s">
        <v>3154</v>
      </c>
      <c r="E144" s="2" t="s">
        <v>3142</v>
      </c>
      <c r="F144" s="2" t="s">
        <v>3143</v>
      </c>
    </row>
    <row r="145" spans="1:6">
      <c r="A145" s="2" t="s">
        <v>3281</v>
      </c>
      <c r="B145" s="2" t="s">
        <v>3139</v>
      </c>
      <c r="C145" s="2" t="s">
        <v>3155</v>
      </c>
      <c r="D145" s="2" t="s">
        <v>3287</v>
      </c>
      <c r="E145" s="2" t="s">
        <v>3142</v>
      </c>
      <c r="F145" s="2" t="s">
        <v>3143</v>
      </c>
    </row>
    <row r="146" spans="1:6">
      <c r="A146" s="2" t="s">
        <v>3281</v>
      </c>
      <c r="B146" s="2" t="s">
        <v>3139</v>
      </c>
      <c r="C146" s="2" t="s">
        <v>3157</v>
      </c>
      <c r="D146" s="2" t="s">
        <v>3288</v>
      </c>
      <c r="E146" s="2" t="s">
        <v>3142</v>
      </c>
      <c r="F146" s="2" t="s">
        <v>3143</v>
      </c>
    </row>
    <row r="147" spans="1:6">
      <c r="A147" s="2" t="s">
        <v>3281</v>
      </c>
      <c r="B147" s="2" t="s">
        <v>3139</v>
      </c>
      <c r="C147" s="2" t="s">
        <v>3159</v>
      </c>
      <c r="D147" s="2" t="s">
        <v>3289</v>
      </c>
      <c r="E147" s="2" t="s">
        <v>3142</v>
      </c>
      <c r="F147" s="2" t="s">
        <v>3143</v>
      </c>
    </row>
    <row r="148" spans="1:6">
      <c r="A148" s="2" t="s">
        <v>3281</v>
      </c>
      <c r="B148" s="2" t="s">
        <v>3139</v>
      </c>
      <c r="C148" s="2" t="s">
        <v>3161</v>
      </c>
      <c r="D148" s="2" t="s">
        <v>3290</v>
      </c>
      <c r="E148" s="2" t="s">
        <v>3142</v>
      </c>
      <c r="F148" s="2" t="s">
        <v>3143</v>
      </c>
    </row>
    <row r="149" spans="1:6">
      <c r="A149" s="2" t="s">
        <v>3281</v>
      </c>
      <c r="B149" s="2" t="s">
        <v>3139</v>
      </c>
      <c r="C149" s="2" t="s">
        <v>3163</v>
      </c>
      <c r="D149" s="2" t="s">
        <v>3291</v>
      </c>
      <c r="E149" s="2" t="s">
        <v>3142</v>
      </c>
      <c r="F149" s="2" t="s">
        <v>3143</v>
      </c>
    </row>
    <row r="150" spans="1:6">
      <c r="A150" s="2" t="s">
        <v>3281</v>
      </c>
      <c r="B150" s="2" t="s">
        <v>3139</v>
      </c>
      <c r="C150" s="2" t="s">
        <v>3165</v>
      </c>
      <c r="D150" s="2" t="s">
        <v>3292</v>
      </c>
      <c r="E150" s="2" t="s">
        <v>3142</v>
      </c>
      <c r="F150" s="2" t="s">
        <v>3143</v>
      </c>
    </row>
    <row r="151" spans="1:6">
      <c r="A151" s="2" t="s">
        <v>3281</v>
      </c>
      <c r="B151" s="2" t="s">
        <v>3139</v>
      </c>
      <c r="C151" s="2" t="s">
        <v>3167</v>
      </c>
      <c r="D151" s="2" t="s">
        <v>3168</v>
      </c>
      <c r="E151" s="2" t="s">
        <v>3142</v>
      </c>
      <c r="F151" s="2" t="s">
        <v>3143</v>
      </c>
    </row>
    <row r="152" spans="1:6">
      <c r="A152" s="2" t="s">
        <v>3281</v>
      </c>
      <c r="B152" s="2" t="s">
        <v>3139</v>
      </c>
      <c r="C152" s="2" t="s">
        <v>3169</v>
      </c>
      <c r="D152" s="2" t="s">
        <v>3293</v>
      </c>
      <c r="E152" s="2" t="s">
        <v>3142</v>
      </c>
      <c r="F152" s="2" t="s">
        <v>3143</v>
      </c>
    </row>
    <row r="153" spans="1:6">
      <c r="A153" s="2" t="s">
        <v>3281</v>
      </c>
      <c r="B153" s="2" t="s">
        <v>3139</v>
      </c>
      <c r="C153" s="2" t="s">
        <v>3171</v>
      </c>
      <c r="D153" s="2" t="s">
        <v>3294</v>
      </c>
      <c r="E153" s="2" t="s">
        <v>3142</v>
      </c>
      <c r="F153" s="2" t="s">
        <v>3143</v>
      </c>
    </row>
    <row r="154" spans="1:6">
      <c r="A154" s="2" t="s">
        <v>3281</v>
      </c>
      <c r="B154" s="2" t="s">
        <v>3139</v>
      </c>
      <c r="C154" s="2" t="s">
        <v>3173</v>
      </c>
      <c r="D154" s="2" t="s">
        <v>3295</v>
      </c>
      <c r="E154" s="2" t="s">
        <v>3142</v>
      </c>
      <c r="F154" s="2" t="s">
        <v>3143</v>
      </c>
    </row>
    <row r="155" spans="1:6">
      <c r="A155" s="2" t="s">
        <v>3281</v>
      </c>
      <c r="B155" s="2" t="s">
        <v>3139</v>
      </c>
      <c r="C155" s="2" t="s">
        <v>3175</v>
      </c>
      <c r="D155" s="2" t="s">
        <v>3296</v>
      </c>
      <c r="E155" s="2" t="s">
        <v>3142</v>
      </c>
      <c r="F155" s="2" t="s">
        <v>3143</v>
      </c>
    </row>
    <row r="156" spans="1:6">
      <c r="A156" s="2" t="s">
        <v>3281</v>
      </c>
      <c r="B156" s="2" t="s">
        <v>3139</v>
      </c>
      <c r="C156" s="2" t="s">
        <v>3177</v>
      </c>
      <c r="D156" s="2" t="s">
        <v>3297</v>
      </c>
      <c r="E156" s="2" t="s">
        <v>3142</v>
      </c>
      <c r="F156" s="2" t="s">
        <v>3143</v>
      </c>
    </row>
    <row r="157" spans="1:6">
      <c r="A157" s="2" t="s">
        <v>3281</v>
      </c>
      <c r="B157" s="2" t="s">
        <v>3179</v>
      </c>
      <c r="C157" s="2" t="s">
        <v>3140</v>
      </c>
      <c r="D157" s="2" t="s">
        <v>3298</v>
      </c>
      <c r="E157" s="2" t="s">
        <v>3142</v>
      </c>
      <c r="F157" s="2" t="s">
        <v>3143</v>
      </c>
    </row>
    <row r="158" spans="1:6">
      <c r="A158" s="2" t="s">
        <v>3281</v>
      </c>
      <c r="B158" s="2" t="s">
        <v>3179</v>
      </c>
      <c r="C158" s="2" t="s">
        <v>3144</v>
      </c>
      <c r="D158" s="2" t="s">
        <v>3299</v>
      </c>
      <c r="E158" s="2" t="s">
        <v>3142</v>
      </c>
      <c r="F158" s="2" t="s">
        <v>3143</v>
      </c>
    </row>
    <row r="159" spans="1:6">
      <c r="A159" s="2" t="s">
        <v>3281</v>
      </c>
      <c r="B159" s="2" t="s">
        <v>3179</v>
      </c>
      <c r="C159" s="2" t="s">
        <v>66</v>
      </c>
      <c r="D159" s="2" t="s">
        <v>3249</v>
      </c>
      <c r="E159" s="2" t="s">
        <v>3142</v>
      </c>
      <c r="F159" s="2" t="s">
        <v>3143</v>
      </c>
    </row>
    <row r="160" spans="1:6">
      <c r="A160" s="2" t="s">
        <v>3281</v>
      </c>
      <c r="B160" s="2" t="s">
        <v>3179</v>
      </c>
      <c r="C160" s="2" t="s">
        <v>3147</v>
      </c>
      <c r="D160" s="2" t="s">
        <v>3300</v>
      </c>
      <c r="E160" s="2" t="s">
        <v>3142</v>
      </c>
      <c r="F160" s="2" t="s">
        <v>3143</v>
      </c>
    </row>
    <row r="161" spans="1:6">
      <c r="A161" s="2" t="s">
        <v>3281</v>
      </c>
      <c r="B161" s="2" t="s">
        <v>3179</v>
      </c>
      <c r="C161" s="2" t="s">
        <v>3149</v>
      </c>
      <c r="D161" s="2" t="s">
        <v>3301</v>
      </c>
      <c r="E161" s="2" t="s">
        <v>3142</v>
      </c>
      <c r="F161" s="2" t="s">
        <v>3143</v>
      </c>
    </row>
    <row r="162" spans="1:6">
      <c r="A162" s="2" t="s">
        <v>3281</v>
      </c>
      <c r="B162" s="2" t="s">
        <v>3179</v>
      </c>
      <c r="C162" s="2" t="s">
        <v>3151</v>
      </c>
      <c r="D162" s="2" t="s">
        <v>3185</v>
      </c>
      <c r="E162" s="2" t="s">
        <v>3142</v>
      </c>
      <c r="F162" s="2" t="s">
        <v>3143</v>
      </c>
    </row>
    <row r="163" spans="1:6">
      <c r="A163" s="2" t="s">
        <v>3281</v>
      </c>
      <c r="B163" s="2" t="s">
        <v>3179</v>
      </c>
      <c r="C163" s="2" t="s">
        <v>3153</v>
      </c>
      <c r="D163" s="2" t="s">
        <v>3186</v>
      </c>
      <c r="E163" s="2" t="s">
        <v>3142</v>
      </c>
      <c r="F163" s="2" t="s">
        <v>3143</v>
      </c>
    </row>
    <row r="164" spans="1:6">
      <c r="A164" s="2" t="s">
        <v>3281</v>
      </c>
      <c r="B164" s="2" t="s">
        <v>3179</v>
      </c>
      <c r="C164" s="2" t="s">
        <v>3155</v>
      </c>
      <c r="D164" s="2" t="s">
        <v>3302</v>
      </c>
      <c r="E164" s="2" t="s">
        <v>3142</v>
      </c>
      <c r="F164" s="2" t="s">
        <v>3143</v>
      </c>
    </row>
    <row r="165" spans="1:6">
      <c r="A165" s="2" t="s">
        <v>3281</v>
      </c>
      <c r="B165" s="2" t="s">
        <v>3179</v>
      </c>
      <c r="C165" s="2" t="s">
        <v>3157</v>
      </c>
      <c r="D165" s="2" t="s">
        <v>3303</v>
      </c>
      <c r="E165" s="2" t="s">
        <v>3142</v>
      </c>
      <c r="F165" s="2" t="s">
        <v>3143</v>
      </c>
    </row>
    <row r="166" spans="1:6">
      <c r="A166" s="2" t="s">
        <v>3281</v>
      </c>
      <c r="B166" s="2" t="s">
        <v>3179</v>
      </c>
      <c r="C166" s="2" t="s">
        <v>3159</v>
      </c>
      <c r="D166" s="2" t="s">
        <v>3304</v>
      </c>
      <c r="E166" s="2" t="s">
        <v>3142</v>
      </c>
      <c r="F166" s="2" t="s">
        <v>3143</v>
      </c>
    </row>
    <row r="167" spans="1:6">
      <c r="A167" s="2" t="s">
        <v>3281</v>
      </c>
      <c r="B167" s="2" t="s">
        <v>3179</v>
      </c>
      <c r="C167" s="2" t="s">
        <v>3161</v>
      </c>
      <c r="D167" s="2" t="s">
        <v>3305</v>
      </c>
      <c r="E167" s="2" t="s">
        <v>3142</v>
      </c>
      <c r="F167" s="2" t="s">
        <v>3143</v>
      </c>
    </row>
    <row r="168" spans="1:6">
      <c r="A168" s="2" t="s">
        <v>3281</v>
      </c>
      <c r="B168" s="2" t="s">
        <v>3179</v>
      </c>
      <c r="C168" s="2" t="s">
        <v>3163</v>
      </c>
      <c r="D168" s="2" t="s">
        <v>3306</v>
      </c>
      <c r="E168" s="2" t="s">
        <v>3142</v>
      </c>
      <c r="F168" s="2" t="s">
        <v>3143</v>
      </c>
    </row>
    <row r="169" spans="1:6">
      <c r="A169" s="2" t="s">
        <v>3281</v>
      </c>
      <c r="B169" s="2" t="s">
        <v>3179</v>
      </c>
      <c r="C169" s="2" t="s">
        <v>3165</v>
      </c>
      <c r="D169" s="2" t="s">
        <v>3192</v>
      </c>
      <c r="E169" s="2" t="s">
        <v>3142</v>
      </c>
      <c r="F169" s="2" t="s">
        <v>3143</v>
      </c>
    </row>
    <row r="170" spans="1:6">
      <c r="A170" s="2" t="s">
        <v>3281</v>
      </c>
      <c r="B170" s="2" t="s">
        <v>3179</v>
      </c>
      <c r="C170" s="2" t="s">
        <v>3167</v>
      </c>
      <c r="D170" s="2" t="s">
        <v>3168</v>
      </c>
      <c r="E170" s="2" t="s">
        <v>3142</v>
      </c>
      <c r="F170" s="2" t="s">
        <v>3143</v>
      </c>
    </row>
    <row r="171" spans="1:6">
      <c r="A171" s="2" t="s">
        <v>3281</v>
      </c>
      <c r="B171" s="2" t="s">
        <v>3179</v>
      </c>
      <c r="C171" s="2" t="s">
        <v>3169</v>
      </c>
      <c r="D171" s="2" t="s">
        <v>3307</v>
      </c>
      <c r="E171" s="2" t="s">
        <v>3142</v>
      </c>
      <c r="F171" s="2" t="s">
        <v>3143</v>
      </c>
    </row>
    <row r="172" spans="1:6">
      <c r="A172" s="2" t="s">
        <v>3281</v>
      </c>
      <c r="B172" s="2" t="s">
        <v>3179</v>
      </c>
      <c r="C172" s="2" t="s">
        <v>3171</v>
      </c>
      <c r="D172" s="2" t="s">
        <v>3308</v>
      </c>
      <c r="E172" s="2" t="s">
        <v>3142</v>
      </c>
      <c r="F172" s="2" t="s">
        <v>3143</v>
      </c>
    </row>
    <row r="173" spans="1:6">
      <c r="A173" s="2" t="s">
        <v>3281</v>
      </c>
      <c r="B173" s="2" t="s">
        <v>3179</v>
      </c>
      <c r="C173" s="2" t="s">
        <v>3173</v>
      </c>
      <c r="D173" s="2" t="s">
        <v>3309</v>
      </c>
      <c r="E173" s="2" t="s">
        <v>3142</v>
      </c>
      <c r="F173" s="2" t="s">
        <v>3143</v>
      </c>
    </row>
    <row r="174" spans="1:6">
      <c r="A174" s="2" t="s">
        <v>3281</v>
      </c>
      <c r="B174" s="2" t="s">
        <v>3179</v>
      </c>
      <c r="C174" s="2" t="s">
        <v>3175</v>
      </c>
      <c r="D174" s="2" t="s">
        <v>3310</v>
      </c>
      <c r="E174" s="2" t="s">
        <v>3142</v>
      </c>
      <c r="F174" s="2" t="s">
        <v>3143</v>
      </c>
    </row>
    <row r="175" spans="1:6">
      <c r="A175" s="2" t="s">
        <v>3281</v>
      </c>
      <c r="B175" s="2" t="s">
        <v>3179</v>
      </c>
      <c r="C175" s="2" t="s">
        <v>3177</v>
      </c>
      <c r="D175" s="2" t="s">
        <v>3311</v>
      </c>
      <c r="E175" s="2" t="s">
        <v>3142</v>
      </c>
      <c r="F175" s="2" t="s">
        <v>3143</v>
      </c>
    </row>
    <row r="176" spans="1:6">
      <c r="A176" s="2" t="s">
        <v>3281</v>
      </c>
      <c r="B176" s="2" t="s">
        <v>3198</v>
      </c>
      <c r="C176" s="2" t="s">
        <v>3140</v>
      </c>
      <c r="D176" s="2" t="s">
        <v>3312</v>
      </c>
      <c r="E176" s="2" t="s">
        <v>3142</v>
      </c>
      <c r="F176" s="2" t="s">
        <v>3143</v>
      </c>
    </row>
    <row r="177" spans="1:6">
      <c r="A177" s="2" t="s">
        <v>3281</v>
      </c>
      <c r="B177" s="2" t="s">
        <v>3198</v>
      </c>
      <c r="C177" s="2" t="s">
        <v>3144</v>
      </c>
      <c r="D177" s="2" t="s">
        <v>3313</v>
      </c>
      <c r="E177" s="2" t="s">
        <v>3142</v>
      </c>
      <c r="F177" s="2" t="s">
        <v>3143</v>
      </c>
    </row>
    <row r="178" spans="1:6">
      <c r="A178" s="2" t="s">
        <v>3281</v>
      </c>
      <c r="B178" s="2" t="s">
        <v>3198</v>
      </c>
      <c r="C178" s="2" t="s">
        <v>66</v>
      </c>
      <c r="D178" s="2" t="s">
        <v>3146</v>
      </c>
      <c r="E178" s="2" t="s">
        <v>3142</v>
      </c>
      <c r="F178" s="2" t="s">
        <v>3143</v>
      </c>
    </row>
    <row r="179" spans="1:6">
      <c r="A179" s="2" t="s">
        <v>3281</v>
      </c>
      <c r="B179" s="2" t="s">
        <v>3198</v>
      </c>
      <c r="C179" s="2" t="s">
        <v>3147</v>
      </c>
      <c r="D179" s="2" t="s">
        <v>3314</v>
      </c>
      <c r="E179" s="2" t="s">
        <v>3142</v>
      </c>
      <c r="F179" s="2" t="s">
        <v>3143</v>
      </c>
    </row>
    <row r="180" spans="1:6">
      <c r="A180" s="2" t="s">
        <v>3281</v>
      </c>
      <c r="B180" s="2" t="s">
        <v>3198</v>
      </c>
      <c r="C180" s="2" t="s">
        <v>3149</v>
      </c>
      <c r="D180" s="2" t="s">
        <v>3315</v>
      </c>
      <c r="E180" s="2" t="s">
        <v>3142</v>
      </c>
      <c r="F180" s="2" t="s">
        <v>3143</v>
      </c>
    </row>
    <row r="181" spans="1:6">
      <c r="A181" s="2" t="s">
        <v>3281</v>
      </c>
      <c r="B181" s="2" t="s">
        <v>3198</v>
      </c>
      <c r="C181" s="2" t="s">
        <v>3151</v>
      </c>
      <c r="D181" s="2" t="s">
        <v>3203</v>
      </c>
      <c r="E181" s="2" t="s">
        <v>3142</v>
      </c>
      <c r="F181" s="2" t="s">
        <v>3143</v>
      </c>
    </row>
    <row r="182" spans="1:6">
      <c r="A182" s="2" t="s">
        <v>3281</v>
      </c>
      <c r="B182" s="2" t="s">
        <v>3198</v>
      </c>
      <c r="C182" s="2" t="s">
        <v>3153</v>
      </c>
      <c r="D182" s="2" t="s">
        <v>3204</v>
      </c>
      <c r="E182" s="2" t="s">
        <v>3142</v>
      </c>
      <c r="F182" s="2" t="s">
        <v>3143</v>
      </c>
    </row>
    <row r="183" spans="1:6">
      <c r="A183" s="2" t="s">
        <v>3281</v>
      </c>
      <c r="B183" s="2" t="s">
        <v>3198</v>
      </c>
      <c r="C183" s="2" t="s">
        <v>3155</v>
      </c>
      <c r="D183" s="2" t="s">
        <v>3316</v>
      </c>
      <c r="E183" s="2" t="s">
        <v>3142</v>
      </c>
      <c r="F183" s="2" t="s">
        <v>3143</v>
      </c>
    </row>
    <row r="184" spans="1:6">
      <c r="A184" s="2" t="s">
        <v>3281</v>
      </c>
      <c r="B184" s="2" t="s">
        <v>3198</v>
      </c>
      <c r="C184" s="2" t="s">
        <v>3157</v>
      </c>
      <c r="D184" s="2" t="s">
        <v>3317</v>
      </c>
      <c r="E184" s="2" t="s">
        <v>3142</v>
      </c>
      <c r="F184" s="2" t="s">
        <v>3143</v>
      </c>
    </row>
    <row r="185" spans="1:6">
      <c r="A185" s="2" t="s">
        <v>3281</v>
      </c>
      <c r="B185" s="2" t="s">
        <v>3198</v>
      </c>
      <c r="C185" s="2" t="s">
        <v>3159</v>
      </c>
      <c r="D185" s="2" t="s">
        <v>3318</v>
      </c>
      <c r="E185" s="2" t="s">
        <v>3142</v>
      </c>
      <c r="F185" s="2" t="s">
        <v>3143</v>
      </c>
    </row>
    <row r="186" spans="1:6">
      <c r="A186" s="2" t="s">
        <v>3281</v>
      </c>
      <c r="B186" s="2" t="s">
        <v>3198</v>
      </c>
      <c r="C186" s="2" t="s">
        <v>3161</v>
      </c>
      <c r="D186" s="2" t="s">
        <v>3319</v>
      </c>
      <c r="E186" s="2" t="s">
        <v>3142</v>
      </c>
      <c r="F186" s="2" t="s">
        <v>3143</v>
      </c>
    </row>
    <row r="187" spans="1:6">
      <c r="A187" s="2" t="s">
        <v>3281</v>
      </c>
      <c r="B187" s="2" t="s">
        <v>3198</v>
      </c>
      <c r="C187" s="2" t="s">
        <v>3163</v>
      </c>
      <c r="D187" s="2" t="s">
        <v>3320</v>
      </c>
      <c r="E187" s="2" t="s">
        <v>3142</v>
      </c>
      <c r="F187" s="2" t="s">
        <v>3143</v>
      </c>
    </row>
    <row r="188" spans="1:6">
      <c r="A188" s="2" t="s">
        <v>3281</v>
      </c>
      <c r="B188" s="2" t="s">
        <v>3198</v>
      </c>
      <c r="C188" s="2" t="s">
        <v>3165</v>
      </c>
      <c r="D188" s="2" t="s">
        <v>3210</v>
      </c>
      <c r="E188" s="2" t="s">
        <v>3142</v>
      </c>
      <c r="F188" s="2" t="s">
        <v>3143</v>
      </c>
    </row>
    <row r="189" spans="1:6">
      <c r="A189" s="2" t="s">
        <v>3281</v>
      </c>
      <c r="B189" s="2" t="s">
        <v>3198</v>
      </c>
      <c r="C189" s="2" t="s">
        <v>3167</v>
      </c>
      <c r="D189" s="2" t="s">
        <v>3168</v>
      </c>
      <c r="E189" s="2" t="s">
        <v>3142</v>
      </c>
      <c r="F189" s="2" t="s">
        <v>3143</v>
      </c>
    </row>
    <row r="190" spans="1:6">
      <c r="A190" s="2" t="s">
        <v>3281</v>
      </c>
      <c r="B190" s="2" t="s">
        <v>3198</v>
      </c>
      <c r="C190" s="2" t="s">
        <v>3169</v>
      </c>
      <c r="D190" s="2" t="s">
        <v>3321</v>
      </c>
      <c r="E190" s="2" t="s">
        <v>3142</v>
      </c>
      <c r="F190" s="2" t="s">
        <v>3143</v>
      </c>
    </row>
    <row r="191" spans="1:6">
      <c r="A191" s="2" t="s">
        <v>3281</v>
      </c>
      <c r="B191" s="2" t="s">
        <v>3198</v>
      </c>
      <c r="C191" s="2" t="s">
        <v>3171</v>
      </c>
      <c r="D191" s="2" t="s">
        <v>3322</v>
      </c>
      <c r="E191" s="2" t="s">
        <v>3142</v>
      </c>
      <c r="F191" s="2" t="s">
        <v>3143</v>
      </c>
    </row>
    <row r="192" spans="1:6">
      <c r="A192" s="2" t="s">
        <v>3281</v>
      </c>
      <c r="B192" s="2" t="s">
        <v>3198</v>
      </c>
      <c r="C192" s="2" t="s">
        <v>3173</v>
      </c>
      <c r="D192" s="2" t="s">
        <v>3323</v>
      </c>
      <c r="E192" s="2" t="s">
        <v>3142</v>
      </c>
      <c r="F192" s="2" t="s">
        <v>3143</v>
      </c>
    </row>
    <row r="193" spans="1:6">
      <c r="A193" s="2" t="s">
        <v>3281</v>
      </c>
      <c r="B193" s="2" t="s">
        <v>3198</v>
      </c>
      <c r="C193" s="2" t="s">
        <v>3175</v>
      </c>
      <c r="D193" s="2" t="s">
        <v>3324</v>
      </c>
      <c r="E193" s="2" t="s">
        <v>3142</v>
      </c>
      <c r="F193" s="2" t="s">
        <v>3143</v>
      </c>
    </row>
    <row r="194" spans="1:6">
      <c r="A194" s="2" t="s">
        <v>3281</v>
      </c>
      <c r="B194" s="2" t="s">
        <v>3198</v>
      </c>
      <c r="C194" s="2" t="s">
        <v>3177</v>
      </c>
      <c r="D194" s="2" t="s">
        <v>3325</v>
      </c>
      <c r="E194" s="2" t="s">
        <v>3142</v>
      </c>
      <c r="F194" s="2" t="s">
        <v>3143</v>
      </c>
    </row>
    <row r="195" spans="1:6">
      <c r="A195" s="2" t="s">
        <v>3326</v>
      </c>
      <c r="B195" s="2" t="s">
        <v>3139</v>
      </c>
      <c r="C195" s="2" t="s">
        <v>3140</v>
      </c>
      <c r="D195" s="2" t="s">
        <v>3141</v>
      </c>
      <c r="E195" s="2" t="s">
        <v>3142</v>
      </c>
      <c r="F195" s="2" t="s">
        <v>3143</v>
      </c>
    </row>
    <row r="196" spans="1:6">
      <c r="A196" s="2" t="s">
        <v>3326</v>
      </c>
      <c r="B196" s="2" t="s">
        <v>3139</v>
      </c>
      <c r="C196" s="2" t="s">
        <v>3144</v>
      </c>
      <c r="D196" s="2" t="s">
        <v>3327</v>
      </c>
      <c r="E196" s="2" t="s">
        <v>3142</v>
      </c>
      <c r="F196" s="2" t="s">
        <v>3143</v>
      </c>
    </row>
    <row r="197" spans="1:6">
      <c r="A197" s="2" t="s">
        <v>3326</v>
      </c>
      <c r="B197" s="2" t="s">
        <v>3139</v>
      </c>
      <c r="C197" s="2" t="s">
        <v>66</v>
      </c>
      <c r="D197" s="2" t="s">
        <v>3146</v>
      </c>
      <c r="E197" s="2" t="s">
        <v>3142</v>
      </c>
      <c r="F197" s="2" t="s">
        <v>3143</v>
      </c>
    </row>
    <row r="198" spans="1:6">
      <c r="A198" s="2" t="s">
        <v>3326</v>
      </c>
      <c r="B198" s="2" t="s">
        <v>3139</v>
      </c>
      <c r="C198" s="2" t="s">
        <v>3147</v>
      </c>
      <c r="D198" s="2" t="s">
        <v>3148</v>
      </c>
      <c r="E198" s="2" t="s">
        <v>3142</v>
      </c>
      <c r="F198" s="2" t="s">
        <v>3143</v>
      </c>
    </row>
    <row r="199" spans="1:6">
      <c r="A199" s="2" t="s">
        <v>3326</v>
      </c>
      <c r="B199" s="2" t="s">
        <v>3139</v>
      </c>
      <c r="C199" s="2" t="s">
        <v>3149</v>
      </c>
      <c r="D199" s="2" t="s">
        <v>3150</v>
      </c>
      <c r="E199" s="2" t="s">
        <v>3142</v>
      </c>
      <c r="F199" s="2" t="s">
        <v>3143</v>
      </c>
    </row>
    <row r="200" spans="1:6">
      <c r="A200" s="2" t="s">
        <v>3326</v>
      </c>
      <c r="B200" s="2" t="s">
        <v>3139</v>
      </c>
      <c r="C200" s="2" t="s">
        <v>3151</v>
      </c>
      <c r="D200" s="2" t="s">
        <v>3152</v>
      </c>
      <c r="E200" s="2" t="s">
        <v>3142</v>
      </c>
      <c r="F200" s="2" t="s">
        <v>3143</v>
      </c>
    </row>
    <row r="201" spans="1:6">
      <c r="A201" s="2" t="s">
        <v>3326</v>
      </c>
      <c r="B201" s="2" t="s">
        <v>3139</v>
      </c>
      <c r="C201" s="2" t="s">
        <v>3153</v>
      </c>
      <c r="D201" s="2" t="s">
        <v>3154</v>
      </c>
      <c r="E201" s="2" t="s">
        <v>3142</v>
      </c>
      <c r="F201" s="2" t="s">
        <v>3143</v>
      </c>
    </row>
    <row r="202" spans="1:6">
      <c r="A202" s="2" t="s">
        <v>3326</v>
      </c>
      <c r="B202" s="2" t="s">
        <v>3139</v>
      </c>
      <c r="C202" s="2" t="s">
        <v>3155</v>
      </c>
      <c r="D202" s="2" t="s">
        <v>3156</v>
      </c>
      <c r="E202" s="2" t="s">
        <v>3142</v>
      </c>
      <c r="F202" s="2" t="s">
        <v>3143</v>
      </c>
    </row>
    <row r="203" spans="1:6">
      <c r="A203" s="2" t="s">
        <v>3326</v>
      </c>
      <c r="B203" s="2" t="s">
        <v>3139</v>
      </c>
      <c r="C203" s="2" t="s">
        <v>3157</v>
      </c>
      <c r="D203" s="2" t="s">
        <v>3328</v>
      </c>
      <c r="E203" s="2" t="s">
        <v>3142</v>
      </c>
      <c r="F203" s="2" t="s">
        <v>3143</v>
      </c>
    </row>
    <row r="204" spans="1:6">
      <c r="A204" s="2" t="s">
        <v>3326</v>
      </c>
      <c r="B204" s="2" t="s">
        <v>3139</v>
      </c>
      <c r="C204" s="2" t="s">
        <v>3159</v>
      </c>
      <c r="D204" s="2" t="s">
        <v>3160</v>
      </c>
      <c r="E204" s="2" t="s">
        <v>3142</v>
      </c>
      <c r="F204" s="2" t="s">
        <v>3143</v>
      </c>
    </row>
    <row r="205" spans="1:6">
      <c r="A205" s="2" t="s">
        <v>3326</v>
      </c>
      <c r="B205" s="2" t="s">
        <v>3139</v>
      </c>
      <c r="C205" s="2" t="s">
        <v>3161</v>
      </c>
      <c r="D205" s="2" t="s">
        <v>3162</v>
      </c>
      <c r="E205" s="2" t="s">
        <v>3142</v>
      </c>
      <c r="F205" s="2" t="s">
        <v>3143</v>
      </c>
    </row>
    <row r="206" spans="1:6">
      <c r="A206" s="2" t="s">
        <v>3326</v>
      </c>
      <c r="B206" s="2" t="s">
        <v>3139</v>
      </c>
      <c r="C206" s="2" t="s">
        <v>3163</v>
      </c>
      <c r="D206" s="2" t="s">
        <v>3164</v>
      </c>
      <c r="E206" s="2" t="s">
        <v>3142</v>
      </c>
      <c r="F206" s="2" t="s">
        <v>3143</v>
      </c>
    </row>
    <row r="207" spans="1:6">
      <c r="A207" s="2" t="s">
        <v>3326</v>
      </c>
      <c r="B207" s="2" t="s">
        <v>3139</v>
      </c>
      <c r="C207" s="2" t="s">
        <v>3165</v>
      </c>
      <c r="D207" s="2" t="s">
        <v>3166</v>
      </c>
      <c r="E207" s="2" t="s">
        <v>3142</v>
      </c>
      <c r="F207" s="2" t="s">
        <v>3143</v>
      </c>
    </row>
    <row r="208" spans="1:6">
      <c r="A208" s="2" t="s">
        <v>3326</v>
      </c>
      <c r="B208" s="2" t="s">
        <v>3139</v>
      </c>
      <c r="C208" s="2" t="s">
        <v>3167</v>
      </c>
      <c r="D208" s="2" t="s">
        <v>3168</v>
      </c>
      <c r="E208" s="2" t="s">
        <v>3142</v>
      </c>
      <c r="F208" s="2" t="s">
        <v>3143</v>
      </c>
    </row>
    <row r="209" spans="1:6">
      <c r="A209" s="2" t="s">
        <v>3326</v>
      </c>
      <c r="B209" s="2" t="s">
        <v>3139</v>
      </c>
      <c r="C209" s="2" t="s">
        <v>3169</v>
      </c>
      <c r="D209" s="2" t="s">
        <v>3329</v>
      </c>
      <c r="E209" s="2" t="s">
        <v>3142</v>
      </c>
      <c r="F209" s="2" t="s">
        <v>3143</v>
      </c>
    </row>
    <row r="210" spans="1:6">
      <c r="A210" s="2" t="s">
        <v>3326</v>
      </c>
      <c r="B210" s="2" t="s">
        <v>3139</v>
      </c>
      <c r="C210" s="2" t="s">
        <v>3171</v>
      </c>
      <c r="D210" s="2" t="s">
        <v>3172</v>
      </c>
      <c r="E210" s="2" t="s">
        <v>3142</v>
      </c>
      <c r="F210" s="2" t="s">
        <v>3143</v>
      </c>
    </row>
    <row r="211" spans="1:6">
      <c r="A211" s="2" t="s">
        <v>3326</v>
      </c>
      <c r="B211" s="2" t="s">
        <v>3139</v>
      </c>
      <c r="C211" s="2" t="s">
        <v>3173</v>
      </c>
      <c r="D211" s="2" t="s">
        <v>3174</v>
      </c>
      <c r="E211" s="2" t="s">
        <v>3142</v>
      </c>
      <c r="F211" s="2" t="s">
        <v>3143</v>
      </c>
    </row>
    <row r="212" spans="1:6">
      <c r="A212" s="2" t="s">
        <v>3326</v>
      </c>
      <c r="B212" s="2" t="s">
        <v>3139</v>
      </c>
      <c r="C212" s="2" t="s">
        <v>3175</v>
      </c>
      <c r="D212" s="2" t="s">
        <v>3176</v>
      </c>
      <c r="E212" s="2" t="s">
        <v>3142</v>
      </c>
      <c r="F212" s="2" t="s">
        <v>3143</v>
      </c>
    </row>
    <row r="213" spans="1:6">
      <c r="A213" s="2" t="s">
        <v>3326</v>
      </c>
      <c r="B213" s="2" t="s">
        <v>3139</v>
      </c>
      <c r="C213" s="2" t="s">
        <v>3177</v>
      </c>
      <c r="D213" s="2" t="s">
        <v>3178</v>
      </c>
      <c r="E213" s="2" t="s">
        <v>3142</v>
      </c>
      <c r="F213" s="2" t="s">
        <v>3143</v>
      </c>
    </row>
    <row r="214" spans="1:6">
      <c r="A214" s="2" t="s">
        <v>3326</v>
      </c>
      <c r="B214" s="2" t="s">
        <v>3179</v>
      </c>
      <c r="C214" s="2" t="s">
        <v>3140</v>
      </c>
      <c r="D214" s="2" t="s">
        <v>3180</v>
      </c>
      <c r="E214" s="2" t="s">
        <v>3142</v>
      </c>
      <c r="F214" s="2" t="s">
        <v>3143</v>
      </c>
    </row>
    <row r="215" spans="1:6">
      <c r="A215" s="2" t="s">
        <v>3326</v>
      </c>
      <c r="B215" s="2" t="s">
        <v>3179</v>
      </c>
      <c r="C215" s="2" t="s">
        <v>3144</v>
      </c>
      <c r="D215" s="2" t="s">
        <v>3181</v>
      </c>
      <c r="E215" s="2" t="s">
        <v>3142</v>
      </c>
      <c r="F215" s="2" t="s">
        <v>3143</v>
      </c>
    </row>
    <row r="216" spans="1:6">
      <c r="A216" s="2" t="s">
        <v>3326</v>
      </c>
      <c r="B216" s="2" t="s">
        <v>3179</v>
      </c>
      <c r="C216" s="2" t="s">
        <v>66</v>
      </c>
      <c r="D216" s="2" t="s">
        <v>3182</v>
      </c>
      <c r="E216" s="2" t="s">
        <v>3142</v>
      </c>
      <c r="F216" s="2" t="s">
        <v>3143</v>
      </c>
    </row>
    <row r="217" spans="1:6">
      <c r="A217" s="2" t="s">
        <v>3326</v>
      </c>
      <c r="B217" s="2" t="s">
        <v>3179</v>
      </c>
      <c r="C217" s="2" t="s">
        <v>3147</v>
      </c>
      <c r="D217" s="2" t="s">
        <v>3183</v>
      </c>
      <c r="E217" s="2" t="s">
        <v>3142</v>
      </c>
      <c r="F217" s="2" t="s">
        <v>3143</v>
      </c>
    </row>
    <row r="218" spans="1:6">
      <c r="A218" s="2" t="s">
        <v>3326</v>
      </c>
      <c r="B218" s="2" t="s">
        <v>3179</v>
      </c>
      <c r="C218" s="2" t="s">
        <v>3149</v>
      </c>
      <c r="D218" s="2" t="s">
        <v>3184</v>
      </c>
      <c r="E218" s="2" t="s">
        <v>3142</v>
      </c>
      <c r="F218" s="2" t="s">
        <v>3143</v>
      </c>
    </row>
    <row r="219" spans="1:6">
      <c r="A219" s="2" t="s">
        <v>3326</v>
      </c>
      <c r="B219" s="2" t="s">
        <v>3179</v>
      </c>
      <c r="C219" s="2" t="s">
        <v>3151</v>
      </c>
      <c r="D219" s="2" t="s">
        <v>3185</v>
      </c>
      <c r="E219" s="2" t="s">
        <v>3142</v>
      </c>
      <c r="F219" s="2" t="s">
        <v>3143</v>
      </c>
    </row>
    <row r="220" spans="1:6">
      <c r="A220" s="2" t="s">
        <v>3326</v>
      </c>
      <c r="B220" s="2" t="s">
        <v>3179</v>
      </c>
      <c r="C220" s="2" t="s">
        <v>3153</v>
      </c>
      <c r="D220" s="2" t="s">
        <v>3186</v>
      </c>
      <c r="E220" s="2" t="s">
        <v>3142</v>
      </c>
      <c r="F220" s="2" t="s">
        <v>3143</v>
      </c>
    </row>
    <row r="221" spans="1:6">
      <c r="A221" s="2" t="s">
        <v>3326</v>
      </c>
      <c r="B221" s="2" t="s">
        <v>3179</v>
      </c>
      <c r="C221" s="2" t="s">
        <v>3155</v>
      </c>
      <c r="D221" s="2" t="s">
        <v>3187</v>
      </c>
      <c r="E221" s="2" t="s">
        <v>3142</v>
      </c>
      <c r="F221" s="2" t="s">
        <v>3143</v>
      </c>
    </row>
    <row r="222" spans="1:6">
      <c r="A222" s="2" t="s">
        <v>3326</v>
      </c>
      <c r="B222" s="2" t="s">
        <v>3179</v>
      </c>
      <c r="C222" s="2" t="s">
        <v>3157</v>
      </c>
      <c r="D222" s="2" t="s">
        <v>3188</v>
      </c>
      <c r="E222" s="2" t="s">
        <v>3142</v>
      </c>
      <c r="F222" s="2" t="s">
        <v>3143</v>
      </c>
    </row>
    <row r="223" spans="1:6">
      <c r="A223" s="2" t="s">
        <v>3326</v>
      </c>
      <c r="B223" s="2" t="s">
        <v>3179</v>
      </c>
      <c r="C223" s="2" t="s">
        <v>3159</v>
      </c>
      <c r="D223" s="2" t="s">
        <v>3189</v>
      </c>
      <c r="E223" s="2" t="s">
        <v>3142</v>
      </c>
      <c r="F223" s="2" t="s">
        <v>3143</v>
      </c>
    </row>
    <row r="224" spans="1:6">
      <c r="A224" s="2" t="s">
        <v>3326</v>
      </c>
      <c r="B224" s="2" t="s">
        <v>3179</v>
      </c>
      <c r="C224" s="2" t="s">
        <v>3161</v>
      </c>
      <c r="D224" s="2" t="s">
        <v>3190</v>
      </c>
      <c r="E224" s="2" t="s">
        <v>3142</v>
      </c>
      <c r="F224" s="2" t="s">
        <v>3143</v>
      </c>
    </row>
    <row r="225" spans="1:6">
      <c r="A225" s="2" t="s">
        <v>3326</v>
      </c>
      <c r="B225" s="2" t="s">
        <v>3179</v>
      </c>
      <c r="C225" s="2" t="s">
        <v>3163</v>
      </c>
      <c r="D225" s="2" t="s">
        <v>3191</v>
      </c>
      <c r="E225" s="2" t="s">
        <v>3142</v>
      </c>
      <c r="F225" s="2" t="s">
        <v>3143</v>
      </c>
    </row>
    <row r="226" spans="1:6">
      <c r="A226" s="2" t="s">
        <v>3326</v>
      </c>
      <c r="B226" s="2" t="s">
        <v>3179</v>
      </c>
      <c r="C226" s="2" t="s">
        <v>3165</v>
      </c>
      <c r="D226" s="2" t="s">
        <v>3192</v>
      </c>
      <c r="E226" s="2" t="s">
        <v>3142</v>
      </c>
      <c r="F226" s="2" t="s">
        <v>3143</v>
      </c>
    </row>
    <row r="227" spans="1:6">
      <c r="A227" s="2" t="s">
        <v>3326</v>
      </c>
      <c r="B227" s="2" t="s">
        <v>3179</v>
      </c>
      <c r="C227" s="2" t="s">
        <v>3167</v>
      </c>
      <c r="D227" s="2" t="s">
        <v>3168</v>
      </c>
      <c r="E227" s="2" t="s">
        <v>3142</v>
      </c>
      <c r="F227" s="2" t="s">
        <v>3143</v>
      </c>
    </row>
    <row r="228" spans="1:6">
      <c r="A228" s="2" t="s">
        <v>3326</v>
      </c>
      <c r="B228" s="2" t="s">
        <v>3179</v>
      </c>
      <c r="C228" s="2" t="s">
        <v>3169</v>
      </c>
      <c r="D228" s="2" t="s">
        <v>3193</v>
      </c>
      <c r="E228" s="2" t="s">
        <v>3142</v>
      </c>
      <c r="F228" s="2" t="s">
        <v>3143</v>
      </c>
    </row>
    <row r="229" spans="1:6">
      <c r="A229" s="2" t="s">
        <v>3326</v>
      </c>
      <c r="B229" s="2" t="s">
        <v>3179</v>
      </c>
      <c r="C229" s="2" t="s">
        <v>3171</v>
      </c>
      <c r="D229" s="2" t="s">
        <v>3194</v>
      </c>
      <c r="E229" s="2" t="s">
        <v>3142</v>
      </c>
      <c r="F229" s="2" t="s">
        <v>3143</v>
      </c>
    </row>
    <row r="230" spans="1:6">
      <c r="A230" s="2" t="s">
        <v>3326</v>
      </c>
      <c r="B230" s="2" t="s">
        <v>3179</v>
      </c>
      <c r="C230" s="2" t="s">
        <v>3173</v>
      </c>
      <c r="D230" s="2" t="s">
        <v>3195</v>
      </c>
      <c r="E230" s="2" t="s">
        <v>3142</v>
      </c>
      <c r="F230" s="2" t="s">
        <v>3143</v>
      </c>
    </row>
    <row r="231" spans="1:6">
      <c r="A231" s="2" t="s">
        <v>3326</v>
      </c>
      <c r="B231" s="2" t="s">
        <v>3179</v>
      </c>
      <c r="C231" s="2" t="s">
        <v>3175</v>
      </c>
      <c r="D231" s="2" t="s">
        <v>3196</v>
      </c>
      <c r="E231" s="2" t="s">
        <v>3142</v>
      </c>
      <c r="F231" s="2" t="s">
        <v>3143</v>
      </c>
    </row>
    <row r="232" spans="1:6">
      <c r="A232" s="2" t="s">
        <v>3326</v>
      </c>
      <c r="B232" s="2" t="s">
        <v>3179</v>
      </c>
      <c r="C232" s="2" t="s">
        <v>3177</v>
      </c>
      <c r="D232" s="2" t="s">
        <v>3197</v>
      </c>
      <c r="E232" s="2" t="s">
        <v>3142</v>
      </c>
      <c r="F232" s="2" t="s">
        <v>3143</v>
      </c>
    </row>
    <row r="233" spans="1:6">
      <c r="A233" s="2" t="s">
        <v>3326</v>
      </c>
      <c r="B233" s="2" t="s">
        <v>3198</v>
      </c>
      <c r="C233" s="2" t="s">
        <v>3140</v>
      </c>
      <c r="D233" s="2" t="s">
        <v>3199</v>
      </c>
      <c r="E233" s="2" t="s">
        <v>3142</v>
      </c>
      <c r="F233" s="2" t="s">
        <v>3143</v>
      </c>
    </row>
    <row r="234" spans="1:6">
      <c r="A234" s="2" t="s">
        <v>3326</v>
      </c>
      <c r="B234" s="2" t="s">
        <v>3198</v>
      </c>
      <c r="C234" s="2" t="s">
        <v>3144</v>
      </c>
      <c r="D234" s="2" t="s">
        <v>3200</v>
      </c>
      <c r="E234" s="2" t="s">
        <v>3142</v>
      </c>
      <c r="F234" s="2" t="s">
        <v>3143</v>
      </c>
    </row>
    <row r="235" spans="1:6">
      <c r="A235" s="2" t="s">
        <v>3326</v>
      </c>
      <c r="B235" s="2" t="s">
        <v>3198</v>
      </c>
      <c r="C235" s="2" t="s">
        <v>66</v>
      </c>
      <c r="D235" s="2" t="s">
        <v>3146</v>
      </c>
      <c r="E235" s="2" t="s">
        <v>3142</v>
      </c>
      <c r="F235" s="2" t="s">
        <v>3143</v>
      </c>
    </row>
    <row r="236" spans="1:6">
      <c r="A236" s="2" t="s">
        <v>3326</v>
      </c>
      <c r="B236" s="2" t="s">
        <v>3198</v>
      </c>
      <c r="C236" s="2" t="s">
        <v>3147</v>
      </c>
      <c r="D236" s="2" t="s">
        <v>3201</v>
      </c>
      <c r="E236" s="2" t="s">
        <v>3142</v>
      </c>
      <c r="F236" s="2" t="s">
        <v>3143</v>
      </c>
    </row>
    <row r="237" spans="1:6">
      <c r="A237" s="2" t="s">
        <v>3326</v>
      </c>
      <c r="B237" s="2" t="s">
        <v>3198</v>
      </c>
      <c r="C237" s="2" t="s">
        <v>3149</v>
      </c>
      <c r="D237" s="2" t="s">
        <v>3202</v>
      </c>
      <c r="E237" s="2" t="s">
        <v>3142</v>
      </c>
      <c r="F237" s="2" t="s">
        <v>3143</v>
      </c>
    </row>
    <row r="238" spans="1:6">
      <c r="A238" s="2" t="s">
        <v>3326</v>
      </c>
      <c r="B238" s="2" t="s">
        <v>3198</v>
      </c>
      <c r="C238" s="2" t="s">
        <v>3151</v>
      </c>
      <c r="D238" s="2" t="s">
        <v>3203</v>
      </c>
      <c r="E238" s="2" t="s">
        <v>3142</v>
      </c>
      <c r="F238" s="2" t="s">
        <v>3143</v>
      </c>
    </row>
    <row r="239" spans="1:6">
      <c r="A239" s="2" t="s">
        <v>3326</v>
      </c>
      <c r="B239" s="2" t="s">
        <v>3198</v>
      </c>
      <c r="C239" s="2" t="s">
        <v>3153</v>
      </c>
      <c r="D239" s="2" t="s">
        <v>3204</v>
      </c>
      <c r="E239" s="2" t="s">
        <v>3142</v>
      </c>
      <c r="F239" s="2" t="s">
        <v>3143</v>
      </c>
    </row>
    <row r="240" spans="1:6">
      <c r="A240" s="2" t="s">
        <v>3326</v>
      </c>
      <c r="B240" s="2" t="s">
        <v>3198</v>
      </c>
      <c r="C240" s="2" t="s">
        <v>3155</v>
      </c>
      <c r="D240" s="2" t="s">
        <v>3205</v>
      </c>
      <c r="E240" s="2" t="s">
        <v>3142</v>
      </c>
      <c r="F240" s="2" t="s">
        <v>3143</v>
      </c>
    </row>
    <row r="241" spans="1:6">
      <c r="A241" s="2" t="s">
        <v>3326</v>
      </c>
      <c r="B241" s="2" t="s">
        <v>3198</v>
      </c>
      <c r="C241" s="2" t="s">
        <v>3157</v>
      </c>
      <c r="D241" s="2" t="s">
        <v>3206</v>
      </c>
      <c r="E241" s="2" t="s">
        <v>3142</v>
      </c>
      <c r="F241" s="2" t="s">
        <v>3143</v>
      </c>
    </row>
    <row r="242" spans="1:6">
      <c r="A242" s="2" t="s">
        <v>3326</v>
      </c>
      <c r="B242" s="2" t="s">
        <v>3198</v>
      </c>
      <c r="C242" s="2" t="s">
        <v>3159</v>
      </c>
      <c r="D242" s="2" t="s">
        <v>3207</v>
      </c>
      <c r="E242" s="2" t="s">
        <v>3142</v>
      </c>
      <c r="F242" s="2" t="s">
        <v>3143</v>
      </c>
    </row>
    <row r="243" spans="1:6">
      <c r="A243" s="2" t="s">
        <v>3326</v>
      </c>
      <c r="B243" s="2" t="s">
        <v>3198</v>
      </c>
      <c r="C243" s="2" t="s">
        <v>3161</v>
      </c>
      <c r="D243" s="2" t="s">
        <v>3208</v>
      </c>
      <c r="E243" s="2" t="s">
        <v>3142</v>
      </c>
      <c r="F243" s="2" t="s">
        <v>3143</v>
      </c>
    </row>
    <row r="244" spans="1:6">
      <c r="A244" s="2" t="s">
        <v>3326</v>
      </c>
      <c r="B244" s="2" t="s">
        <v>3198</v>
      </c>
      <c r="C244" s="2" t="s">
        <v>3163</v>
      </c>
      <c r="D244" s="2" t="s">
        <v>3209</v>
      </c>
      <c r="E244" s="2" t="s">
        <v>3142</v>
      </c>
      <c r="F244" s="2" t="s">
        <v>3143</v>
      </c>
    </row>
    <row r="245" spans="1:6">
      <c r="A245" s="2" t="s">
        <v>3326</v>
      </c>
      <c r="B245" s="2" t="s">
        <v>3198</v>
      </c>
      <c r="C245" s="2" t="s">
        <v>3165</v>
      </c>
      <c r="D245" s="2" t="s">
        <v>3210</v>
      </c>
      <c r="E245" s="2" t="s">
        <v>3142</v>
      </c>
      <c r="F245" s="2" t="s">
        <v>3143</v>
      </c>
    </row>
    <row r="246" spans="1:6">
      <c r="A246" s="2" t="s">
        <v>3326</v>
      </c>
      <c r="B246" s="2" t="s">
        <v>3198</v>
      </c>
      <c r="C246" s="2" t="s">
        <v>3167</v>
      </c>
      <c r="D246" s="2" t="s">
        <v>3168</v>
      </c>
      <c r="E246" s="2" t="s">
        <v>3142</v>
      </c>
      <c r="F246" s="2" t="s">
        <v>3143</v>
      </c>
    </row>
    <row r="247" spans="1:6">
      <c r="A247" s="2" t="s">
        <v>3326</v>
      </c>
      <c r="B247" s="2" t="s">
        <v>3198</v>
      </c>
      <c r="C247" s="2" t="s">
        <v>3169</v>
      </c>
      <c r="D247" s="2" t="s">
        <v>3211</v>
      </c>
      <c r="E247" s="2" t="s">
        <v>3142</v>
      </c>
      <c r="F247" s="2" t="s">
        <v>3143</v>
      </c>
    </row>
    <row r="248" spans="1:6">
      <c r="A248" s="2" t="s">
        <v>3326</v>
      </c>
      <c r="B248" s="2" t="s">
        <v>3198</v>
      </c>
      <c r="C248" s="2" t="s">
        <v>3171</v>
      </c>
      <c r="D248" s="2" t="s">
        <v>3212</v>
      </c>
      <c r="E248" s="2" t="s">
        <v>3142</v>
      </c>
      <c r="F248" s="2" t="s">
        <v>3143</v>
      </c>
    </row>
    <row r="249" spans="1:6">
      <c r="A249" s="2" t="s">
        <v>3326</v>
      </c>
      <c r="B249" s="2" t="s">
        <v>3198</v>
      </c>
      <c r="C249" s="2" t="s">
        <v>3173</v>
      </c>
      <c r="D249" s="2" t="s">
        <v>3213</v>
      </c>
      <c r="E249" s="2" t="s">
        <v>3142</v>
      </c>
      <c r="F249" s="2" t="s">
        <v>3143</v>
      </c>
    </row>
    <row r="250" spans="1:6">
      <c r="A250" s="2" t="s">
        <v>3326</v>
      </c>
      <c r="B250" s="2" t="s">
        <v>3198</v>
      </c>
      <c r="C250" s="2" t="s">
        <v>3175</v>
      </c>
      <c r="D250" s="2" t="s">
        <v>3214</v>
      </c>
      <c r="E250" s="2" t="s">
        <v>3142</v>
      </c>
      <c r="F250" s="2" t="s">
        <v>3143</v>
      </c>
    </row>
    <row r="251" spans="1:6">
      <c r="A251" s="2" t="s">
        <v>3326</v>
      </c>
      <c r="B251" s="2" t="s">
        <v>3198</v>
      </c>
      <c r="C251" s="2" t="s">
        <v>3177</v>
      </c>
      <c r="D251" s="2" t="s">
        <v>3215</v>
      </c>
      <c r="E251" s="2" t="s">
        <v>3142</v>
      </c>
      <c r="F251" s="2" t="s">
        <v>3143</v>
      </c>
    </row>
    <row r="252" spans="1:6">
      <c r="A252" s="2" t="s">
        <v>3330</v>
      </c>
      <c r="B252" s="2" t="s">
        <v>3139</v>
      </c>
      <c r="C252" s="2" t="s">
        <v>3140</v>
      </c>
      <c r="D252" s="2" t="s">
        <v>3331</v>
      </c>
      <c r="E252" s="2" t="s">
        <v>3332</v>
      </c>
      <c r="F252" s="2" t="s">
        <v>3143</v>
      </c>
    </row>
    <row r="253" spans="1:6">
      <c r="A253" s="2" t="s">
        <v>3330</v>
      </c>
      <c r="B253" s="2" t="s">
        <v>3139</v>
      </c>
      <c r="C253" s="2" t="s">
        <v>3144</v>
      </c>
      <c r="D253" s="2" t="s">
        <v>3333</v>
      </c>
      <c r="E253" s="2" t="s">
        <v>3332</v>
      </c>
      <c r="F253" s="2" t="s">
        <v>3143</v>
      </c>
    </row>
    <row r="254" spans="1:6">
      <c r="A254" s="2" t="s">
        <v>3330</v>
      </c>
      <c r="B254" s="2" t="s">
        <v>3139</v>
      </c>
      <c r="C254" s="2" t="s">
        <v>66</v>
      </c>
      <c r="D254" s="2"/>
      <c r="E254" s="2" t="s">
        <v>3332</v>
      </c>
      <c r="F254" s="2" t="s">
        <v>3143</v>
      </c>
    </row>
    <row r="255" spans="1:6">
      <c r="A255" s="2" t="s">
        <v>3330</v>
      </c>
      <c r="B255" s="2" t="s">
        <v>3139</v>
      </c>
      <c r="C255" s="2" t="s">
        <v>3147</v>
      </c>
      <c r="D255" s="2"/>
      <c r="E255" s="2" t="s">
        <v>3332</v>
      </c>
      <c r="F255" s="2" t="s">
        <v>3143</v>
      </c>
    </row>
    <row r="256" spans="1:6">
      <c r="A256" s="2" t="s">
        <v>3330</v>
      </c>
      <c r="B256" s="2" t="s">
        <v>3139</v>
      </c>
      <c r="C256" s="2" t="s">
        <v>3149</v>
      </c>
      <c r="D256" s="2"/>
      <c r="E256" s="2" t="s">
        <v>3332</v>
      </c>
      <c r="F256" s="2" t="s">
        <v>3143</v>
      </c>
    </row>
    <row r="257" spans="1:6">
      <c r="A257" s="2" t="s">
        <v>3330</v>
      </c>
      <c r="B257" s="2" t="s">
        <v>3139</v>
      </c>
      <c r="C257" s="2" t="s">
        <v>3151</v>
      </c>
      <c r="D257" s="2" t="s">
        <v>3152</v>
      </c>
      <c r="E257" s="2" t="s">
        <v>3332</v>
      </c>
      <c r="F257" s="2" t="s">
        <v>3143</v>
      </c>
    </row>
    <row r="258" spans="1:6">
      <c r="A258" s="2" t="s">
        <v>3330</v>
      </c>
      <c r="B258" s="2" t="s">
        <v>3139</v>
      </c>
      <c r="C258" s="2" t="s">
        <v>3153</v>
      </c>
      <c r="D258" s="2" t="s">
        <v>3154</v>
      </c>
      <c r="E258" s="2" t="s">
        <v>3332</v>
      </c>
      <c r="F258" s="2" t="s">
        <v>3143</v>
      </c>
    </row>
    <row r="259" spans="1:6">
      <c r="A259" s="2" t="s">
        <v>3330</v>
      </c>
      <c r="B259" s="2" t="s">
        <v>3139</v>
      </c>
      <c r="C259" s="2" t="s">
        <v>3155</v>
      </c>
      <c r="D259" s="2" t="s">
        <v>3334</v>
      </c>
      <c r="E259" s="2" t="s">
        <v>3332</v>
      </c>
      <c r="F259" s="2" t="s">
        <v>3143</v>
      </c>
    </row>
    <row r="260" spans="1:6">
      <c r="A260" s="2" t="s">
        <v>3330</v>
      </c>
      <c r="B260" s="2" t="s">
        <v>3139</v>
      </c>
      <c r="C260" s="2" t="s">
        <v>3157</v>
      </c>
      <c r="D260" s="2"/>
      <c r="E260" s="2" t="s">
        <v>3332</v>
      </c>
      <c r="F260" s="2" t="s">
        <v>3143</v>
      </c>
    </row>
    <row r="261" spans="1:6">
      <c r="A261" s="2" t="s">
        <v>3330</v>
      </c>
      <c r="B261" s="2" t="s">
        <v>3139</v>
      </c>
      <c r="C261" s="2" t="s">
        <v>3159</v>
      </c>
      <c r="D261" s="2"/>
      <c r="E261" s="2" t="s">
        <v>3332</v>
      </c>
      <c r="F261" s="2" t="s">
        <v>3143</v>
      </c>
    </row>
    <row r="262" spans="1:6">
      <c r="A262" s="2" t="s">
        <v>3330</v>
      </c>
      <c r="B262" s="2" t="s">
        <v>3139</v>
      </c>
      <c r="C262" s="2" t="s">
        <v>3161</v>
      </c>
      <c r="D262" s="2"/>
      <c r="E262" s="2" t="s">
        <v>3332</v>
      </c>
      <c r="F262" s="2" t="s">
        <v>3143</v>
      </c>
    </row>
    <row r="263" spans="1:6">
      <c r="A263" s="2" t="s">
        <v>3330</v>
      </c>
      <c r="B263" s="2" t="s">
        <v>3139</v>
      </c>
      <c r="C263" s="2" t="s">
        <v>3163</v>
      </c>
      <c r="D263" s="2" t="s">
        <v>3168</v>
      </c>
      <c r="E263" s="2" t="s">
        <v>3332</v>
      </c>
      <c r="F263" s="2" t="s">
        <v>3143</v>
      </c>
    </row>
    <row r="264" spans="1:6">
      <c r="A264" s="2" t="s">
        <v>3330</v>
      </c>
      <c r="B264" s="2" t="s">
        <v>3139</v>
      </c>
      <c r="C264" s="2" t="s">
        <v>3165</v>
      </c>
      <c r="D264" s="2" t="s">
        <v>3335</v>
      </c>
      <c r="E264" s="2" t="s">
        <v>3332</v>
      </c>
      <c r="F264" s="2" t="s">
        <v>3143</v>
      </c>
    </row>
    <row r="265" spans="1:6">
      <c r="A265" s="2" t="s">
        <v>3330</v>
      </c>
      <c r="B265" s="2" t="s">
        <v>3139</v>
      </c>
      <c r="C265" s="2" t="s">
        <v>3167</v>
      </c>
      <c r="D265" s="2" t="s">
        <v>3336</v>
      </c>
      <c r="E265" s="2" t="s">
        <v>3332</v>
      </c>
      <c r="F265" s="2" t="s">
        <v>3143</v>
      </c>
    </row>
    <row r="266" spans="1:6">
      <c r="A266" s="2" t="s">
        <v>3330</v>
      </c>
      <c r="B266" s="2" t="s">
        <v>3139</v>
      </c>
      <c r="C266" s="2" t="s">
        <v>3169</v>
      </c>
      <c r="D266" s="2"/>
      <c r="E266" s="2" t="s">
        <v>3332</v>
      </c>
      <c r="F266" s="2" t="s">
        <v>3143</v>
      </c>
    </row>
    <row r="267" spans="1:6">
      <c r="A267" s="2" t="s">
        <v>3330</v>
      </c>
      <c r="B267" s="2" t="s">
        <v>3139</v>
      </c>
      <c r="C267" s="2" t="s">
        <v>3171</v>
      </c>
      <c r="D267" s="2"/>
      <c r="E267" s="2" t="s">
        <v>3332</v>
      </c>
      <c r="F267" s="2" t="s">
        <v>3143</v>
      </c>
    </row>
    <row r="268" spans="1:6">
      <c r="A268" s="2" t="s">
        <v>3330</v>
      </c>
      <c r="B268" s="2" t="s">
        <v>3139</v>
      </c>
      <c r="C268" s="2" t="s">
        <v>3173</v>
      </c>
      <c r="D268" s="2"/>
      <c r="E268" s="2" t="s">
        <v>3332</v>
      </c>
      <c r="F268" s="2" t="s">
        <v>3143</v>
      </c>
    </row>
    <row r="269" spans="1:6">
      <c r="A269" s="2" t="s">
        <v>3330</v>
      </c>
      <c r="B269" s="2" t="s">
        <v>3139</v>
      </c>
      <c r="C269" s="2" t="s">
        <v>3175</v>
      </c>
      <c r="D269" s="2"/>
      <c r="E269" s="2" t="s">
        <v>3332</v>
      </c>
      <c r="F269" s="2" t="s">
        <v>3143</v>
      </c>
    </row>
    <row r="270" spans="1:6">
      <c r="A270" s="2" t="s">
        <v>3330</v>
      </c>
      <c r="B270" s="2" t="s">
        <v>3139</v>
      </c>
      <c r="C270" s="2" t="s">
        <v>3177</v>
      </c>
      <c r="D270" s="2"/>
      <c r="E270" s="2" t="s">
        <v>3332</v>
      </c>
      <c r="F270" s="2" t="s">
        <v>3143</v>
      </c>
    </row>
    <row r="271" spans="1:6">
      <c r="A271" s="2" t="s">
        <v>3337</v>
      </c>
      <c r="B271" s="2" t="s">
        <v>3139</v>
      </c>
      <c r="C271" s="2" t="s">
        <v>3140</v>
      </c>
      <c r="D271" s="2" t="s">
        <v>3141</v>
      </c>
      <c r="E271" s="2" t="s">
        <v>3338</v>
      </c>
      <c r="F271" s="2" t="s">
        <v>3143</v>
      </c>
    </row>
    <row r="272" spans="1:6">
      <c r="A272" s="2" t="s">
        <v>3337</v>
      </c>
      <c r="B272" s="2" t="s">
        <v>3139</v>
      </c>
      <c r="C272" s="2" t="s">
        <v>3144</v>
      </c>
      <c r="D272" s="2" t="s">
        <v>3145</v>
      </c>
      <c r="E272" s="2" t="s">
        <v>3338</v>
      </c>
      <c r="F272" s="2" t="s">
        <v>3143</v>
      </c>
    </row>
    <row r="273" spans="1:6">
      <c r="A273" s="2" t="s">
        <v>3337</v>
      </c>
      <c r="B273" s="2" t="s">
        <v>3139</v>
      </c>
      <c r="C273" s="2" t="s">
        <v>66</v>
      </c>
      <c r="D273" s="2" t="s">
        <v>3146</v>
      </c>
      <c r="E273" s="2" t="s">
        <v>3338</v>
      </c>
      <c r="F273" s="2" t="s">
        <v>3143</v>
      </c>
    </row>
    <row r="274" spans="1:6">
      <c r="A274" s="2" t="s">
        <v>3337</v>
      </c>
      <c r="B274" s="2" t="s">
        <v>3139</v>
      </c>
      <c r="C274" s="2" t="s">
        <v>3147</v>
      </c>
      <c r="D274" s="2" t="s">
        <v>3148</v>
      </c>
      <c r="E274" s="2" t="s">
        <v>3338</v>
      </c>
      <c r="F274" s="2" t="s">
        <v>3143</v>
      </c>
    </row>
    <row r="275" spans="1:6">
      <c r="A275" s="2" t="s">
        <v>3337</v>
      </c>
      <c r="B275" s="2" t="s">
        <v>3139</v>
      </c>
      <c r="C275" s="2" t="s">
        <v>3149</v>
      </c>
      <c r="D275" s="2" t="s">
        <v>3150</v>
      </c>
      <c r="E275" s="2" t="s">
        <v>3338</v>
      </c>
      <c r="F275" s="2" t="s">
        <v>3143</v>
      </c>
    </row>
    <row r="276" spans="1:6">
      <c r="A276" s="2" t="s">
        <v>3337</v>
      </c>
      <c r="B276" s="2" t="s">
        <v>3139</v>
      </c>
      <c r="C276" s="2" t="s">
        <v>3151</v>
      </c>
      <c r="D276" s="2" t="s">
        <v>3152</v>
      </c>
      <c r="E276" s="2" t="s">
        <v>3338</v>
      </c>
      <c r="F276" s="2" t="s">
        <v>3143</v>
      </c>
    </row>
    <row r="277" spans="1:6">
      <c r="A277" s="2" t="s">
        <v>3337</v>
      </c>
      <c r="B277" s="2" t="s">
        <v>3139</v>
      </c>
      <c r="C277" s="2" t="s">
        <v>3153</v>
      </c>
      <c r="D277" s="2" t="s">
        <v>3154</v>
      </c>
      <c r="E277" s="2" t="s">
        <v>3338</v>
      </c>
      <c r="F277" s="2" t="s">
        <v>3143</v>
      </c>
    </row>
    <row r="278" spans="1:6">
      <c r="A278" s="2" t="s">
        <v>3337</v>
      </c>
      <c r="B278" s="2" t="s">
        <v>3139</v>
      </c>
      <c r="C278" s="2" t="s">
        <v>3155</v>
      </c>
      <c r="D278" s="2" t="s">
        <v>3156</v>
      </c>
      <c r="E278" s="2" t="s">
        <v>3338</v>
      </c>
      <c r="F278" s="2" t="s">
        <v>3143</v>
      </c>
    </row>
    <row r="279" spans="1:6">
      <c r="A279" s="2" t="s">
        <v>3337</v>
      </c>
      <c r="B279" s="2" t="s">
        <v>3139</v>
      </c>
      <c r="C279" s="2" t="s">
        <v>3157</v>
      </c>
      <c r="D279" s="2"/>
      <c r="E279" s="2" t="s">
        <v>3338</v>
      </c>
      <c r="F279" s="2" t="s">
        <v>3143</v>
      </c>
    </row>
    <row r="280" spans="1:6">
      <c r="A280" s="2" t="s">
        <v>3337</v>
      </c>
      <c r="B280" s="2" t="s">
        <v>3139</v>
      </c>
      <c r="C280" s="2" t="s">
        <v>3159</v>
      </c>
      <c r="D280" s="2"/>
      <c r="E280" s="2" t="s">
        <v>3338</v>
      </c>
      <c r="F280" s="2" t="s">
        <v>3143</v>
      </c>
    </row>
    <row r="281" spans="1:6">
      <c r="A281" s="2" t="s">
        <v>3337</v>
      </c>
      <c r="B281" s="2" t="s">
        <v>3139</v>
      </c>
      <c r="C281" s="2" t="s">
        <v>3161</v>
      </c>
      <c r="D281" s="2"/>
      <c r="E281" s="2" t="s">
        <v>3338</v>
      </c>
      <c r="F281" s="2" t="s">
        <v>3143</v>
      </c>
    </row>
    <row r="282" spans="1:6">
      <c r="A282" s="2" t="s">
        <v>3337</v>
      </c>
      <c r="B282" s="2" t="s">
        <v>3139</v>
      </c>
      <c r="C282" s="2" t="s">
        <v>3163</v>
      </c>
      <c r="D282" s="2" t="s">
        <v>3164</v>
      </c>
      <c r="E282" s="2" t="s">
        <v>3338</v>
      </c>
      <c r="F282" s="2" t="s">
        <v>3143</v>
      </c>
    </row>
    <row r="283" spans="1:6">
      <c r="A283" s="2" t="s">
        <v>3337</v>
      </c>
      <c r="B283" s="2" t="s">
        <v>3139</v>
      </c>
      <c r="C283" s="2" t="s">
        <v>3165</v>
      </c>
      <c r="D283" s="2" t="s">
        <v>3166</v>
      </c>
      <c r="E283" s="2" t="s">
        <v>3338</v>
      </c>
      <c r="F283" s="2" t="s">
        <v>3143</v>
      </c>
    </row>
    <row r="284" spans="1:6">
      <c r="A284" s="2" t="s">
        <v>3337</v>
      </c>
      <c r="B284" s="2" t="s">
        <v>3139</v>
      </c>
      <c r="C284" s="2" t="s">
        <v>3167</v>
      </c>
      <c r="D284" s="2" t="s">
        <v>3168</v>
      </c>
      <c r="E284" s="2" t="s">
        <v>3338</v>
      </c>
      <c r="F284" s="2" t="s">
        <v>3143</v>
      </c>
    </row>
    <row r="285" spans="1:6">
      <c r="A285" s="2" t="s">
        <v>3337</v>
      </c>
      <c r="B285" s="2" t="s">
        <v>3139</v>
      </c>
      <c r="C285" s="2" t="s">
        <v>3169</v>
      </c>
      <c r="D285" s="2"/>
      <c r="E285" s="2" t="s">
        <v>3338</v>
      </c>
      <c r="F285" s="2" t="s">
        <v>3143</v>
      </c>
    </row>
    <row r="286" spans="1:6">
      <c r="A286" s="2" t="s">
        <v>3337</v>
      </c>
      <c r="B286" s="2" t="s">
        <v>3139</v>
      </c>
      <c r="C286" s="2" t="s">
        <v>3171</v>
      </c>
      <c r="D286" s="2"/>
      <c r="E286" s="2" t="s">
        <v>3338</v>
      </c>
      <c r="F286" s="2" t="s">
        <v>3143</v>
      </c>
    </row>
    <row r="287" spans="1:6">
      <c r="A287" s="2" t="s">
        <v>3337</v>
      </c>
      <c r="B287" s="2" t="s">
        <v>3139</v>
      </c>
      <c r="C287" s="2" t="s">
        <v>3173</v>
      </c>
      <c r="D287" s="2" t="s">
        <v>3174</v>
      </c>
      <c r="E287" s="2" t="s">
        <v>3338</v>
      </c>
      <c r="F287" s="2" t="s">
        <v>3143</v>
      </c>
    </row>
    <row r="288" spans="1:6">
      <c r="A288" s="2" t="s">
        <v>3337</v>
      </c>
      <c r="B288" s="2" t="s">
        <v>3139</v>
      </c>
      <c r="C288" s="2" t="s">
        <v>3175</v>
      </c>
      <c r="D288" s="2" t="s">
        <v>3176</v>
      </c>
      <c r="E288" s="2" t="s">
        <v>3338</v>
      </c>
      <c r="F288" s="2" t="s">
        <v>3143</v>
      </c>
    </row>
    <row r="289" spans="1:6">
      <c r="A289" s="2" t="s">
        <v>3337</v>
      </c>
      <c r="B289" s="2" t="s">
        <v>3139</v>
      </c>
      <c r="C289" s="2" t="s">
        <v>3177</v>
      </c>
      <c r="D289" s="2" t="s">
        <v>3178</v>
      </c>
      <c r="E289" s="2" t="s">
        <v>3338</v>
      </c>
      <c r="F289" s="2" t="s">
        <v>3143</v>
      </c>
    </row>
    <row r="290" spans="1:6">
      <c r="A290" s="2" t="s">
        <v>3337</v>
      </c>
      <c r="B290" s="2" t="s">
        <v>3179</v>
      </c>
      <c r="C290" s="2" t="s">
        <v>3140</v>
      </c>
      <c r="D290" s="2" t="s">
        <v>3180</v>
      </c>
      <c r="E290" s="2" t="s">
        <v>3338</v>
      </c>
      <c r="F290" s="2" t="s">
        <v>3143</v>
      </c>
    </row>
    <row r="291" spans="1:6">
      <c r="A291" s="2" t="s">
        <v>3337</v>
      </c>
      <c r="B291" s="2" t="s">
        <v>3179</v>
      </c>
      <c r="C291" s="2" t="s">
        <v>3144</v>
      </c>
      <c r="D291" s="2" t="s">
        <v>3181</v>
      </c>
      <c r="E291" s="2" t="s">
        <v>3338</v>
      </c>
      <c r="F291" s="2" t="s">
        <v>3143</v>
      </c>
    </row>
    <row r="292" spans="1:6">
      <c r="A292" s="2" t="s">
        <v>3337</v>
      </c>
      <c r="B292" s="2" t="s">
        <v>3179</v>
      </c>
      <c r="C292" s="2" t="s">
        <v>66</v>
      </c>
      <c r="D292" s="2" t="s">
        <v>3182</v>
      </c>
      <c r="E292" s="2" t="s">
        <v>3338</v>
      </c>
      <c r="F292" s="2" t="s">
        <v>3143</v>
      </c>
    </row>
    <row r="293" spans="1:6">
      <c r="A293" s="2" t="s">
        <v>3337</v>
      </c>
      <c r="B293" s="2" t="s">
        <v>3179</v>
      </c>
      <c r="C293" s="2" t="s">
        <v>3147</v>
      </c>
      <c r="D293" s="2" t="s">
        <v>3183</v>
      </c>
      <c r="E293" s="2" t="s">
        <v>3338</v>
      </c>
      <c r="F293" s="2" t="s">
        <v>3143</v>
      </c>
    </row>
    <row r="294" spans="1:6">
      <c r="A294" s="2" t="s">
        <v>3337</v>
      </c>
      <c r="B294" s="2" t="s">
        <v>3179</v>
      </c>
      <c r="C294" s="2" t="s">
        <v>3149</v>
      </c>
      <c r="D294" s="2" t="s">
        <v>3184</v>
      </c>
      <c r="E294" s="2" t="s">
        <v>3338</v>
      </c>
      <c r="F294" s="2" t="s">
        <v>3143</v>
      </c>
    </row>
    <row r="295" spans="1:6">
      <c r="A295" s="2" t="s">
        <v>3337</v>
      </c>
      <c r="B295" s="2" t="s">
        <v>3179</v>
      </c>
      <c r="C295" s="2" t="s">
        <v>3151</v>
      </c>
      <c r="D295" s="2" t="s">
        <v>3339</v>
      </c>
      <c r="E295" s="2" t="s">
        <v>3338</v>
      </c>
      <c r="F295" s="2" t="s">
        <v>3143</v>
      </c>
    </row>
    <row r="296" spans="1:6">
      <c r="A296" s="2" t="s">
        <v>3337</v>
      </c>
      <c r="B296" s="2" t="s">
        <v>3179</v>
      </c>
      <c r="C296" s="2" t="s">
        <v>3153</v>
      </c>
      <c r="D296" s="2" t="s">
        <v>3186</v>
      </c>
      <c r="E296" s="2" t="s">
        <v>3338</v>
      </c>
      <c r="F296" s="2" t="s">
        <v>3143</v>
      </c>
    </row>
    <row r="297" spans="1:6">
      <c r="A297" s="2" t="s">
        <v>3337</v>
      </c>
      <c r="B297" s="2" t="s">
        <v>3179</v>
      </c>
      <c r="C297" s="2" t="s">
        <v>3155</v>
      </c>
      <c r="D297" s="2" t="s">
        <v>3187</v>
      </c>
      <c r="E297" s="2" t="s">
        <v>3338</v>
      </c>
      <c r="F297" s="2" t="s">
        <v>3143</v>
      </c>
    </row>
    <row r="298" spans="1:6">
      <c r="A298" s="2" t="s">
        <v>3337</v>
      </c>
      <c r="B298" s="2" t="s">
        <v>3179</v>
      </c>
      <c r="C298" s="2" t="s">
        <v>3157</v>
      </c>
      <c r="D298" s="2"/>
      <c r="E298" s="2" t="s">
        <v>3338</v>
      </c>
      <c r="F298" s="2" t="s">
        <v>3143</v>
      </c>
    </row>
    <row r="299" spans="1:6">
      <c r="A299" s="2" t="s">
        <v>3337</v>
      </c>
      <c r="B299" s="2" t="s">
        <v>3179</v>
      </c>
      <c r="C299" s="2" t="s">
        <v>3159</v>
      </c>
      <c r="D299" s="2"/>
      <c r="E299" s="2" t="s">
        <v>3338</v>
      </c>
      <c r="F299" s="2" t="s">
        <v>3143</v>
      </c>
    </row>
    <row r="300" spans="1:6">
      <c r="A300" s="2" t="s">
        <v>3337</v>
      </c>
      <c r="B300" s="2" t="s">
        <v>3179</v>
      </c>
      <c r="C300" s="2" t="s">
        <v>3161</v>
      </c>
      <c r="D300" s="2"/>
      <c r="E300" s="2" t="s">
        <v>3338</v>
      </c>
      <c r="F300" s="2" t="s">
        <v>3143</v>
      </c>
    </row>
    <row r="301" spans="1:6">
      <c r="A301" s="2" t="s">
        <v>3337</v>
      </c>
      <c r="B301" s="2" t="s">
        <v>3179</v>
      </c>
      <c r="C301" s="2" t="s">
        <v>3163</v>
      </c>
      <c r="D301" s="2" t="s">
        <v>3191</v>
      </c>
      <c r="E301" s="2" t="s">
        <v>3338</v>
      </c>
      <c r="F301" s="2" t="s">
        <v>3143</v>
      </c>
    </row>
    <row r="302" spans="1:6">
      <c r="A302" s="2" t="s">
        <v>3337</v>
      </c>
      <c r="B302" s="2" t="s">
        <v>3179</v>
      </c>
      <c r="C302" s="2" t="s">
        <v>3165</v>
      </c>
      <c r="D302" s="2" t="s">
        <v>3192</v>
      </c>
      <c r="E302" s="2" t="s">
        <v>3338</v>
      </c>
      <c r="F302" s="2" t="s">
        <v>3143</v>
      </c>
    </row>
    <row r="303" spans="1:6">
      <c r="A303" s="2" t="s">
        <v>3337</v>
      </c>
      <c r="B303" s="2" t="s">
        <v>3179</v>
      </c>
      <c r="C303" s="2" t="s">
        <v>3167</v>
      </c>
      <c r="D303" s="2" t="s">
        <v>3168</v>
      </c>
      <c r="E303" s="2" t="s">
        <v>3338</v>
      </c>
      <c r="F303" s="2" t="s">
        <v>3143</v>
      </c>
    </row>
    <row r="304" spans="1:6">
      <c r="A304" s="2" t="s">
        <v>3337</v>
      </c>
      <c r="B304" s="2" t="s">
        <v>3179</v>
      </c>
      <c r="C304" s="2" t="s">
        <v>3169</v>
      </c>
      <c r="D304" s="2"/>
      <c r="E304" s="2" t="s">
        <v>3338</v>
      </c>
      <c r="F304" s="2" t="s">
        <v>3143</v>
      </c>
    </row>
    <row r="305" spans="1:6">
      <c r="A305" s="2" t="s">
        <v>3337</v>
      </c>
      <c r="B305" s="2" t="s">
        <v>3179</v>
      </c>
      <c r="C305" s="2" t="s">
        <v>3171</v>
      </c>
      <c r="D305" s="2"/>
      <c r="E305" s="2" t="s">
        <v>3338</v>
      </c>
      <c r="F305" s="2" t="s">
        <v>3143</v>
      </c>
    </row>
    <row r="306" spans="1:6">
      <c r="A306" s="2" t="s">
        <v>3337</v>
      </c>
      <c r="B306" s="2" t="s">
        <v>3179</v>
      </c>
      <c r="C306" s="2" t="s">
        <v>3173</v>
      </c>
      <c r="D306" s="2" t="s">
        <v>3195</v>
      </c>
      <c r="E306" s="2" t="s">
        <v>3338</v>
      </c>
      <c r="F306" s="2" t="s">
        <v>3143</v>
      </c>
    </row>
    <row r="307" spans="1:6">
      <c r="A307" s="2" t="s">
        <v>3337</v>
      </c>
      <c r="B307" s="2" t="s">
        <v>3179</v>
      </c>
      <c r="C307" s="2" t="s">
        <v>3175</v>
      </c>
      <c r="D307" s="2" t="s">
        <v>3196</v>
      </c>
      <c r="E307" s="2" t="s">
        <v>3338</v>
      </c>
      <c r="F307" s="2" t="s">
        <v>3143</v>
      </c>
    </row>
    <row r="308" spans="1:6">
      <c r="A308" s="2" t="s">
        <v>3337</v>
      </c>
      <c r="B308" s="2" t="s">
        <v>3179</v>
      </c>
      <c r="C308" s="2" t="s">
        <v>3177</v>
      </c>
      <c r="D308" s="2" t="s">
        <v>3197</v>
      </c>
      <c r="E308" s="2" t="s">
        <v>3338</v>
      </c>
      <c r="F308" s="2" t="s">
        <v>3143</v>
      </c>
    </row>
    <row r="309" spans="1:6">
      <c r="A309" s="2" t="s">
        <v>3337</v>
      </c>
      <c r="B309" s="2" t="s">
        <v>3198</v>
      </c>
      <c r="C309" s="2" t="s">
        <v>3140</v>
      </c>
      <c r="D309" s="2" t="s">
        <v>3199</v>
      </c>
      <c r="E309" s="2" t="s">
        <v>3338</v>
      </c>
      <c r="F309" s="2" t="s">
        <v>3143</v>
      </c>
    </row>
    <row r="310" spans="1:6">
      <c r="A310" s="2" t="s">
        <v>3337</v>
      </c>
      <c r="B310" s="2" t="s">
        <v>3198</v>
      </c>
      <c r="C310" s="2" t="s">
        <v>3144</v>
      </c>
      <c r="D310" s="2" t="s">
        <v>3200</v>
      </c>
      <c r="E310" s="2" t="s">
        <v>3338</v>
      </c>
      <c r="F310" s="2" t="s">
        <v>3143</v>
      </c>
    </row>
    <row r="311" spans="1:6">
      <c r="A311" s="2" t="s">
        <v>3337</v>
      </c>
      <c r="B311" s="2" t="s">
        <v>3198</v>
      </c>
      <c r="C311" s="2" t="s">
        <v>66</v>
      </c>
      <c r="D311" s="2" t="s">
        <v>3146</v>
      </c>
      <c r="E311" s="2" t="s">
        <v>3338</v>
      </c>
      <c r="F311" s="2" t="s">
        <v>3143</v>
      </c>
    </row>
    <row r="312" spans="1:6">
      <c r="A312" s="2" t="s">
        <v>3337</v>
      </c>
      <c r="B312" s="2" t="s">
        <v>3198</v>
      </c>
      <c r="C312" s="2" t="s">
        <v>3147</v>
      </c>
      <c r="D312" s="2" t="s">
        <v>3201</v>
      </c>
      <c r="E312" s="2" t="s">
        <v>3338</v>
      </c>
      <c r="F312" s="2" t="s">
        <v>3143</v>
      </c>
    </row>
    <row r="313" spans="1:6">
      <c r="A313" s="2" t="s">
        <v>3337</v>
      </c>
      <c r="B313" s="2" t="s">
        <v>3198</v>
      </c>
      <c r="C313" s="2" t="s">
        <v>3149</v>
      </c>
      <c r="D313" s="2" t="s">
        <v>3202</v>
      </c>
      <c r="E313" s="2" t="s">
        <v>3338</v>
      </c>
      <c r="F313" s="2" t="s">
        <v>3143</v>
      </c>
    </row>
    <row r="314" spans="1:6">
      <c r="A314" s="2" t="s">
        <v>3337</v>
      </c>
      <c r="B314" s="2" t="s">
        <v>3198</v>
      </c>
      <c r="C314" s="2" t="s">
        <v>3151</v>
      </c>
      <c r="D314" s="2" t="s">
        <v>3340</v>
      </c>
      <c r="E314" s="2" t="s">
        <v>3338</v>
      </c>
      <c r="F314" s="2" t="s">
        <v>3143</v>
      </c>
    </row>
    <row r="315" spans="1:6">
      <c r="A315" s="2" t="s">
        <v>3337</v>
      </c>
      <c r="B315" s="2" t="s">
        <v>3198</v>
      </c>
      <c r="C315" s="2" t="s">
        <v>3153</v>
      </c>
      <c r="D315" s="2" t="s">
        <v>3204</v>
      </c>
      <c r="E315" s="2" t="s">
        <v>3338</v>
      </c>
      <c r="F315" s="2" t="s">
        <v>3143</v>
      </c>
    </row>
    <row r="316" spans="1:6">
      <c r="A316" s="2" t="s">
        <v>3337</v>
      </c>
      <c r="B316" s="2" t="s">
        <v>3198</v>
      </c>
      <c r="C316" s="2" t="s">
        <v>3155</v>
      </c>
      <c r="D316" s="2" t="s">
        <v>3205</v>
      </c>
      <c r="E316" s="2" t="s">
        <v>3338</v>
      </c>
      <c r="F316" s="2" t="s">
        <v>3143</v>
      </c>
    </row>
    <row r="317" spans="1:6">
      <c r="A317" s="2" t="s">
        <v>3337</v>
      </c>
      <c r="B317" s="2" t="s">
        <v>3198</v>
      </c>
      <c r="C317" s="2" t="s">
        <v>3157</v>
      </c>
      <c r="D317" s="2"/>
      <c r="E317" s="2" t="s">
        <v>3338</v>
      </c>
      <c r="F317" s="2" t="s">
        <v>3143</v>
      </c>
    </row>
    <row r="318" spans="1:6">
      <c r="A318" s="2" t="s">
        <v>3337</v>
      </c>
      <c r="B318" s="2" t="s">
        <v>3198</v>
      </c>
      <c r="C318" s="2" t="s">
        <v>3159</v>
      </c>
      <c r="D318" s="2"/>
      <c r="E318" s="2" t="s">
        <v>3338</v>
      </c>
      <c r="F318" s="2" t="s">
        <v>3143</v>
      </c>
    </row>
    <row r="319" spans="1:6">
      <c r="A319" s="2" t="s">
        <v>3337</v>
      </c>
      <c r="B319" s="2" t="s">
        <v>3198</v>
      </c>
      <c r="C319" s="2" t="s">
        <v>3161</v>
      </c>
      <c r="D319" s="2"/>
      <c r="E319" s="2" t="s">
        <v>3338</v>
      </c>
      <c r="F319" s="2" t="s">
        <v>3143</v>
      </c>
    </row>
    <row r="320" spans="1:6">
      <c r="A320" s="2" t="s">
        <v>3337</v>
      </c>
      <c r="B320" s="2" t="s">
        <v>3198</v>
      </c>
      <c r="C320" s="2" t="s">
        <v>3163</v>
      </c>
      <c r="D320" s="2" t="s">
        <v>3209</v>
      </c>
      <c r="E320" s="2" t="s">
        <v>3338</v>
      </c>
      <c r="F320" s="2" t="s">
        <v>3143</v>
      </c>
    </row>
    <row r="321" spans="1:6">
      <c r="A321" s="2" t="s">
        <v>3337</v>
      </c>
      <c r="B321" s="2" t="s">
        <v>3198</v>
      </c>
      <c r="C321" s="2" t="s">
        <v>3165</v>
      </c>
      <c r="D321" s="2" t="s">
        <v>3210</v>
      </c>
      <c r="E321" s="2" t="s">
        <v>3338</v>
      </c>
      <c r="F321" s="2" t="s">
        <v>3143</v>
      </c>
    </row>
    <row r="322" spans="1:6">
      <c r="A322" s="2" t="s">
        <v>3337</v>
      </c>
      <c r="B322" s="2" t="s">
        <v>3198</v>
      </c>
      <c r="C322" s="2" t="s">
        <v>3167</v>
      </c>
      <c r="D322" s="2" t="s">
        <v>3168</v>
      </c>
      <c r="E322" s="2" t="s">
        <v>3338</v>
      </c>
      <c r="F322" s="2" t="s">
        <v>3143</v>
      </c>
    </row>
    <row r="323" spans="1:6">
      <c r="A323" s="2" t="s">
        <v>3337</v>
      </c>
      <c r="B323" s="2" t="s">
        <v>3198</v>
      </c>
      <c r="C323" s="2" t="s">
        <v>3169</v>
      </c>
      <c r="D323" s="2"/>
      <c r="E323" s="2" t="s">
        <v>3338</v>
      </c>
      <c r="F323" s="2" t="s">
        <v>3143</v>
      </c>
    </row>
    <row r="324" spans="1:6">
      <c r="A324" s="2" t="s">
        <v>3337</v>
      </c>
      <c r="B324" s="2" t="s">
        <v>3198</v>
      </c>
      <c r="C324" s="2" t="s">
        <v>3171</v>
      </c>
      <c r="D324" s="2"/>
      <c r="E324" s="2" t="s">
        <v>3338</v>
      </c>
      <c r="F324" s="2" t="s">
        <v>3143</v>
      </c>
    </row>
    <row r="325" spans="1:6">
      <c r="A325" s="2" t="s">
        <v>3337</v>
      </c>
      <c r="B325" s="2" t="s">
        <v>3198</v>
      </c>
      <c r="C325" s="2" t="s">
        <v>3173</v>
      </c>
      <c r="D325" s="2" t="s">
        <v>3213</v>
      </c>
      <c r="E325" s="2" t="s">
        <v>3338</v>
      </c>
      <c r="F325" s="2" t="s">
        <v>3143</v>
      </c>
    </row>
    <row r="326" spans="1:6">
      <c r="A326" s="2" t="s">
        <v>3337</v>
      </c>
      <c r="B326" s="2" t="s">
        <v>3198</v>
      </c>
      <c r="C326" s="2" t="s">
        <v>3175</v>
      </c>
      <c r="D326" s="2" t="s">
        <v>3214</v>
      </c>
      <c r="E326" s="2" t="s">
        <v>3338</v>
      </c>
      <c r="F326" s="2" t="s">
        <v>3143</v>
      </c>
    </row>
    <row r="327" spans="1:6">
      <c r="A327" s="2" t="s">
        <v>3337</v>
      </c>
      <c r="B327" s="2" t="s">
        <v>3198</v>
      </c>
      <c r="C327" s="2" t="s">
        <v>3177</v>
      </c>
      <c r="D327" s="2" t="s">
        <v>3215</v>
      </c>
      <c r="E327" s="2" t="s">
        <v>3338</v>
      </c>
      <c r="F327" s="2" t="s">
        <v>3143</v>
      </c>
    </row>
  </sheetData>
  <autoFilter ref="A1:F327"/>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115"/>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customWidth="1"/>
    <col min="2" max="2" width="110.7109375" customWidth="1"/>
  </cols>
  <sheetData>
    <row r="1" spans="1:2" ht="32" customHeight="1">
      <c r="A1" s="1" t="s">
        <v>3341</v>
      </c>
      <c r="B1" s="1" t="s">
        <v>3342</v>
      </c>
    </row>
    <row r="2" spans="1:2">
      <c r="A2" s="2" t="s">
        <v>3343</v>
      </c>
      <c r="B2" s="2" t="s">
        <v>3344</v>
      </c>
    </row>
    <row r="3" spans="1:2">
      <c r="A3" s="2" t="s">
        <v>3345</v>
      </c>
      <c r="B3" s="2" t="s">
        <v>3346</v>
      </c>
    </row>
    <row r="4" spans="1:2">
      <c r="A4" s="2" t="s">
        <v>3347</v>
      </c>
      <c r="B4" s="2" t="s">
        <v>7</v>
      </c>
    </row>
    <row r="5" spans="1:2">
      <c r="A5" s="2" t="s">
        <v>3348</v>
      </c>
      <c r="B5" s="2" t="s">
        <v>3349</v>
      </c>
    </row>
    <row r="6" spans="1:2">
      <c r="A6" s="2" t="s">
        <v>3350</v>
      </c>
      <c r="B6" s="2" t="s">
        <v>3351</v>
      </c>
    </row>
    <row r="7" spans="1:2">
      <c r="A7" s="2" t="s">
        <v>3352</v>
      </c>
      <c r="B7" s="2" t="s">
        <v>3353</v>
      </c>
    </row>
    <row r="8" spans="1:2">
      <c r="A8" s="2" t="s">
        <v>3354</v>
      </c>
      <c r="B8" s="2" t="s">
        <v>3355</v>
      </c>
    </row>
    <row r="9" spans="1:2">
      <c r="A9" s="2" t="s">
        <v>3356</v>
      </c>
      <c r="B9" s="2" t="s">
        <v>3357</v>
      </c>
    </row>
    <row r="10" spans="1:2">
      <c r="A10" s="2" t="s">
        <v>3358</v>
      </c>
      <c r="B10" s="2" t="s">
        <v>3359</v>
      </c>
    </row>
    <row r="11" spans="1:2">
      <c r="A11" s="2" t="s">
        <v>3360</v>
      </c>
      <c r="B11" s="2" t="s">
        <v>3361</v>
      </c>
    </row>
    <row r="12" spans="1:2">
      <c r="A12" s="2" t="s">
        <v>3362</v>
      </c>
      <c r="B12" s="2" t="s">
        <v>3363</v>
      </c>
    </row>
    <row r="13" spans="1:2">
      <c r="A13" s="2" t="s">
        <v>3364</v>
      </c>
      <c r="B13" s="2" t="s">
        <v>3365</v>
      </c>
    </row>
    <row r="14" spans="1:2">
      <c r="A14" s="2" t="s">
        <v>3366</v>
      </c>
      <c r="B14" s="2" t="s">
        <v>3367</v>
      </c>
    </row>
    <row r="15" spans="1:2">
      <c r="A15" s="2" t="s">
        <v>3368</v>
      </c>
      <c r="B15" s="2" t="s">
        <v>3369</v>
      </c>
    </row>
    <row r="16" spans="1:2">
      <c r="A16" s="2" t="s">
        <v>3370</v>
      </c>
      <c r="B16" s="2" t="s">
        <v>3371</v>
      </c>
    </row>
    <row r="17" spans="1:2">
      <c r="A17" s="2" t="s">
        <v>3372</v>
      </c>
      <c r="B17" s="2" t="s">
        <v>3373</v>
      </c>
    </row>
    <row r="18" spans="1:2">
      <c r="A18" s="2" t="s">
        <v>3374</v>
      </c>
      <c r="B18" s="2" t="s">
        <v>3375</v>
      </c>
    </row>
    <row r="19" spans="1:2">
      <c r="A19" s="2" t="s">
        <v>3376</v>
      </c>
      <c r="B19" s="2" t="s">
        <v>3377</v>
      </c>
    </row>
    <row r="20" spans="1:2">
      <c r="A20" s="2" t="s">
        <v>3378</v>
      </c>
      <c r="B20" s="2" t="s">
        <v>3379</v>
      </c>
    </row>
    <row r="21" spans="1:2">
      <c r="A21" s="2" t="s">
        <v>3380</v>
      </c>
      <c r="B21" s="2" t="s">
        <v>3381</v>
      </c>
    </row>
    <row r="22" spans="1:2">
      <c r="A22" s="2" t="s">
        <v>3382</v>
      </c>
      <c r="B22" s="2" t="s">
        <v>3383</v>
      </c>
    </row>
    <row r="23" spans="1:2">
      <c r="A23" s="2" t="s">
        <v>3384</v>
      </c>
      <c r="B23" s="2" t="s">
        <v>3385</v>
      </c>
    </row>
    <row r="24" spans="1:2">
      <c r="A24" s="2" t="s">
        <v>3386</v>
      </c>
      <c r="B24" s="2" t="s">
        <v>3387</v>
      </c>
    </row>
    <row r="25" spans="1:2">
      <c r="A25" s="2" t="s">
        <v>3388</v>
      </c>
      <c r="B25" s="2" t="s">
        <v>3389</v>
      </c>
    </row>
    <row r="26" spans="1:2">
      <c r="A26" s="2" t="s">
        <v>3390</v>
      </c>
      <c r="B26" s="2" t="s">
        <v>3391</v>
      </c>
    </row>
    <row r="27" spans="1:2">
      <c r="A27" s="2" t="s">
        <v>3392</v>
      </c>
      <c r="B27" s="2" t="s">
        <v>3393</v>
      </c>
    </row>
    <row r="28" spans="1:2">
      <c r="A28" s="2" t="s">
        <v>3394</v>
      </c>
      <c r="B28" s="2" t="s">
        <v>3395</v>
      </c>
    </row>
    <row r="29" spans="1:2">
      <c r="A29" s="2" t="s">
        <v>3396</v>
      </c>
      <c r="B29" s="2" t="s">
        <v>3397</v>
      </c>
    </row>
    <row r="30" spans="1:2">
      <c r="A30" s="2" t="s">
        <v>3398</v>
      </c>
      <c r="B30" s="2" t="s">
        <v>3399</v>
      </c>
    </row>
    <row r="31" spans="1:2">
      <c r="A31" s="2" t="s">
        <v>3400</v>
      </c>
      <c r="B31" s="2" t="s">
        <v>3401</v>
      </c>
    </row>
    <row r="32" spans="1:2">
      <c r="A32" s="2" t="s">
        <v>3402</v>
      </c>
      <c r="B32" s="2" t="s">
        <v>3403</v>
      </c>
    </row>
    <row r="33" spans="1:2">
      <c r="A33" s="2" t="s">
        <v>3404</v>
      </c>
      <c r="B33" s="2" t="s">
        <v>3405</v>
      </c>
    </row>
    <row r="34" spans="1:2">
      <c r="A34" s="2" t="s">
        <v>3406</v>
      </c>
      <c r="B34" s="2" t="s">
        <v>3407</v>
      </c>
    </row>
    <row r="35" spans="1:2">
      <c r="A35" s="2" t="s">
        <v>3408</v>
      </c>
      <c r="B35" s="2" t="s">
        <v>3409</v>
      </c>
    </row>
    <row r="36" spans="1:2">
      <c r="A36" s="2" t="s">
        <v>3410</v>
      </c>
      <c r="B36" s="2" t="s">
        <v>3411</v>
      </c>
    </row>
    <row r="37" spans="1:2">
      <c r="A37" s="2" t="s">
        <v>3412</v>
      </c>
      <c r="B37" s="2" t="s">
        <v>3413</v>
      </c>
    </row>
    <row r="38" spans="1:2">
      <c r="A38" s="2" t="s">
        <v>3414</v>
      </c>
      <c r="B38" s="2" t="s">
        <v>3415</v>
      </c>
    </row>
    <row r="39" spans="1:2">
      <c r="A39" s="2" t="s">
        <v>3416</v>
      </c>
      <c r="B39" s="2" t="s">
        <v>3417</v>
      </c>
    </row>
    <row r="40" spans="1:2">
      <c r="A40" s="2" t="s">
        <v>3418</v>
      </c>
      <c r="B40" s="2" t="s">
        <v>3419</v>
      </c>
    </row>
    <row r="41" spans="1:2">
      <c r="A41" s="2" t="s">
        <v>3420</v>
      </c>
      <c r="B41" s="2" t="s">
        <v>3421</v>
      </c>
    </row>
    <row r="42" spans="1:2">
      <c r="A42" s="2" t="s">
        <v>3422</v>
      </c>
      <c r="B42" s="2" t="s">
        <v>3423</v>
      </c>
    </row>
    <row r="43" spans="1:2">
      <c r="A43" s="2" t="s">
        <v>3424</v>
      </c>
      <c r="B43" s="2" t="s">
        <v>3425</v>
      </c>
    </row>
    <row r="44" spans="1:2">
      <c r="A44" s="2" t="s">
        <v>3426</v>
      </c>
      <c r="B44" s="2" t="s">
        <v>3427</v>
      </c>
    </row>
    <row r="45" spans="1:2">
      <c r="A45" s="2" t="s">
        <v>3428</v>
      </c>
      <c r="B45" s="2" t="s">
        <v>3429</v>
      </c>
    </row>
    <row r="46" spans="1:2">
      <c r="A46" s="2" t="s">
        <v>3430</v>
      </c>
      <c r="B46" s="2" t="s">
        <v>3431</v>
      </c>
    </row>
    <row r="47" spans="1:2">
      <c r="A47" s="2" t="s">
        <v>3432</v>
      </c>
      <c r="B47" s="2" t="s">
        <v>3433</v>
      </c>
    </row>
    <row r="48" spans="1:2">
      <c r="A48" s="2" t="s">
        <v>3434</v>
      </c>
      <c r="B48" s="2" t="s">
        <v>3435</v>
      </c>
    </row>
    <row r="49" spans="1:2">
      <c r="A49" s="2" t="s">
        <v>3436</v>
      </c>
      <c r="B49" s="2" t="s">
        <v>3437</v>
      </c>
    </row>
    <row r="50" spans="1:2">
      <c r="A50" s="2" t="s">
        <v>3438</v>
      </c>
      <c r="B50" s="2" t="s">
        <v>3439</v>
      </c>
    </row>
    <row r="51" spans="1:2">
      <c r="A51" s="2" t="s">
        <v>3440</v>
      </c>
      <c r="B51" s="2" t="s">
        <v>3441</v>
      </c>
    </row>
    <row r="52" spans="1:2">
      <c r="A52" s="2" t="s">
        <v>3442</v>
      </c>
      <c r="B52" s="2" t="s">
        <v>3443</v>
      </c>
    </row>
    <row r="53" spans="1:2">
      <c r="A53" s="2" t="s">
        <v>3444</v>
      </c>
      <c r="B53" s="2" t="s">
        <v>3445</v>
      </c>
    </row>
    <row r="54" spans="1:2">
      <c r="A54" s="2" t="s">
        <v>3446</v>
      </c>
      <c r="B54" s="2" t="s">
        <v>3447</v>
      </c>
    </row>
    <row r="55" spans="1:2">
      <c r="A55" s="2" t="s">
        <v>3448</v>
      </c>
      <c r="B55" s="2" t="s">
        <v>3449</v>
      </c>
    </row>
    <row r="56" spans="1:2">
      <c r="A56" s="2" t="s">
        <v>3450</v>
      </c>
      <c r="B56" s="2" t="s">
        <v>3451</v>
      </c>
    </row>
    <row r="57" spans="1:2">
      <c r="A57" s="2" t="s">
        <v>3452</v>
      </c>
      <c r="B57" s="2" t="s">
        <v>3453</v>
      </c>
    </row>
    <row r="58" spans="1:2">
      <c r="A58" s="2" t="s">
        <v>3454</v>
      </c>
      <c r="B58" s="2" t="s">
        <v>3455</v>
      </c>
    </row>
    <row r="59" spans="1:2">
      <c r="A59" s="2" t="s">
        <v>3456</v>
      </c>
      <c r="B59" s="2" t="s">
        <v>3457</v>
      </c>
    </row>
    <row r="60" spans="1:2">
      <c r="A60" s="2" t="s">
        <v>3458</v>
      </c>
      <c r="B60" s="2" t="s">
        <v>3459</v>
      </c>
    </row>
    <row r="61" spans="1:2">
      <c r="A61" s="2" t="s">
        <v>3460</v>
      </c>
      <c r="B61" s="2" t="s">
        <v>3461</v>
      </c>
    </row>
    <row r="62" spans="1:2">
      <c r="A62" s="2" t="s">
        <v>3462</v>
      </c>
      <c r="B62" s="2" t="s">
        <v>3463</v>
      </c>
    </row>
    <row r="63" spans="1:2">
      <c r="A63" s="2" t="s">
        <v>3464</v>
      </c>
      <c r="B63" s="2" t="s">
        <v>3465</v>
      </c>
    </row>
    <row r="64" spans="1:2">
      <c r="A64" s="2" t="s">
        <v>3466</v>
      </c>
      <c r="B64" s="2" t="s">
        <v>3467</v>
      </c>
    </row>
    <row r="65" spans="1:2">
      <c r="A65" s="2" t="s">
        <v>3468</v>
      </c>
      <c r="B65" s="2" t="s">
        <v>3469</v>
      </c>
    </row>
    <row r="66" spans="1:2">
      <c r="A66" s="2" t="s">
        <v>3470</v>
      </c>
      <c r="B66" s="2" t="s">
        <v>3471</v>
      </c>
    </row>
    <row r="67" spans="1:2">
      <c r="A67" s="2" t="s">
        <v>3472</v>
      </c>
      <c r="B67" s="2" t="s">
        <v>3473</v>
      </c>
    </row>
    <row r="68" spans="1:2">
      <c r="A68" s="2" t="s">
        <v>3474</v>
      </c>
      <c r="B68" s="2" t="s">
        <v>3475</v>
      </c>
    </row>
    <row r="69" spans="1:2">
      <c r="A69" s="2" t="s">
        <v>3476</v>
      </c>
      <c r="B69" s="2" t="s">
        <v>3477</v>
      </c>
    </row>
    <row r="70" spans="1:2">
      <c r="A70" s="2" t="s">
        <v>3478</v>
      </c>
      <c r="B70" s="2" t="s">
        <v>3479</v>
      </c>
    </row>
    <row r="71" spans="1:2">
      <c r="A71" s="2" t="s">
        <v>3480</v>
      </c>
      <c r="B71" s="2" t="s">
        <v>3481</v>
      </c>
    </row>
    <row r="72" spans="1:2">
      <c r="A72" s="2" t="s">
        <v>3482</v>
      </c>
      <c r="B72" s="2" t="s">
        <v>3483</v>
      </c>
    </row>
    <row r="73" spans="1:2">
      <c r="A73" s="2" t="s">
        <v>3484</v>
      </c>
      <c r="B73" s="2" t="s">
        <v>3485</v>
      </c>
    </row>
    <row r="74" spans="1:2">
      <c r="A74" s="2" t="s">
        <v>3486</v>
      </c>
      <c r="B74" s="2" t="s">
        <v>3487</v>
      </c>
    </row>
    <row r="75" spans="1:2">
      <c r="A75" s="2" t="s">
        <v>3488</v>
      </c>
      <c r="B75" s="2" t="s">
        <v>3489</v>
      </c>
    </row>
    <row r="76" spans="1:2">
      <c r="A76" s="2" t="s">
        <v>3490</v>
      </c>
      <c r="B76" s="2" t="s">
        <v>3491</v>
      </c>
    </row>
    <row r="77" spans="1:2">
      <c r="A77" s="2" t="s">
        <v>3492</v>
      </c>
      <c r="B77" s="2" t="s">
        <v>3493</v>
      </c>
    </row>
    <row r="78" spans="1:2">
      <c r="A78" s="2" t="s">
        <v>3494</v>
      </c>
      <c r="B78" s="2" t="s">
        <v>3495</v>
      </c>
    </row>
    <row r="79" spans="1:2">
      <c r="A79" s="2" t="s">
        <v>3496</v>
      </c>
      <c r="B79" s="2" t="s">
        <v>3497</v>
      </c>
    </row>
    <row r="80" spans="1:2">
      <c r="A80" s="2" t="s">
        <v>3498</v>
      </c>
      <c r="B80" s="2" t="s">
        <v>3499</v>
      </c>
    </row>
    <row r="81" spans="1:2">
      <c r="A81" s="2" t="s">
        <v>3500</v>
      </c>
      <c r="B81" s="2" t="s">
        <v>3501</v>
      </c>
    </row>
    <row r="82" spans="1:2">
      <c r="A82" s="2" t="s">
        <v>3502</v>
      </c>
      <c r="B82" s="2" t="s">
        <v>3503</v>
      </c>
    </row>
    <row r="83" spans="1:2">
      <c r="A83" s="2" t="s">
        <v>3504</v>
      </c>
      <c r="B83" s="2" t="s">
        <v>3505</v>
      </c>
    </row>
    <row r="84" spans="1:2">
      <c r="A84" s="2" t="s">
        <v>3506</v>
      </c>
      <c r="B84" s="2" t="s">
        <v>3507</v>
      </c>
    </row>
    <row r="85" spans="1:2">
      <c r="A85" s="2" t="s">
        <v>3508</v>
      </c>
      <c r="B85" s="2" t="s">
        <v>3509</v>
      </c>
    </row>
    <row r="86" spans="1:2">
      <c r="A86" s="2" t="s">
        <v>3510</v>
      </c>
      <c r="B86" s="2" t="s">
        <v>3511</v>
      </c>
    </row>
    <row r="87" spans="1:2">
      <c r="A87" s="2" t="s">
        <v>3512</v>
      </c>
      <c r="B87" s="2" t="s">
        <v>3513</v>
      </c>
    </row>
    <row r="88" spans="1:2">
      <c r="A88" s="2" t="s">
        <v>3514</v>
      </c>
      <c r="B88" s="2" t="s">
        <v>3515</v>
      </c>
    </row>
    <row r="89" spans="1:2">
      <c r="A89" s="2" t="s">
        <v>3516</v>
      </c>
      <c r="B89" s="2" t="s">
        <v>3517</v>
      </c>
    </row>
    <row r="90" spans="1:2">
      <c r="A90" s="2" t="s">
        <v>3518</v>
      </c>
      <c r="B90" s="2" t="s">
        <v>3519</v>
      </c>
    </row>
    <row r="91" spans="1:2">
      <c r="A91" s="2" t="s">
        <v>3520</v>
      </c>
      <c r="B91" s="2" t="s">
        <v>3521</v>
      </c>
    </row>
    <row r="92" spans="1:2">
      <c r="A92" s="2" t="s">
        <v>3522</v>
      </c>
      <c r="B92" s="2" t="s">
        <v>3523</v>
      </c>
    </row>
    <row r="93" spans="1:2">
      <c r="A93" s="2" t="s">
        <v>3524</v>
      </c>
      <c r="B93" s="2" t="s">
        <v>3525</v>
      </c>
    </row>
    <row r="94" spans="1:2">
      <c r="A94" s="2" t="s">
        <v>3526</v>
      </c>
      <c r="B94" s="2" t="s">
        <v>3527</v>
      </c>
    </row>
    <row r="95" spans="1:2">
      <c r="A95" s="2" t="s">
        <v>3528</v>
      </c>
      <c r="B95" s="2" t="s">
        <v>3529</v>
      </c>
    </row>
    <row r="96" spans="1:2">
      <c r="A96" s="2" t="s">
        <v>3530</v>
      </c>
      <c r="B96" s="2" t="s">
        <v>3531</v>
      </c>
    </row>
    <row r="97" spans="1:2">
      <c r="A97" s="2" t="s">
        <v>3532</v>
      </c>
      <c r="B97" s="2" t="s">
        <v>3533</v>
      </c>
    </row>
    <row r="98" spans="1:2">
      <c r="A98" s="2" t="s">
        <v>3534</v>
      </c>
      <c r="B98" s="2" t="s">
        <v>3535</v>
      </c>
    </row>
    <row r="99" spans="1:2">
      <c r="A99" s="2" t="s">
        <v>3536</v>
      </c>
      <c r="B99" s="2" t="s">
        <v>3537</v>
      </c>
    </row>
    <row r="100" spans="1:2">
      <c r="A100" s="2" t="s">
        <v>3538</v>
      </c>
      <c r="B100" s="2" t="s">
        <v>3539</v>
      </c>
    </row>
    <row r="101" spans="1:2">
      <c r="A101" s="2" t="s">
        <v>3540</v>
      </c>
      <c r="B101" s="2" t="s">
        <v>3541</v>
      </c>
    </row>
    <row r="102" spans="1:2">
      <c r="A102" s="2" t="s">
        <v>3542</v>
      </c>
      <c r="B102" s="2" t="s">
        <v>3543</v>
      </c>
    </row>
    <row r="103" spans="1:2">
      <c r="A103" s="2" t="s">
        <v>3544</v>
      </c>
      <c r="B103" s="2" t="s">
        <v>3545</v>
      </c>
    </row>
    <row r="104" spans="1:2">
      <c r="A104" s="2" t="s">
        <v>3546</v>
      </c>
      <c r="B104" s="2" t="s">
        <v>3547</v>
      </c>
    </row>
    <row r="105" spans="1:2">
      <c r="A105" s="2" t="s">
        <v>3548</v>
      </c>
      <c r="B105" s="2" t="s">
        <v>3549</v>
      </c>
    </row>
    <row r="106" spans="1:2">
      <c r="A106" s="2" t="s">
        <v>3550</v>
      </c>
      <c r="B106" s="2" t="s">
        <v>3551</v>
      </c>
    </row>
    <row r="107" spans="1:2">
      <c r="A107" s="2" t="s">
        <v>3552</v>
      </c>
      <c r="B107" s="2" t="s">
        <v>3553</v>
      </c>
    </row>
    <row r="108" spans="1:2">
      <c r="A108" s="2" t="s">
        <v>3554</v>
      </c>
      <c r="B108" s="2" t="s">
        <v>3555</v>
      </c>
    </row>
    <row r="109" spans="1:2">
      <c r="A109" s="2" t="s">
        <v>3556</v>
      </c>
      <c r="B109" s="2" t="s">
        <v>3557</v>
      </c>
    </row>
    <row r="110" spans="1:2">
      <c r="A110" s="2" t="s">
        <v>3558</v>
      </c>
      <c r="B110" s="2" t="s">
        <v>3559</v>
      </c>
    </row>
    <row r="111" spans="1:2">
      <c r="A111" s="2" t="s">
        <v>3560</v>
      </c>
      <c r="B111" s="2" t="s">
        <v>3561</v>
      </c>
    </row>
    <row r="112" spans="1:2">
      <c r="A112" s="2" t="s">
        <v>3562</v>
      </c>
      <c r="B112" s="2" t="s">
        <v>3563</v>
      </c>
    </row>
    <row r="113" spans="1:2">
      <c r="A113" s="2" t="s">
        <v>3564</v>
      </c>
      <c r="B113" s="2" t="s">
        <v>3565</v>
      </c>
    </row>
    <row r="114" spans="1:2">
      <c r="A114" s="2" t="s">
        <v>3566</v>
      </c>
      <c r="B114" s="2" t="s">
        <v>3567</v>
      </c>
    </row>
    <row r="115" spans="1:2">
      <c r="A115" s="2" t="s">
        <v>3568</v>
      </c>
      <c r="B115" s="2" t="s">
        <v>3569</v>
      </c>
    </row>
  </sheetData>
  <autoFilter ref="A1:B115"/>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18"/>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4" width="28.7109375" customWidth="1"/>
  </cols>
  <sheetData>
    <row r="1" spans="1:4" ht="32" customHeight="1">
      <c r="A1" s="1" t="s">
        <v>3134</v>
      </c>
      <c r="B1" s="1" t="s">
        <v>3135</v>
      </c>
      <c r="C1" s="1" t="s">
        <v>3137</v>
      </c>
      <c r="D1" s="1" t="s">
        <v>3136</v>
      </c>
    </row>
    <row r="2" spans="1:4">
      <c r="A2" s="2" t="s">
        <v>3570</v>
      </c>
      <c r="B2" s="2" t="s">
        <v>3571</v>
      </c>
      <c r="C2" s="2" t="s">
        <v>3572</v>
      </c>
      <c r="D2" s="2" t="s">
        <v>3573</v>
      </c>
    </row>
    <row r="3" spans="1:4">
      <c r="A3" s="2" t="s">
        <v>3574</v>
      </c>
      <c r="B3" s="2" t="s">
        <v>3575</v>
      </c>
      <c r="C3" s="2" t="s">
        <v>3576</v>
      </c>
      <c r="D3" s="2" t="s">
        <v>3573</v>
      </c>
    </row>
    <row r="4" spans="1:4">
      <c r="A4" s="2" t="s">
        <v>3577</v>
      </c>
      <c r="B4" s="2" t="s">
        <v>3578</v>
      </c>
      <c r="C4" s="2" t="s">
        <v>3579</v>
      </c>
      <c r="D4" s="2" t="s">
        <v>3580</v>
      </c>
    </row>
    <row r="5" spans="1:4">
      <c r="A5" s="2" t="s">
        <v>3581</v>
      </c>
      <c r="B5" s="2" t="s">
        <v>3582</v>
      </c>
      <c r="C5" s="2" t="s">
        <v>3583</v>
      </c>
      <c r="D5" s="2" t="s">
        <v>3580</v>
      </c>
    </row>
    <row r="6" spans="1:4">
      <c r="A6" s="2" t="s">
        <v>3584</v>
      </c>
      <c r="B6" s="2" t="s">
        <v>3585</v>
      </c>
      <c r="C6" s="2" t="s">
        <v>3586</v>
      </c>
      <c r="D6" s="2" t="s">
        <v>3580</v>
      </c>
    </row>
    <row r="7" spans="1:4">
      <c r="A7" s="2" t="s">
        <v>3587</v>
      </c>
      <c r="B7" s="2" t="s">
        <v>3588</v>
      </c>
      <c r="C7" s="2" t="s">
        <v>3589</v>
      </c>
      <c r="D7" s="2" t="s">
        <v>3580</v>
      </c>
    </row>
    <row r="8" spans="1:4">
      <c r="A8" s="2" t="s">
        <v>3590</v>
      </c>
      <c r="B8" s="2" t="s">
        <v>3591</v>
      </c>
      <c r="C8" s="2" t="s">
        <v>3592</v>
      </c>
      <c r="D8" s="2" t="s">
        <v>3580</v>
      </c>
    </row>
    <row r="9" spans="1:4">
      <c r="A9" s="2" t="s">
        <v>3593</v>
      </c>
      <c r="B9" s="2" t="s">
        <v>3594</v>
      </c>
      <c r="C9" s="2" t="s">
        <v>3595</v>
      </c>
      <c r="D9" s="2" t="s">
        <v>3580</v>
      </c>
    </row>
    <row r="10" spans="1:4">
      <c r="A10" s="2" t="s">
        <v>3596</v>
      </c>
      <c r="B10" s="2" t="s">
        <v>3597</v>
      </c>
      <c r="C10" s="2" t="s">
        <v>3598</v>
      </c>
      <c r="D10" s="2" t="s">
        <v>3580</v>
      </c>
    </row>
    <row r="11" spans="1:4">
      <c r="A11" s="2" t="s">
        <v>3599</v>
      </c>
      <c r="B11" s="2" t="s">
        <v>3600</v>
      </c>
      <c r="C11" s="2" t="s">
        <v>3601</v>
      </c>
      <c r="D11" s="2" t="s">
        <v>3602</v>
      </c>
    </row>
    <row r="12" spans="1:4">
      <c r="A12" s="2" t="s">
        <v>3603</v>
      </c>
      <c r="B12" s="2" t="s">
        <v>3604</v>
      </c>
      <c r="C12" s="2" t="s">
        <v>3605</v>
      </c>
      <c r="D12" s="2" t="s">
        <v>3602</v>
      </c>
    </row>
    <row r="13" spans="1:4">
      <c r="A13" s="2" t="s">
        <v>3606</v>
      </c>
      <c r="B13" s="2" t="s">
        <v>3607</v>
      </c>
      <c r="C13" s="2" t="s">
        <v>3608</v>
      </c>
      <c r="D13" s="2" t="s">
        <v>3602</v>
      </c>
    </row>
    <row r="14" spans="1:4">
      <c r="A14" s="2" t="s">
        <v>3609</v>
      </c>
      <c r="B14" s="2" t="s">
        <v>3610</v>
      </c>
      <c r="C14" s="2" t="s">
        <v>3611</v>
      </c>
      <c r="D14" s="2" t="s">
        <v>3580</v>
      </c>
    </row>
    <row r="15" spans="1:4">
      <c r="A15" s="2" t="s">
        <v>3612</v>
      </c>
      <c r="B15" s="2" t="s">
        <v>3613</v>
      </c>
      <c r="C15" s="2" t="s">
        <v>3614</v>
      </c>
      <c r="D15" s="2" t="s">
        <v>3615</v>
      </c>
    </row>
    <row r="16" spans="1:4">
      <c r="A16" s="2" t="s">
        <v>3616</v>
      </c>
      <c r="B16" s="2" t="s">
        <v>3617</v>
      </c>
      <c r="C16" s="2" t="s">
        <v>3618</v>
      </c>
      <c r="D16" s="2" t="s">
        <v>3619</v>
      </c>
    </row>
    <row r="17" spans="1:4">
      <c r="A17" s="2" t="s">
        <v>3620</v>
      </c>
      <c r="B17" s="2" t="s">
        <v>3621</v>
      </c>
      <c r="C17" s="2" t="s">
        <v>3622</v>
      </c>
      <c r="D17" s="2" t="s">
        <v>3619</v>
      </c>
    </row>
    <row r="18" spans="1:4">
      <c r="A18" s="2" t="s">
        <v>3623</v>
      </c>
      <c r="B18" s="2" t="s">
        <v>3624</v>
      </c>
      <c r="C18" s="2" t="s">
        <v>3625</v>
      </c>
      <c r="D18" s="2" t="s">
        <v>3602</v>
      </c>
    </row>
  </sheetData>
  <autoFilter ref="A1:D18"/>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27"/>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customWidth="1"/>
    <col min="2" max="2" width="110.7109375" customWidth="1"/>
  </cols>
  <sheetData>
    <row r="1" spans="1:2" ht="32" customHeight="1">
      <c r="A1" s="1" t="s">
        <v>3341</v>
      </c>
      <c r="B1" s="1" t="s">
        <v>3342</v>
      </c>
    </row>
    <row r="2" spans="1:2">
      <c r="A2" s="2" t="s">
        <v>3343</v>
      </c>
      <c r="B2" s="2" t="s">
        <v>3626</v>
      </c>
    </row>
    <row r="3" spans="1:2">
      <c r="A3" s="2" t="s">
        <v>3345</v>
      </c>
      <c r="B3" s="2" t="s">
        <v>3627</v>
      </c>
    </row>
    <row r="4" spans="1:2">
      <c r="A4" s="2" t="s">
        <v>3347</v>
      </c>
      <c r="B4" s="2" t="s">
        <v>7</v>
      </c>
    </row>
    <row r="5" spans="1:2">
      <c r="A5" s="2" t="s">
        <v>3348</v>
      </c>
      <c r="B5" s="2" t="s">
        <v>3628</v>
      </c>
    </row>
    <row r="6" spans="1:2">
      <c r="A6" s="2" t="s">
        <v>3350</v>
      </c>
      <c r="B6" s="2" t="s">
        <v>3629</v>
      </c>
    </row>
    <row r="7" spans="1:2">
      <c r="A7" s="2" t="s">
        <v>3352</v>
      </c>
      <c r="B7" s="2" t="s">
        <v>3630</v>
      </c>
    </row>
    <row r="8" spans="1:2">
      <c r="A8" s="2" t="s">
        <v>3354</v>
      </c>
      <c r="B8" s="2" t="s">
        <v>3631</v>
      </c>
    </row>
    <row r="9" spans="1:2">
      <c r="A9" s="2" t="s">
        <v>3356</v>
      </c>
      <c r="B9" s="2" t="s">
        <v>3632</v>
      </c>
    </row>
    <row r="10" spans="1:2">
      <c r="A10" s="2" t="s">
        <v>3358</v>
      </c>
      <c r="B10" s="2" t="s">
        <v>3359</v>
      </c>
    </row>
    <row r="11" spans="1:2">
      <c r="A11" s="2" t="s">
        <v>3633</v>
      </c>
      <c r="B11" s="2" t="s">
        <v>3634</v>
      </c>
    </row>
    <row r="12" spans="1:2">
      <c r="A12" s="2" t="s">
        <v>3635</v>
      </c>
      <c r="B12" s="2" t="s">
        <v>3636</v>
      </c>
    </row>
    <row r="13" spans="1:2">
      <c r="A13" s="2" t="s">
        <v>3637</v>
      </c>
      <c r="B13" s="2" t="s">
        <v>3638</v>
      </c>
    </row>
    <row r="14" spans="1:2">
      <c r="A14" s="2" t="s">
        <v>3639</v>
      </c>
      <c r="B14" s="2" t="s">
        <v>3640</v>
      </c>
    </row>
    <row r="15" spans="1:2">
      <c r="A15" s="2" t="s">
        <v>3641</v>
      </c>
      <c r="B15" s="2" t="s">
        <v>3642</v>
      </c>
    </row>
    <row r="16" spans="1:2">
      <c r="A16" s="2" t="s">
        <v>3643</v>
      </c>
      <c r="B16" s="2" t="s">
        <v>3644</v>
      </c>
    </row>
    <row r="17" spans="1:2">
      <c r="A17" s="2" t="s">
        <v>3645</v>
      </c>
      <c r="B17" s="2" t="s">
        <v>3646</v>
      </c>
    </row>
    <row r="18" spans="1:2">
      <c r="A18" s="2" t="s">
        <v>3647</v>
      </c>
      <c r="B18" s="2" t="s">
        <v>3648</v>
      </c>
    </row>
    <row r="19" spans="1:2">
      <c r="A19" s="2" t="s">
        <v>3649</v>
      </c>
      <c r="B19" s="2" t="s">
        <v>3650</v>
      </c>
    </row>
    <row r="20" spans="1:2">
      <c r="A20" s="2" t="s">
        <v>3651</v>
      </c>
      <c r="B20" s="2" t="s">
        <v>3652</v>
      </c>
    </row>
    <row r="21" spans="1:2">
      <c r="A21" s="2" t="s">
        <v>3653</v>
      </c>
      <c r="B21" s="2" t="s">
        <v>3654</v>
      </c>
    </row>
    <row r="22" spans="1:2">
      <c r="A22" s="2" t="s">
        <v>3655</v>
      </c>
      <c r="B22" s="2" t="s">
        <v>3656</v>
      </c>
    </row>
    <row r="23" spans="1:2">
      <c r="A23" s="2" t="s">
        <v>3657</v>
      </c>
      <c r="B23" s="2" t="s">
        <v>3658</v>
      </c>
    </row>
    <row r="24" spans="1:2">
      <c r="A24" s="2" t="s">
        <v>3659</v>
      </c>
      <c r="B24" s="2" t="s">
        <v>3660</v>
      </c>
    </row>
    <row r="25" spans="1:2">
      <c r="A25" s="2" t="s">
        <v>3661</v>
      </c>
      <c r="B25" s="2" t="s">
        <v>3662</v>
      </c>
    </row>
    <row r="26" spans="1:2">
      <c r="A26" s="2" t="s">
        <v>3663</v>
      </c>
      <c r="B26" s="2" t="s">
        <v>3664</v>
      </c>
    </row>
    <row r="27" spans="1:2">
      <c r="A27" s="2" t="s">
        <v>3665</v>
      </c>
      <c r="B27" s="2" t="s">
        <v>3666</v>
      </c>
    </row>
  </sheetData>
  <autoFilter ref="A1:B27"/>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I6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9" width="28.7109375" customWidth="1"/>
  </cols>
  <sheetData>
    <row r="1" spans="1:9" ht="32" customHeight="1">
      <c r="A1" s="1" t="s">
        <v>3343</v>
      </c>
      <c r="B1" s="1" t="s">
        <v>3667</v>
      </c>
      <c r="C1" s="1" t="s">
        <v>3135</v>
      </c>
      <c r="D1" s="1" t="s">
        <v>3137</v>
      </c>
      <c r="E1" s="1" t="s">
        <v>3668</v>
      </c>
      <c r="F1" s="1" t="s">
        <v>3669</v>
      </c>
      <c r="G1" s="1" t="s">
        <v>3670</v>
      </c>
      <c r="H1" s="1" t="s">
        <v>3671</v>
      </c>
      <c r="I1" s="1" t="s">
        <v>3672</v>
      </c>
    </row>
    <row r="2" spans="1:9">
      <c r="A2" s="2" t="s">
        <v>3673</v>
      </c>
      <c r="B2" s="2" t="s">
        <v>3674</v>
      </c>
      <c r="C2" s="2" t="s">
        <v>3675</v>
      </c>
      <c r="D2" s="2" t="s">
        <v>3676</v>
      </c>
      <c r="E2" s="2"/>
      <c r="F2" s="2"/>
      <c r="G2" s="2"/>
      <c r="H2" s="2"/>
      <c r="I2" s="2"/>
    </row>
    <row r="3" spans="1:9">
      <c r="A3" s="2" t="s">
        <v>3677</v>
      </c>
      <c r="B3" s="2" t="s">
        <v>3678</v>
      </c>
      <c r="C3" s="2" t="s">
        <v>3679</v>
      </c>
      <c r="D3" s="2" t="s">
        <v>3680</v>
      </c>
      <c r="E3" s="2" t="s">
        <v>3681</v>
      </c>
      <c r="F3" s="2" t="s">
        <v>3675</v>
      </c>
      <c r="G3" s="2" t="s">
        <v>3682</v>
      </c>
      <c r="H3" s="2" t="s">
        <v>3683</v>
      </c>
      <c r="I3" s="2"/>
    </row>
    <row r="4" spans="1:9">
      <c r="A4" s="2" t="s">
        <v>3684</v>
      </c>
      <c r="B4" s="2" t="s">
        <v>3685</v>
      </c>
      <c r="C4" s="2" t="s">
        <v>3686</v>
      </c>
      <c r="D4" s="2" t="s">
        <v>3680</v>
      </c>
      <c r="E4" s="2" t="s">
        <v>3687</v>
      </c>
      <c r="F4" s="2" t="s">
        <v>3675</v>
      </c>
      <c r="G4" s="2" t="s">
        <v>3688</v>
      </c>
      <c r="H4" s="2" t="s">
        <v>3689</v>
      </c>
      <c r="I4" s="2"/>
    </row>
    <row r="5" spans="1:9">
      <c r="A5" s="2" t="s">
        <v>3690</v>
      </c>
      <c r="B5" s="2" t="s">
        <v>3691</v>
      </c>
      <c r="C5" s="2" t="s">
        <v>3692</v>
      </c>
      <c r="D5" s="2" t="s">
        <v>3680</v>
      </c>
      <c r="E5" s="2" t="s">
        <v>3693</v>
      </c>
      <c r="F5" s="2" t="s">
        <v>3675</v>
      </c>
      <c r="G5" s="2" t="s">
        <v>3694</v>
      </c>
      <c r="H5" s="2" t="s">
        <v>3695</v>
      </c>
      <c r="I5" s="2"/>
    </row>
    <row r="6" spans="1:9">
      <c r="A6" s="2" t="s">
        <v>3696</v>
      </c>
      <c r="B6" s="2" t="s">
        <v>3697</v>
      </c>
      <c r="C6" s="2" t="s">
        <v>3698</v>
      </c>
      <c r="D6" s="2" t="s">
        <v>3699</v>
      </c>
      <c r="E6" s="2"/>
      <c r="F6" s="2"/>
      <c r="G6" s="2"/>
      <c r="H6" s="2"/>
      <c r="I6" s="2"/>
    </row>
    <row r="7" spans="1:9">
      <c r="A7" s="2" t="s">
        <v>3700</v>
      </c>
      <c r="B7" s="2" t="s">
        <v>3701</v>
      </c>
      <c r="C7" s="2" t="s">
        <v>3702</v>
      </c>
      <c r="D7" s="2" t="s">
        <v>3676</v>
      </c>
      <c r="E7" s="2"/>
      <c r="F7" s="2"/>
      <c r="G7" s="2"/>
      <c r="H7" s="2"/>
      <c r="I7" s="2"/>
    </row>
    <row r="8" spans="1:9">
      <c r="A8" s="2" t="s">
        <v>3703</v>
      </c>
      <c r="B8" s="2" t="s">
        <v>3704</v>
      </c>
      <c r="C8" s="2" t="s">
        <v>3679</v>
      </c>
      <c r="D8" s="2" t="s">
        <v>3680</v>
      </c>
      <c r="E8" s="2" t="s">
        <v>3705</v>
      </c>
      <c r="F8" s="2" t="s">
        <v>3702</v>
      </c>
      <c r="G8" s="2" t="s">
        <v>3706</v>
      </c>
      <c r="H8" s="2" t="s">
        <v>3683</v>
      </c>
      <c r="I8" s="2"/>
    </row>
    <row r="9" spans="1:9">
      <c r="A9" s="2" t="s">
        <v>3707</v>
      </c>
      <c r="B9" s="2" t="s">
        <v>3708</v>
      </c>
      <c r="C9" s="2" t="s">
        <v>3679</v>
      </c>
      <c r="D9" s="2" t="s">
        <v>3680</v>
      </c>
      <c r="E9" s="2" t="s">
        <v>3709</v>
      </c>
      <c r="F9" s="2" t="s">
        <v>3702</v>
      </c>
      <c r="G9" s="2" t="s">
        <v>3710</v>
      </c>
      <c r="H9" s="2" t="s">
        <v>3683</v>
      </c>
      <c r="I9" s="2"/>
    </row>
    <row r="10" spans="1:9">
      <c r="A10" s="2" t="s">
        <v>3711</v>
      </c>
      <c r="B10" s="2" t="s">
        <v>3712</v>
      </c>
      <c r="C10" s="2" t="s">
        <v>3679</v>
      </c>
      <c r="D10" s="2" t="s">
        <v>3680</v>
      </c>
      <c r="E10" s="2" t="s">
        <v>3713</v>
      </c>
      <c r="F10" s="2" t="s">
        <v>3702</v>
      </c>
      <c r="G10" s="2" t="s">
        <v>3714</v>
      </c>
      <c r="H10" s="2" t="s">
        <v>3683</v>
      </c>
      <c r="I10" s="2"/>
    </row>
    <row r="11" spans="1:9">
      <c r="A11" s="2" t="s">
        <v>3715</v>
      </c>
      <c r="B11" s="2" t="s">
        <v>3716</v>
      </c>
      <c r="C11" s="2" t="s">
        <v>3717</v>
      </c>
      <c r="D11" s="2" t="s">
        <v>3699</v>
      </c>
      <c r="E11" s="2"/>
      <c r="F11" s="2"/>
      <c r="G11" s="2"/>
      <c r="H11" s="2"/>
      <c r="I11" s="2"/>
    </row>
    <row r="12" spans="1:9">
      <c r="A12" s="2" t="s">
        <v>3718</v>
      </c>
      <c r="B12" s="2" t="s">
        <v>3719</v>
      </c>
      <c r="C12" s="2" t="s">
        <v>3720</v>
      </c>
      <c r="D12" s="2" t="s">
        <v>3721</v>
      </c>
      <c r="E12" s="2"/>
      <c r="F12" s="2"/>
      <c r="G12" s="2"/>
      <c r="H12" s="2"/>
      <c r="I12" s="2"/>
    </row>
    <row r="13" spans="1:9">
      <c r="A13" s="2" t="s">
        <v>3722</v>
      </c>
      <c r="B13" s="2" t="s">
        <v>3723</v>
      </c>
      <c r="C13" s="2" t="s">
        <v>3686</v>
      </c>
      <c r="D13" s="2" t="s">
        <v>3680</v>
      </c>
      <c r="E13" s="2" t="s">
        <v>3724</v>
      </c>
      <c r="F13" s="2" t="s">
        <v>3720</v>
      </c>
      <c r="G13" s="2" t="s">
        <v>3725</v>
      </c>
      <c r="H13" s="2" t="s">
        <v>3689</v>
      </c>
      <c r="I13" s="2"/>
    </row>
    <row r="14" spans="1:9">
      <c r="A14" s="2" t="s">
        <v>3726</v>
      </c>
      <c r="B14" s="2" t="s">
        <v>3727</v>
      </c>
      <c r="C14" s="2" t="s">
        <v>3728</v>
      </c>
      <c r="D14" s="2" t="s">
        <v>3721</v>
      </c>
      <c r="E14" s="2"/>
      <c r="F14" s="2"/>
      <c r="G14" s="2"/>
      <c r="H14" s="2"/>
      <c r="I14" s="2"/>
    </row>
    <row r="15" spans="1:9">
      <c r="A15" s="2" t="s">
        <v>3729</v>
      </c>
      <c r="B15" s="2" t="s">
        <v>3730</v>
      </c>
      <c r="C15" s="2" t="s">
        <v>3692</v>
      </c>
      <c r="D15" s="2" t="s">
        <v>3680</v>
      </c>
      <c r="E15" s="2" t="s">
        <v>3731</v>
      </c>
      <c r="F15" s="2" t="s">
        <v>3728</v>
      </c>
      <c r="G15" s="2" t="s">
        <v>3732</v>
      </c>
      <c r="H15" s="2" t="s">
        <v>3695</v>
      </c>
      <c r="I15" s="2"/>
    </row>
    <row r="16" spans="1:9">
      <c r="A16" s="2" t="s">
        <v>3733</v>
      </c>
      <c r="B16" s="2" t="s">
        <v>3734</v>
      </c>
      <c r="C16" s="2" t="s">
        <v>3735</v>
      </c>
      <c r="D16" s="2" t="s">
        <v>3721</v>
      </c>
      <c r="E16" s="2"/>
      <c r="F16" s="2"/>
      <c r="G16" s="2"/>
      <c r="H16" s="2"/>
      <c r="I16" s="2"/>
    </row>
    <row r="17" spans="1:9">
      <c r="A17" s="2" t="s">
        <v>3736</v>
      </c>
      <c r="B17" s="2" t="s">
        <v>3737</v>
      </c>
      <c r="C17" s="2" t="s">
        <v>3679</v>
      </c>
      <c r="D17" s="2" t="s">
        <v>3680</v>
      </c>
      <c r="E17" s="2" t="s">
        <v>3738</v>
      </c>
      <c r="F17" s="2" t="s">
        <v>3735</v>
      </c>
      <c r="G17" s="2" t="s">
        <v>3739</v>
      </c>
      <c r="H17" s="2" t="s">
        <v>3683</v>
      </c>
      <c r="I17" s="2"/>
    </row>
    <row r="18" spans="1:9">
      <c r="A18" s="2" t="s">
        <v>3740</v>
      </c>
      <c r="B18" s="2" t="s">
        <v>3741</v>
      </c>
      <c r="C18" s="2" t="s">
        <v>3742</v>
      </c>
      <c r="D18" s="2" t="s">
        <v>3721</v>
      </c>
      <c r="E18" s="2"/>
      <c r="F18" s="2"/>
      <c r="G18" s="2"/>
      <c r="H18" s="2"/>
      <c r="I18" s="2"/>
    </row>
    <row r="19" spans="1:9">
      <c r="A19" s="2" t="s">
        <v>3743</v>
      </c>
      <c r="B19" s="2" t="s">
        <v>3744</v>
      </c>
      <c r="C19" s="2" t="s">
        <v>3686</v>
      </c>
      <c r="D19" s="2" t="s">
        <v>3680</v>
      </c>
      <c r="E19" s="2" t="s">
        <v>3745</v>
      </c>
      <c r="F19" s="2" t="s">
        <v>3742</v>
      </c>
      <c r="G19" s="2" t="s">
        <v>3746</v>
      </c>
      <c r="H19" s="2" t="s">
        <v>3689</v>
      </c>
      <c r="I19" s="2"/>
    </row>
    <row r="20" spans="1:9">
      <c r="A20" s="2" t="s">
        <v>3747</v>
      </c>
      <c r="B20" s="2" t="s">
        <v>3748</v>
      </c>
      <c r="C20" s="2" t="s">
        <v>3749</v>
      </c>
      <c r="D20" s="2" t="s">
        <v>3721</v>
      </c>
      <c r="E20" s="2"/>
      <c r="F20" s="2"/>
      <c r="G20" s="2"/>
      <c r="H20" s="2"/>
      <c r="I20" s="2"/>
    </row>
    <row r="21" spans="1:9">
      <c r="A21" s="2" t="s">
        <v>3750</v>
      </c>
      <c r="B21" s="2" t="s">
        <v>3751</v>
      </c>
      <c r="C21" s="2" t="s">
        <v>3679</v>
      </c>
      <c r="D21" s="2" t="s">
        <v>3680</v>
      </c>
      <c r="E21" s="2" t="s">
        <v>3752</v>
      </c>
      <c r="F21" s="2" t="s">
        <v>3749</v>
      </c>
      <c r="G21" s="2" t="s">
        <v>3753</v>
      </c>
      <c r="H21" s="2" t="s">
        <v>3683</v>
      </c>
      <c r="I21" s="2"/>
    </row>
    <row r="22" spans="1:9">
      <c r="A22" s="2" t="s">
        <v>3754</v>
      </c>
      <c r="B22" s="2" t="s">
        <v>3755</v>
      </c>
      <c r="C22" s="2" t="s">
        <v>3162</v>
      </c>
      <c r="D22" s="2" t="s">
        <v>3756</v>
      </c>
      <c r="E22" s="2"/>
      <c r="F22" s="2"/>
      <c r="G22" s="2"/>
      <c r="H22" s="2"/>
      <c r="I22" s="2"/>
    </row>
    <row r="23" spans="1:9">
      <c r="A23" s="2" t="s">
        <v>3757</v>
      </c>
      <c r="B23" s="2" t="s">
        <v>3758</v>
      </c>
      <c r="C23" s="2" t="s">
        <v>3190</v>
      </c>
      <c r="D23" s="2" t="s">
        <v>3756</v>
      </c>
      <c r="E23" s="2"/>
      <c r="F23" s="2"/>
      <c r="G23" s="2"/>
      <c r="H23" s="2"/>
      <c r="I23" s="2"/>
    </row>
    <row r="24" spans="1:9">
      <c r="A24" s="2" t="s">
        <v>3759</v>
      </c>
      <c r="B24" s="2" t="s">
        <v>3760</v>
      </c>
      <c r="C24" s="2" t="s">
        <v>3208</v>
      </c>
      <c r="D24" s="2" t="s">
        <v>3756</v>
      </c>
      <c r="E24" s="2"/>
      <c r="F24" s="2"/>
      <c r="G24" s="2"/>
      <c r="H24" s="2"/>
      <c r="I24" s="2"/>
    </row>
    <row r="25" spans="1:9">
      <c r="A25" s="2" t="s">
        <v>3761</v>
      </c>
      <c r="B25" s="2" t="s">
        <v>3762</v>
      </c>
      <c r="C25" s="2" t="s">
        <v>3763</v>
      </c>
      <c r="D25" s="2" t="s">
        <v>3676</v>
      </c>
      <c r="E25" s="2"/>
      <c r="F25" s="2"/>
      <c r="G25" s="2"/>
      <c r="H25" s="2"/>
      <c r="I25" s="2"/>
    </row>
    <row r="26" spans="1:9">
      <c r="A26" s="2" t="s">
        <v>3764</v>
      </c>
      <c r="B26" s="2" t="s">
        <v>3678</v>
      </c>
      <c r="C26" s="2" t="s">
        <v>3679</v>
      </c>
      <c r="D26" s="2" t="s">
        <v>3680</v>
      </c>
      <c r="E26" s="2" t="s">
        <v>3765</v>
      </c>
      <c r="F26" s="2" t="s">
        <v>3763</v>
      </c>
      <c r="G26" s="2" t="s">
        <v>3682</v>
      </c>
      <c r="H26" s="2" t="s">
        <v>3683</v>
      </c>
      <c r="I26" s="2"/>
    </row>
    <row r="27" spans="1:9">
      <c r="A27" s="2" t="s">
        <v>3766</v>
      </c>
      <c r="B27" s="2" t="s">
        <v>3685</v>
      </c>
      <c r="C27" s="2" t="s">
        <v>3686</v>
      </c>
      <c r="D27" s="2" t="s">
        <v>3680</v>
      </c>
      <c r="E27" s="2" t="s">
        <v>3767</v>
      </c>
      <c r="F27" s="2" t="s">
        <v>3763</v>
      </c>
      <c r="G27" s="2" t="s">
        <v>3688</v>
      </c>
      <c r="H27" s="2" t="s">
        <v>3689</v>
      </c>
      <c r="I27" s="2"/>
    </row>
    <row r="28" spans="1:9">
      <c r="A28" s="2" t="s">
        <v>3768</v>
      </c>
      <c r="B28" s="2" t="s">
        <v>3691</v>
      </c>
      <c r="C28" s="2" t="s">
        <v>3692</v>
      </c>
      <c r="D28" s="2" t="s">
        <v>3680</v>
      </c>
      <c r="E28" s="2" t="s">
        <v>3769</v>
      </c>
      <c r="F28" s="2" t="s">
        <v>3763</v>
      </c>
      <c r="G28" s="2" t="s">
        <v>3694</v>
      </c>
      <c r="H28" s="2" t="s">
        <v>3695</v>
      </c>
      <c r="I28" s="2"/>
    </row>
    <row r="29" spans="1:9">
      <c r="A29" s="2" t="s">
        <v>3770</v>
      </c>
      <c r="B29" s="2" t="s">
        <v>3771</v>
      </c>
      <c r="C29" s="2" t="s">
        <v>3772</v>
      </c>
      <c r="D29" s="2" t="s">
        <v>3699</v>
      </c>
      <c r="E29" s="2"/>
      <c r="F29" s="2"/>
      <c r="G29" s="2"/>
      <c r="H29" s="2"/>
      <c r="I29" s="2"/>
    </row>
    <row r="30" spans="1:9">
      <c r="A30" s="2" t="s">
        <v>3773</v>
      </c>
      <c r="B30" s="2" t="s">
        <v>3774</v>
      </c>
      <c r="C30" s="2" t="s">
        <v>3775</v>
      </c>
      <c r="D30" s="2" t="s">
        <v>3676</v>
      </c>
      <c r="E30" s="2"/>
      <c r="F30" s="2"/>
      <c r="G30" s="2"/>
      <c r="H30" s="2"/>
      <c r="I30" s="2"/>
    </row>
    <row r="31" spans="1:9">
      <c r="A31" s="2" t="s">
        <v>3776</v>
      </c>
      <c r="B31" s="2" t="s">
        <v>3704</v>
      </c>
      <c r="C31" s="2" t="s">
        <v>3679</v>
      </c>
      <c r="D31" s="2" t="s">
        <v>3680</v>
      </c>
      <c r="E31" s="2" t="s">
        <v>3777</v>
      </c>
      <c r="F31" s="2" t="s">
        <v>3775</v>
      </c>
      <c r="G31" s="2" t="s">
        <v>3706</v>
      </c>
      <c r="H31" s="2" t="s">
        <v>3683</v>
      </c>
      <c r="I31" s="2"/>
    </row>
    <row r="32" spans="1:9">
      <c r="A32" s="2" t="s">
        <v>3778</v>
      </c>
      <c r="B32" s="2" t="s">
        <v>3708</v>
      </c>
      <c r="C32" s="2" t="s">
        <v>3679</v>
      </c>
      <c r="D32" s="2" t="s">
        <v>3680</v>
      </c>
      <c r="E32" s="2" t="s">
        <v>3779</v>
      </c>
      <c r="F32" s="2" t="s">
        <v>3775</v>
      </c>
      <c r="G32" s="2" t="s">
        <v>3710</v>
      </c>
      <c r="H32" s="2" t="s">
        <v>3683</v>
      </c>
      <c r="I32" s="2"/>
    </row>
    <row r="33" spans="1:9">
      <c r="A33" s="2" t="s">
        <v>3780</v>
      </c>
      <c r="B33" s="2" t="s">
        <v>3712</v>
      </c>
      <c r="C33" s="2" t="s">
        <v>3679</v>
      </c>
      <c r="D33" s="2" t="s">
        <v>3680</v>
      </c>
      <c r="E33" s="2" t="s">
        <v>3781</v>
      </c>
      <c r="F33" s="2" t="s">
        <v>3775</v>
      </c>
      <c r="G33" s="2" t="s">
        <v>3714</v>
      </c>
      <c r="H33" s="2" t="s">
        <v>3683</v>
      </c>
      <c r="I33" s="2"/>
    </row>
    <row r="34" spans="1:9">
      <c r="A34" s="2" t="s">
        <v>3782</v>
      </c>
      <c r="B34" s="2" t="s">
        <v>3783</v>
      </c>
      <c r="C34" s="2" t="s">
        <v>3784</v>
      </c>
      <c r="D34" s="2" t="s">
        <v>3699</v>
      </c>
      <c r="E34" s="2"/>
      <c r="F34" s="2"/>
      <c r="G34" s="2"/>
      <c r="H34" s="2"/>
      <c r="I34" s="2"/>
    </row>
    <row r="35" spans="1:9">
      <c r="A35" s="2" t="s">
        <v>3785</v>
      </c>
      <c r="B35" s="2" t="s">
        <v>3786</v>
      </c>
      <c r="C35" s="2" t="s">
        <v>3787</v>
      </c>
      <c r="D35" s="2" t="s">
        <v>3721</v>
      </c>
      <c r="E35" s="2"/>
      <c r="F35" s="2"/>
      <c r="G35" s="2"/>
      <c r="H35" s="2"/>
      <c r="I35" s="2"/>
    </row>
    <row r="36" spans="1:9">
      <c r="A36" s="2" t="s">
        <v>3788</v>
      </c>
      <c r="B36" s="2" t="s">
        <v>3723</v>
      </c>
      <c r="C36" s="2" t="s">
        <v>3686</v>
      </c>
      <c r="D36" s="2" t="s">
        <v>3680</v>
      </c>
      <c r="E36" s="2" t="s">
        <v>3789</v>
      </c>
      <c r="F36" s="2" t="s">
        <v>3787</v>
      </c>
      <c r="G36" s="2" t="s">
        <v>3725</v>
      </c>
      <c r="H36" s="2" t="s">
        <v>3689</v>
      </c>
      <c r="I36" s="2"/>
    </row>
    <row r="37" spans="1:9">
      <c r="A37" s="2" t="s">
        <v>3790</v>
      </c>
      <c r="B37" s="2" t="s">
        <v>3791</v>
      </c>
      <c r="C37" s="2" t="s">
        <v>3792</v>
      </c>
      <c r="D37" s="2" t="s">
        <v>3721</v>
      </c>
      <c r="E37" s="2"/>
      <c r="F37" s="2"/>
      <c r="G37" s="2"/>
      <c r="H37" s="2"/>
      <c r="I37" s="2"/>
    </row>
    <row r="38" spans="1:9">
      <c r="A38" s="2" t="s">
        <v>3793</v>
      </c>
      <c r="B38" s="2" t="s">
        <v>3730</v>
      </c>
      <c r="C38" s="2" t="s">
        <v>3686</v>
      </c>
      <c r="D38" s="2" t="s">
        <v>3680</v>
      </c>
      <c r="E38" s="2" t="s">
        <v>3794</v>
      </c>
      <c r="F38" s="2" t="s">
        <v>3792</v>
      </c>
      <c r="G38" s="2" t="s">
        <v>3795</v>
      </c>
      <c r="H38" s="2" t="s">
        <v>3689</v>
      </c>
      <c r="I38" s="2"/>
    </row>
    <row r="39" spans="1:9">
      <c r="A39" s="2" t="s">
        <v>3796</v>
      </c>
      <c r="B39" s="2" t="s">
        <v>3797</v>
      </c>
      <c r="C39" s="2" t="s">
        <v>3798</v>
      </c>
      <c r="D39" s="2" t="s">
        <v>3721</v>
      </c>
      <c r="E39" s="2"/>
      <c r="F39" s="2"/>
      <c r="G39" s="2"/>
      <c r="H39" s="2"/>
      <c r="I39" s="2"/>
    </row>
    <row r="40" spans="1:9">
      <c r="A40" s="2" t="s">
        <v>3799</v>
      </c>
      <c r="B40" s="2" t="s">
        <v>3737</v>
      </c>
      <c r="C40" s="2" t="s">
        <v>3679</v>
      </c>
      <c r="D40" s="2" t="s">
        <v>3680</v>
      </c>
      <c r="E40" s="2" t="s">
        <v>3800</v>
      </c>
      <c r="F40" s="2" t="s">
        <v>3798</v>
      </c>
      <c r="G40" s="2" t="s">
        <v>3739</v>
      </c>
      <c r="H40" s="2" t="s">
        <v>3683</v>
      </c>
      <c r="I40" s="2"/>
    </row>
    <row r="41" spans="1:9">
      <c r="A41" s="2" t="s">
        <v>3801</v>
      </c>
      <c r="B41" s="2" t="s">
        <v>3802</v>
      </c>
      <c r="C41" s="2" t="s">
        <v>3803</v>
      </c>
      <c r="D41" s="2" t="s">
        <v>3721</v>
      </c>
      <c r="E41" s="2"/>
      <c r="F41" s="2"/>
      <c r="G41" s="2"/>
      <c r="H41" s="2"/>
      <c r="I41" s="2"/>
    </row>
    <row r="42" spans="1:9">
      <c r="A42" s="2" t="s">
        <v>3804</v>
      </c>
      <c r="B42" s="2" t="s">
        <v>3744</v>
      </c>
      <c r="C42" s="2" t="s">
        <v>3686</v>
      </c>
      <c r="D42" s="2" t="s">
        <v>3680</v>
      </c>
      <c r="E42" s="2" t="s">
        <v>3805</v>
      </c>
      <c r="F42" s="2" t="s">
        <v>3803</v>
      </c>
      <c r="G42" s="2" t="s">
        <v>3746</v>
      </c>
      <c r="H42" s="2" t="s">
        <v>3689</v>
      </c>
      <c r="I42" s="2"/>
    </row>
    <row r="43" spans="1:9">
      <c r="A43" s="2" t="s">
        <v>3806</v>
      </c>
      <c r="B43" s="2" t="s">
        <v>3807</v>
      </c>
      <c r="C43" s="2" t="s">
        <v>3808</v>
      </c>
      <c r="D43" s="2" t="s">
        <v>3721</v>
      </c>
      <c r="E43" s="2"/>
      <c r="F43" s="2"/>
      <c r="G43" s="2"/>
      <c r="H43" s="2"/>
      <c r="I43" s="2"/>
    </row>
    <row r="44" spans="1:9">
      <c r="A44" s="2" t="s">
        <v>3809</v>
      </c>
      <c r="B44" s="2" t="s">
        <v>3751</v>
      </c>
      <c r="C44" s="2" t="s">
        <v>3679</v>
      </c>
      <c r="D44" s="2" t="s">
        <v>3680</v>
      </c>
      <c r="E44" s="2" t="s">
        <v>3810</v>
      </c>
      <c r="F44" s="2" t="s">
        <v>3808</v>
      </c>
      <c r="G44" s="2" t="s">
        <v>3753</v>
      </c>
      <c r="H44" s="2" t="s">
        <v>3683</v>
      </c>
      <c r="I44" s="2"/>
    </row>
    <row r="45" spans="1:9">
      <c r="A45" s="2" t="s">
        <v>3811</v>
      </c>
      <c r="B45" s="2" t="s">
        <v>3812</v>
      </c>
      <c r="C45" s="2" t="s">
        <v>3162</v>
      </c>
      <c r="D45" s="2" t="s">
        <v>3756</v>
      </c>
      <c r="E45" s="2"/>
      <c r="F45" s="2"/>
      <c r="G45" s="2"/>
      <c r="H45" s="2"/>
      <c r="I45" s="2"/>
    </row>
    <row r="46" spans="1:9">
      <c r="A46" s="2" t="s">
        <v>3813</v>
      </c>
      <c r="B46" s="2" t="s">
        <v>3814</v>
      </c>
      <c r="C46" s="2" t="s">
        <v>3256</v>
      </c>
      <c r="D46" s="2" t="s">
        <v>3756</v>
      </c>
      <c r="E46" s="2"/>
      <c r="F46" s="2"/>
      <c r="G46" s="2"/>
      <c r="H46" s="2"/>
      <c r="I46" s="2"/>
    </row>
    <row r="47" spans="1:9">
      <c r="A47" s="2" t="s">
        <v>3815</v>
      </c>
      <c r="B47" s="2" t="s">
        <v>3816</v>
      </c>
      <c r="C47" s="2" t="s">
        <v>3271</v>
      </c>
      <c r="D47" s="2" t="s">
        <v>3756</v>
      </c>
      <c r="E47" s="2"/>
      <c r="F47" s="2"/>
      <c r="G47" s="2"/>
      <c r="H47" s="2"/>
      <c r="I47" s="2"/>
    </row>
    <row r="48" spans="1:9">
      <c r="A48" s="2" t="s">
        <v>3817</v>
      </c>
      <c r="B48" s="2" t="s">
        <v>3818</v>
      </c>
      <c r="C48" s="2" t="s">
        <v>3819</v>
      </c>
      <c r="D48" s="2" t="s">
        <v>3820</v>
      </c>
      <c r="E48" s="2"/>
      <c r="F48" s="2"/>
      <c r="G48" s="2"/>
      <c r="H48" s="2"/>
      <c r="I48" s="2"/>
    </row>
    <row r="49" spans="1:9">
      <c r="A49" s="2" t="s">
        <v>3821</v>
      </c>
      <c r="B49" s="2" t="s">
        <v>3822</v>
      </c>
      <c r="C49" s="2" t="s">
        <v>3823</v>
      </c>
      <c r="D49" s="2" t="s">
        <v>3824</v>
      </c>
      <c r="E49" s="2"/>
      <c r="F49" s="2"/>
      <c r="G49" s="2"/>
      <c r="H49" s="2"/>
      <c r="I49" s="2"/>
    </row>
    <row r="50" spans="1:9">
      <c r="A50" s="2" t="s">
        <v>3825</v>
      </c>
      <c r="B50" s="2" t="s">
        <v>3826</v>
      </c>
      <c r="C50" s="2" t="s">
        <v>3827</v>
      </c>
      <c r="D50" s="2" t="s">
        <v>3828</v>
      </c>
      <c r="E50" s="2"/>
      <c r="F50" s="2"/>
      <c r="G50" s="2"/>
      <c r="H50" s="2"/>
      <c r="I50" s="2"/>
    </row>
    <row r="51" spans="1:9">
      <c r="A51" s="2" t="s">
        <v>3829</v>
      </c>
      <c r="B51" s="2" t="s">
        <v>3830</v>
      </c>
      <c r="C51" s="2" t="s">
        <v>3831</v>
      </c>
      <c r="D51" s="2" t="s">
        <v>3832</v>
      </c>
      <c r="E51" s="2"/>
      <c r="F51" s="2"/>
      <c r="G51" s="2"/>
      <c r="H51" s="2"/>
      <c r="I51" s="2"/>
    </row>
    <row r="52" spans="1:9">
      <c r="A52" s="2" t="s">
        <v>3833</v>
      </c>
      <c r="B52" s="2" t="s">
        <v>3834</v>
      </c>
      <c r="C52" s="2" t="s">
        <v>3835</v>
      </c>
      <c r="D52" s="2" t="s">
        <v>3836</v>
      </c>
      <c r="E52" s="2"/>
      <c r="F52" s="2"/>
      <c r="G52" s="2"/>
      <c r="H52" s="2"/>
      <c r="I52" s="2"/>
    </row>
    <row r="53" spans="1:9">
      <c r="A53" s="2" t="s">
        <v>3837</v>
      </c>
      <c r="B53" s="2" t="s">
        <v>3838</v>
      </c>
      <c r="C53" s="2"/>
      <c r="D53" s="2" t="s">
        <v>3839</v>
      </c>
      <c r="E53" s="2"/>
      <c r="F53" s="2"/>
      <c r="G53" s="2"/>
      <c r="H53" s="2"/>
      <c r="I53" s="2"/>
    </row>
    <row r="54" spans="1:9">
      <c r="A54" s="2" t="s">
        <v>3840</v>
      </c>
      <c r="B54" s="2" t="s">
        <v>3841</v>
      </c>
      <c r="C54" s="2" t="s">
        <v>3842</v>
      </c>
      <c r="D54" s="2" t="s">
        <v>3843</v>
      </c>
      <c r="E54" s="2"/>
      <c r="F54" s="2"/>
      <c r="G54" s="2"/>
      <c r="H54" s="2"/>
      <c r="I54" s="2"/>
    </row>
    <row r="55" spans="1:9">
      <c r="A55" s="2" t="s">
        <v>3844</v>
      </c>
      <c r="B55" s="2" t="s">
        <v>3845</v>
      </c>
      <c r="C55" s="2" t="s">
        <v>3846</v>
      </c>
      <c r="D55" s="2" t="s">
        <v>3847</v>
      </c>
      <c r="E55" s="2"/>
      <c r="F55" s="2"/>
      <c r="G55" s="2"/>
      <c r="H55" s="2"/>
      <c r="I55" s="2"/>
    </row>
    <row r="56" spans="1:9">
      <c r="A56" s="2" t="s">
        <v>3848</v>
      </c>
      <c r="B56" s="2" t="s">
        <v>3849</v>
      </c>
      <c r="C56" s="2" t="s">
        <v>3850</v>
      </c>
      <c r="D56" s="2" t="s">
        <v>3851</v>
      </c>
      <c r="E56" s="2"/>
      <c r="F56" s="2"/>
      <c r="G56" s="2"/>
      <c r="H56" s="2"/>
      <c r="I56" s="2"/>
    </row>
    <row r="57" spans="1:9">
      <c r="A57" s="2" t="s">
        <v>3852</v>
      </c>
      <c r="B57" s="2" t="s">
        <v>3853</v>
      </c>
      <c r="C57" s="2" t="s">
        <v>3854</v>
      </c>
      <c r="D57" s="2" t="s">
        <v>3855</v>
      </c>
      <c r="E57" s="2"/>
      <c r="F57" s="2"/>
      <c r="G57" s="2"/>
      <c r="H57" s="2"/>
      <c r="I57" s="2"/>
    </row>
    <row r="58" spans="1:9">
      <c r="A58" s="2" t="s">
        <v>3856</v>
      </c>
      <c r="B58" s="2" t="s">
        <v>3857</v>
      </c>
      <c r="C58" s="2" t="s">
        <v>3858</v>
      </c>
      <c r="D58" s="2" t="s">
        <v>3859</v>
      </c>
      <c r="E58" s="2"/>
      <c r="F58" s="2"/>
      <c r="G58" s="2"/>
      <c r="H58" s="2"/>
      <c r="I58" s="2"/>
    </row>
    <row r="59" spans="1:9">
      <c r="A59" s="2" t="s">
        <v>3860</v>
      </c>
      <c r="B59" s="2" t="s">
        <v>3861</v>
      </c>
      <c r="C59" s="2" t="s">
        <v>3862</v>
      </c>
      <c r="D59" s="2" t="s">
        <v>3863</v>
      </c>
      <c r="E59" s="2"/>
      <c r="F59" s="2"/>
      <c r="G59" s="2"/>
      <c r="H59" s="2"/>
      <c r="I59" s="2"/>
    </row>
    <row r="60" spans="1:9">
      <c r="A60" s="2" t="s">
        <v>3864</v>
      </c>
      <c r="B60" s="2" t="s">
        <v>3865</v>
      </c>
      <c r="C60" s="2" t="s">
        <v>3866</v>
      </c>
      <c r="D60" s="2" t="s">
        <v>3867</v>
      </c>
      <c r="E60" s="2"/>
      <c r="F60" s="2"/>
      <c r="G60" s="2"/>
      <c r="H60" s="2"/>
      <c r="I60" s="2"/>
    </row>
    <row r="61" spans="1:9">
      <c r="A61" s="2" t="s">
        <v>3868</v>
      </c>
      <c r="B61" s="2" t="s">
        <v>3869</v>
      </c>
      <c r="C61" s="2"/>
      <c r="D61" s="2" t="s">
        <v>3870</v>
      </c>
      <c r="E61" s="2"/>
      <c r="F61" s="2"/>
      <c r="G61" s="2"/>
      <c r="H61" s="2"/>
      <c r="I61" s="2"/>
    </row>
  </sheetData>
  <autoFilter ref="A1:I61"/>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70"/>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customWidth="1"/>
    <col min="2" max="2" width="110.7109375" customWidth="1"/>
  </cols>
  <sheetData>
    <row r="1" spans="1:2" ht="32" customHeight="1">
      <c r="A1" s="1" t="s">
        <v>3341</v>
      </c>
      <c r="B1" s="1" t="s">
        <v>3342</v>
      </c>
    </row>
    <row r="2" spans="1:2">
      <c r="A2" s="2" t="s">
        <v>3343</v>
      </c>
      <c r="B2" s="2" t="s">
        <v>3871</v>
      </c>
    </row>
    <row r="3" spans="1:2">
      <c r="A3" s="2" t="s">
        <v>3345</v>
      </c>
      <c r="B3" s="2" t="s">
        <v>3872</v>
      </c>
    </row>
    <row r="4" spans="1:2">
      <c r="A4" s="2" t="s">
        <v>3347</v>
      </c>
      <c r="B4" s="2" t="s">
        <v>7</v>
      </c>
    </row>
    <row r="5" spans="1:2">
      <c r="A5" s="2" t="s">
        <v>3348</v>
      </c>
      <c r="B5" s="2" t="s">
        <v>3873</v>
      </c>
    </row>
    <row r="6" spans="1:2">
      <c r="A6" s="2" t="s">
        <v>3350</v>
      </c>
      <c r="B6" s="2" t="s">
        <v>3874</v>
      </c>
    </row>
    <row r="7" spans="1:2">
      <c r="A7" s="2" t="s">
        <v>3352</v>
      </c>
      <c r="B7" s="2" t="s">
        <v>3875</v>
      </c>
    </row>
    <row r="8" spans="1:2">
      <c r="A8" s="2" t="s">
        <v>3354</v>
      </c>
      <c r="B8" s="2" t="s">
        <v>3876</v>
      </c>
    </row>
    <row r="9" spans="1:2">
      <c r="A9" s="2" t="s">
        <v>3356</v>
      </c>
      <c r="B9" s="2" t="s">
        <v>3877</v>
      </c>
    </row>
    <row r="10" spans="1:2">
      <c r="A10" s="2" t="s">
        <v>3358</v>
      </c>
      <c r="B10" s="2" t="s">
        <v>3359</v>
      </c>
    </row>
    <row r="11" spans="1:2">
      <c r="A11" s="2" t="s">
        <v>3673</v>
      </c>
      <c r="B11" s="2" t="s">
        <v>3878</v>
      </c>
    </row>
    <row r="12" spans="1:2">
      <c r="A12" s="2" t="s">
        <v>3677</v>
      </c>
      <c r="B12" s="2" t="s">
        <v>3879</v>
      </c>
    </row>
    <row r="13" spans="1:2">
      <c r="A13" s="2" t="s">
        <v>3684</v>
      </c>
      <c r="B13" s="2" t="s">
        <v>3880</v>
      </c>
    </row>
    <row r="14" spans="1:2">
      <c r="A14" s="2" t="s">
        <v>3690</v>
      </c>
      <c r="B14" s="2" t="s">
        <v>3881</v>
      </c>
    </row>
    <row r="15" spans="1:2">
      <c r="A15" s="2" t="s">
        <v>3696</v>
      </c>
      <c r="B15" s="2" t="s">
        <v>3882</v>
      </c>
    </row>
    <row r="16" spans="1:2">
      <c r="A16" s="2" t="s">
        <v>3700</v>
      </c>
      <c r="B16" s="2" t="s">
        <v>3883</v>
      </c>
    </row>
    <row r="17" spans="1:2">
      <c r="A17" s="2" t="s">
        <v>3703</v>
      </c>
      <c r="B17" s="2" t="s">
        <v>3884</v>
      </c>
    </row>
    <row r="18" spans="1:2">
      <c r="A18" s="2" t="s">
        <v>3707</v>
      </c>
      <c r="B18" s="2" t="s">
        <v>3885</v>
      </c>
    </row>
    <row r="19" spans="1:2">
      <c r="A19" s="2" t="s">
        <v>3711</v>
      </c>
      <c r="B19" s="2" t="s">
        <v>3886</v>
      </c>
    </row>
    <row r="20" spans="1:2">
      <c r="A20" s="2" t="s">
        <v>3715</v>
      </c>
      <c r="B20" s="2" t="s">
        <v>3887</v>
      </c>
    </row>
    <row r="21" spans="1:2">
      <c r="A21" s="2" t="s">
        <v>3718</v>
      </c>
      <c r="B21" s="2" t="s">
        <v>3888</v>
      </c>
    </row>
    <row r="22" spans="1:2">
      <c r="A22" s="2" t="s">
        <v>3722</v>
      </c>
      <c r="B22" s="2" t="s">
        <v>3889</v>
      </c>
    </row>
    <row r="23" spans="1:2">
      <c r="A23" s="2" t="s">
        <v>3726</v>
      </c>
      <c r="B23" s="2" t="s">
        <v>3890</v>
      </c>
    </row>
    <row r="24" spans="1:2">
      <c r="A24" s="2" t="s">
        <v>3729</v>
      </c>
      <c r="B24" s="2" t="s">
        <v>3891</v>
      </c>
    </row>
    <row r="25" spans="1:2">
      <c r="A25" s="2" t="s">
        <v>3733</v>
      </c>
      <c r="B25" s="2" t="s">
        <v>3892</v>
      </c>
    </row>
    <row r="26" spans="1:2">
      <c r="A26" s="2" t="s">
        <v>3736</v>
      </c>
      <c r="B26" s="2" t="s">
        <v>3893</v>
      </c>
    </row>
    <row r="27" spans="1:2">
      <c r="A27" s="2" t="s">
        <v>3740</v>
      </c>
      <c r="B27" s="2" t="s">
        <v>3894</v>
      </c>
    </row>
    <row r="28" spans="1:2">
      <c r="A28" s="2" t="s">
        <v>3743</v>
      </c>
      <c r="B28" s="2" t="s">
        <v>3895</v>
      </c>
    </row>
    <row r="29" spans="1:2">
      <c r="A29" s="2" t="s">
        <v>3747</v>
      </c>
      <c r="B29" s="2" t="s">
        <v>3896</v>
      </c>
    </row>
    <row r="30" spans="1:2">
      <c r="A30" s="2" t="s">
        <v>3750</v>
      </c>
      <c r="B30" s="2" t="s">
        <v>3897</v>
      </c>
    </row>
    <row r="31" spans="1:2">
      <c r="A31" s="2" t="s">
        <v>3754</v>
      </c>
      <c r="B31" s="2" t="s">
        <v>3898</v>
      </c>
    </row>
    <row r="32" spans="1:2">
      <c r="A32" s="2" t="s">
        <v>3757</v>
      </c>
      <c r="B32" s="2" t="s">
        <v>3899</v>
      </c>
    </row>
    <row r="33" spans="1:2">
      <c r="A33" s="2" t="s">
        <v>3759</v>
      </c>
      <c r="B33" s="2" t="s">
        <v>3900</v>
      </c>
    </row>
    <row r="34" spans="1:2">
      <c r="A34" s="2" t="s">
        <v>3761</v>
      </c>
      <c r="B34" s="2" t="s">
        <v>3901</v>
      </c>
    </row>
    <row r="35" spans="1:2">
      <c r="A35" s="2" t="s">
        <v>3764</v>
      </c>
      <c r="B35" s="2" t="s">
        <v>3902</v>
      </c>
    </row>
    <row r="36" spans="1:2">
      <c r="A36" s="2" t="s">
        <v>3766</v>
      </c>
      <c r="B36" s="2" t="s">
        <v>3903</v>
      </c>
    </row>
    <row r="37" spans="1:2">
      <c r="A37" s="2" t="s">
        <v>3768</v>
      </c>
      <c r="B37" s="2" t="s">
        <v>3904</v>
      </c>
    </row>
    <row r="38" spans="1:2">
      <c r="A38" s="2" t="s">
        <v>3770</v>
      </c>
      <c r="B38" s="2" t="s">
        <v>3905</v>
      </c>
    </row>
    <row r="39" spans="1:2">
      <c r="A39" s="2" t="s">
        <v>3773</v>
      </c>
      <c r="B39" s="2" t="s">
        <v>3906</v>
      </c>
    </row>
    <row r="40" spans="1:2">
      <c r="A40" s="2" t="s">
        <v>3776</v>
      </c>
      <c r="B40" s="2" t="s">
        <v>3907</v>
      </c>
    </row>
    <row r="41" spans="1:2">
      <c r="A41" s="2" t="s">
        <v>3778</v>
      </c>
      <c r="B41" s="2" t="s">
        <v>3908</v>
      </c>
    </row>
    <row r="42" spans="1:2">
      <c r="A42" s="2" t="s">
        <v>3780</v>
      </c>
      <c r="B42" s="2" t="s">
        <v>3909</v>
      </c>
    </row>
    <row r="43" spans="1:2">
      <c r="A43" s="2" t="s">
        <v>3782</v>
      </c>
      <c r="B43" s="2" t="s">
        <v>3910</v>
      </c>
    </row>
    <row r="44" spans="1:2">
      <c r="A44" s="2" t="s">
        <v>3785</v>
      </c>
      <c r="B44" s="2" t="s">
        <v>3911</v>
      </c>
    </row>
    <row r="45" spans="1:2">
      <c r="A45" s="2" t="s">
        <v>3788</v>
      </c>
      <c r="B45" s="2" t="s">
        <v>3912</v>
      </c>
    </row>
    <row r="46" spans="1:2">
      <c r="A46" s="2" t="s">
        <v>3790</v>
      </c>
      <c r="B46" s="2" t="s">
        <v>3913</v>
      </c>
    </row>
    <row r="47" spans="1:2">
      <c r="A47" s="2" t="s">
        <v>3793</v>
      </c>
      <c r="B47" s="2" t="s">
        <v>3914</v>
      </c>
    </row>
    <row r="48" spans="1:2">
      <c r="A48" s="2" t="s">
        <v>3796</v>
      </c>
      <c r="B48" s="2" t="s">
        <v>3915</v>
      </c>
    </row>
    <row r="49" spans="1:2">
      <c r="A49" s="2" t="s">
        <v>3799</v>
      </c>
      <c r="B49" s="2" t="s">
        <v>3916</v>
      </c>
    </row>
    <row r="50" spans="1:2">
      <c r="A50" s="2" t="s">
        <v>3801</v>
      </c>
      <c r="B50" s="2" t="s">
        <v>3917</v>
      </c>
    </row>
    <row r="51" spans="1:2">
      <c r="A51" s="2" t="s">
        <v>3804</v>
      </c>
      <c r="B51" s="2" t="s">
        <v>3918</v>
      </c>
    </row>
    <row r="52" spans="1:2">
      <c r="A52" s="2" t="s">
        <v>3806</v>
      </c>
      <c r="B52" s="2" t="s">
        <v>3919</v>
      </c>
    </row>
    <row r="53" spans="1:2">
      <c r="A53" s="2" t="s">
        <v>3809</v>
      </c>
      <c r="B53" s="2" t="s">
        <v>3920</v>
      </c>
    </row>
    <row r="54" spans="1:2">
      <c r="A54" s="2" t="s">
        <v>3811</v>
      </c>
      <c r="B54" s="2" t="s">
        <v>3921</v>
      </c>
    </row>
    <row r="55" spans="1:2">
      <c r="A55" s="2" t="s">
        <v>3813</v>
      </c>
      <c r="B55" s="2" t="s">
        <v>3922</v>
      </c>
    </row>
    <row r="56" spans="1:2">
      <c r="A56" s="2" t="s">
        <v>3815</v>
      </c>
      <c r="B56" s="2" t="s">
        <v>3923</v>
      </c>
    </row>
    <row r="57" spans="1:2">
      <c r="A57" s="2" t="s">
        <v>3817</v>
      </c>
      <c r="B57" s="2" t="s">
        <v>3924</v>
      </c>
    </row>
    <row r="58" spans="1:2">
      <c r="A58" s="2" t="s">
        <v>3821</v>
      </c>
      <c r="B58" s="2" t="s">
        <v>3925</v>
      </c>
    </row>
    <row r="59" spans="1:2">
      <c r="A59" s="2" t="s">
        <v>3825</v>
      </c>
      <c r="B59" s="2" t="s">
        <v>3926</v>
      </c>
    </row>
    <row r="60" spans="1:2">
      <c r="A60" s="2" t="s">
        <v>3829</v>
      </c>
      <c r="B60" s="2" t="s">
        <v>3927</v>
      </c>
    </row>
    <row r="61" spans="1:2">
      <c r="A61" s="2" t="s">
        <v>3833</v>
      </c>
      <c r="B61" s="2" t="s">
        <v>3928</v>
      </c>
    </row>
    <row r="62" spans="1:2">
      <c r="A62" s="2" t="s">
        <v>3837</v>
      </c>
      <c r="B62" s="2" t="s">
        <v>3929</v>
      </c>
    </row>
    <row r="63" spans="1:2">
      <c r="A63" s="2" t="s">
        <v>3840</v>
      </c>
      <c r="B63" s="2" t="s">
        <v>3930</v>
      </c>
    </row>
    <row r="64" spans="1:2">
      <c r="A64" s="2" t="s">
        <v>3844</v>
      </c>
      <c r="B64" s="2" t="s">
        <v>3931</v>
      </c>
    </row>
    <row r="65" spans="1:2">
      <c r="A65" s="2" t="s">
        <v>3848</v>
      </c>
      <c r="B65" s="2" t="s">
        <v>3932</v>
      </c>
    </row>
    <row r="66" spans="1:2">
      <c r="A66" s="2" t="s">
        <v>3852</v>
      </c>
      <c r="B66" s="2" t="s">
        <v>3933</v>
      </c>
    </row>
    <row r="67" spans="1:2">
      <c r="A67" s="2" t="s">
        <v>3856</v>
      </c>
      <c r="B67" s="2" t="s">
        <v>3934</v>
      </c>
    </row>
    <row r="68" spans="1:2">
      <c r="A68" s="2" t="s">
        <v>3860</v>
      </c>
      <c r="B68" s="2" t="s">
        <v>3935</v>
      </c>
    </row>
    <row r="69" spans="1:2">
      <c r="A69" s="2" t="s">
        <v>3864</v>
      </c>
      <c r="B69" s="2" t="s">
        <v>3936</v>
      </c>
    </row>
    <row r="70" spans="1:2">
      <c r="A70" s="2" t="s">
        <v>3868</v>
      </c>
      <c r="B70" s="2" t="s">
        <v>3937</v>
      </c>
    </row>
  </sheetData>
  <autoFilter ref="A1:B7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Readme</vt:lpstr>
      <vt:lpstr>Facts</vt:lpstr>
      <vt:lpstr>Calculations</vt:lpstr>
      <vt:lpstr>Reconciliations</vt:lpstr>
      <vt:lpstr>Sources</vt:lpstr>
      <vt:lpstr>Evidence</vt:lpstr>
      <vt:lpstr>Findings</vt:lpstr>
      <vt:lpstr>Procedures</vt:lpstr>
      <vt:lpstr>Requests</vt:lpstr>
      <vt:lpstr>Quant1</vt:lpstr>
      <vt:lpstr>Quant1Notes</vt:lpstr>
      <vt:lpstr>Quant2</vt:lpstr>
      <vt:lpstr>Quant2Notes</vt:lpstr>
      <vt:lpstr>Quant3</vt:lpstr>
      <vt:lpstr>Quant3Notes</vt:lpstr>
      <vt:lpstr>Calculations!Print_Titles</vt:lpstr>
      <vt:lpstr>Readme!Print_Titles</vt:lpstr>
      <vt:lpstr>Reconciliations!Print_Titles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Crown Castle 年报与Fiber出售分析</dc:title>
  <dc:creator/>
  <dc:description>Workpaper crown-castle-2025-public-4</dc:description>
  <cp:lastModifiedBy/>
  <dcterms:created xsi:type="dcterms:W3CDTF">2026-10-06T04:37:56Z</dcterms:created>
  <dcterms:modified xsi:type="dcterms:W3CDTF">2026-10-06T04:37:56Z</dcterms:modified>
</cp:coreProperties>
</file>