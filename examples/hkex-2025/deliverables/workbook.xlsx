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Facts" sheetId="2" r:id="rId2"/>
    <sheet name="Calculations" sheetId="3" r:id="rId3"/>
    <sheet name="Reconciliations" sheetId="4" r:id="rId4"/>
    <sheet name="Sources" sheetId="5" r:id="rId5"/>
    <sheet name="Evidence" sheetId="6" r:id="rId6"/>
    <sheet name="Findings" sheetId="7" r:id="rId7"/>
    <sheet name="Procedures" sheetId="8" r:id="rId8"/>
    <sheet name="Requests" sheetId="9" r:id="rId9"/>
  </sheets>
  <definedNames>
    <definedName name="_xlnm._FilterDatabase" localSheetId="2" hidden="1">Calculations!$A$1:$O$29</definedName>
    <definedName name="_xlnm._FilterDatabase" localSheetId="5" hidden="1">Evidence!$A$1:$E$16</definedName>
    <definedName name="_xlnm._FilterDatabase" localSheetId="1" hidden="1">Facts!$A$1:$R$95</definedName>
    <definedName name="_xlnm._FilterDatabase" localSheetId="6" hidden="1">Findings!$A$1:$I$10</definedName>
    <definedName name="_xlnm._FilterDatabase" localSheetId="7" hidden="1">Procedures!$A$1:$J$5</definedName>
    <definedName name="_xlnm._FilterDatabase" localSheetId="0" hidden="1">Readme!$A$1:$B$15</definedName>
    <definedName name="_xlnm._FilterDatabase" localSheetId="3" hidden="1">Reconciliations!$A$1:$J$14</definedName>
    <definedName name="_xlnm._FilterDatabase" localSheetId="8" hidden="1">Requests!$A$1:$F$5</definedName>
    <definedName name="_xlnm._FilterDatabase" localSheetId="4" hidden="1">Sources!$A$1:$F$4</definedName>
    <definedName name="_xlnm.Print_Titles" localSheetId="2">Calculations!$1:$1</definedName>
    <definedName name="_xlnm.Print_Titles" localSheetId="0">Readme!$1:$1</definedName>
    <definedName name="_xlnm.Print_Titles" localSheetId="3">Reconciliations!$1:$1</definedName>
  </definedNames>
  <calcPr calcId="124519" fullCalcOnLoad="1"/>
</workbook>
</file>

<file path=xl/sharedStrings.xml><?xml version="1.0" encoding="utf-8"?>
<sst xmlns="http://schemas.openxmlformats.org/spreadsheetml/2006/main" count="1915" uniqueCount="583">
  <si>
    <t>字段 / field</t>
  </si>
  <si>
    <t>内容 / value</t>
  </si>
  <si>
    <t>任务</t>
  </si>
  <si>
    <t>港交所2025：经营增长、会计质量与资本现金连接</t>
  </si>
  <si>
    <t>版本</t>
  </si>
  <si>
    <t>hkex-2025-example-v1</t>
  </si>
  <si>
    <t>信息截止</t>
  </si>
  <si>
    <t>2026-10-02</t>
  </si>
  <si>
    <t>范围</t>
  </si>
  <si>
    <t>consolidated</t>
  </si>
  <si>
    <t>准则</t>
  </si>
  <si>
    <t>HKFRS</t>
  </si>
  <si>
    <t>单位</t>
  </si>
  <si>
    <t>Facts D=原始值，E=倍数，F=基础单位。Calculations D=基础单位，E=展示值。</t>
  </si>
  <si>
    <t>复算</t>
  </si>
  <si>
    <t>数值公式可编辑；修改主体、期间、币种、规则或资料后须重跑 export.py 复核口径。</t>
  </si>
  <si>
    <t>勾稽精度</t>
  </si>
  <si>
    <t>金额残差按本次Decimal输入/计算保留的小数位ROUND，消除Excel二进制尾差，不改变业务容差；提高输入小数精度后须重跑导出。</t>
  </si>
  <si>
    <t>缺口</t>
  </si>
  <si>
    <t>空值不是零。未执行程序、假设与已披露数据分别标识。</t>
  </si>
  <si>
    <t>限制</t>
  </si>
  <si>
    <t>仅公开年报选定重大事项分析，不声称逐页全文或所有合同与控制已验证。</t>
  </si>
  <si>
    <t>首次公告日未单独核验；批准报出日为2026-02-26。</t>
  </si>
  <si>
    <t>未取得服务级规则簿、PFMI定量披露、日内付款数据、总部购置合同及CGU完整估值模型。</t>
  </si>
  <si>
    <t>已取得FCA最终文书及独立可持续报告，并定向核读风险、治理及有限保证范围；未执行网络、气候模型或整改运行测试。</t>
  </si>
  <si>
    <t>来源 annual, sr 的正式公布日期未核验；不得据此证明在信息截止日前已公开。当前披露内容可以继续分析，历史时点结论须补充公告时间证据。</t>
  </si>
  <si>
    <t>ID</t>
  </si>
  <si>
    <t>原始科目</t>
  </si>
  <si>
    <t>证据</t>
  </si>
  <si>
    <t>原始数值</t>
  </si>
  <si>
    <t>倍数</t>
  </si>
  <si>
    <t>基础单位数值</t>
  </si>
  <si>
    <t>量纲</t>
  </si>
  <si>
    <t>币种</t>
  </si>
  <si>
    <t>实体</t>
  </si>
  <si>
    <t>开始</t>
  </si>
  <si>
    <t>结束</t>
  </si>
  <si>
    <t>统计类型</t>
  </si>
  <si>
    <t>状态</t>
  </si>
  <si>
    <t>说明</t>
  </si>
  <si>
    <t>概念</t>
  </si>
  <si>
    <t>实物单位</t>
  </si>
  <si>
    <t>rev25</t>
  </si>
  <si>
    <t>营业收入</t>
  </si>
  <si>
    <t>e_profit</t>
  </si>
  <si>
    <t>money</t>
  </si>
  <si>
    <t>HKD</t>
  </si>
  <si>
    <t>香港交易及结算所有限公司</t>
  </si>
  <si>
    <t>2025-01-01</t>
  </si>
  <si>
    <t>2025-12-31</t>
  </si>
  <si>
    <t>flow</t>
  </si>
  <si>
    <t>reported</t>
  </si>
  <si>
    <t>rev</t>
  </si>
  <si>
    <t>rev24</t>
  </si>
  <si>
    <t>2024-01-01</t>
  </si>
  <si>
    <t>2024-12-31</t>
  </si>
  <si>
    <t>total_income25</t>
  </si>
  <si>
    <t>收入及其他收益</t>
  </si>
  <si>
    <t>total_income</t>
  </si>
  <si>
    <t>total_income24</t>
  </si>
  <si>
    <t>ni25</t>
  </si>
  <si>
    <t>净投资收益</t>
  </si>
  <si>
    <t>ni</t>
  </si>
  <si>
    <t>ni24</t>
  </si>
  <si>
    <t>pbt25</t>
  </si>
  <si>
    <t>税前利润</t>
  </si>
  <si>
    <t>pbt</t>
  </si>
  <si>
    <t>pbt24</t>
  </si>
  <si>
    <t>tax25</t>
  </si>
  <si>
    <t>所得税费用</t>
  </si>
  <si>
    <t>tax</t>
  </si>
  <si>
    <t>tax24</t>
  </si>
  <si>
    <t>profit25</t>
  </si>
  <si>
    <t>集团净利润</t>
  </si>
  <si>
    <t>profit</t>
  </si>
  <si>
    <t>profit24</t>
  </si>
  <si>
    <t>cash_ebitda25</t>
  </si>
  <si>
    <t>现金分部EBITDA</t>
  </si>
  <si>
    <t>cash_ebitda</t>
  </si>
  <si>
    <t>cash_ebitda24</t>
  </si>
  <si>
    <t>ebitda25</t>
  </si>
  <si>
    <t>集团EBITDA</t>
  </si>
  <si>
    <t>ebitda</t>
  </si>
  <si>
    <t>ebitda24</t>
  </si>
  <si>
    <t>intadj</t>
  </si>
  <si>
    <t>净利息调整</t>
  </si>
  <si>
    <t>e_cf</t>
  </si>
  <si>
    <t>fairadj</t>
  </si>
  <si>
    <t>公允价值调整</t>
  </si>
  <si>
    <t>leasegain</t>
  </si>
  <si>
    <t>租约修改收益调整</t>
  </si>
  <si>
    <t>finance</t>
  </si>
  <si>
    <t>财务成本调整</t>
  </si>
  <si>
    <t>da</t>
  </si>
  <si>
    <t>折旧摊销减值</t>
  </si>
  <si>
    <t>share</t>
  </si>
  <si>
    <t>股份支付</t>
  </si>
  <si>
    <t>jvadj</t>
  </si>
  <si>
    <t>联营合营损益调整</t>
  </si>
  <si>
    <t>othernoncash</t>
  </si>
  <si>
    <t>其他非现金调整</t>
  </si>
  <si>
    <t>mfasset</t>
  </si>
  <si>
    <t>保证金资产现金变动</t>
  </si>
  <si>
    <t>mfliab</t>
  </si>
  <si>
    <t>保证金负债现金变动</t>
  </si>
  <si>
    <t>chasset</t>
  </si>
  <si>
    <t>清算基金资产现金变动</t>
  </si>
  <si>
    <t>chliab</t>
  </si>
  <si>
    <t>清算基金负债现金变动</t>
  </si>
  <si>
    <t>asharechange</t>
  </si>
  <si>
    <t>A股预付款及抵押现金增加</t>
  </si>
  <si>
    <t>skinchange</t>
  </si>
  <si>
    <t>专用公司基金增加</t>
  </si>
  <si>
    <t>shchchange</t>
  </si>
  <si>
    <t>公司转SHCH保证金增加</t>
  </si>
  <si>
    <t>receivchange</t>
  </si>
  <si>
    <t>应收预付增加</t>
  </si>
  <si>
    <t>otherliabchange</t>
  </si>
  <si>
    <t>其他负债增加</t>
  </si>
  <si>
    <t>netops</t>
  </si>
  <si>
    <t>主营运现金小计</t>
  </si>
  <si>
    <t>interestreceived</t>
  </si>
  <si>
    <t>已收利息</t>
  </si>
  <si>
    <t>interestpaid</t>
  </si>
  <si>
    <t>付会员利息</t>
  </si>
  <si>
    <t>fxswaps</t>
  </si>
  <si>
    <t>外汇互换现金支付</t>
  </si>
  <si>
    <t>taxpaid</t>
  </si>
  <si>
    <t>已付所得税</t>
  </si>
  <si>
    <t>principal</t>
  </si>
  <si>
    <t>主要经营现金流non-HKFRS</t>
  </si>
  <si>
    <t>redemption</t>
  </si>
  <si>
    <t>外部基金净赎回</t>
  </si>
  <si>
    <t>cfo</t>
  </si>
  <si>
    <t>经营现金流HKAS7</t>
  </si>
  <si>
    <t>cfi</t>
  </si>
  <si>
    <t>投资现金流</t>
  </si>
  <si>
    <t>cff</t>
  </si>
  <si>
    <t>融资现金流</t>
  </si>
  <si>
    <t>fxcash</t>
  </si>
  <si>
    <t>现金汇兑</t>
  </si>
  <si>
    <t>hqpay</t>
  </si>
  <si>
    <t>总部现金付款</t>
  </si>
  <si>
    <t>capexpay</t>
  </si>
  <si>
    <t>其他固定无形现金付款</t>
  </si>
  <si>
    <t>divpaid</t>
  </si>
  <si>
    <t>归母股息实付</t>
  </si>
  <si>
    <t>cfopen</t>
  </si>
  <si>
    <t>现金流期初现金</t>
  </si>
  <si>
    <t>e_cash</t>
  </si>
  <si>
    <t>instant</t>
  </si>
  <si>
    <t>cfclose</t>
  </si>
  <si>
    <t>现金流期末现金</t>
  </si>
  <si>
    <t>cash_bs</t>
  </si>
  <si>
    <t>资产负债表现金</t>
  </si>
  <si>
    <t>cash_a</t>
  </si>
  <si>
    <t>A股现金</t>
  </si>
  <si>
    <t>cash_corp</t>
  </si>
  <si>
    <t>公司基金现金</t>
  </si>
  <si>
    <t>cash_margin</t>
  </si>
  <si>
    <t>保证金现金</t>
  </si>
  <si>
    <t>cash_clearing</t>
  </si>
  <si>
    <t>清算基金现金</t>
  </si>
  <si>
    <t>cash_skin</t>
  </si>
  <si>
    <t>公司专用现金</t>
  </si>
  <si>
    <t>margin_fvoci</t>
  </si>
  <si>
    <t>保证金FVOCI</t>
  </si>
  <si>
    <t>e_margin</t>
  </si>
  <si>
    <t>margin_amort</t>
  </si>
  <si>
    <t>保证金摊余成本</t>
  </si>
  <si>
    <t>margin_china</t>
  </si>
  <si>
    <t>ChinaClear持有</t>
  </si>
  <si>
    <t>margin_shch</t>
  </si>
  <si>
    <t>SHCH持有</t>
  </si>
  <si>
    <t>margin_recv</t>
  </si>
  <si>
    <t>会员保证金应收</t>
  </si>
  <si>
    <t>margin_total</t>
  </si>
  <si>
    <t>保证金负债</t>
  </si>
  <si>
    <t>clear_fvoci</t>
  </si>
  <si>
    <t>清算基金FVOCI</t>
  </si>
  <si>
    <t>clear_other</t>
  </si>
  <si>
    <t>清算基金其他金融负债</t>
  </si>
  <si>
    <t>clear_total</t>
  </si>
  <si>
    <t>清算基金总额</t>
  </si>
  <si>
    <t>assets</t>
  </si>
  <si>
    <t>集团总资产</t>
  </si>
  <si>
    <t>e_bs</t>
  </si>
  <si>
    <t>liabs</t>
  </si>
  <si>
    <t>集团总负债</t>
  </si>
  <si>
    <t>eqclose</t>
  </si>
  <si>
    <t>集团权益期末</t>
  </si>
  <si>
    <t>eqopen</t>
  </si>
  <si>
    <t>集团权益期初</t>
  </si>
  <si>
    <t>e_equity</t>
  </si>
  <si>
    <t>oci</t>
  </si>
  <si>
    <t>其他综合收益</t>
  </si>
  <si>
    <t>divdec1</t>
  </si>
  <si>
    <t>本期确认上年末次股息</t>
  </si>
  <si>
    <t>divdec</t>
  </si>
  <si>
    <t>divdec2</t>
  </si>
  <si>
    <t>本期确认中期股息</t>
  </si>
  <si>
    <t>divforfeit</t>
  </si>
  <si>
    <t>未领股息没收权益</t>
  </si>
  <si>
    <t>awardpurchase</t>
  </si>
  <si>
    <t>奖励股份购买</t>
  </si>
  <si>
    <t>awardtax</t>
  </si>
  <si>
    <t>奖励税项权益</t>
  </si>
  <si>
    <t>putinterest</t>
  </si>
  <si>
    <t>看跌期权利息</t>
  </si>
  <si>
    <t>ncidiv</t>
  </si>
  <si>
    <t>子公司非控股分配</t>
  </si>
  <si>
    <t>putopen</t>
  </si>
  <si>
    <t>看跌期权债务期初</t>
  </si>
  <si>
    <t>putclose</t>
  </si>
  <si>
    <t>看跌期权债务期末</t>
  </si>
  <si>
    <t>gwopen</t>
  </si>
  <si>
    <t>商誉期初</t>
  </si>
  <si>
    <t>e_estimate</t>
  </si>
  <si>
    <t>gwclose</t>
  </si>
  <si>
    <t>商誉期末</t>
  </si>
  <si>
    <t>gwfx</t>
  </si>
  <si>
    <t>商誉汇兑</t>
  </si>
  <si>
    <t>gwimp</t>
  </si>
  <si>
    <t>商誉减值</t>
  </si>
  <si>
    <t>swadd</t>
  </si>
  <si>
    <t>软件新增</t>
  </si>
  <si>
    <t>swfxcost</t>
  </si>
  <si>
    <t>软件成本汇兑</t>
  </si>
  <si>
    <t>swfxacc</t>
  </si>
  <si>
    <t>软件累计摊销汇兑</t>
  </si>
  <si>
    <t>swamort</t>
  </si>
  <si>
    <t>软件摊销</t>
  </si>
  <si>
    <t>swdispcost</t>
  </si>
  <si>
    <t>软件处置成本</t>
  </si>
  <si>
    <t>swdispacc</t>
  </si>
  <si>
    <t>软件处置累计摊销</t>
  </si>
  <si>
    <t>topup</t>
  </si>
  <si>
    <t>最低补足税</t>
  </si>
  <si>
    <t>e_tax</t>
  </si>
  <si>
    <t>swopen</t>
  </si>
  <si>
    <t>软件净值期初</t>
  </si>
  <si>
    <t>swclose</t>
  </si>
  <si>
    <t>软件净值期末</t>
  </si>
  <si>
    <t>hqcommit</t>
  </si>
  <si>
    <t>总部已签承诺</t>
  </si>
  <si>
    <t>e_capital</t>
  </si>
  <si>
    <t>allcommit</t>
  </si>
  <si>
    <t>资本承诺总额</t>
  </si>
  <si>
    <t>parentcash</t>
  </si>
  <si>
    <t>母公司现金</t>
  </si>
  <si>
    <t>e_parent</t>
  </si>
  <si>
    <t>parent</t>
  </si>
  <si>
    <t>指标或桥</t>
  </si>
  <si>
    <t>基础单位公式</t>
  </si>
  <si>
    <t>基础单位结果</t>
  </si>
  <si>
    <t>展示结果</t>
  </si>
  <si>
    <t>不计算原因</t>
  </si>
  <si>
    <t>定义</t>
  </si>
  <si>
    <t>解释边界</t>
  </si>
  <si>
    <t>展示单位</t>
  </si>
  <si>
    <t>rev_growth</t>
  </si>
  <si>
    <t>rev同比</t>
  </si>
  <si>
    <t>calculated</t>
  </si>
  <si>
    <t>同口径两年全年变化</t>
  </si>
  <si>
    <t>仅证明所列口径的算式；经济实质和完整性另据原文及反证判断。</t>
  </si>
  <si>
    <t>%</t>
  </si>
  <si>
    <t>profit_growth</t>
  </si>
  <si>
    <t>profit同比</t>
  </si>
  <si>
    <t>pbt_growth</t>
  </si>
  <si>
    <t>pbt同比</t>
  </si>
  <si>
    <t>ni_growth</t>
  </si>
  <si>
    <t>ni同比</t>
  </si>
  <si>
    <t>revgain</t>
  </si>
  <si>
    <t>收入增量</t>
  </si>
  <si>
    <t>营业收入同比增量</t>
  </si>
  <si>
    <t>HKD × 1000000</t>
  </si>
  <si>
    <t>totalgain</t>
  </si>
  <si>
    <t>收入及收益增量</t>
  </si>
  <si>
    <t>总收益增量</t>
  </si>
  <si>
    <t>revgainshare</t>
  </si>
  <si>
    <t>收入对总增量比</t>
  </si>
  <si>
    <t>同口径增量占比</t>
  </si>
  <si>
    <t>cashebitdagain</t>
  </si>
  <si>
    <t>现金分部EBITDA增量</t>
  </si>
  <si>
    <t>公司定义EBITDA增量</t>
  </si>
  <si>
    <t>ebitdagain</t>
  </si>
  <si>
    <t>集团EBITDA增量</t>
  </si>
  <si>
    <t>cashgainshare</t>
  </si>
  <si>
    <t>现金分部占EBITDA增量比</t>
  </si>
  <si>
    <t>增长集中程度而非份额因果</t>
  </si>
  <si>
    <t>ops_rebuilt</t>
  </si>
  <si>
    <t>税前利润至主营运现金复算</t>
  </si>
  <si>
    <t>逐行使用附注47(a)带符号调整</t>
  </si>
  <si>
    <t>principal_rebuilt</t>
  </si>
  <si>
    <t>主要经营现金复算</t>
  </si>
  <si>
    <t>由主营运小计连接税息及互换现金</t>
  </si>
  <si>
    <t>cfo_rebuilt</t>
  </si>
  <si>
    <t>CFO复算</t>
  </si>
  <si>
    <t>HKAS7 CFO含外部投资组合赎回</t>
  </si>
  <si>
    <t>cash_rebuilt</t>
  </si>
  <si>
    <t>期末现金滚动</t>
  </si>
  <si>
    <t>仅现金流量表定义范围</t>
  </si>
  <si>
    <t>cash_total_rebuilt</t>
  </si>
  <si>
    <t>报表现金分池</t>
  </si>
  <si>
    <t>四池相加</t>
  </si>
  <si>
    <t>corp_cash_rebuilt</t>
  </si>
  <si>
    <t>公司非清算专用现金</t>
  </si>
  <si>
    <t>公司基金扣披露专用现金，不证明母公司自由调拨</t>
  </si>
  <si>
    <t>margin_rebuilt</t>
  </si>
  <si>
    <t>保证金资产义务桥</t>
  </si>
  <si>
    <t>全列六项原披露资产</t>
  </si>
  <si>
    <t>clear_rebuilt</t>
  </si>
  <si>
    <t>清算基金净资产</t>
  </si>
  <si>
    <t>清算基金资产扣特定其他金融负债</t>
  </si>
  <si>
    <t>eq_balance</t>
  </si>
  <si>
    <t>资产减负债</t>
  </si>
  <si>
    <t>集团总权益</t>
  </si>
  <si>
    <t>eq_rebuilt</t>
  </si>
  <si>
    <t>全权益滚动</t>
  </si>
  <si>
    <t>完整Total equity列；储备转拨、股份归属与非控股分配的总权益净额为零，原列位另留证</t>
  </si>
  <si>
    <t>put_rebuilt</t>
  </si>
  <si>
    <t>看跌期权负债滚动</t>
  </si>
  <si>
    <t>分配减少负债并非本期集团权益减少</t>
  </si>
  <si>
    <t>gw_rebuilt</t>
  </si>
  <si>
    <t>商誉滚动</t>
  </si>
  <si>
    <t>汇兑与减值分开</t>
  </si>
  <si>
    <t>sw_rebuilt</t>
  </si>
  <si>
    <t>软件净值滚动</t>
  </si>
  <si>
    <t>成本和累计摊销分别读取后净额桥</t>
  </si>
  <si>
    <t>selected_cash</t>
  </si>
  <si>
    <t>主要经营现金减长期经营资产现金付款</t>
  </si>
  <si>
    <t>不含投资组合赎回；未扣其他投资、租赁、股息，不称FCFF</t>
  </si>
  <si>
    <t>after_div</t>
  </si>
  <si>
    <t>上述现金指标减归母股息实付</t>
  </si>
  <si>
    <t>只作已列付款覆盖观察，不替代融资流动性预测</t>
  </si>
  <si>
    <t>etr25</t>
  </si>
  <si>
    <t>本年有效税率</t>
  </si>
  <si>
    <t>合并所得税除税前利润</t>
  </si>
  <si>
    <t>taxgain</t>
  </si>
  <si>
    <t>所得税增量</t>
  </si>
  <si>
    <t>同口径两年税额差</t>
  </si>
  <si>
    <t>topupshare</t>
  </si>
  <si>
    <t>补足税占税增量</t>
  </si>
  <si>
    <t>税额增量归因的一部分，不是整体ETR因果归因</t>
  </si>
  <si>
    <t>=IF(OR('Facts'!F3&lt;=0,'Facts'!F2&lt;0),NA(),((('Facts'!F2-'Facts'!F3)/'Facts'!F3))*1)</t>
  </si>
  <si>
    <t>=IF(OR('Facts'!F13&lt;=0,'Facts'!F12&lt;0),NA(),((('Facts'!F12-'Facts'!F13)/'Facts'!F13))*1)</t>
  </si>
  <si>
    <t>=IF(OR('Facts'!F9&lt;=0,'Facts'!F8&lt;0),NA(),((('Facts'!F8-'Facts'!F9)/'Facts'!F9))*1)</t>
  </si>
  <si>
    <t>=IF(OR('Facts'!F7&lt;=0,'Facts'!F6&lt;0),NA(),((('Facts'!F6-'Facts'!F7)/'Facts'!F7))*1)</t>
  </si>
  <si>
    <t>=(('Facts'!F2-'Facts'!F3))*1</t>
  </si>
  <si>
    <t>=(('Facts'!F4-'Facts'!F5))*1</t>
  </si>
  <si>
    <t>=IF('Calculations'!D7&lt;=0,NA(),(('Calculations'!D6/'Calculations'!D7))*1)</t>
  </si>
  <si>
    <t>=(('Facts'!F14-'Facts'!F15))*1</t>
  </si>
  <si>
    <t>=(('Facts'!F16-'Facts'!F17))*1</t>
  </si>
  <si>
    <t>=IF('Calculations'!D10&lt;=0,NA(),(('Calculations'!D9/'Calculations'!D10))*1)</t>
  </si>
  <si>
    <t>=(('Facts'!F8*1)+('Facts'!F18*1)+('Facts'!F19*1)+('Facts'!F20*1)+('Facts'!F21*1)+('Facts'!F22*1)+('Facts'!F23*1)+('Facts'!F24*1)+('Facts'!F25*1)+('Facts'!F26*1)+('Facts'!F27*1)+('Facts'!F28*1)+('Facts'!F29*1)+('Facts'!F30*1)+('Facts'!F31*1)+('Facts'!F32*1)+('Facts'!F33*1)+('Facts'!F34*1))*1</t>
  </si>
  <si>
    <t>=(('Calculations'!D12*1)+('Facts'!F36*1)+('Facts'!F37*1)+('Facts'!F38*1)+('Facts'!F39*1))*1</t>
  </si>
  <si>
    <t>=(('Calculations'!D13*1)+('Facts'!F41*1))*1</t>
  </si>
  <si>
    <t>=(('Facts'!F49*1)+('Facts'!F42*1)+('Facts'!F43*1)+('Facts'!F44*1)+('Facts'!F45*1))*1</t>
  </si>
  <si>
    <t>=(('Facts'!F52*1)+('Facts'!F53*1)+('Facts'!F54*1)+('Facts'!F55*1))*1</t>
  </si>
  <si>
    <t>=(('Facts'!F53-'Facts'!F56))*1</t>
  </si>
  <si>
    <t>=(('Facts'!F54*1)+('Facts'!F57*1)+('Facts'!F58*1)+('Facts'!F59*1)+('Facts'!F60*1)+('Facts'!F61*1))*1</t>
  </si>
  <si>
    <t>=(('Facts'!F55*1)+('Facts'!F63*1)+('Facts'!F64*-1))*1</t>
  </si>
  <si>
    <t>=(('Facts'!F66-'Facts'!F67))*1</t>
  </si>
  <si>
    <t>=(('Facts'!F69*1)+('Facts'!F12*1)+('Facts'!F70*1)+('Facts'!F71*1)+('Facts'!F72*1)+('Facts'!F73*1)+('Facts'!F74*1)+('Facts'!F23*1)+('Facts'!F75*1))*1</t>
  </si>
  <si>
    <t>=(('Facts'!F78*1)+('Facts'!F76*1)+('Facts'!F77*-1))*1</t>
  </si>
  <si>
    <t>=(('Facts'!F80*1)+('Facts'!F82*1)+('Facts'!F83*-1))*1</t>
  </si>
  <si>
    <t>=(('Facts'!F91*1)+('Facts'!F84*1)+('Facts'!F85*1)+('Facts'!F86*-1)+('Facts'!F87*-1)+('Facts'!F88*-1)+('Facts'!F89*1))*1</t>
  </si>
  <si>
    <t>=(('Facts'!F40*1)+('Facts'!F46*-1)+('Facts'!F47*-1))*1</t>
  </si>
  <si>
    <t>=(('Calculations'!D25-'Facts'!F48))*1</t>
  </si>
  <si>
    <t>=IF('Facts'!F8&lt;=0,NA(),(('Facts'!F10/'Facts'!F8))*1)</t>
  </si>
  <si>
    <t>=(('Facts'!F10-'Facts'!F11))*1</t>
  </si>
  <si>
    <t>=IF('Calculations'!D28&lt;=0,NA(),(('Facts'!F90/'Calculations'!D28))*1)</t>
  </si>
  <si>
    <t>勾稽</t>
  </si>
  <si>
    <t>实际</t>
  </si>
  <si>
    <t>目标</t>
  </si>
  <si>
    <t>残差 基础单位</t>
  </si>
  <si>
    <t>容差 基础单位</t>
  </si>
  <si>
    <t>容差依据</t>
  </si>
  <si>
    <t>未测试原因</t>
  </si>
  <si>
    <t>金额残差小数位</t>
  </si>
  <si>
    <t>r_ops</t>
  </si>
  <si>
    <t>within_input_tolerance</t>
  </si>
  <si>
    <t>本次选择的披露百万元整数可以精确闭合，未以审计重要性设容差。</t>
  </si>
  <si>
    <t>r_principal</t>
  </si>
  <si>
    <t>r_cfo</t>
  </si>
  <si>
    <t>r_cash</t>
  </si>
  <si>
    <t>r_cash_total</t>
  </si>
  <si>
    <t>r_corp_cash</t>
  </si>
  <si>
    <t>r_margin</t>
  </si>
  <si>
    <t>r_clearing</t>
  </si>
  <si>
    <t>r_bs</t>
  </si>
  <si>
    <t>r_equity</t>
  </si>
  <si>
    <t>r_put</t>
  </si>
  <si>
    <t>r_goodwill</t>
  </si>
  <si>
    <t>r_software</t>
  </si>
  <si>
    <t>文件</t>
  </si>
  <si>
    <t>链接</t>
  </si>
  <si>
    <t>公布日期</t>
  </si>
  <si>
    <t>SHA256</t>
  </si>
  <si>
    <t>时间证据与限制</t>
  </si>
  <si>
    <t>annual</t>
  </si>
  <si>
    <t>HKEX Annual Report 2025</t>
  </si>
  <si>
    <t>https://www.hkexnews.hk/listedco/listconews/sehk/2026/0316/2026031600319.pdf</t>
  </si>
  <si>
    <t>未核验</t>
  </si>
  <si>
    <t>01f90f3b213f368e1ed66887ec6ec862f5129c74d5c89d3c11cf5b0fda8887ee</t>
  </si>
  <si>
    <t>收到官方URL原件；PDF批准日2026-02-26，未以URL日期冒充首次公开日。</t>
  </si>
  <si>
    <t>fca</t>
  </si>
  <si>
    <t>FCA Final Notice: London Metal Exchange</t>
  </si>
  <si>
    <t>https://www.fca.org.uk/publication/final-notices/london-metal-exchange-2025.pdf</t>
  </si>
  <si>
    <t>2025-03-20</t>
  </si>
  <si>
    <t>8fee698e2f844433e57039749c3765b404b1309edc9229d21ea8b599a491b915</t>
  </si>
  <si>
    <t>最终文书日期2025-03-19；FCA官网新闻首发2025-03-20。已读取PDF1-3、6-8页。</t>
  </si>
  <si>
    <t>sr</t>
  </si>
  <si>
    <t>HKEX Sustainability Report 2025</t>
  </si>
  <si>
    <t>https://www.hkexgroup.com/-/media/HKEX-Group-Site/ssd/Investor-Relations/Regulatory-Reports/documents/2026/260316sr_e.pdf</t>
  </si>
  <si>
    <t>ea0deef0b3f3a0d31c01d7936d60a652e4a3b9a6dd41b7d5351a80fba6b4af5f</t>
  </si>
  <si>
    <t>已取得76页原件；读取PDF42-43、56-58、71-72页，首次公告日未单独核验。</t>
  </si>
  <si>
    <t>来源</t>
  </si>
  <si>
    <t>定位</t>
  </si>
  <si>
    <t>观察</t>
  </si>
  <si>
    <t>可靠性与限制</t>
  </si>
  <si>
    <t>e_scope</t>
  </si>
  <si>
    <t>PDF物理页3、6、22-23、46-48、65、68、75-81、111-115、129、131、139-150、153-158、164-168、185-187、189-190、193-195、205-210、230-231</t>
  </si>
  <si>
    <t>目录用于范围识别；上述章节中重点页全文阅读，业务、委员会及风险部分为定向读取；未声称未列页面和独立可持续报告已读。四张主表、现金附注、会员资源、商誉、总部与税务是本次重点。</t>
  </si>
  <si>
    <t>原件公开披露；仅支持披露层结论，不是本次交易真实性或控制运行测试</t>
  </si>
  <si>
    <t>PDF物理页143、153-154</t>
  </si>
  <si>
    <t>合并损益两列为2025、2024；金额HKD百万元。2025收入23745、收入及其他收益29161、净投资收益5111、税前21158、税3321、净利润17837、归母17754。现金分部EBITDA13398，2024为8169；集团22796、16281。分部EBITDA为公司定义的non-HKFRS，不是审计准则指标。</t>
  </si>
  <si>
    <t>e_business</t>
  </si>
  <si>
    <t>PDF物理页23、46-48、65、68、131、155-156</t>
  </si>
  <si>
    <t>管理层称股票ADT为249.8十亿港元、同比90%；Stock Connect和衍生品增长有不同驱动；交易收费按成交日、部分清算收费按次日、上市费按服务期。经营牌照、网络与互联互通有价值；不能从成交量增幅直接推净费率不变。LME量、OTC名义清算额与股票金额不可直接混算。</t>
  </si>
  <si>
    <t>PDF物理页147、205</t>
  </si>
  <si>
    <t>已视觉核对PDF205两列表头2025/2024及所有带符号行；2025税前21158，依次调整-5111,+94,-76,+96,+1568,+361,-26,+1,-80198,+80386,-7073,+6866,-374,-196,-145,-11679,+13353=19005，再+7519-4626-510-1533=19855。147页外部基金赎回5772，CFO25627，CFI-5565，CFF-14635，汇兑16；期初13910、期末19353。</t>
  </si>
  <si>
    <t>PDF物理页145、167-168</t>
  </si>
  <si>
    <t>PDF167原页已视觉核：2025列按A股现金/Corporate/Margin/Clearing House/Total依次2549/20676/130052/29447/182724，单位HKD百万元。Corporate内1323仅支持清算基金用途；168页(c)说明这些用途限制款不进入现金流量表现金。19353仍是集团口径，并非母公司可任意分配金额。</t>
  </si>
  <si>
    <t>PDF物理页78、190、193</t>
  </si>
  <si>
    <t>2025保证金负债269243；资产现金130052、FVOCI48327、摊余成本69176、ChinaClear20867、SHCH799、会员应收22。分列资金用途。清算基金资产现金29447+FVOCI6361-其他负债12=35796；构成为会员33991+OTC资源156+基金储备1649。Corporate的Skin-in-the-Game及credits2276不应重复加为会员资产。</t>
  </si>
  <si>
    <t>PDF物理页145-146、194-195、206</t>
  </si>
  <si>
    <t>PDF146完整表头视觉核对：2025最右Total equity列期初54407、净利润17837、OCI369；直接权益行-6193,-7583,+34,-512,vesting合计零,+361,+9,储备转拨合计零,NCI dividend合计零；期末58729。最后一行NCI分红归母储备+59、NCI-59，总权益零，现金和看跌期权负债减少59另在147/195/206反映。</t>
  </si>
  <si>
    <t>PDF物理页145</t>
  </si>
  <si>
    <t>2025合并资产580775、负债522046、权益58729；归母58147、NCI582。金额HKD百万元，资产列Current/Non-current/Total，取Total列。</t>
  </si>
  <si>
    <t>PDF物理页185-187</t>
  </si>
  <si>
    <t>PDF185完整列名Goodwill/Tradenames/Customer relationships/Software systems/Total已视觉核。商誉13297+汇兑32-减值55=13274；软件净额3860，成本增加1285、成本汇兑20、累计摊销汇兑13、摊销810、处置成本60及累计摊销59，期末4341。Data and Connectivity商誉55；减值来自BayConnect预期协同下降、深圳自有技术中心定位变化。Commodities商誉13219、商标894；未来五年EBITDA margin61%，折现8%、终值增长3%，管理层称合理可能变化不改变无减值判断，未给本次可独立验证完整模型。</t>
  </si>
  <si>
    <t>PDF物理页79、147、189、206</t>
  </si>
  <si>
    <t>总部购置总考虑6.3十亿港元；已确认土地ROU2332、物业ROU34、固定资产67，现金支付3148；未来分期至2027，承诺3424。资本承诺总5285中还有已签未拨备固定104/无形183及批准未签固定758/无形816。会计确认、现金、承诺不同计量和范围，不能用差额认定错报。租赁负债1294+112-312+41-251-41+8=851；ROU总部新增不能等同融资租赁负债新增。</t>
  </si>
  <si>
    <t>PDF物理页164-165</t>
  </si>
  <si>
    <t>2025税务桥3567-1082+121+14+701=3321；香港最低补足税701作为当期税额，原文称2025起适用；该额未等于本期现金支付。税费2024为1698，税前14853；英国当期多计拨回93有同额递延税费用抵消，不应全额当税收永久优惠。此处以公司披露为事实，不另给法律适用意见。</t>
  </si>
  <si>
    <t>e_governance</t>
  </si>
  <si>
    <t>PDF物理页111-115、139-140、148-150、208-210</t>
  </si>
  <si>
    <t>HKFRS无保留意见；KAM是收入IT系统及控制依赖，原审计师测试不等于本次已执行。集团称监管实体全年符合资本要求，不等于已验证压力充足。HKFRS18未提前采用，预计2027重分类公司投资收入与会员利息回拨，不改变归母利润；跨期营业利润要重建可比。关联方标准收费是公司声明，未验证单笔公允性。</t>
  </si>
  <si>
    <t>PDF物理页230-231</t>
  </si>
  <si>
    <t>母公司现金2870（2024为1615）、应收子公司11338（5441）、净流动资产8992（12092）、留存15303（13929）；未从集团现金推母公司现金上划自由，未从应收变化推真实现金流。</t>
  </si>
  <si>
    <t>e_fca</t>
  </si>
  <si>
    <t>PDF1-3、6-8页；段2.4-2.10、2.25-2.32</t>
  </si>
  <si>
    <t>FCA说明历史压力期的价格带运行、培训及升级控制不足，OTC头寸可见性是重大驱动；交易暂停/追缴需求可同时打击收入、会员现金和信心。2.31-2.32亦说明每周OTC报告、行动计划和监管改革提供更强缓释。公告的最终事实及已采取措施不等于本次已测试2025运行有效。</t>
  </si>
  <si>
    <t>官方最终文书；本次定向读取，不延伸作所有诉讼或所有期间结论</t>
  </si>
  <si>
    <t>e_sr</t>
  </si>
  <si>
    <t>PDF42-43、56-58、71-72；印刷40-41、54-56、69-70</t>
  </si>
  <si>
    <t>披露网络独立专家验证、数据中心ISO27001、定期演练、2025第三方隐私复核；风灾期间交易结算正常是正面执行实例。气候评估覆盖17个自有及租用站点，比较NGFS路径并连接交易收入、资产损害/能源成本；存在公司表现不变及技术不变等假设。HKQAA声明为ISAE3000有限保证，非本次网络运行或气候模型验证。</t>
  </si>
  <si>
    <t>公司独立报告与第三方有限保证原件；管理层模型结果与保证范围均保留限制</t>
  </si>
  <si>
    <t>问题</t>
  </si>
  <si>
    <t>结论</t>
  </si>
  <si>
    <t>机制</t>
  </si>
  <si>
    <t>依据</t>
  </si>
  <si>
    <t>反证</t>
  </si>
  <si>
    <t>其他解释</t>
  </si>
  <si>
    <t>改变结论条件</t>
  </si>
  <si>
    <t>f_business</t>
  </si>
  <si>
    <t>盈利改善是否只来自利率和投资收益？</t>
  </si>
  <si>
    <t>营业收入同比36.89%，集团净利润同比35.59%。营业收入增量6,399.00 HKD × 1000000占收入及其他收益增量的94.28%；现金分部占公司定义EBITDA增量80.26%。</t>
  </si>
  <si>
    <t>牌照及互联互通网络将活跃交易转化为交易、清算和存管收入；量增同时扩大清算资源和IT容量需求。不能把所有收入机械乘股票ADT。</t>
  </si>
  <si>
    <t>supported</t>
  </si>
  <si>
    <t>e_profit, e_business</t>
  </si>
  <si>
    <t>市场整体行情与互联互通参与增加可能比公司特有定价更重要。
清算及交易费率、市场份额、交易产品组合未单独隔离。</t>
  </si>
  <si>
    <t>同口径份额或净费率下降、交易量回落或系统瓶颈，将削弱持续增长判断。</t>
  </si>
  <si>
    <t>f_cash</t>
  </si>
  <si>
    <t>CFO与会员资金能否直接解释为可分配现金？</t>
  </si>
  <si>
    <t>逐行桥得到主要经营现金19,855.00 HKD × 1000000、HKAS7 CFO25,627.00 HKD × 1000000；其中外部基金赎回为5,772.00 HKD × 1000000。现金流量表现金19,353.00 HKD × 1000000与资产负债表现金182,724.00 HKD × 1000000是不同范围。</t>
  </si>
  <si>
    <t>附注披露的会员配对资金通过经营现金桥但不可用于其他活动；清算与公司不同用途资源不能混用。其他负债增加与应收增加只能解释原合计行，未分解前不能称供应商占款。</t>
  </si>
  <si>
    <t>e_cf, e_cash, e_margin</t>
  </si>
  <si>
    <t>高CFO部分来自外部资产赎回，而不是重复性收费现金。
期末资金池受市场保证金需求影响，不能用总额判断公司债务偿还能力。</t>
  </si>
  <si>
    <t>取得日内、分法人及币种的实际可调度资金和支付义务后可进一步判断压力现金。</t>
  </si>
  <si>
    <t>f_fmi</t>
  </si>
  <si>
    <t>资源总额能否证明清算风险已覆盖？</t>
  </si>
  <si>
    <t>保证金资产重建269,243.00 HKD × 1000000对应义务269,243.00 HKD × 1000000；清算基金净资产35,796.00 HKD × 1000000与披露一致。</t>
  </si>
  <si>
    <t>资产用途、期限与服务级法律顺序决定可用性；非现金会员抵押并未上表，跨CCP及币种资金不能简单互抵；年度账面闭合不回答日内支付和极端平仓损失。</t>
  </si>
  <si>
    <t>conditional</t>
  </si>
  <si>
    <t>e_margin, e_cash</t>
  </si>
  <si>
    <t>高质量投资和隔离账户是积极缓释，但仍有期限和时点错配。</t>
  </si>
  <si>
    <t>服务级同日损失、违约瀑布、成员份额和支付窗口证据才能支持覆盖结论。</t>
  </si>
  <si>
    <t>f_equity</t>
  </si>
  <si>
    <t>股东分配能否只读现金流表？</t>
  </si>
  <si>
    <t>全权益滚动58,729.00 HKD × 1000000、资产负债差58,729.00 HKD × 1000000与集团权益58,729.00 HKD × 1000000一致；看跌期权债务重建398.00 HKD × 1000000。</t>
  </si>
  <si>
    <t>非控股分配59.00 HKD × 1000000现金流出同时降低看跌期权负债，并在权益内把NCI转至归母储备，集团权益该行净零。宣告分配与实付股息另列，避免把权益增减全部理解成现金。</t>
  </si>
  <si>
    <t>e_equity, e_bs</t>
  </si>
  <si>
    <t>权益转拨形式无集团净额但改变归属和少数股东权益。</t>
  </si>
  <si>
    <t>期权条款变化、分红对应的负债调整或范围差异会改变解释。</t>
  </si>
  <si>
    <t>f_estimate</t>
  </si>
  <si>
    <t>资产估计是否与业务战略一致？</t>
  </si>
  <si>
    <t>商誉重建13,274.00 HKD × 1000000，本年减值55.00 HKD × 1000000；软件净值重建4,341.00 HKD × 1000000。BayConnect协同预期下调已有会计后果，不能将减值全当无关紧要的非现金项目。</t>
  </si>
  <si>
    <t>深圳技术中心定位改变降低BayConnect协同；LME等商品CGU仍承载主要商誉和商标，管理层提高利润率假设是增长解释，也是应挑战的估计输入。软件资本化与收入系统依赖连接未来摊销及运营韧性。</t>
  </si>
  <si>
    <t>e_estimate, e_business, e_governance</t>
  </si>
  <si>
    <t>商品市场盈利提升可以支持更高预测利润率。
未取得预测、资本开支和税/折现匹配，不能独立证明无减值或计算应调整额。</t>
  </si>
  <si>
    <t>实际利润/现金低于预测，开发项目不可用或关键假设恶化将触发重新估值。</t>
  </si>
  <si>
    <t>f_capital</t>
  </si>
  <si>
    <t>当年高经营现金是否足够说明资本配置无约束？</t>
  </si>
  <si>
    <t>主要经营现金减总部和其他长期经营资产付款为14,974.00 HKD × 1000000，再减归母股息实付剩1,252.00 HKD × 1000000；尚有总部已签承诺3,424.00 HKD × 1000000及其他资本安排。</t>
  </si>
  <si>
    <t>该观察未扣联营投资、奖励股份、租赁和其他资金变动；总部ROU/固定资产确认与付款及未来承诺不同步，不能把会计新增当现金支出。母公司现金2,870.00 HKD × 1000000也不同于集团资金。</t>
  </si>
  <si>
    <t>e_capital, e_cf, e_parent</t>
  </si>
  <si>
    <t>现金余额和资本投资可支持未来容量与持续经营，不能仅凭本期付款增加评为负面。</t>
  </si>
  <si>
    <t>逐期投入收益、法人可分配与上划能力以及承诺付款时间表会改变分配余量判断。</t>
  </si>
  <si>
    <t>f_tax</t>
  </si>
  <si>
    <t>税后增速与税前增长为何不同？</t>
  </si>
  <si>
    <t>税前利润同比42.45%，净利润同比35.59%；本年有效税率15.70%。最低补足税701.00 HKD × 1000000占所得税费用增量43.19%。</t>
  </si>
  <si>
    <t>最低税有明确本期税额；英国当期税抵扣与递延税相抵，不能只引用当期税利好。税费和实付税不同，未付税还影响未来现金。</t>
  </si>
  <si>
    <t>e_tax, e_profit</t>
  </si>
  <si>
    <t>地区盈利结构、永久差异与递延项目也影响总税率，不能把差额全部归因最低税。</t>
  </si>
  <si>
    <t>按法域纳税及GloBE计算、支付时点和下一期暂时性差异变化会改变持续税负预测。</t>
  </si>
  <si>
    <t>f_governance</t>
  </si>
  <si>
    <t>无保留意见是否足以关闭收入与运营风险？</t>
  </si>
  <si>
    <t>收入系统是原审计师关键审计事项；本次仅读取其程序与结论，没有执行系统控制测试。报告期仍按现行HKFRS列报，未来列报变更需要可比桥。</t>
  </si>
  <si>
    <t>同一交易系统同时影响收费完整性、日内清算和业务连续性；委员会审阅是治理动作，不是独立运行证据。HKFRS18公司投资收益、会员利息回拨重分类将影响营业口径，不能误读为经济利润变化。</t>
  </si>
  <si>
    <t>e_governance, e_business, e_fca</t>
  </si>
  <si>
    <t>原审计意见与委员会监督提供积极公开证据。
官方FCA最终文书已取得；其同时记录历史控制不足与后续缓释，不支持将处罚结束解释为所有运营风险消失。</t>
  </si>
  <si>
    <t>进一步取得系统运行样本、日内升级日志及事件整改关闭测试后，更新对运行韧性与剩余风险的判断。</t>
  </si>
  <si>
    <t>f_resilience</t>
  </si>
  <si>
    <t>治理叙述是否已经连接业务和会计后果？</t>
  </si>
  <si>
    <t>补充公开报告已取得。风灾中交易结算正常、网络演练和第三方隐私复核为积极证据；极端天气和网络中断仍通过交易收入、清算付款及资产/运营成本传导。</t>
  </si>
  <si>
    <t>可持续报告已把场景连接站点、收入与费用，不能重复请求整份公开报告。其模型的企业表现和技术不变假设需要挑战；有限保证不替代本次关键系统运行和模型复算。</t>
  </si>
  <si>
    <t>e_sr, e_fca</t>
  </si>
  <si>
    <t>已有防洪、业务连续性、保险及恶劣天气交易安排可以降低损失。
管理层无重大财务影响判断仍受预测和范围限制。</t>
  </si>
  <si>
    <t>未来停机、支付延迟、站点损害或模型假设变化，需同时更新收入、支出、资产估计和清算压力。</t>
  </si>
  <si>
    <t>事项</t>
  </si>
  <si>
    <t>目的与认定</t>
  </si>
  <si>
    <t>总体</t>
  </si>
  <si>
    <t>选取</t>
  </si>
  <si>
    <t>步骤</t>
  </si>
  <si>
    <t>实际结果</t>
  </si>
  <si>
    <t>执行者日期</t>
  </si>
  <si>
    <t>p_cash</t>
  </si>
  <si>
    <t>验证所列原表关系和口径 / 准确性及列报</t>
  </si>
  <si>
    <t>原年报已列相关表与附注，不代表逐笔总体</t>
  </si>
  <si>
    <t>本次自主选择的关键桥全部原披露行</t>
  </si>
  <si>
    <t>从带表头原页定位并记录所选行。
逐项执行：19,005.00 HKD × 1000000、19,855.00 HKD × 1000000、25,627.00 HKD × 1000000、19,353.00 HKD × 1000000</t>
  </si>
  <si>
    <t>performed</t>
  </si>
  <si>
    <t>本次逐行复算，所列现金桥残差均为零；只完成算术和公开口径验证。</t>
  </si>
  <si>
    <t>ops_rebuilt, principal_rebuilt, cfo_rebuilt, cash_rebuilt</t>
  </si>
  <si>
    <t>AI公开资料会计分析 2026-10-02</t>
  </si>
  <si>
    <t>p_equity</t>
  </si>
  <si>
    <t>从带表头原页定位并记录所选行。
逐项执行：58,729.00 HKD × 1000000、398.00 HKD × 1000000、58,729.00 HKD × 1000000</t>
  </si>
  <si>
    <t>本次核对权益全列原页并复算，残差零；未执行权益和期权交易真实性测试。</t>
  </si>
  <si>
    <t>eq_rebuilt, put_rebuilt, eq_balance</t>
  </si>
  <si>
    <t>p_estimate</t>
  </si>
  <si>
    <t>从带表头原页定位并记录所选行。
逐项执行：13,274.00 HKD × 1000000、4,341.00 HKD × 1000000</t>
  </si>
  <si>
    <t>本次复算商誉、软件净值滚动，残差零；未执行CGU模型验证。</t>
  </si>
  <si>
    <t>gw_rebuilt, sw_rebuilt</t>
  </si>
  <si>
    <t>p_fmi</t>
  </si>
  <si>
    <t>从带表头原页定位并记录所选行。
逐项执行：269,243.00 HKD × 1000000、35,796.00 HKD × 1000000</t>
  </si>
  <si>
    <t>本次复算保证金及清算基金资产义务勾稽，残差零；未验证违约瀑布与日内压力。</t>
  </si>
  <si>
    <t>margin_rebuilt, clear_rebuilt</t>
  </si>
  <si>
    <t>所需资料</t>
  </si>
  <si>
    <t>影响</t>
  </si>
  <si>
    <t>责任角色</t>
  </si>
  <si>
    <t>关闭条件</t>
  </si>
  <si>
    <t>q_fmi</t>
  </si>
  <si>
    <t>各CCP同日PFMI定量表、现行服务规则、压力损失、成员基金份额与币种时点支付数据</t>
  </si>
  <si>
    <t>确定压力损失后的资源顺序和日内现金，不得由账面闭合推安全</t>
  </si>
  <si>
    <t>风险与清算负责人</t>
  </si>
  <si>
    <t>逐服务核实重复计算、法律用途和可用时点，并重做至少一个压力路径</t>
  </si>
  <si>
    <t>q_estimate</t>
  </si>
  <si>
    <t>商品及BayConnect CGU完整估值模型、预算兑现及软件资本化/验收依据</t>
  </si>
  <si>
    <t>检验利润率改善、资本开支、折现与开发可回收性</t>
  </si>
  <si>
    <t>财务与技术负责人</t>
  </si>
  <si>
    <t>匹配模型口径后可独立重做关键敏感性及临界条件</t>
  </si>
  <si>
    <t>q_capital</t>
  </si>
  <si>
    <t>总部合同付款与资产确认明细、集团法人资金上划及未来分配计划</t>
  </si>
  <si>
    <t>确定确认与现金差异及承诺付款流动性</t>
  </si>
  <si>
    <t>财务与资金负责人</t>
  </si>
  <si>
    <t>确认每笔口径与时点并完成逐期资本现金桥</t>
  </si>
  <si>
    <t>q_control</t>
  </si>
  <si>
    <t>关键收费/清算系统控制运行样本、事故升级日志和整改关闭测试；已披露气候模型的站点假设及原始结果</t>
  </si>
  <si>
    <t>FCA最终文书及独立可持续报告已经取得，剩余是运行与模型证据；不再请求公开报告本身。</t>
  </si>
  <si>
    <t>技术风险与合规负责人</t>
  </si>
  <si>
    <t>用具体运行样本、整改结果与模型数据更新判断；保留第三方有限保证的范围边界。</t>
  </si>
</sst>
</file>

<file path=xl/styles.xml><?xml version="1.0" encoding="utf-8"?>
<styleSheet xmlns="http://schemas.openxmlformats.org/spreadsheetml/2006/main">
  <numFmts count="2">
    <numFmt numFmtId="164" formatCode="#,##0.00;[Red](#,##0.00)"/>
    <numFmt numFmtId="165" formatCode="0.00%;[Red](0.00%)"/>
  </numFmts>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213B45"/>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wrapText="1"/>
    </xf>
    <xf numFmtId="0" fontId="0" fillId="0" borderId="0" xfId="0" applyAlignment="1">
      <alignment vertical="top" wrapText="1"/>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B15"/>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2.7109375" customWidth="1"/>
    <col min="2" max="2" width="110.7109375" customWidth="1"/>
  </cols>
  <sheetData>
    <row r="1" spans="1:2" ht="32" customHeight="1">
      <c r="A1" s="1" t="s">
        <v>0</v>
      </c>
      <c r="B1" s="1" t="s">
        <v>1</v>
      </c>
    </row>
    <row r="2" spans="1:2">
      <c r="A2" s="2" t="s">
        <v>2</v>
      </c>
      <c r="B2" s="2" t="s">
        <v>3</v>
      </c>
    </row>
    <row r="3" spans="1:2">
      <c r="A3" s="2" t="s">
        <v>4</v>
      </c>
      <c r="B3" s="2" t="s">
        <v>5</v>
      </c>
    </row>
    <row r="4" spans="1:2">
      <c r="A4" s="2" t="s">
        <v>6</v>
      </c>
      <c r="B4" s="2" t="s">
        <v>7</v>
      </c>
    </row>
    <row r="5" spans="1:2">
      <c r="A5" s="2" t="s">
        <v>8</v>
      </c>
      <c r="B5" s="2" t="s">
        <v>9</v>
      </c>
    </row>
    <row r="6" spans="1:2">
      <c r="A6" s="2" t="s">
        <v>10</v>
      </c>
      <c r="B6" s="2" t="s">
        <v>11</v>
      </c>
    </row>
    <row r="7" spans="1:2">
      <c r="A7" s="2" t="s">
        <v>12</v>
      </c>
      <c r="B7" s="2" t="s">
        <v>13</v>
      </c>
    </row>
    <row r="8" spans="1:2">
      <c r="A8" s="2" t="s">
        <v>14</v>
      </c>
      <c r="B8" s="2" t="s">
        <v>15</v>
      </c>
    </row>
    <row r="9" spans="1:2">
      <c r="A9" s="2" t="s">
        <v>16</v>
      </c>
      <c r="B9" s="2" t="s">
        <v>17</v>
      </c>
    </row>
    <row r="10" spans="1:2">
      <c r="A10" s="2" t="s">
        <v>18</v>
      </c>
      <c r="B10" s="2" t="s">
        <v>19</v>
      </c>
    </row>
    <row r="11" spans="1:2">
      <c r="A11" s="2" t="s">
        <v>20</v>
      </c>
      <c r="B11" s="2" t="s">
        <v>21</v>
      </c>
    </row>
    <row r="12" spans="1:2">
      <c r="A12" s="2" t="s">
        <v>20</v>
      </c>
      <c r="B12" s="2" t="s">
        <v>22</v>
      </c>
    </row>
    <row r="13" spans="1:2">
      <c r="A13" s="2" t="s">
        <v>20</v>
      </c>
      <c r="B13" s="2" t="s">
        <v>23</v>
      </c>
    </row>
    <row r="14" spans="1:2">
      <c r="A14" s="2" t="s">
        <v>20</v>
      </c>
      <c r="B14" s="2" t="s">
        <v>24</v>
      </c>
    </row>
    <row r="15" spans="1:2">
      <c r="A15" s="2" t="s">
        <v>20</v>
      </c>
      <c r="B15" s="2" t="s">
        <v>25</v>
      </c>
    </row>
  </sheetData>
  <autoFilter ref="A1:B15"/>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dimension ref="A1:R9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8" width="28.7109375" customWidth="1"/>
  </cols>
  <sheetData>
    <row r="1" spans="1:18" ht="32" customHeight="1">
      <c r="A1" s="1" t="s">
        <v>26</v>
      </c>
      <c r="B1" s="1" t="s">
        <v>27</v>
      </c>
      <c r="C1" s="1" t="s">
        <v>28</v>
      </c>
      <c r="D1" s="1" t="s">
        <v>29</v>
      </c>
      <c r="E1" s="1" t="s">
        <v>30</v>
      </c>
      <c r="F1" s="1" t="s">
        <v>31</v>
      </c>
      <c r="G1" s="1" t="s">
        <v>32</v>
      </c>
      <c r="H1" s="1" t="s">
        <v>33</v>
      </c>
      <c r="I1" s="1" t="s">
        <v>34</v>
      </c>
      <c r="J1" s="1" t="s">
        <v>8</v>
      </c>
      <c r="K1" s="1" t="s">
        <v>35</v>
      </c>
      <c r="L1" s="1" t="s">
        <v>36</v>
      </c>
      <c r="M1" s="1" t="s">
        <v>37</v>
      </c>
      <c r="N1" s="1" t="s">
        <v>38</v>
      </c>
      <c r="O1" s="1" t="s">
        <v>10</v>
      </c>
      <c r="P1" s="1" t="s">
        <v>39</v>
      </c>
      <c r="Q1" s="1" t="s">
        <v>40</v>
      </c>
      <c r="R1" s="1" t="s">
        <v>41</v>
      </c>
    </row>
    <row r="2" spans="1:18">
      <c r="A2" s="2" t="s">
        <v>42</v>
      </c>
      <c r="B2" s="2" t="s">
        <v>43</v>
      </c>
      <c r="C2" s="2" t="s">
        <v>44</v>
      </c>
      <c r="D2" s="2">
        <v>23745</v>
      </c>
      <c r="E2" s="2">
        <v>1000000</v>
      </c>
      <c r="F2" s="3">
        <f>IF(COUNT(D2,E2)=2,D2*E2,NA())</f>
        <v>23745000000.0</v>
      </c>
      <c r="G2" s="2" t="s">
        <v>45</v>
      </c>
      <c r="H2" s="2" t="s">
        <v>46</v>
      </c>
      <c r="I2" s="2" t="s">
        <v>47</v>
      </c>
      <c r="J2" s="2" t="s">
        <v>9</v>
      </c>
      <c r="K2" s="2" t="s">
        <v>48</v>
      </c>
      <c r="L2" s="2" t="s">
        <v>49</v>
      </c>
      <c r="M2" s="2" t="s">
        <v>50</v>
      </c>
      <c r="N2" s="2" t="s">
        <v>51</v>
      </c>
      <c r="O2" s="2" t="s">
        <v>11</v>
      </c>
      <c r="P2" s="2"/>
      <c r="Q2" s="2" t="s">
        <v>52</v>
      </c>
      <c r="R2" s="2"/>
    </row>
    <row r="3" spans="1:18">
      <c r="A3" s="2" t="s">
        <v>53</v>
      </c>
      <c r="B3" s="2" t="s">
        <v>43</v>
      </c>
      <c r="C3" s="2" t="s">
        <v>44</v>
      </c>
      <c r="D3" s="2">
        <v>17346</v>
      </c>
      <c r="E3" s="2">
        <v>1000000</v>
      </c>
      <c r="F3" s="3">
        <f>IF(COUNT(D3,E3)=2,D3*E3,NA())</f>
        <v>17346000000.0</v>
      </c>
      <c r="G3" s="2" t="s">
        <v>45</v>
      </c>
      <c r="H3" s="2" t="s">
        <v>46</v>
      </c>
      <c r="I3" s="2" t="s">
        <v>47</v>
      </c>
      <c r="J3" s="2" t="s">
        <v>9</v>
      </c>
      <c r="K3" s="2" t="s">
        <v>54</v>
      </c>
      <c r="L3" s="2" t="s">
        <v>55</v>
      </c>
      <c r="M3" s="2" t="s">
        <v>50</v>
      </c>
      <c r="N3" s="2" t="s">
        <v>51</v>
      </c>
      <c r="O3" s="2" t="s">
        <v>11</v>
      </c>
      <c r="P3" s="2"/>
      <c r="Q3" s="2" t="s">
        <v>52</v>
      </c>
      <c r="R3" s="2"/>
    </row>
    <row r="4" spans="1:18">
      <c r="A4" s="2" t="s">
        <v>56</v>
      </c>
      <c r="B4" s="2" t="s">
        <v>57</v>
      </c>
      <c r="C4" s="2" t="s">
        <v>44</v>
      </c>
      <c r="D4" s="2">
        <v>29161</v>
      </c>
      <c r="E4" s="2">
        <v>1000000</v>
      </c>
      <c r="F4" s="3">
        <f>IF(COUNT(D4,E4)=2,D4*E4,NA())</f>
        <v>29161000000.0</v>
      </c>
      <c r="G4" s="2" t="s">
        <v>45</v>
      </c>
      <c r="H4" s="2" t="s">
        <v>46</v>
      </c>
      <c r="I4" s="2" t="s">
        <v>47</v>
      </c>
      <c r="J4" s="2" t="s">
        <v>9</v>
      </c>
      <c r="K4" s="2" t="s">
        <v>48</v>
      </c>
      <c r="L4" s="2" t="s">
        <v>49</v>
      </c>
      <c r="M4" s="2" t="s">
        <v>50</v>
      </c>
      <c r="N4" s="2" t="s">
        <v>51</v>
      </c>
      <c r="O4" s="2" t="s">
        <v>11</v>
      </c>
      <c r="P4" s="2"/>
      <c r="Q4" s="2" t="s">
        <v>58</v>
      </c>
      <c r="R4" s="2"/>
    </row>
    <row r="5" spans="1:18">
      <c r="A5" s="2" t="s">
        <v>59</v>
      </c>
      <c r="B5" s="2" t="s">
        <v>57</v>
      </c>
      <c r="C5" s="2" t="s">
        <v>44</v>
      </c>
      <c r="D5" s="2">
        <v>22374</v>
      </c>
      <c r="E5" s="2">
        <v>1000000</v>
      </c>
      <c r="F5" s="3">
        <f>IF(COUNT(D5,E5)=2,D5*E5,NA())</f>
        <v>22374000000.0</v>
      </c>
      <c r="G5" s="2" t="s">
        <v>45</v>
      </c>
      <c r="H5" s="2" t="s">
        <v>46</v>
      </c>
      <c r="I5" s="2" t="s">
        <v>47</v>
      </c>
      <c r="J5" s="2" t="s">
        <v>9</v>
      </c>
      <c r="K5" s="2" t="s">
        <v>54</v>
      </c>
      <c r="L5" s="2" t="s">
        <v>55</v>
      </c>
      <c r="M5" s="2" t="s">
        <v>50</v>
      </c>
      <c r="N5" s="2" t="s">
        <v>51</v>
      </c>
      <c r="O5" s="2" t="s">
        <v>11</v>
      </c>
      <c r="P5" s="2"/>
      <c r="Q5" s="2" t="s">
        <v>58</v>
      </c>
      <c r="R5" s="2"/>
    </row>
    <row r="6" spans="1:18">
      <c r="A6" s="2" t="s">
        <v>60</v>
      </c>
      <c r="B6" s="2" t="s">
        <v>61</v>
      </c>
      <c r="C6" s="2" t="s">
        <v>44</v>
      </c>
      <c r="D6" s="2">
        <v>5111</v>
      </c>
      <c r="E6" s="2">
        <v>1000000</v>
      </c>
      <c r="F6" s="3">
        <f>IF(COUNT(D6,E6)=2,D6*E6,NA())</f>
        <v>5111000000.0</v>
      </c>
      <c r="G6" s="2" t="s">
        <v>45</v>
      </c>
      <c r="H6" s="2" t="s">
        <v>46</v>
      </c>
      <c r="I6" s="2" t="s">
        <v>47</v>
      </c>
      <c r="J6" s="2" t="s">
        <v>9</v>
      </c>
      <c r="K6" s="2" t="s">
        <v>48</v>
      </c>
      <c r="L6" s="2" t="s">
        <v>49</v>
      </c>
      <c r="M6" s="2" t="s">
        <v>50</v>
      </c>
      <c r="N6" s="2" t="s">
        <v>51</v>
      </c>
      <c r="O6" s="2" t="s">
        <v>11</v>
      </c>
      <c r="P6" s="2"/>
      <c r="Q6" s="2" t="s">
        <v>62</v>
      </c>
      <c r="R6" s="2"/>
    </row>
    <row r="7" spans="1:18">
      <c r="A7" s="2" t="s">
        <v>63</v>
      </c>
      <c r="B7" s="2" t="s">
        <v>61</v>
      </c>
      <c r="C7" s="2" t="s">
        <v>44</v>
      </c>
      <c r="D7" s="2">
        <v>4927</v>
      </c>
      <c r="E7" s="2">
        <v>1000000</v>
      </c>
      <c r="F7" s="3">
        <f>IF(COUNT(D7,E7)=2,D7*E7,NA())</f>
        <v>4927000000.0</v>
      </c>
      <c r="G7" s="2" t="s">
        <v>45</v>
      </c>
      <c r="H7" s="2" t="s">
        <v>46</v>
      </c>
      <c r="I7" s="2" t="s">
        <v>47</v>
      </c>
      <c r="J7" s="2" t="s">
        <v>9</v>
      </c>
      <c r="K7" s="2" t="s">
        <v>54</v>
      </c>
      <c r="L7" s="2" t="s">
        <v>55</v>
      </c>
      <c r="M7" s="2" t="s">
        <v>50</v>
      </c>
      <c r="N7" s="2" t="s">
        <v>51</v>
      </c>
      <c r="O7" s="2" t="s">
        <v>11</v>
      </c>
      <c r="P7" s="2"/>
      <c r="Q7" s="2" t="s">
        <v>62</v>
      </c>
      <c r="R7" s="2"/>
    </row>
    <row r="8" spans="1:18">
      <c r="A8" s="2" t="s">
        <v>64</v>
      </c>
      <c r="B8" s="2" t="s">
        <v>65</v>
      </c>
      <c r="C8" s="2" t="s">
        <v>44</v>
      </c>
      <c r="D8" s="2">
        <v>21158</v>
      </c>
      <c r="E8" s="2">
        <v>1000000</v>
      </c>
      <c r="F8" s="3">
        <f>IF(COUNT(D8,E8)=2,D8*E8,NA())</f>
        <v>21158000000.0</v>
      </c>
      <c r="G8" s="2" t="s">
        <v>45</v>
      </c>
      <c r="H8" s="2" t="s">
        <v>46</v>
      </c>
      <c r="I8" s="2" t="s">
        <v>47</v>
      </c>
      <c r="J8" s="2" t="s">
        <v>9</v>
      </c>
      <c r="K8" s="2" t="s">
        <v>48</v>
      </c>
      <c r="L8" s="2" t="s">
        <v>49</v>
      </c>
      <c r="M8" s="2" t="s">
        <v>50</v>
      </c>
      <c r="N8" s="2" t="s">
        <v>51</v>
      </c>
      <c r="O8" s="2" t="s">
        <v>11</v>
      </c>
      <c r="P8" s="2"/>
      <c r="Q8" s="2" t="s">
        <v>66</v>
      </c>
      <c r="R8" s="2"/>
    </row>
    <row r="9" spans="1:18">
      <c r="A9" s="2" t="s">
        <v>67</v>
      </c>
      <c r="B9" s="2" t="s">
        <v>65</v>
      </c>
      <c r="C9" s="2" t="s">
        <v>44</v>
      </c>
      <c r="D9" s="2">
        <v>14853</v>
      </c>
      <c r="E9" s="2">
        <v>1000000</v>
      </c>
      <c r="F9" s="3">
        <f>IF(COUNT(D9,E9)=2,D9*E9,NA())</f>
        <v>14853000000.0</v>
      </c>
      <c r="G9" s="2" t="s">
        <v>45</v>
      </c>
      <c r="H9" s="2" t="s">
        <v>46</v>
      </c>
      <c r="I9" s="2" t="s">
        <v>47</v>
      </c>
      <c r="J9" s="2" t="s">
        <v>9</v>
      </c>
      <c r="K9" s="2" t="s">
        <v>54</v>
      </c>
      <c r="L9" s="2" t="s">
        <v>55</v>
      </c>
      <c r="M9" s="2" t="s">
        <v>50</v>
      </c>
      <c r="N9" s="2" t="s">
        <v>51</v>
      </c>
      <c r="O9" s="2" t="s">
        <v>11</v>
      </c>
      <c r="P9" s="2"/>
      <c r="Q9" s="2" t="s">
        <v>66</v>
      </c>
      <c r="R9" s="2"/>
    </row>
    <row r="10" spans="1:18">
      <c r="A10" s="2" t="s">
        <v>68</v>
      </c>
      <c r="B10" s="2" t="s">
        <v>69</v>
      </c>
      <c r="C10" s="2" t="s">
        <v>44</v>
      </c>
      <c r="D10" s="2">
        <v>3321</v>
      </c>
      <c r="E10" s="2">
        <v>1000000</v>
      </c>
      <c r="F10" s="3">
        <f>IF(COUNT(D10,E10)=2,D10*E10,NA())</f>
        <v>3321000000.0</v>
      </c>
      <c r="G10" s="2" t="s">
        <v>45</v>
      </c>
      <c r="H10" s="2" t="s">
        <v>46</v>
      </c>
      <c r="I10" s="2" t="s">
        <v>47</v>
      </c>
      <c r="J10" s="2" t="s">
        <v>9</v>
      </c>
      <c r="K10" s="2" t="s">
        <v>48</v>
      </c>
      <c r="L10" s="2" t="s">
        <v>49</v>
      </c>
      <c r="M10" s="2" t="s">
        <v>50</v>
      </c>
      <c r="N10" s="2" t="s">
        <v>51</v>
      </c>
      <c r="O10" s="2" t="s">
        <v>11</v>
      </c>
      <c r="P10" s="2"/>
      <c r="Q10" s="2" t="s">
        <v>70</v>
      </c>
      <c r="R10" s="2"/>
    </row>
    <row r="11" spans="1:18">
      <c r="A11" s="2" t="s">
        <v>71</v>
      </c>
      <c r="B11" s="2" t="s">
        <v>69</v>
      </c>
      <c r="C11" s="2" t="s">
        <v>44</v>
      </c>
      <c r="D11" s="2">
        <v>1698</v>
      </c>
      <c r="E11" s="2">
        <v>1000000</v>
      </c>
      <c r="F11" s="3">
        <f>IF(COUNT(D11,E11)=2,D11*E11,NA())</f>
        <v>1698000000.0</v>
      </c>
      <c r="G11" s="2" t="s">
        <v>45</v>
      </c>
      <c r="H11" s="2" t="s">
        <v>46</v>
      </c>
      <c r="I11" s="2" t="s">
        <v>47</v>
      </c>
      <c r="J11" s="2" t="s">
        <v>9</v>
      </c>
      <c r="K11" s="2" t="s">
        <v>54</v>
      </c>
      <c r="L11" s="2" t="s">
        <v>55</v>
      </c>
      <c r="M11" s="2" t="s">
        <v>50</v>
      </c>
      <c r="N11" s="2" t="s">
        <v>51</v>
      </c>
      <c r="O11" s="2" t="s">
        <v>11</v>
      </c>
      <c r="P11" s="2"/>
      <c r="Q11" s="2" t="s">
        <v>70</v>
      </c>
      <c r="R11" s="2"/>
    </row>
    <row r="12" spans="1:18">
      <c r="A12" s="2" t="s">
        <v>72</v>
      </c>
      <c r="B12" s="2" t="s">
        <v>73</v>
      </c>
      <c r="C12" s="2" t="s">
        <v>44</v>
      </c>
      <c r="D12" s="2">
        <v>17837</v>
      </c>
      <c r="E12" s="2">
        <v>1000000</v>
      </c>
      <c r="F12" s="3">
        <f>IF(COUNT(D12,E12)=2,D12*E12,NA())</f>
        <v>17837000000.0</v>
      </c>
      <c r="G12" s="2" t="s">
        <v>45</v>
      </c>
      <c r="H12" s="2" t="s">
        <v>46</v>
      </c>
      <c r="I12" s="2" t="s">
        <v>47</v>
      </c>
      <c r="J12" s="2" t="s">
        <v>9</v>
      </c>
      <c r="K12" s="2" t="s">
        <v>48</v>
      </c>
      <c r="L12" s="2" t="s">
        <v>49</v>
      </c>
      <c r="M12" s="2" t="s">
        <v>50</v>
      </c>
      <c r="N12" s="2" t="s">
        <v>51</v>
      </c>
      <c r="O12" s="2" t="s">
        <v>11</v>
      </c>
      <c r="P12" s="2"/>
      <c r="Q12" s="2" t="s">
        <v>74</v>
      </c>
      <c r="R12" s="2"/>
    </row>
    <row r="13" spans="1:18">
      <c r="A13" s="2" t="s">
        <v>75</v>
      </c>
      <c r="B13" s="2" t="s">
        <v>73</v>
      </c>
      <c r="C13" s="2" t="s">
        <v>44</v>
      </c>
      <c r="D13" s="2">
        <v>13155</v>
      </c>
      <c r="E13" s="2">
        <v>1000000</v>
      </c>
      <c r="F13" s="3">
        <f>IF(COUNT(D13,E13)=2,D13*E13,NA())</f>
        <v>13155000000.0</v>
      </c>
      <c r="G13" s="2" t="s">
        <v>45</v>
      </c>
      <c r="H13" s="2" t="s">
        <v>46</v>
      </c>
      <c r="I13" s="2" t="s">
        <v>47</v>
      </c>
      <c r="J13" s="2" t="s">
        <v>9</v>
      </c>
      <c r="K13" s="2" t="s">
        <v>54</v>
      </c>
      <c r="L13" s="2" t="s">
        <v>55</v>
      </c>
      <c r="M13" s="2" t="s">
        <v>50</v>
      </c>
      <c r="N13" s="2" t="s">
        <v>51</v>
      </c>
      <c r="O13" s="2" t="s">
        <v>11</v>
      </c>
      <c r="P13" s="2"/>
      <c r="Q13" s="2" t="s">
        <v>74</v>
      </c>
      <c r="R13" s="2"/>
    </row>
    <row r="14" spans="1:18">
      <c r="A14" s="2" t="s">
        <v>76</v>
      </c>
      <c r="B14" s="2" t="s">
        <v>77</v>
      </c>
      <c r="C14" s="2" t="s">
        <v>44</v>
      </c>
      <c r="D14" s="2">
        <v>13398</v>
      </c>
      <c r="E14" s="2">
        <v>1000000</v>
      </c>
      <c r="F14" s="3">
        <f>IF(COUNT(D14,E14)=2,D14*E14,NA())</f>
        <v>13398000000.0</v>
      </c>
      <c r="G14" s="2" t="s">
        <v>45</v>
      </c>
      <c r="H14" s="2" t="s">
        <v>46</v>
      </c>
      <c r="I14" s="2" t="s">
        <v>47</v>
      </c>
      <c r="J14" s="2" t="s">
        <v>9</v>
      </c>
      <c r="K14" s="2" t="s">
        <v>48</v>
      </c>
      <c r="L14" s="2" t="s">
        <v>49</v>
      </c>
      <c r="M14" s="2" t="s">
        <v>50</v>
      </c>
      <c r="N14" s="2" t="s">
        <v>51</v>
      </c>
      <c r="O14" s="2" t="s">
        <v>11</v>
      </c>
      <c r="P14" s="2"/>
      <c r="Q14" s="2" t="s">
        <v>78</v>
      </c>
      <c r="R14" s="2"/>
    </row>
    <row r="15" spans="1:18">
      <c r="A15" s="2" t="s">
        <v>79</v>
      </c>
      <c r="B15" s="2" t="s">
        <v>77</v>
      </c>
      <c r="C15" s="2" t="s">
        <v>44</v>
      </c>
      <c r="D15" s="2">
        <v>8169</v>
      </c>
      <c r="E15" s="2">
        <v>1000000</v>
      </c>
      <c r="F15" s="3">
        <f>IF(COUNT(D15,E15)=2,D15*E15,NA())</f>
        <v>8169000000.0</v>
      </c>
      <c r="G15" s="2" t="s">
        <v>45</v>
      </c>
      <c r="H15" s="2" t="s">
        <v>46</v>
      </c>
      <c r="I15" s="2" t="s">
        <v>47</v>
      </c>
      <c r="J15" s="2" t="s">
        <v>9</v>
      </c>
      <c r="K15" s="2" t="s">
        <v>54</v>
      </c>
      <c r="L15" s="2" t="s">
        <v>55</v>
      </c>
      <c r="M15" s="2" t="s">
        <v>50</v>
      </c>
      <c r="N15" s="2" t="s">
        <v>51</v>
      </c>
      <c r="O15" s="2" t="s">
        <v>11</v>
      </c>
      <c r="P15" s="2"/>
      <c r="Q15" s="2" t="s">
        <v>78</v>
      </c>
      <c r="R15" s="2"/>
    </row>
    <row r="16" spans="1:18">
      <c r="A16" s="2" t="s">
        <v>80</v>
      </c>
      <c r="B16" s="2" t="s">
        <v>81</v>
      </c>
      <c r="C16" s="2" t="s">
        <v>44</v>
      </c>
      <c r="D16" s="2">
        <v>22796</v>
      </c>
      <c r="E16" s="2">
        <v>1000000</v>
      </c>
      <c r="F16" s="3">
        <f>IF(COUNT(D16,E16)=2,D16*E16,NA())</f>
        <v>22796000000.0</v>
      </c>
      <c r="G16" s="2" t="s">
        <v>45</v>
      </c>
      <c r="H16" s="2" t="s">
        <v>46</v>
      </c>
      <c r="I16" s="2" t="s">
        <v>47</v>
      </c>
      <c r="J16" s="2" t="s">
        <v>9</v>
      </c>
      <c r="K16" s="2" t="s">
        <v>48</v>
      </c>
      <c r="L16" s="2" t="s">
        <v>49</v>
      </c>
      <c r="M16" s="2" t="s">
        <v>50</v>
      </c>
      <c r="N16" s="2" t="s">
        <v>51</v>
      </c>
      <c r="O16" s="2" t="s">
        <v>11</v>
      </c>
      <c r="P16" s="2"/>
      <c r="Q16" s="2" t="s">
        <v>82</v>
      </c>
      <c r="R16" s="2"/>
    </row>
    <row r="17" spans="1:18">
      <c r="A17" s="2" t="s">
        <v>83</v>
      </c>
      <c r="B17" s="2" t="s">
        <v>81</v>
      </c>
      <c r="C17" s="2" t="s">
        <v>44</v>
      </c>
      <c r="D17" s="2">
        <v>16281</v>
      </c>
      <c r="E17" s="2">
        <v>1000000</v>
      </c>
      <c r="F17" s="3">
        <f>IF(COUNT(D17,E17)=2,D17*E17,NA())</f>
        <v>16281000000.0</v>
      </c>
      <c r="G17" s="2" t="s">
        <v>45</v>
      </c>
      <c r="H17" s="2" t="s">
        <v>46</v>
      </c>
      <c r="I17" s="2" t="s">
        <v>47</v>
      </c>
      <c r="J17" s="2" t="s">
        <v>9</v>
      </c>
      <c r="K17" s="2" t="s">
        <v>54</v>
      </c>
      <c r="L17" s="2" t="s">
        <v>55</v>
      </c>
      <c r="M17" s="2" t="s">
        <v>50</v>
      </c>
      <c r="N17" s="2" t="s">
        <v>51</v>
      </c>
      <c r="O17" s="2" t="s">
        <v>11</v>
      </c>
      <c r="P17" s="2"/>
      <c r="Q17" s="2" t="s">
        <v>82</v>
      </c>
      <c r="R17" s="2"/>
    </row>
    <row r="18" spans="1:18">
      <c r="A18" s="2" t="s">
        <v>84</v>
      </c>
      <c r="B18" s="2" t="s">
        <v>85</v>
      </c>
      <c r="C18" s="2" t="s">
        <v>86</v>
      </c>
      <c r="D18" s="2">
        <v>-5111</v>
      </c>
      <c r="E18" s="2">
        <v>1000000</v>
      </c>
      <c r="F18" s="3">
        <f>IF(COUNT(D18,E18)=2,D18*E18,NA())</f>
        <v>-5111000000.0</v>
      </c>
      <c r="G18" s="2" t="s">
        <v>45</v>
      </c>
      <c r="H18" s="2" t="s">
        <v>46</v>
      </c>
      <c r="I18" s="2" t="s">
        <v>47</v>
      </c>
      <c r="J18" s="2" t="s">
        <v>9</v>
      </c>
      <c r="K18" s="2" t="s">
        <v>48</v>
      </c>
      <c r="L18" s="2" t="s">
        <v>49</v>
      </c>
      <c r="M18" s="2" t="s">
        <v>50</v>
      </c>
      <c r="N18" s="2" t="s">
        <v>51</v>
      </c>
      <c r="O18" s="2" t="s">
        <v>11</v>
      </c>
      <c r="P18" s="2"/>
      <c r="Q18" s="2" t="s">
        <v>84</v>
      </c>
      <c r="R18" s="2"/>
    </row>
    <row r="19" spans="1:18">
      <c r="A19" s="2" t="s">
        <v>87</v>
      </c>
      <c r="B19" s="2" t="s">
        <v>88</v>
      </c>
      <c r="C19" s="2" t="s">
        <v>86</v>
      </c>
      <c r="D19" s="2">
        <v>94</v>
      </c>
      <c r="E19" s="2">
        <v>1000000</v>
      </c>
      <c r="F19" s="3">
        <f>IF(COUNT(D19,E19)=2,D19*E19,NA())</f>
        <v>94000000.0</v>
      </c>
      <c r="G19" s="2" t="s">
        <v>45</v>
      </c>
      <c r="H19" s="2" t="s">
        <v>46</v>
      </c>
      <c r="I19" s="2" t="s">
        <v>47</v>
      </c>
      <c r="J19" s="2" t="s">
        <v>9</v>
      </c>
      <c r="K19" s="2" t="s">
        <v>48</v>
      </c>
      <c r="L19" s="2" t="s">
        <v>49</v>
      </c>
      <c r="M19" s="2" t="s">
        <v>50</v>
      </c>
      <c r="N19" s="2" t="s">
        <v>51</v>
      </c>
      <c r="O19" s="2" t="s">
        <v>11</v>
      </c>
      <c r="P19" s="2"/>
      <c r="Q19" s="2" t="s">
        <v>87</v>
      </c>
      <c r="R19" s="2"/>
    </row>
    <row r="20" spans="1:18">
      <c r="A20" s="2" t="s">
        <v>89</v>
      </c>
      <c r="B20" s="2" t="s">
        <v>90</v>
      </c>
      <c r="C20" s="2" t="s">
        <v>86</v>
      </c>
      <c r="D20" s="2">
        <v>-76</v>
      </c>
      <c r="E20" s="2">
        <v>1000000</v>
      </c>
      <c r="F20" s="3">
        <f>IF(COUNT(D20,E20)=2,D20*E20,NA())</f>
        <v>-76000000.0</v>
      </c>
      <c r="G20" s="2" t="s">
        <v>45</v>
      </c>
      <c r="H20" s="2" t="s">
        <v>46</v>
      </c>
      <c r="I20" s="2" t="s">
        <v>47</v>
      </c>
      <c r="J20" s="2" t="s">
        <v>9</v>
      </c>
      <c r="K20" s="2" t="s">
        <v>48</v>
      </c>
      <c r="L20" s="2" t="s">
        <v>49</v>
      </c>
      <c r="M20" s="2" t="s">
        <v>50</v>
      </c>
      <c r="N20" s="2" t="s">
        <v>51</v>
      </c>
      <c r="O20" s="2" t="s">
        <v>11</v>
      </c>
      <c r="P20" s="2"/>
      <c r="Q20" s="2" t="s">
        <v>89</v>
      </c>
      <c r="R20" s="2"/>
    </row>
    <row r="21" spans="1:18">
      <c r="A21" s="2" t="s">
        <v>91</v>
      </c>
      <c r="B21" s="2" t="s">
        <v>92</v>
      </c>
      <c r="C21" s="2" t="s">
        <v>86</v>
      </c>
      <c r="D21" s="2">
        <v>96</v>
      </c>
      <c r="E21" s="2">
        <v>1000000</v>
      </c>
      <c r="F21" s="3">
        <f>IF(COUNT(D21,E21)=2,D21*E21,NA())</f>
        <v>96000000.0</v>
      </c>
      <c r="G21" s="2" t="s">
        <v>45</v>
      </c>
      <c r="H21" s="2" t="s">
        <v>46</v>
      </c>
      <c r="I21" s="2" t="s">
        <v>47</v>
      </c>
      <c r="J21" s="2" t="s">
        <v>9</v>
      </c>
      <c r="K21" s="2" t="s">
        <v>48</v>
      </c>
      <c r="L21" s="2" t="s">
        <v>49</v>
      </c>
      <c r="M21" s="2" t="s">
        <v>50</v>
      </c>
      <c r="N21" s="2" t="s">
        <v>51</v>
      </c>
      <c r="O21" s="2" t="s">
        <v>11</v>
      </c>
      <c r="P21" s="2"/>
      <c r="Q21" s="2" t="s">
        <v>91</v>
      </c>
      <c r="R21" s="2"/>
    </row>
    <row r="22" spans="1:18">
      <c r="A22" s="2" t="s">
        <v>93</v>
      </c>
      <c r="B22" s="2" t="s">
        <v>94</v>
      </c>
      <c r="C22" s="2" t="s">
        <v>86</v>
      </c>
      <c r="D22" s="2">
        <v>1568</v>
      </c>
      <c r="E22" s="2">
        <v>1000000</v>
      </c>
      <c r="F22" s="3">
        <f>IF(COUNT(D22,E22)=2,D22*E22,NA())</f>
        <v>1568000000.0</v>
      </c>
      <c r="G22" s="2" t="s">
        <v>45</v>
      </c>
      <c r="H22" s="2" t="s">
        <v>46</v>
      </c>
      <c r="I22" s="2" t="s">
        <v>47</v>
      </c>
      <c r="J22" s="2" t="s">
        <v>9</v>
      </c>
      <c r="K22" s="2" t="s">
        <v>48</v>
      </c>
      <c r="L22" s="2" t="s">
        <v>49</v>
      </c>
      <c r="M22" s="2" t="s">
        <v>50</v>
      </c>
      <c r="N22" s="2" t="s">
        <v>51</v>
      </c>
      <c r="O22" s="2" t="s">
        <v>11</v>
      </c>
      <c r="P22" s="2"/>
      <c r="Q22" s="2" t="s">
        <v>93</v>
      </c>
      <c r="R22" s="2"/>
    </row>
    <row r="23" spans="1:18">
      <c r="A23" s="2" t="s">
        <v>95</v>
      </c>
      <c r="B23" s="2" t="s">
        <v>96</v>
      </c>
      <c r="C23" s="2" t="s">
        <v>86</v>
      </c>
      <c r="D23" s="2">
        <v>361</v>
      </c>
      <c r="E23" s="2">
        <v>1000000</v>
      </c>
      <c r="F23" s="3">
        <f>IF(COUNT(D23,E23)=2,D23*E23,NA())</f>
        <v>361000000.0</v>
      </c>
      <c r="G23" s="2" t="s">
        <v>45</v>
      </c>
      <c r="H23" s="2" t="s">
        <v>46</v>
      </c>
      <c r="I23" s="2" t="s">
        <v>47</v>
      </c>
      <c r="J23" s="2" t="s">
        <v>9</v>
      </c>
      <c r="K23" s="2" t="s">
        <v>48</v>
      </c>
      <c r="L23" s="2" t="s">
        <v>49</v>
      </c>
      <c r="M23" s="2" t="s">
        <v>50</v>
      </c>
      <c r="N23" s="2" t="s">
        <v>51</v>
      </c>
      <c r="O23" s="2" t="s">
        <v>11</v>
      </c>
      <c r="P23" s="2"/>
      <c r="Q23" s="2" t="s">
        <v>95</v>
      </c>
      <c r="R23" s="2"/>
    </row>
    <row r="24" spans="1:18">
      <c r="A24" s="2" t="s">
        <v>97</v>
      </c>
      <c r="B24" s="2" t="s">
        <v>98</v>
      </c>
      <c r="C24" s="2" t="s">
        <v>86</v>
      </c>
      <c r="D24" s="2">
        <v>-26</v>
      </c>
      <c r="E24" s="2">
        <v>1000000</v>
      </c>
      <c r="F24" s="3">
        <f>IF(COUNT(D24,E24)=2,D24*E24,NA())</f>
        <v>-26000000.0</v>
      </c>
      <c r="G24" s="2" t="s">
        <v>45</v>
      </c>
      <c r="H24" s="2" t="s">
        <v>46</v>
      </c>
      <c r="I24" s="2" t="s">
        <v>47</v>
      </c>
      <c r="J24" s="2" t="s">
        <v>9</v>
      </c>
      <c r="K24" s="2" t="s">
        <v>48</v>
      </c>
      <c r="L24" s="2" t="s">
        <v>49</v>
      </c>
      <c r="M24" s="2" t="s">
        <v>50</v>
      </c>
      <c r="N24" s="2" t="s">
        <v>51</v>
      </c>
      <c r="O24" s="2" t="s">
        <v>11</v>
      </c>
      <c r="P24" s="2"/>
      <c r="Q24" s="2" t="s">
        <v>97</v>
      </c>
      <c r="R24" s="2"/>
    </row>
    <row r="25" spans="1:18">
      <c r="A25" s="2" t="s">
        <v>99</v>
      </c>
      <c r="B25" s="2" t="s">
        <v>100</v>
      </c>
      <c r="C25" s="2" t="s">
        <v>86</v>
      </c>
      <c r="D25" s="2">
        <v>1</v>
      </c>
      <c r="E25" s="2">
        <v>1000000</v>
      </c>
      <c r="F25" s="3">
        <f>IF(COUNT(D25,E25)=2,D25*E25,NA())</f>
        <v>1000000.0</v>
      </c>
      <c r="G25" s="2" t="s">
        <v>45</v>
      </c>
      <c r="H25" s="2" t="s">
        <v>46</v>
      </c>
      <c r="I25" s="2" t="s">
        <v>47</v>
      </c>
      <c r="J25" s="2" t="s">
        <v>9</v>
      </c>
      <c r="K25" s="2" t="s">
        <v>48</v>
      </c>
      <c r="L25" s="2" t="s">
        <v>49</v>
      </c>
      <c r="M25" s="2" t="s">
        <v>50</v>
      </c>
      <c r="N25" s="2" t="s">
        <v>51</v>
      </c>
      <c r="O25" s="2" t="s">
        <v>11</v>
      </c>
      <c r="P25" s="2"/>
      <c r="Q25" s="2" t="s">
        <v>99</v>
      </c>
      <c r="R25" s="2"/>
    </row>
    <row r="26" spans="1:18">
      <c r="A26" s="2" t="s">
        <v>101</v>
      </c>
      <c r="B26" s="2" t="s">
        <v>102</v>
      </c>
      <c r="C26" s="2" t="s">
        <v>86</v>
      </c>
      <c r="D26" s="2">
        <v>-80198</v>
      </c>
      <c r="E26" s="2">
        <v>1000000</v>
      </c>
      <c r="F26" s="3">
        <f>IF(COUNT(D26,E26)=2,D26*E26,NA())</f>
        <v>-80198000000.0</v>
      </c>
      <c r="G26" s="2" t="s">
        <v>45</v>
      </c>
      <c r="H26" s="2" t="s">
        <v>46</v>
      </c>
      <c r="I26" s="2" t="s">
        <v>47</v>
      </c>
      <c r="J26" s="2" t="s">
        <v>9</v>
      </c>
      <c r="K26" s="2" t="s">
        <v>48</v>
      </c>
      <c r="L26" s="2" t="s">
        <v>49</v>
      </c>
      <c r="M26" s="2" t="s">
        <v>50</v>
      </c>
      <c r="N26" s="2" t="s">
        <v>51</v>
      </c>
      <c r="O26" s="2" t="s">
        <v>11</v>
      </c>
      <c r="P26" s="2"/>
      <c r="Q26" s="2" t="s">
        <v>101</v>
      </c>
      <c r="R26" s="2"/>
    </row>
    <row r="27" spans="1:18">
      <c r="A27" s="2" t="s">
        <v>103</v>
      </c>
      <c r="B27" s="2" t="s">
        <v>104</v>
      </c>
      <c r="C27" s="2" t="s">
        <v>86</v>
      </c>
      <c r="D27" s="2">
        <v>80386</v>
      </c>
      <c r="E27" s="2">
        <v>1000000</v>
      </c>
      <c r="F27" s="3">
        <f>IF(COUNT(D27,E27)=2,D27*E27,NA())</f>
        <v>80386000000.0</v>
      </c>
      <c r="G27" s="2" t="s">
        <v>45</v>
      </c>
      <c r="H27" s="2" t="s">
        <v>46</v>
      </c>
      <c r="I27" s="2" t="s">
        <v>47</v>
      </c>
      <c r="J27" s="2" t="s">
        <v>9</v>
      </c>
      <c r="K27" s="2" t="s">
        <v>48</v>
      </c>
      <c r="L27" s="2" t="s">
        <v>49</v>
      </c>
      <c r="M27" s="2" t="s">
        <v>50</v>
      </c>
      <c r="N27" s="2" t="s">
        <v>51</v>
      </c>
      <c r="O27" s="2" t="s">
        <v>11</v>
      </c>
      <c r="P27" s="2"/>
      <c r="Q27" s="2" t="s">
        <v>103</v>
      </c>
      <c r="R27" s="2"/>
    </row>
    <row r="28" spans="1:18">
      <c r="A28" s="2" t="s">
        <v>105</v>
      </c>
      <c r="B28" s="2" t="s">
        <v>106</v>
      </c>
      <c r="C28" s="2" t="s">
        <v>86</v>
      </c>
      <c r="D28" s="2">
        <v>-7073</v>
      </c>
      <c r="E28" s="2">
        <v>1000000</v>
      </c>
      <c r="F28" s="3">
        <f>IF(COUNT(D28,E28)=2,D28*E28,NA())</f>
        <v>-7073000000.0</v>
      </c>
      <c r="G28" s="2" t="s">
        <v>45</v>
      </c>
      <c r="H28" s="2" t="s">
        <v>46</v>
      </c>
      <c r="I28" s="2" t="s">
        <v>47</v>
      </c>
      <c r="J28" s="2" t="s">
        <v>9</v>
      </c>
      <c r="K28" s="2" t="s">
        <v>48</v>
      </c>
      <c r="L28" s="2" t="s">
        <v>49</v>
      </c>
      <c r="M28" s="2" t="s">
        <v>50</v>
      </c>
      <c r="N28" s="2" t="s">
        <v>51</v>
      </c>
      <c r="O28" s="2" t="s">
        <v>11</v>
      </c>
      <c r="P28" s="2"/>
      <c r="Q28" s="2" t="s">
        <v>105</v>
      </c>
      <c r="R28" s="2"/>
    </row>
    <row r="29" spans="1:18">
      <c r="A29" s="2" t="s">
        <v>107</v>
      </c>
      <c r="B29" s="2" t="s">
        <v>108</v>
      </c>
      <c r="C29" s="2" t="s">
        <v>86</v>
      </c>
      <c r="D29" s="2">
        <v>6866</v>
      </c>
      <c r="E29" s="2">
        <v>1000000</v>
      </c>
      <c r="F29" s="3">
        <f>IF(COUNT(D29,E29)=2,D29*E29,NA())</f>
        <v>6866000000.0</v>
      </c>
      <c r="G29" s="2" t="s">
        <v>45</v>
      </c>
      <c r="H29" s="2" t="s">
        <v>46</v>
      </c>
      <c r="I29" s="2" t="s">
        <v>47</v>
      </c>
      <c r="J29" s="2" t="s">
        <v>9</v>
      </c>
      <c r="K29" s="2" t="s">
        <v>48</v>
      </c>
      <c r="L29" s="2" t="s">
        <v>49</v>
      </c>
      <c r="M29" s="2" t="s">
        <v>50</v>
      </c>
      <c r="N29" s="2" t="s">
        <v>51</v>
      </c>
      <c r="O29" s="2" t="s">
        <v>11</v>
      </c>
      <c r="P29" s="2"/>
      <c r="Q29" s="2" t="s">
        <v>107</v>
      </c>
      <c r="R29" s="2"/>
    </row>
    <row r="30" spans="1:18">
      <c r="A30" s="2" t="s">
        <v>109</v>
      </c>
      <c r="B30" s="2" t="s">
        <v>110</v>
      </c>
      <c r="C30" s="2" t="s">
        <v>86</v>
      </c>
      <c r="D30" s="2">
        <v>-374</v>
      </c>
      <c r="E30" s="2">
        <v>1000000</v>
      </c>
      <c r="F30" s="3">
        <f>IF(COUNT(D30,E30)=2,D30*E30,NA())</f>
        <v>-374000000.0</v>
      </c>
      <c r="G30" s="2" t="s">
        <v>45</v>
      </c>
      <c r="H30" s="2" t="s">
        <v>46</v>
      </c>
      <c r="I30" s="2" t="s">
        <v>47</v>
      </c>
      <c r="J30" s="2" t="s">
        <v>9</v>
      </c>
      <c r="K30" s="2" t="s">
        <v>48</v>
      </c>
      <c r="L30" s="2" t="s">
        <v>49</v>
      </c>
      <c r="M30" s="2" t="s">
        <v>50</v>
      </c>
      <c r="N30" s="2" t="s">
        <v>51</v>
      </c>
      <c r="O30" s="2" t="s">
        <v>11</v>
      </c>
      <c r="P30" s="2"/>
      <c r="Q30" s="2" t="s">
        <v>109</v>
      </c>
      <c r="R30" s="2"/>
    </row>
    <row r="31" spans="1:18">
      <c r="A31" s="2" t="s">
        <v>111</v>
      </c>
      <c r="B31" s="2" t="s">
        <v>112</v>
      </c>
      <c r="C31" s="2" t="s">
        <v>86</v>
      </c>
      <c r="D31" s="2">
        <v>-196</v>
      </c>
      <c r="E31" s="2">
        <v>1000000</v>
      </c>
      <c r="F31" s="3">
        <f>IF(COUNT(D31,E31)=2,D31*E31,NA())</f>
        <v>-196000000.0</v>
      </c>
      <c r="G31" s="2" t="s">
        <v>45</v>
      </c>
      <c r="H31" s="2" t="s">
        <v>46</v>
      </c>
      <c r="I31" s="2" t="s">
        <v>47</v>
      </c>
      <c r="J31" s="2" t="s">
        <v>9</v>
      </c>
      <c r="K31" s="2" t="s">
        <v>48</v>
      </c>
      <c r="L31" s="2" t="s">
        <v>49</v>
      </c>
      <c r="M31" s="2" t="s">
        <v>50</v>
      </c>
      <c r="N31" s="2" t="s">
        <v>51</v>
      </c>
      <c r="O31" s="2" t="s">
        <v>11</v>
      </c>
      <c r="P31" s="2"/>
      <c r="Q31" s="2" t="s">
        <v>111</v>
      </c>
      <c r="R31" s="2"/>
    </row>
    <row r="32" spans="1:18">
      <c r="A32" s="2" t="s">
        <v>113</v>
      </c>
      <c r="B32" s="2" t="s">
        <v>114</v>
      </c>
      <c r="C32" s="2" t="s">
        <v>86</v>
      </c>
      <c r="D32" s="2">
        <v>-145</v>
      </c>
      <c r="E32" s="2">
        <v>1000000</v>
      </c>
      <c r="F32" s="3">
        <f>IF(COUNT(D32,E32)=2,D32*E32,NA())</f>
        <v>-145000000.0</v>
      </c>
      <c r="G32" s="2" t="s">
        <v>45</v>
      </c>
      <c r="H32" s="2" t="s">
        <v>46</v>
      </c>
      <c r="I32" s="2" t="s">
        <v>47</v>
      </c>
      <c r="J32" s="2" t="s">
        <v>9</v>
      </c>
      <c r="K32" s="2" t="s">
        <v>48</v>
      </c>
      <c r="L32" s="2" t="s">
        <v>49</v>
      </c>
      <c r="M32" s="2" t="s">
        <v>50</v>
      </c>
      <c r="N32" s="2" t="s">
        <v>51</v>
      </c>
      <c r="O32" s="2" t="s">
        <v>11</v>
      </c>
      <c r="P32" s="2"/>
      <c r="Q32" s="2" t="s">
        <v>113</v>
      </c>
      <c r="R32" s="2"/>
    </row>
    <row r="33" spans="1:18">
      <c r="A33" s="2" t="s">
        <v>115</v>
      </c>
      <c r="B33" s="2" t="s">
        <v>116</v>
      </c>
      <c r="C33" s="2" t="s">
        <v>86</v>
      </c>
      <c r="D33" s="2">
        <v>-11679</v>
      </c>
      <c r="E33" s="2">
        <v>1000000</v>
      </c>
      <c r="F33" s="3">
        <f>IF(COUNT(D33,E33)=2,D33*E33,NA())</f>
        <v>-11679000000.0</v>
      </c>
      <c r="G33" s="2" t="s">
        <v>45</v>
      </c>
      <c r="H33" s="2" t="s">
        <v>46</v>
      </c>
      <c r="I33" s="2" t="s">
        <v>47</v>
      </c>
      <c r="J33" s="2" t="s">
        <v>9</v>
      </c>
      <c r="K33" s="2" t="s">
        <v>48</v>
      </c>
      <c r="L33" s="2" t="s">
        <v>49</v>
      </c>
      <c r="M33" s="2" t="s">
        <v>50</v>
      </c>
      <c r="N33" s="2" t="s">
        <v>51</v>
      </c>
      <c r="O33" s="2" t="s">
        <v>11</v>
      </c>
      <c r="P33" s="2"/>
      <c r="Q33" s="2" t="s">
        <v>115</v>
      </c>
      <c r="R33" s="2"/>
    </row>
    <row r="34" spans="1:18">
      <c r="A34" s="2" t="s">
        <v>117</v>
      </c>
      <c r="B34" s="2" t="s">
        <v>118</v>
      </c>
      <c r="C34" s="2" t="s">
        <v>86</v>
      </c>
      <c r="D34" s="2">
        <v>13353</v>
      </c>
      <c r="E34" s="2">
        <v>1000000</v>
      </c>
      <c r="F34" s="3">
        <f>IF(COUNT(D34,E34)=2,D34*E34,NA())</f>
        <v>13353000000.0</v>
      </c>
      <c r="G34" s="2" t="s">
        <v>45</v>
      </c>
      <c r="H34" s="2" t="s">
        <v>46</v>
      </c>
      <c r="I34" s="2" t="s">
        <v>47</v>
      </c>
      <c r="J34" s="2" t="s">
        <v>9</v>
      </c>
      <c r="K34" s="2" t="s">
        <v>48</v>
      </c>
      <c r="L34" s="2" t="s">
        <v>49</v>
      </c>
      <c r="M34" s="2" t="s">
        <v>50</v>
      </c>
      <c r="N34" s="2" t="s">
        <v>51</v>
      </c>
      <c r="O34" s="2" t="s">
        <v>11</v>
      </c>
      <c r="P34" s="2"/>
      <c r="Q34" s="2" t="s">
        <v>117</v>
      </c>
      <c r="R34" s="2"/>
    </row>
    <row r="35" spans="1:18">
      <c r="A35" s="2" t="s">
        <v>119</v>
      </c>
      <c r="B35" s="2" t="s">
        <v>120</v>
      </c>
      <c r="C35" s="2" t="s">
        <v>86</v>
      </c>
      <c r="D35" s="2">
        <v>19005</v>
      </c>
      <c r="E35" s="2">
        <v>1000000</v>
      </c>
      <c r="F35" s="3">
        <f>IF(COUNT(D35,E35)=2,D35*E35,NA())</f>
        <v>19005000000.0</v>
      </c>
      <c r="G35" s="2" t="s">
        <v>45</v>
      </c>
      <c r="H35" s="2" t="s">
        <v>46</v>
      </c>
      <c r="I35" s="2" t="s">
        <v>47</v>
      </c>
      <c r="J35" s="2" t="s">
        <v>9</v>
      </c>
      <c r="K35" s="2" t="s">
        <v>48</v>
      </c>
      <c r="L35" s="2" t="s">
        <v>49</v>
      </c>
      <c r="M35" s="2" t="s">
        <v>50</v>
      </c>
      <c r="N35" s="2" t="s">
        <v>51</v>
      </c>
      <c r="O35" s="2" t="s">
        <v>11</v>
      </c>
      <c r="P35" s="2"/>
      <c r="Q35" s="2" t="s">
        <v>119</v>
      </c>
      <c r="R35" s="2"/>
    </row>
    <row r="36" spans="1:18">
      <c r="A36" s="2" t="s">
        <v>121</v>
      </c>
      <c r="B36" s="2" t="s">
        <v>122</v>
      </c>
      <c r="C36" s="2" t="s">
        <v>86</v>
      </c>
      <c r="D36" s="2">
        <v>7519</v>
      </c>
      <c r="E36" s="2">
        <v>1000000</v>
      </c>
      <c r="F36" s="3">
        <f>IF(COUNT(D36,E36)=2,D36*E36,NA())</f>
        <v>7519000000.0</v>
      </c>
      <c r="G36" s="2" t="s">
        <v>45</v>
      </c>
      <c r="H36" s="2" t="s">
        <v>46</v>
      </c>
      <c r="I36" s="2" t="s">
        <v>47</v>
      </c>
      <c r="J36" s="2" t="s">
        <v>9</v>
      </c>
      <c r="K36" s="2" t="s">
        <v>48</v>
      </c>
      <c r="L36" s="2" t="s">
        <v>49</v>
      </c>
      <c r="M36" s="2" t="s">
        <v>50</v>
      </c>
      <c r="N36" s="2" t="s">
        <v>51</v>
      </c>
      <c r="O36" s="2" t="s">
        <v>11</v>
      </c>
      <c r="P36" s="2"/>
      <c r="Q36" s="2" t="s">
        <v>121</v>
      </c>
      <c r="R36" s="2"/>
    </row>
    <row r="37" spans="1:18">
      <c r="A37" s="2" t="s">
        <v>123</v>
      </c>
      <c r="B37" s="2" t="s">
        <v>124</v>
      </c>
      <c r="C37" s="2" t="s">
        <v>86</v>
      </c>
      <c r="D37" s="2">
        <v>-4626</v>
      </c>
      <c r="E37" s="2">
        <v>1000000</v>
      </c>
      <c r="F37" s="3">
        <f>IF(COUNT(D37,E37)=2,D37*E37,NA())</f>
        <v>-4626000000.0</v>
      </c>
      <c r="G37" s="2" t="s">
        <v>45</v>
      </c>
      <c r="H37" s="2" t="s">
        <v>46</v>
      </c>
      <c r="I37" s="2" t="s">
        <v>47</v>
      </c>
      <c r="J37" s="2" t="s">
        <v>9</v>
      </c>
      <c r="K37" s="2" t="s">
        <v>48</v>
      </c>
      <c r="L37" s="2" t="s">
        <v>49</v>
      </c>
      <c r="M37" s="2" t="s">
        <v>50</v>
      </c>
      <c r="N37" s="2" t="s">
        <v>51</v>
      </c>
      <c r="O37" s="2" t="s">
        <v>11</v>
      </c>
      <c r="P37" s="2"/>
      <c r="Q37" s="2" t="s">
        <v>123</v>
      </c>
      <c r="R37" s="2"/>
    </row>
    <row r="38" spans="1:18">
      <c r="A38" s="2" t="s">
        <v>125</v>
      </c>
      <c r="B38" s="2" t="s">
        <v>126</v>
      </c>
      <c r="C38" s="2" t="s">
        <v>86</v>
      </c>
      <c r="D38" s="2">
        <v>-510</v>
      </c>
      <c r="E38" s="2">
        <v>1000000</v>
      </c>
      <c r="F38" s="3">
        <f>IF(COUNT(D38,E38)=2,D38*E38,NA())</f>
        <v>-510000000.0</v>
      </c>
      <c r="G38" s="2" t="s">
        <v>45</v>
      </c>
      <c r="H38" s="2" t="s">
        <v>46</v>
      </c>
      <c r="I38" s="2" t="s">
        <v>47</v>
      </c>
      <c r="J38" s="2" t="s">
        <v>9</v>
      </c>
      <c r="K38" s="2" t="s">
        <v>48</v>
      </c>
      <c r="L38" s="2" t="s">
        <v>49</v>
      </c>
      <c r="M38" s="2" t="s">
        <v>50</v>
      </c>
      <c r="N38" s="2" t="s">
        <v>51</v>
      </c>
      <c r="O38" s="2" t="s">
        <v>11</v>
      </c>
      <c r="P38" s="2"/>
      <c r="Q38" s="2" t="s">
        <v>125</v>
      </c>
      <c r="R38" s="2"/>
    </row>
    <row r="39" spans="1:18">
      <c r="A39" s="2" t="s">
        <v>127</v>
      </c>
      <c r="B39" s="2" t="s">
        <v>128</v>
      </c>
      <c r="C39" s="2" t="s">
        <v>86</v>
      </c>
      <c r="D39" s="2">
        <v>-1533</v>
      </c>
      <c r="E39" s="2">
        <v>1000000</v>
      </c>
      <c r="F39" s="3">
        <f>IF(COUNT(D39,E39)=2,D39*E39,NA())</f>
        <v>-1533000000.0</v>
      </c>
      <c r="G39" s="2" t="s">
        <v>45</v>
      </c>
      <c r="H39" s="2" t="s">
        <v>46</v>
      </c>
      <c r="I39" s="2" t="s">
        <v>47</v>
      </c>
      <c r="J39" s="2" t="s">
        <v>9</v>
      </c>
      <c r="K39" s="2" t="s">
        <v>48</v>
      </c>
      <c r="L39" s="2" t="s">
        <v>49</v>
      </c>
      <c r="M39" s="2" t="s">
        <v>50</v>
      </c>
      <c r="N39" s="2" t="s">
        <v>51</v>
      </c>
      <c r="O39" s="2" t="s">
        <v>11</v>
      </c>
      <c r="P39" s="2"/>
      <c r="Q39" s="2" t="s">
        <v>127</v>
      </c>
      <c r="R39" s="2"/>
    </row>
    <row r="40" spans="1:18">
      <c r="A40" s="2" t="s">
        <v>129</v>
      </c>
      <c r="B40" s="2" t="s">
        <v>130</v>
      </c>
      <c r="C40" s="2" t="s">
        <v>86</v>
      </c>
      <c r="D40" s="2">
        <v>19855</v>
      </c>
      <c r="E40" s="2">
        <v>1000000</v>
      </c>
      <c r="F40" s="3">
        <f>IF(COUNT(D40,E40)=2,D40*E40,NA())</f>
        <v>19855000000.0</v>
      </c>
      <c r="G40" s="2" t="s">
        <v>45</v>
      </c>
      <c r="H40" s="2" t="s">
        <v>46</v>
      </c>
      <c r="I40" s="2" t="s">
        <v>47</v>
      </c>
      <c r="J40" s="2" t="s">
        <v>9</v>
      </c>
      <c r="K40" s="2" t="s">
        <v>48</v>
      </c>
      <c r="L40" s="2" t="s">
        <v>49</v>
      </c>
      <c r="M40" s="2" t="s">
        <v>50</v>
      </c>
      <c r="N40" s="2" t="s">
        <v>51</v>
      </c>
      <c r="O40" s="2" t="s">
        <v>11</v>
      </c>
      <c r="P40" s="2"/>
      <c r="Q40" s="2" t="s">
        <v>129</v>
      </c>
      <c r="R40" s="2"/>
    </row>
    <row r="41" spans="1:18">
      <c r="A41" s="2" t="s">
        <v>131</v>
      </c>
      <c r="B41" s="2" t="s">
        <v>132</v>
      </c>
      <c r="C41" s="2" t="s">
        <v>86</v>
      </c>
      <c r="D41" s="2">
        <v>5772</v>
      </c>
      <c r="E41" s="2">
        <v>1000000</v>
      </c>
      <c r="F41" s="3">
        <f>IF(COUNT(D41,E41)=2,D41*E41,NA())</f>
        <v>5772000000.0</v>
      </c>
      <c r="G41" s="2" t="s">
        <v>45</v>
      </c>
      <c r="H41" s="2" t="s">
        <v>46</v>
      </c>
      <c r="I41" s="2" t="s">
        <v>47</v>
      </c>
      <c r="J41" s="2" t="s">
        <v>9</v>
      </c>
      <c r="K41" s="2" t="s">
        <v>48</v>
      </c>
      <c r="L41" s="2" t="s">
        <v>49</v>
      </c>
      <c r="M41" s="2" t="s">
        <v>50</v>
      </c>
      <c r="N41" s="2" t="s">
        <v>51</v>
      </c>
      <c r="O41" s="2" t="s">
        <v>11</v>
      </c>
      <c r="P41" s="2"/>
      <c r="Q41" s="2" t="s">
        <v>131</v>
      </c>
      <c r="R41" s="2"/>
    </row>
    <row r="42" spans="1:18">
      <c r="A42" s="2" t="s">
        <v>133</v>
      </c>
      <c r="B42" s="2" t="s">
        <v>134</v>
      </c>
      <c r="C42" s="2" t="s">
        <v>86</v>
      </c>
      <c r="D42" s="2">
        <v>25627</v>
      </c>
      <c r="E42" s="2">
        <v>1000000</v>
      </c>
      <c r="F42" s="3">
        <f>IF(COUNT(D42,E42)=2,D42*E42,NA())</f>
        <v>25627000000.0</v>
      </c>
      <c r="G42" s="2" t="s">
        <v>45</v>
      </c>
      <c r="H42" s="2" t="s">
        <v>46</v>
      </c>
      <c r="I42" s="2" t="s">
        <v>47</v>
      </c>
      <c r="J42" s="2" t="s">
        <v>9</v>
      </c>
      <c r="K42" s="2" t="s">
        <v>48</v>
      </c>
      <c r="L42" s="2" t="s">
        <v>49</v>
      </c>
      <c r="M42" s="2" t="s">
        <v>50</v>
      </c>
      <c r="N42" s="2" t="s">
        <v>51</v>
      </c>
      <c r="O42" s="2" t="s">
        <v>11</v>
      </c>
      <c r="P42" s="2"/>
      <c r="Q42" s="2" t="s">
        <v>133</v>
      </c>
      <c r="R42" s="2"/>
    </row>
    <row r="43" spans="1:18">
      <c r="A43" s="2" t="s">
        <v>135</v>
      </c>
      <c r="B43" s="2" t="s">
        <v>136</v>
      </c>
      <c r="C43" s="2" t="s">
        <v>86</v>
      </c>
      <c r="D43" s="2">
        <v>-5565</v>
      </c>
      <c r="E43" s="2">
        <v>1000000</v>
      </c>
      <c r="F43" s="3">
        <f>IF(COUNT(D43,E43)=2,D43*E43,NA())</f>
        <v>-5565000000.0</v>
      </c>
      <c r="G43" s="2" t="s">
        <v>45</v>
      </c>
      <c r="H43" s="2" t="s">
        <v>46</v>
      </c>
      <c r="I43" s="2" t="s">
        <v>47</v>
      </c>
      <c r="J43" s="2" t="s">
        <v>9</v>
      </c>
      <c r="K43" s="2" t="s">
        <v>48</v>
      </c>
      <c r="L43" s="2" t="s">
        <v>49</v>
      </c>
      <c r="M43" s="2" t="s">
        <v>50</v>
      </c>
      <c r="N43" s="2" t="s">
        <v>51</v>
      </c>
      <c r="O43" s="2" t="s">
        <v>11</v>
      </c>
      <c r="P43" s="2"/>
      <c r="Q43" s="2" t="s">
        <v>135</v>
      </c>
      <c r="R43" s="2"/>
    </row>
    <row r="44" spans="1:18">
      <c r="A44" s="2" t="s">
        <v>137</v>
      </c>
      <c r="B44" s="2" t="s">
        <v>138</v>
      </c>
      <c r="C44" s="2" t="s">
        <v>86</v>
      </c>
      <c r="D44" s="2">
        <v>-14635</v>
      </c>
      <c r="E44" s="2">
        <v>1000000</v>
      </c>
      <c r="F44" s="3">
        <f>IF(COUNT(D44,E44)=2,D44*E44,NA())</f>
        <v>-14635000000.0</v>
      </c>
      <c r="G44" s="2" t="s">
        <v>45</v>
      </c>
      <c r="H44" s="2" t="s">
        <v>46</v>
      </c>
      <c r="I44" s="2" t="s">
        <v>47</v>
      </c>
      <c r="J44" s="2" t="s">
        <v>9</v>
      </c>
      <c r="K44" s="2" t="s">
        <v>48</v>
      </c>
      <c r="L44" s="2" t="s">
        <v>49</v>
      </c>
      <c r="M44" s="2" t="s">
        <v>50</v>
      </c>
      <c r="N44" s="2" t="s">
        <v>51</v>
      </c>
      <c r="O44" s="2" t="s">
        <v>11</v>
      </c>
      <c r="P44" s="2"/>
      <c r="Q44" s="2" t="s">
        <v>137</v>
      </c>
      <c r="R44" s="2"/>
    </row>
    <row r="45" spans="1:18">
      <c r="A45" s="2" t="s">
        <v>139</v>
      </c>
      <c r="B45" s="2" t="s">
        <v>140</v>
      </c>
      <c r="C45" s="2" t="s">
        <v>86</v>
      </c>
      <c r="D45" s="2">
        <v>16</v>
      </c>
      <c r="E45" s="2">
        <v>1000000</v>
      </c>
      <c r="F45" s="3">
        <f>IF(COUNT(D45,E45)=2,D45*E45,NA())</f>
        <v>16000000.0</v>
      </c>
      <c r="G45" s="2" t="s">
        <v>45</v>
      </c>
      <c r="H45" s="2" t="s">
        <v>46</v>
      </c>
      <c r="I45" s="2" t="s">
        <v>47</v>
      </c>
      <c r="J45" s="2" t="s">
        <v>9</v>
      </c>
      <c r="K45" s="2" t="s">
        <v>48</v>
      </c>
      <c r="L45" s="2" t="s">
        <v>49</v>
      </c>
      <c r="M45" s="2" t="s">
        <v>50</v>
      </c>
      <c r="N45" s="2" t="s">
        <v>51</v>
      </c>
      <c r="O45" s="2" t="s">
        <v>11</v>
      </c>
      <c r="P45" s="2"/>
      <c r="Q45" s="2" t="s">
        <v>139</v>
      </c>
      <c r="R45" s="2"/>
    </row>
    <row r="46" spans="1:18">
      <c r="A46" s="2" t="s">
        <v>141</v>
      </c>
      <c r="B46" s="2" t="s">
        <v>142</v>
      </c>
      <c r="C46" s="2" t="s">
        <v>86</v>
      </c>
      <c r="D46" s="2">
        <v>3148</v>
      </c>
      <c r="E46" s="2">
        <v>1000000</v>
      </c>
      <c r="F46" s="3">
        <f>IF(COUNT(D46,E46)=2,D46*E46,NA())</f>
        <v>3148000000.0</v>
      </c>
      <c r="G46" s="2" t="s">
        <v>45</v>
      </c>
      <c r="H46" s="2" t="s">
        <v>46</v>
      </c>
      <c r="I46" s="2" t="s">
        <v>47</v>
      </c>
      <c r="J46" s="2" t="s">
        <v>9</v>
      </c>
      <c r="K46" s="2" t="s">
        <v>48</v>
      </c>
      <c r="L46" s="2" t="s">
        <v>49</v>
      </c>
      <c r="M46" s="2" t="s">
        <v>50</v>
      </c>
      <c r="N46" s="2" t="s">
        <v>51</v>
      </c>
      <c r="O46" s="2" t="s">
        <v>11</v>
      </c>
      <c r="P46" s="2"/>
      <c r="Q46" s="2" t="s">
        <v>141</v>
      </c>
      <c r="R46" s="2"/>
    </row>
    <row r="47" spans="1:18">
      <c r="A47" s="2" t="s">
        <v>143</v>
      </c>
      <c r="B47" s="2" t="s">
        <v>144</v>
      </c>
      <c r="C47" s="2" t="s">
        <v>86</v>
      </c>
      <c r="D47" s="2">
        <v>1733</v>
      </c>
      <c r="E47" s="2">
        <v>1000000</v>
      </c>
      <c r="F47" s="3">
        <f>IF(COUNT(D47,E47)=2,D47*E47,NA())</f>
        <v>1733000000.0</v>
      </c>
      <c r="G47" s="2" t="s">
        <v>45</v>
      </c>
      <c r="H47" s="2" t="s">
        <v>46</v>
      </c>
      <c r="I47" s="2" t="s">
        <v>47</v>
      </c>
      <c r="J47" s="2" t="s">
        <v>9</v>
      </c>
      <c r="K47" s="2" t="s">
        <v>48</v>
      </c>
      <c r="L47" s="2" t="s">
        <v>49</v>
      </c>
      <c r="M47" s="2" t="s">
        <v>50</v>
      </c>
      <c r="N47" s="2" t="s">
        <v>51</v>
      </c>
      <c r="O47" s="2" t="s">
        <v>11</v>
      </c>
      <c r="P47" s="2"/>
      <c r="Q47" s="2" t="s">
        <v>143</v>
      </c>
      <c r="R47" s="2"/>
    </row>
    <row r="48" spans="1:18">
      <c r="A48" s="2" t="s">
        <v>145</v>
      </c>
      <c r="B48" s="2" t="s">
        <v>146</v>
      </c>
      <c r="C48" s="2" t="s">
        <v>86</v>
      </c>
      <c r="D48" s="2">
        <v>13722</v>
      </c>
      <c r="E48" s="2">
        <v>1000000</v>
      </c>
      <c r="F48" s="3">
        <f>IF(COUNT(D48,E48)=2,D48*E48,NA())</f>
        <v>13722000000.0</v>
      </c>
      <c r="G48" s="2" t="s">
        <v>45</v>
      </c>
      <c r="H48" s="2" t="s">
        <v>46</v>
      </c>
      <c r="I48" s="2" t="s">
        <v>47</v>
      </c>
      <c r="J48" s="2" t="s">
        <v>9</v>
      </c>
      <c r="K48" s="2" t="s">
        <v>48</v>
      </c>
      <c r="L48" s="2" t="s">
        <v>49</v>
      </c>
      <c r="M48" s="2" t="s">
        <v>50</v>
      </c>
      <c r="N48" s="2" t="s">
        <v>51</v>
      </c>
      <c r="O48" s="2" t="s">
        <v>11</v>
      </c>
      <c r="P48" s="2"/>
      <c r="Q48" s="2" t="s">
        <v>145</v>
      </c>
      <c r="R48" s="2"/>
    </row>
    <row r="49" spans="1:18">
      <c r="A49" s="2" t="s">
        <v>147</v>
      </c>
      <c r="B49" s="2" t="s">
        <v>148</v>
      </c>
      <c r="C49" s="2" t="s">
        <v>149</v>
      </c>
      <c r="D49" s="2">
        <v>13910</v>
      </c>
      <c r="E49" s="2">
        <v>1000000</v>
      </c>
      <c r="F49" s="3">
        <f>IF(COUNT(D49,E49)=2,D49*E49,NA())</f>
        <v>13910000000.0</v>
      </c>
      <c r="G49" s="2" t="s">
        <v>45</v>
      </c>
      <c r="H49" s="2" t="s">
        <v>46</v>
      </c>
      <c r="I49" s="2" t="s">
        <v>47</v>
      </c>
      <c r="J49" s="2" t="s">
        <v>9</v>
      </c>
      <c r="K49" s="2"/>
      <c r="L49" s="2" t="s">
        <v>55</v>
      </c>
      <c r="M49" s="2" t="s">
        <v>150</v>
      </c>
      <c r="N49" s="2" t="s">
        <v>51</v>
      </c>
      <c r="O49" s="2" t="s">
        <v>11</v>
      </c>
      <c r="P49" s="2"/>
      <c r="Q49" s="2" t="s">
        <v>147</v>
      </c>
      <c r="R49" s="2"/>
    </row>
    <row r="50" spans="1:18">
      <c r="A50" s="2" t="s">
        <v>151</v>
      </c>
      <c r="B50" s="2" t="s">
        <v>152</v>
      </c>
      <c r="C50" s="2" t="s">
        <v>149</v>
      </c>
      <c r="D50" s="2">
        <v>19353</v>
      </c>
      <c r="E50" s="2">
        <v>1000000</v>
      </c>
      <c r="F50" s="3">
        <f>IF(COUNT(D50,E50)=2,D50*E50,NA())</f>
        <v>19353000000.0</v>
      </c>
      <c r="G50" s="2" t="s">
        <v>45</v>
      </c>
      <c r="H50" s="2" t="s">
        <v>46</v>
      </c>
      <c r="I50" s="2" t="s">
        <v>47</v>
      </c>
      <c r="J50" s="2" t="s">
        <v>9</v>
      </c>
      <c r="K50" s="2"/>
      <c r="L50" s="2" t="s">
        <v>49</v>
      </c>
      <c r="M50" s="2" t="s">
        <v>150</v>
      </c>
      <c r="N50" s="2" t="s">
        <v>51</v>
      </c>
      <c r="O50" s="2" t="s">
        <v>11</v>
      </c>
      <c r="P50" s="2"/>
      <c r="Q50" s="2" t="s">
        <v>151</v>
      </c>
      <c r="R50" s="2"/>
    </row>
    <row r="51" spans="1:18">
      <c r="A51" s="2" t="s">
        <v>153</v>
      </c>
      <c r="B51" s="2" t="s">
        <v>154</v>
      </c>
      <c r="C51" s="2" t="s">
        <v>149</v>
      </c>
      <c r="D51" s="2">
        <v>182724</v>
      </c>
      <c r="E51" s="2">
        <v>1000000</v>
      </c>
      <c r="F51" s="3">
        <f>IF(COUNT(D51,E51)=2,D51*E51,NA())</f>
        <v>182724000000.0</v>
      </c>
      <c r="G51" s="2" t="s">
        <v>45</v>
      </c>
      <c r="H51" s="2" t="s">
        <v>46</v>
      </c>
      <c r="I51" s="2" t="s">
        <v>47</v>
      </c>
      <c r="J51" s="2" t="s">
        <v>9</v>
      </c>
      <c r="K51" s="2"/>
      <c r="L51" s="2" t="s">
        <v>49</v>
      </c>
      <c r="M51" s="2" t="s">
        <v>150</v>
      </c>
      <c r="N51" s="2" t="s">
        <v>51</v>
      </c>
      <c r="O51" s="2" t="s">
        <v>11</v>
      </c>
      <c r="P51" s="2"/>
      <c r="Q51" s="2" t="s">
        <v>153</v>
      </c>
      <c r="R51" s="2"/>
    </row>
    <row r="52" spans="1:18">
      <c r="A52" s="2" t="s">
        <v>155</v>
      </c>
      <c r="B52" s="2" t="s">
        <v>156</v>
      </c>
      <c r="C52" s="2" t="s">
        <v>149</v>
      </c>
      <c r="D52" s="2">
        <v>2549</v>
      </c>
      <c r="E52" s="2">
        <v>1000000</v>
      </c>
      <c r="F52" s="3">
        <f>IF(COUNT(D52,E52)=2,D52*E52,NA())</f>
        <v>2549000000.0</v>
      </c>
      <c r="G52" s="2" t="s">
        <v>45</v>
      </c>
      <c r="H52" s="2" t="s">
        <v>46</v>
      </c>
      <c r="I52" s="2" t="s">
        <v>47</v>
      </c>
      <c r="J52" s="2" t="s">
        <v>9</v>
      </c>
      <c r="K52" s="2"/>
      <c r="L52" s="2" t="s">
        <v>49</v>
      </c>
      <c r="M52" s="2" t="s">
        <v>150</v>
      </c>
      <c r="N52" s="2" t="s">
        <v>51</v>
      </c>
      <c r="O52" s="2" t="s">
        <v>11</v>
      </c>
      <c r="P52" s="2"/>
      <c r="Q52" s="2" t="s">
        <v>155</v>
      </c>
      <c r="R52" s="2"/>
    </row>
    <row r="53" spans="1:18">
      <c r="A53" s="2" t="s">
        <v>157</v>
      </c>
      <c r="B53" s="2" t="s">
        <v>158</v>
      </c>
      <c r="C53" s="2" t="s">
        <v>149</v>
      </c>
      <c r="D53" s="2">
        <v>20676</v>
      </c>
      <c r="E53" s="2">
        <v>1000000</v>
      </c>
      <c r="F53" s="3">
        <f>IF(COUNT(D53,E53)=2,D53*E53,NA())</f>
        <v>20676000000.0</v>
      </c>
      <c r="G53" s="2" t="s">
        <v>45</v>
      </c>
      <c r="H53" s="2" t="s">
        <v>46</v>
      </c>
      <c r="I53" s="2" t="s">
        <v>47</v>
      </c>
      <c r="J53" s="2" t="s">
        <v>9</v>
      </c>
      <c r="K53" s="2"/>
      <c r="L53" s="2" t="s">
        <v>49</v>
      </c>
      <c r="M53" s="2" t="s">
        <v>150</v>
      </c>
      <c r="N53" s="2" t="s">
        <v>51</v>
      </c>
      <c r="O53" s="2" t="s">
        <v>11</v>
      </c>
      <c r="P53" s="2"/>
      <c r="Q53" s="2" t="s">
        <v>157</v>
      </c>
      <c r="R53" s="2"/>
    </row>
    <row r="54" spans="1:18">
      <c r="A54" s="2" t="s">
        <v>159</v>
      </c>
      <c r="B54" s="2" t="s">
        <v>160</v>
      </c>
      <c r="C54" s="2" t="s">
        <v>149</v>
      </c>
      <c r="D54" s="2">
        <v>130052</v>
      </c>
      <c r="E54" s="2">
        <v>1000000</v>
      </c>
      <c r="F54" s="3">
        <f>IF(COUNT(D54,E54)=2,D54*E54,NA())</f>
        <v>130052000000.0</v>
      </c>
      <c r="G54" s="2" t="s">
        <v>45</v>
      </c>
      <c r="H54" s="2" t="s">
        <v>46</v>
      </c>
      <c r="I54" s="2" t="s">
        <v>47</v>
      </c>
      <c r="J54" s="2" t="s">
        <v>9</v>
      </c>
      <c r="K54" s="2"/>
      <c r="L54" s="2" t="s">
        <v>49</v>
      </c>
      <c r="M54" s="2" t="s">
        <v>150</v>
      </c>
      <c r="N54" s="2" t="s">
        <v>51</v>
      </c>
      <c r="O54" s="2" t="s">
        <v>11</v>
      </c>
      <c r="P54" s="2"/>
      <c r="Q54" s="2" t="s">
        <v>159</v>
      </c>
      <c r="R54" s="2"/>
    </row>
    <row r="55" spans="1:18">
      <c r="A55" s="2" t="s">
        <v>161</v>
      </c>
      <c r="B55" s="2" t="s">
        <v>162</v>
      </c>
      <c r="C55" s="2" t="s">
        <v>149</v>
      </c>
      <c r="D55" s="2">
        <v>29447</v>
      </c>
      <c r="E55" s="2">
        <v>1000000</v>
      </c>
      <c r="F55" s="3">
        <f>IF(COUNT(D55,E55)=2,D55*E55,NA())</f>
        <v>29447000000.0</v>
      </c>
      <c r="G55" s="2" t="s">
        <v>45</v>
      </c>
      <c r="H55" s="2" t="s">
        <v>46</v>
      </c>
      <c r="I55" s="2" t="s">
        <v>47</v>
      </c>
      <c r="J55" s="2" t="s">
        <v>9</v>
      </c>
      <c r="K55" s="2"/>
      <c r="L55" s="2" t="s">
        <v>49</v>
      </c>
      <c r="M55" s="2" t="s">
        <v>150</v>
      </c>
      <c r="N55" s="2" t="s">
        <v>51</v>
      </c>
      <c r="O55" s="2" t="s">
        <v>11</v>
      </c>
      <c r="P55" s="2"/>
      <c r="Q55" s="2" t="s">
        <v>161</v>
      </c>
      <c r="R55" s="2"/>
    </row>
    <row r="56" spans="1:18">
      <c r="A56" s="2" t="s">
        <v>163</v>
      </c>
      <c r="B56" s="2" t="s">
        <v>164</v>
      </c>
      <c r="C56" s="2" t="s">
        <v>149</v>
      </c>
      <c r="D56" s="2">
        <v>1323</v>
      </c>
      <c r="E56" s="2">
        <v>1000000</v>
      </c>
      <c r="F56" s="3">
        <f>IF(COUNT(D56,E56)=2,D56*E56,NA())</f>
        <v>1323000000.0</v>
      </c>
      <c r="G56" s="2" t="s">
        <v>45</v>
      </c>
      <c r="H56" s="2" t="s">
        <v>46</v>
      </c>
      <c r="I56" s="2" t="s">
        <v>47</v>
      </c>
      <c r="J56" s="2" t="s">
        <v>9</v>
      </c>
      <c r="K56" s="2"/>
      <c r="L56" s="2" t="s">
        <v>49</v>
      </c>
      <c r="M56" s="2" t="s">
        <v>150</v>
      </c>
      <c r="N56" s="2" t="s">
        <v>51</v>
      </c>
      <c r="O56" s="2" t="s">
        <v>11</v>
      </c>
      <c r="P56" s="2"/>
      <c r="Q56" s="2" t="s">
        <v>163</v>
      </c>
      <c r="R56" s="2"/>
    </row>
    <row r="57" spans="1:18">
      <c r="A57" s="2" t="s">
        <v>165</v>
      </c>
      <c r="B57" s="2" t="s">
        <v>166</v>
      </c>
      <c r="C57" s="2" t="s">
        <v>167</v>
      </c>
      <c r="D57" s="2">
        <v>48327</v>
      </c>
      <c r="E57" s="2">
        <v>1000000</v>
      </c>
      <c r="F57" s="3">
        <f>IF(COUNT(D57,E57)=2,D57*E57,NA())</f>
        <v>48327000000.0</v>
      </c>
      <c r="G57" s="2" t="s">
        <v>45</v>
      </c>
      <c r="H57" s="2" t="s">
        <v>46</v>
      </c>
      <c r="I57" s="2" t="s">
        <v>47</v>
      </c>
      <c r="J57" s="2" t="s">
        <v>9</v>
      </c>
      <c r="K57" s="2"/>
      <c r="L57" s="2" t="s">
        <v>49</v>
      </c>
      <c r="M57" s="2" t="s">
        <v>150</v>
      </c>
      <c r="N57" s="2" t="s">
        <v>51</v>
      </c>
      <c r="O57" s="2" t="s">
        <v>11</v>
      </c>
      <c r="P57" s="2"/>
      <c r="Q57" s="2" t="s">
        <v>165</v>
      </c>
      <c r="R57" s="2"/>
    </row>
    <row r="58" spans="1:18">
      <c r="A58" s="2" t="s">
        <v>168</v>
      </c>
      <c r="B58" s="2" t="s">
        <v>169</v>
      </c>
      <c r="C58" s="2" t="s">
        <v>167</v>
      </c>
      <c r="D58" s="2">
        <v>69176</v>
      </c>
      <c r="E58" s="2">
        <v>1000000</v>
      </c>
      <c r="F58" s="3">
        <f>IF(COUNT(D58,E58)=2,D58*E58,NA())</f>
        <v>69176000000.0</v>
      </c>
      <c r="G58" s="2" t="s">
        <v>45</v>
      </c>
      <c r="H58" s="2" t="s">
        <v>46</v>
      </c>
      <c r="I58" s="2" t="s">
        <v>47</v>
      </c>
      <c r="J58" s="2" t="s">
        <v>9</v>
      </c>
      <c r="K58" s="2"/>
      <c r="L58" s="2" t="s">
        <v>49</v>
      </c>
      <c r="M58" s="2" t="s">
        <v>150</v>
      </c>
      <c r="N58" s="2" t="s">
        <v>51</v>
      </c>
      <c r="O58" s="2" t="s">
        <v>11</v>
      </c>
      <c r="P58" s="2"/>
      <c r="Q58" s="2" t="s">
        <v>168</v>
      </c>
      <c r="R58" s="2"/>
    </row>
    <row r="59" spans="1:18">
      <c r="A59" s="2" t="s">
        <v>170</v>
      </c>
      <c r="B59" s="2" t="s">
        <v>171</v>
      </c>
      <c r="C59" s="2" t="s">
        <v>167</v>
      </c>
      <c r="D59" s="2">
        <v>20867</v>
      </c>
      <c r="E59" s="2">
        <v>1000000</v>
      </c>
      <c r="F59" s="3">
        <f>IF(COUNT(D59,E59)=2,D59*E59,NA())</f>
        <v>20867000000.0</v>
      </c>
      <c r="G59" s="2" t="s">
        <v>45</v>
      </c>
      <c r="H59" s="2" t="s">
        <v>46</v>
      </c>
      <c r="I59" s="2" t="s">
        <v>47</v>
      </c>
      <c r="J59" s="2" t="s">
        <v>9</v>
      </c>
      <c r="K59" s="2"/>
      <c r="L59" s="2" t="s">
        <v>49</v>
      </c>
      <c r="M59" s="2" t="s">
        <v>150</v>
      </c>
      <c r="N59" s="2" t="s">
        <v>51</v>
      </c>
      <c r="O59" s="2" t="s">
        <v>11</v>
      </c>
      <c r="P59" s="2"/>
      <c r="Q59" s="2" t="s">
        <v>170</v>
      </c>
      <c r="R59" s="2"/>
    </row>
    <row r="60" spans="1:18">
      <c r="A60" s="2" t="s">
        <v>172</v>
      </c>
      <c r="B60" s="2" t="s">
        <v>173</v>
      </c>
      <c r="C60" s="2" t="s">
        <v>167</v>
      </c>
      <c r="D60" s="2">
        <v>799</v>
      </c>
      <c r="E60" s="2">
        <v>1000000</v>
      </c>
      <c r="F60" s="3">
        <f>IF(COUNT(D60,E60)=2,D60*E60,NA())</f>
        <v>799000000.0</v>
      </c>
      <c r="G60" s="2" t="s">
        <v>45</v>
      </c>
      <c r="H60" s="2" t="s">
        <v>46</v>
      </c>
      <c r="I60" s="2" t="s">
        <v>47</v>
      </c>
      <c r="J60" s="2" t="s">
        <v>9</v>
      </c>
      <c r="K60" s="2"/>
      <c r="L60" s="2" t="s">
        <v>49</v>
      </c>
      <c r="M60" s="2" t="s">
        <v>150</v>
      </c>
      <c r="N60" s="2" t="s">
        <v>51</v>
      </c>
      <c r="O60" s="2" t="s">
        <v>11</v>
      </c>
      <c r="P60" s="2"/>
      <c r="Q60" s="2" t="s">
        <v>172</v>
      </c>
      <c r="R60" s="2"/>
    </row>
    <row r="61" spans="1:18">
      <c r="A61" s="2" t="s">
        <v>174</v>
      </c>
      <c r="B61" s="2" t="s">
        <v>175</v>
      </c>
      <c r="C61" s="2" t="s">
        <v>167</v>
      </c>
      <c r="D61" s="2">
        <v>22</v>
      </c>
      <c r="E61" s="2">
        <v>1000000</v>
      </c>
      <c r="F61" s="3">
        <f>IF(COUNT(D61,E61)=2,D61*E61,NA())</f>
        <v>22000000.0</v>
      </c>
      <c r="G61" s="2" t="s">
        <v>45</v>
      </c>
      <c r="H61" s="2" t="s">
        <v>46</v>
      </c>
      <c r="I61" s="2" t="s">
        <v>47</v>
      </c>
      <c r="J61" s="2" t="s">
        <v>9</v>
      </c>
      <c r="K61" s="2"/>
      <c r="L61" s="2" t="s">
        <v>49</v>
      </c>
      <c r="M61" s="2" t="s">
        <v>150</v>
      </c>
      <c r="N61" s="2" t="s">
        <v>51</v>
      </c>
      <c r="O61" s="2" t="s">
        <v>11</v>
      </c>
      <c r="P61" s="2"/>
      <c r="Q61" s="2" t="s">
        <v>174</v>
      </c>
      <c r="R61" s="2"/>
    </row>
    <row r="62" spans="1:18">
      <c r="A62" s="2" t="s">
        <v>176</v>
      </c>
      <c r="B62" s="2" t="s">
        <v>177</v>
      </c>
      <c r="C62" s="2" t="s">
        <v>167</v>
      </c>
      <c r="D62" s="2">
        <v>269243</v>
      </c>
      <c r="E62" s="2">
        <v>1000000</v>
      </c>
      <c r="F62" s="3">
        <f>IF(COUNT(D62,E62)=2,D62*E62,NA())</f>
        <v>269243000000.0</v>
      </c>
      <c r="G62" s="2" t="s">
        <v>45</v>
      </c>
      <c r="H62" s="2" t="s">
        <v>46</v>
      </c>
      <c r="I62" s="2" t="s">
        <v>47</v>
      </c>
      <c r="J62" s="2" t="s">
        <v>9</v>
      </c>
      <c r="K62" s="2"/>
      <c r="L62" s="2" t="s">
        <v>49</v>
      </c>
      <c r="M62" s="2" t="s">
        <v>150</v>
      </c>
      <c r="N62" s="2" t="s">
        <v>51</v>
      </c>
      <c r="O62" s="2" t="s">
        <v>11</v>
      </c>
      <c r="P62" s="2"/>
      <c r="Q62" s="2" t="s">
        <v>176</v>
      </c>
      <c r="R62" s="2"/>
    </row>
    <row r="63" spans="1:18">
      <c r="A63" s="2" t="s">
        <v>178</v>
      </c>
      <c r="B63" s="2" t="s">
        <v>179</v>
      </c>
      <c r="C63" s="2" t="s">
        <v>167</v>
      </c>
      <c r="D63" s="2">
        <v>6361</v>
      </c>
      <c r="E63" s="2">
        <v>1000000</v>
      </c>
      <c r="F63" s="3">
        <f>IF(COUNT(D63,E63)=2,D63*E63,NA())</f>
        <v>6361000000.0</v>
      </c>
      <c r="G63" s="2" t="s">
        <v>45</v>
      </c>
      <c r="H63" s="2" t="s">
        <v>46</v>
      </c>
      <c r="I63" s="2" t="s">
        <v>47</v>
      </c>
      <c r="J63" s="2" t="s">
        <v>9</v>
      </c>
      <c r="K63" s="2"/>
      <c r="L63" s="2" t="s">
        <v>49</v>
      </c>
      <c r="M63" s="2" t="s">
        <v>150</v>
      </c>
      <c r="N63" s="2" t="s">
        <v>51</v>
      </c>
      <c r="O63" s="2" t="s">
        <v>11</v>
      </c>
      <c r="P63" s="2"/>
      <c r="Q63" s="2" t="s">
        <v>178</v>
      </c>
      <c r="R63" s="2"/>
    </row>
    <row r="64" spans="1:18">
      <c r="A64" s="2" t="s">
        <v>180</v>
      </c>
      <c r="B64" s="2" t="s">
        <v>181</v>
      </c>
      <c r="C64" s="2" t="s">
        <v>167</v>
      </c>
      <c r="D64" s="2">
        <v>12</v>
      </c>
      <c r="E64" s="2">
        <v>1000000</v>
      </c>
      <c r="F64" s="3">
        <f>IF(COUNT(D64,E64)=2,D64*E64,NA())</f>
        <v>12000000.0</v>
      </c>
      <c r="G64" s="2" t="s">
        <v>45</v>
      </c>
      <c r="H64" s="2" t="s">
        <v>46</v>
      </c>
      <c r="I64" s="2" t="s">
        <v>47</v>
      </c>
      <c r="J64" s="2" t="s">
        <v>9</v>
      </c>
      <c r="K64" s="2"/>
      <c r="L64" s="2" t="s">
        <v>49</v>
      </c>
      <c r="M64" s="2" t="s">
        <v>150</v>
      </c>
      <c r="N64" s="2" t="s">
        <v>51</v>
      </c>
      <c r="O64" s="2" t="s">
        <v>11</v>
      </c>
      <c r="P64" s="2"/>
      <c r="Q64" s="2" t="s">
        <v>180</v>
      </c>
      <c r="R64" s="2"/>
    </row>
    <row r="65" spans="1:18">
      <c r="A65" s="2" t="s">
        <v>182</v>
      </c>
      <c r="B65" s="2" t="s">
        <v>183</v>
      </c>
      <c r="C65" s="2" t="s">
        <v>167</v>
      </c>
      <c r="D65" s="2">
        <v>35796</v>
      </c>
      <c r="E65" s="2">
        <v>1000000</v>
      </c>
      <c r="F65" s="3">
        <f>IF(COUNT(D65,E65)=2,D65*E65,NA())</f>
        <v>35796000000.0</v>
      </c>
      <c r="G65" s="2" t="s">
        <v>45</v>
      </c>
      <c r="H65" s="2" t="s">
        <v>46</v>
      </c>
      <c r="I65" s="2" t="s">
        <v>47</v>
      </c>
      <c r="J65" s="2" t="s">
        <v>9</v>
      </c>
      <c r="K65" s="2"/>
      <c r="L65" s="2" t="s">
        <v>49</v>
      </c>
      <c r="M65" s="2" t="s">
        <v>150</v>
      </c>
      <c r="N65" s="2" t="s">
        <v>51</v>
      </c>
      <c r="O65" s="2" t="s">
        <v>11</v>
      </c>
      <c r="P65" s="2"/>
      <c r="Q65" s="2" t="s">
        <v>182</v>
      </c>
      <c r="R65" s="2"/>
    </row>
    <row r="66" spans="1:18">
      <c r="A66" s="2" t="s">
        <v>184</v>
      </c>
      <c r="B66" s="2" t="s">
        <v>185</v>
      </c>
      <c r="C66" s="2" t="s">
        <v>186</v>
      </c>
      <c r="D66" s="2">
        <v>580775</v>
      </c>
      <c r="E66" s="2">
        <v>1000000</v>
      </c>
      <c r="F66" s="3">
        <f>IF(COUNT(D66,E66)=2,D66*E66,NA())</f>
        <v>580775000000.0</v>
      </c>
      <c r="G66" s="2" t="s">
        <v>45</v>
      </c>
      <c r="H66" s="2" t="s">
        <v>46</v>
      </c>
      <c r="I66" s="2" t="s">
        <v>47</v>
      </c>
      <c r="J66" s="2" t="s">
        <v>9</v>
      </c>
      <c r="K66" s="2"/>
      <c r="L66" s="2" t="s">
        <v>49</v>
      </c>
      <c r="M66" s="2" t="s">
        <v>150</v>
      </c>
      <c r="N66" s="2" t="s">
        <v>51</v>
      </c>
      <c r="O66" s="2" t="s">
        <v>11</v>
      </c>
      <c r="P66" s="2"/>
      <c r="Q66" s="2" t="s">
        <v>184</v>
      </c>
      <c r="R66" s="2"/>
    </row>
    <row r="67" spans="1:18">
      <c r="A67" s="2" t="s">
        <v>187</v>
      </c>
      <c r="B67" s="2" t="s">
        <v>188</v>
      </c>
      <c r="C67" s="2" t="s">
        <v>186</v>
      </c>
      <c r="D67" s="2">
        <v>522046</v>
      </c>
      <c r="E67" s="2">
        <v>1000000</v>
      </c>
      <c r="F67" s="3">
        <f>IF(COUNT(D67,E67)=2,D67*E67,NA())</f>
        <v>522046000000.0</v>
      </c>
      <c r="G67" s="2" t="s">
        <v>45</v>
      </c>
      <c r="H67" s="2" t="s">
        <v>46</v>
      </c>
      <c r="I67" s="2" t="s">
        <v>47</v>
      </c>
      <c r="J67" s="2" t="s">
        <v>9</v>
      </c>
      <c r="K67" s="2"/>
      <c r="L67" s="2" t="s">
        <v>49</v>
      </c>
      <c r="M67" s="2" t="s">
        <v>150</v>
      </c>
      <c r="N67" s="2" t="s">
        <v>51</v>
      </c>
      <c r="O67" s="2" t="s">
        <v>11</v>
      </c>
      <c r="P67" s="2"/>
      <c r="Q67" s="2" t="s">
        <v>187</v>
      </c>
      <c r="R67" s="2"/>
    </row>
    <row r="68" spans="1:18">
      <c r="A68" s="2" t="s">
        <v>189</v>
      </c>
      <c r="B68" s="2" t="s">
        <v>190</v>
      </c>
      <c r="C68" s="2" t="s">
        <v>186</v>
      </c>
      <c r="D68" s="2">
        <v>58729</v>
      </c>
      <c r="E68" s="2">
        <v>1000000</v>
      </c>
      <c r="F68" s="3">
        <f>IF(COUNT(D68,E68)=2,D68*E68,NA())</f>
        <v>58729000000.0</v>
      </c>
      <c r="G68" s="2" t="s">
        <v>45</v>
      </c>
      <c r="H68" s="2" t="s">
        <v>46</v>
      </c>
      <c r="I68" s="2" t="s">
        <v>47</v>
      </c>
      <c r="J68" s="2" t="s">
        <v>9</v>
      </c>
      <c r="K68" s="2"/>
      <c r="L68" s="2" t="s">
        <v>49</v>
      </c>
      <c r="M68" s="2" t="s">
        <v>150</v>
      </c>
      <c r="N68" s="2" t="s">
        <v>51</v>
      </c>
      <c r="O68" s="2" t="s">
        <v>11</v>
      </c>
      <c r="P68" s="2"/>
      <c r="Q68" s="2" t="s">
        <v>189</v>
      </c>
      <c r="R68" s="2"/>
    </row>
    <row r="69" spans="1:18">
      <c r="A69" s="2" t="s">
        <v>191</v>
      </c>
      <c r="B69" s="2" t="s">
        <v>192</v>
      </c>
      <c r="C69" s="2" t="s">
        <v>193</v>
      </c>
      <c r="D69" s="2">
        <v>54407</v>
      </c>
      <c r="E69" s="2">
        <v>1000000</v>
      </c>
      <c r="F69" s="3">
        <f>IF(COUNT(D69,E69)=2,D69*E69,NA())</f>
        <v>54407000000.0</v>
      </c>
      <c r="G69" s="2" t="s">
        <v>45</v>
      </c>
      <c r="H69" s="2" t="s">
        <v>46</v>
      </c>
      <c r="I69" s="2" t="s">
        <v>47</v>
      </c>
      <c r="J69" s="2" t="s">
        <v>9</v>
      </c>
      <c r="K69" s="2"/>
      <c r="L69" s="2" t="s">
        <v>55</v>
      </c>
      <c r="M69" s="2" t="s">
        <v>150</v>
      </c>
      <c r="N69" s="2" t="s">
        <v>51</v>
      </c>
      <c r="O69" s="2" t="s">
        <v>11</v>
      </c>
      <c r="P69" s="2"/>
      <c r="Q69" s="2" t="s">
        <v>191</v>
      </c>
      <c r="R69" s="2"/>
    </row>
    <row r="70" spans="1:18">
      <c r="A70" s="2" t="s">
        <v>194</v>
      </c>
      <c r="B70" s="2" t="s">
        <v>195</v>
      </c>
      <c r="C70" s="2" t="s">
        <v>193</v>
      </c>
      <c r="D70" s="2">
        <v>369</v>
      </c>
      <c r="E70" s="2">
        <v>1000000</v>
      </c>
      <c r="F70" s="3">
        <f>IF(COUNT(D70,E70)=2,D70*E70,NA())</f>
        <v>369000000.0</v>
      </c>
      <c r="G70" s="2" t="s">
        <v>45</v>
      </c>
      <c r="H70" s="2" t="s">
        <v>46</v>
      </c>
      <c r="I70" s="2" t="s">
        <v>47</v>
      </c>
      <c r="J70" s="2" t="s">
        <v>9</v>
      </c>
      <c r="K70" s="2" t="s">
        <v>48</v>
      </c>
      <c r="L70" s="2" t="s">
        <v>49</v>
      </c>
      <c r="M70" s="2" t="s">
        <v>50</v>
      </c>
      <c r="N70" s="2" t="s">
        <v>51</v>
      </c>
      <c r="O70" s="2" t="s">
        <v>11</v>
      </c>
      <c r="P70" s="2"/>
      <c r="Q70" s="2" t="s">
        <v>194</v>
      </c>
      <c r="R70" s="2"/>
    </row>
    <row r="71" spans="1:18">
      <c r="A71" s="2" t="s">
        <v>196</v>
      </c>
      <c r="B71" s="2" t="s">
        <v>197</v>
      </c>
      <c r="C71" s="2" t="s">
        <v>193</v>
      </c>
      <c r="D71" s="2">
        <v>-6193</v>
      </c>
      <c r="E71" s="2">
        <v>1000000</v>
      </c>
      <c r="F71" s="3">
        <f>IF(COUNT(D71,E71)=2,D71*E71,NA())</f>
        <v>-6193000000.0</v>
      </c>
      <c r="G71" s="2" t="s">
        <v>45</v>
      </c>
      <c r="H71" s="2" t="s">
        <v>46</v>
      </c>
      <c r="I71" s="2" t="s">
        <v>47</v>
      </c>
      <c r="J71" s="2" t="s">
        <v>9</v>
      </c>
      <c r="K71" s="2" t="s">
        <v>48</v>
      </c>
      <c r="L71" s="2" t="s">
        <v>49</v>
      </c>
      <c r="M71" s="2" t="s">
        <v>50</v>
      </c>
      <c r="N71" s="2" t="s">
        <v>51</v>
      </c>
      <c r="O71" s="2" t="s">
        <v>11</v>
      </c>
      <c r="P71" s="2"/>
      <c r="Q71" s="2" t="s">
        <v>198</v>
      </c>
      <c r="R71" s="2"/>
    </row>
    <row r="72" spans="1:18">
      <c r="A72" s="2" t="s">
        <v>199</v>
      </c>
      <c r="B72" s="2" t="s">
        <v>200</v>
      </c>
      <c r="C72" s="2" t="s">
        <v>193</v>
      </c>
      <c r="D72" s="2">
        <v>-7583</v>
      </c>
      <c r="E72" s="2">
        <v>1000000</v>
      </c>
      <c r="F72" s="3">
        <f>IF(COUNT(D72,E72)=2,D72*E72,NA())</f>
        <v>-7583000000.0</v>
      </c>
      <c r="G72" s="2" t="s">
        <v>45</v>
      </c>
      <c r="H72" s="2" t="s">
        <v>46</v>
      </c>
      <c r="I72" s="2" t="s">
        <v>47</v>
      </c>
      <c r="J72" s="2" t="s">
        <v>9</v>
      </c>
      <c r="K72" s="2" t="s">
        <v>48</v>
      </c>
      <c r="L72" s="2" t="s">
        <v>49</v>
      </c>
      <c r="M72" s="2" t="s">
        <v>50</v>
      </c>
      <c r="N72" s="2" t="s">
        <v>51</v>
      </c>
      <c r="O72" s="2" t="s">
        <v>11</v>
      </c>
      <c r="P72" s="2"/>
      <c r="Q72" s="2" t="s">
        <v>198</v>
      </c>
      <c r="R72" s="2"/>
    </row>
    <row r="73" spans="1:18">
      <c r="A73" s="2" t="s">
        <v>201</v>
      </c>
      <c r="B73" s="2" t="s">
        <v>202</v>
      </c>
      <c r="C73" s="2" t="s">
        <v>193</v>
      </c>
      <c r="D73" s="2">
        <v>34</v>
      </c>
      <c r="E73" s="2">
        <v>1000000</v>
      </c>
      <c r="F73" s="3">
        <f>IF(COUNT(D73,E73)=2,D73*E73,NA())</f>
        <v>34000000.0</v>
      </c>
      <c r="G73" s="2" t="s">
        <v>45</v>
      </c>
      <c r="H73" s="2" t="s">
        <v>46</v>
      </c>
      <c r="I73" s="2" t="s">
        <v>47</v>
      </c>
      <c r="J73" s="2" t="s">
        <v>9</v>
      </c>
      <c r="K73" s="2" t="s">
        <v>48</v>
      </c>
      <c r="L73" s="2" t="s">
        <v>49</v>
      </c>
      <c r="M73" s="2" t="s">
        <v>50</v>
      </c>
      <c r="N73" s="2" t="s">
        <v>51</v>
      </c>
      <c r="O73" s="2" t="s">
        <v>11</v>
      </c>
      <c r="P73" s="2"/>
      <c r="Q73" s="2" t="s">
        <v>201</v>
      </c>
      <c r="R73" s="2"/>
    </row>
    <row r="74" spans="1:18">
      <c r="A74" s="2" t="s">
        <v>203</v>
      </c>
      <c r="B74" s="2" t="s">
        <v>204</v>
      </c>
      <c r="C74" s="2" t="s">
        <v>193</v>
      </c>
      <c r="D74" s="2">
        <v>-512</v>
      </c>
      <c r="E74" s="2">
        <v>1000000</v>
      </c>
      <c r="F74" s="3">
        <f>IF(COUNT(D74,E74)=2,D74*E74,NA())</f>
        <v>-512000000.0</v>
      </c>
      <c r="G74" s="2" t="s">
        <v>45</v>
      </c>
      <c r="H74" s="2" t="s">
        <v>46</v>
      </c>
      <c r="I74" s="2" t="s">
        <v>47</v>
      </c>
      <c r="J74" s="2" t="s">
        <v>9</v>
      </c>
      <c r="K74" s="2" t="s">
        <v>48</v>
      </c>
      <c r="L74" s="2" t="s">
        <v>49</v>
      </c>
      <c r="M74" s="2" t="s">
        <v>50</v>
      </c>
      <c r="N74" s="2" t="s">
        <v>51</v>
      </c>
      <c r="O74" s="2" t="s">
        <v>11</v>
      </c>
      <c r="P74" s="2"/>
      <c r="Q74" s="2" t="s">
        <v>203</v>
      </c>
      <c r="R74" s="2"/>
    </row>
    <row r="75" spans="1:18">
      <c r="A75" s="2" t="s">
        <v>205</v>
      </c>
      <c r="B75" s="2" t="s">
        <v>206</v>
      </c>
      <c r="C75" s="2" t="s">
        <v>193</v>
      </c>
      <c r="D75" s="2">
        <v>9</v>
      </c>
      <c r="E75" s="2">
        <v>1000000</v>
      </c>
      <c r="F75" s="3">
        <f>IF(COUNT(D75,E75)=2,D75*E75,NA())</f>
        <v>9000000.0</v>
      </c>
      <c r="G75" s="2" t="s">
        <v>45</v>
      </c>
      <c r="H75" s="2" t="s">
        <v>46</v>
      </c>
      <c r="I75" s="2" t="s">
        <v>47</v>
      </c>
      <c r="J75" s="2" t="s">
        <v>9</v>
      </c>
      <c r="K75" s="2" t="s">
        <v>48</v>
      </c>
      <c r="L75" s="2" t="s">
        <v>49</v>
      </c>
      <c r="M75" s="2" t="s">
        <v>50</v>
      </c>
      <c r="N75" s="2" t="s">
        <v>51</v>
      </c>
      <c r="O75" s="2" t="s">
        <v>11</v>
      </c>
      <c r="P75" s="2"/>
      <c r="Q75" s="2" t="s">
        <v>205</v>
      </c>
      <c r="R75" s="2"/>
    </row>
    <row r="76" spans="1:18">
      <c r="A76" s="2" t="s">
        <v>207</v>
      </c>
      <c r="B76" s="2" t="s">
        <v>208</v>
      </c>
      <c r="C76" s="2" t="s">
        <v>193</v>
      </c>
      <c r="D76" s="2">
        <v>5</v>
      </c>
      <c r="E76" s="2">
        <v>1000000</v>
      </c>
      <c r="F76" s="3">
        <f>IF(COUNT(D76,E76)=2,D76*E76,NA())</f>
        <v>5000000.0</v>
      </c>
      <c r="G76" s="2" t="s">
        <v>45</v>
      </c>
      <c r="H76" s="2" t="s">
        <v>46</v>
      </c>
      <c r="I76" s="2" t="s">
        <v>47</v>
      </c>
      <c r="J76" s="2" t="s">
        <v>9</v>
      </c>
      <c r="K76" s="2" t="s">
        <v>48</v>
      </c>
      <c r="L76" s="2" t="s">
        <v>49</v>
      </c>
      <c r="M76" s="2" t="s">
        <v>50</v>
      </c>
      <c r="N76" s="2" t="s">
        <v>51</v>
      </c>
      <c r="O76" s="2" t="s">
        <v>11</v>
      </c>
      <c r="P76" s="2"/>
      <c r="Q76" s="2" t="s">
        <v>207</v>
      </c>
      <c r="R76" s="2"/>
    </row>
    <row r="77" spans="1:18">
      <c r="A77" s="2" t="s">
        <v>209</v>
      </c>
      <c r="B77" s="2" t="s">
        <v>210</v>
      </c>
      <c r="C77" s="2" t="s">
        <v>193</v>
      </c>
      <c r="D77" s="2">
        <v>59</v>
      </c>
      <c r="E77" s="2">
        <v>1000000</v>
      </c>
      <c r="F77" s="3">
        <f>IF(COUNT(D77,E77)=2,D77*E77,NA())</f>
        <v>59000000.0</v>
      </c>
      <c r="G77" s="2" t="s">
        <v>45</v>
      </c>
      <c r="H77" s="2" t="s">
        <v>46</v>
      </c>
      <c r="I77" s="2" t="s">
        <v>47</v>
      </c>
      <c r="J77" s="2" t="s">
        <v>9</v>
      </c>
      <c r="K77" s="2" t="s">
        <v>48</v>
      </c>
      <c r="L77" s="2" t="s">
        <v>49</v>
      </c>
      <c r="M77" s="2" t="s">
        <v>50</v>
      </c>
      <c r="N77" s="2" t="s">
        <v>51</v>
      </c>
      <c r="O77" s="2" t="s">
        <v>11</v>
      </c>
      <c r="P77" s="2"/>
      <c r="Q77" s="2" t="s">
        <v>209</v>
      </c>
      <c r="R77" s="2"/>
    </row>
    <row r="78" spans="1:18">
      <c r="A78" s="2" t="s">
        <v>211</v>
      </c>
      <c r="B78" s="2" t="s">
        <v>212</v>
      </c>
      <c r="C78" s="2" t="s">
        <v>193</v>
      </c>
      <c r="D78" s="2">
        <v>452</v>
      </c>
      <c r="E78" s="2">
        <v>1000000</v>
      </c>
      <c r="F78" s="3">
        <f>IF(COUNT(D78,E78)=2,D78*E78,NA())</f>
        <v>452000000.0</v>
      </c>
      <c r="G78" s="2" t="s">
        <v>45</v>
      </c>
      <c r="H78" s="2" t="s">
        <v>46</v>
      </c>
      <c r="I78" s="2" t="s">
        <v>47</v>
      </c>
      <c r="J78" s="2" t="s">
        <v>9</v>
      </c>
      <c r="K78" s="2"/>
      <c r="L78" s="2" t="s">
        <v>55</v>
      </c>
      <c r="M78" s="2" t="s">
        <v>150</v>
      </c>
      <c r="N78" s="2" t="s">
        <v>51</v>
      </c>
      <c r="O78" s="2" t="s">
        <v>11</v>
      </c>
      <c r="P78" s="2"/>
      <c r="Q78" s="2" t="s">
        <v>211</v>
      </c>
      <c r="R78" s="2"/>
    </row>
    <row r="79" spans="1:18">
      <c r="A79" s="2" t="s">
        <v>213</v>
      </c>
      <c r="B79" s="2" t="s">
        <v>214</v>
      </c>
      <c r="C79" s="2" t="s">
        <v>193</v>
      </c>
      <c r="D79" s="2">
        <v>398</v>
      </c>
      <c r="E79" s="2">
        <v>1000000</v>
      </c>
      <c r="F79" s="3">
        <f>IF(COUNT(D79,E79)=2,D79*E79,NA())</f>
        <v>398000000.0</v>
      </c>
      <c r="G79" s="2" t="s">
        <v>45</v>
      </c>
      <c r="H79" s="2" t="s">
        <v>46</v>
      </c>
      <c r="I79" s="2" t="s">
        <v>47</v>
      </c>
      <c r="J79" s="2" t="s">
        <v>9</v>
      </c>
      <c r="K79" s="2"/>
      <c r="L79" s="2" t="s">
        <v>49</v>
      </c>
      <c r="M79" s="2" t="s">
        <v>150</v>
      </c>
      <c r="N79" s="2" t="s">
        <v>51</v>
      </c>
      <c r="O79" s="2" t="s">
        <v>11</v>
      </c>
      <c r="P79" s="2"/>
      <c r="Q79" s="2" t="s">
        <v>213</v>
      </c>
      <c r="R79" s="2"/>
    </row>
    <row r="80" spans="1:18">
      <c r="A80" s="2" t="s">
        <v>215</v>
      </c>
      <c r="B80" s="2" t="s">
        <v>216</v>
      </c>
      <c r="C80" s="2" t="s">
        <v>217</v>
      </c>
      <c r="D80" s="2">
        <v>13297</v>
      </c>
      <c r="E80" s="2">
        <v>1000000</v>
      </c>
      <c r="F80" s="3">
        <f>IF(COUNT(D80,E80)=2,D80*E80,NA())</f>
        <v>13297000000.0</v>
      </c>
      <c r="G80" s="2" t="s">
        <v>45</v>
      </c>
      <c r="H80" s="2" t="s">
        <v>46</v>
      </c>
      <c r="I80" s="2" t="s">
        <v>47</v>
      </c>
      <c r="J80" s="2" t="s">
        <v>9</v>
      </c>
      <c r="K80" s="2"/>
      <c r="L80" s="2" t="s">
        <v>55</v>
      </c>
      <c r="M80" s="2" t="s">
        <v>150</v>
      </c>
      <c r="N80" s="2" t="s">
        <v>51</v>
      </c>
      <c r="O80" s="2" t="s">
        <v>11</v>
      </c>
      <c r="P80" s="2"/>
      <c r="Q80" s="2" t="s">
        <v>215</v>
      </c>
      <c r="R80" s="2"/>
    </row>
    <row r="81" spans="1:18">
      <c r="A81" s="2" t="s">
        <v>218</v>
      </c>
      <c r="B81" s="2" t="s">
        <v>219</v>
      </c>
      <c r="C81" s="2" t="s">
        <v>217</v>
      </c>
      <c r="D81" s="2">
        <v>13274</v>
      </c>
      <c r="E81" s="2">
        <v>1000000</v>
      </c>
      <c r="F81" s="3">
        <f>IF(COUNT(D81,E81)=2,D81*E81,NA())</f>
        <v>13274000000.0</v>
      </c>
      <c r="G81" s="2" t="s">
        <v>45</v>
      </c>
      <c r="H81" s="2" t="s">
        <v>46</v>
      </c>
      <c r="I81" s="2" t="s">
        <v>47</v>
      </c>
      <c r="J81" s="2" t="s">
        <v>9</v>
      </c>
      <c r="K81" s="2"/>
      <c r="L81" s="2" t="s">
        <v>49</v>
      </c>
      <c r="M81" s="2" t="s">
        <v>150</v>
      </c>
      <c r="N81" s="2" t="s">
        <v>51</v>
      </c>
      <c r="O81" s="2" t="s">
        <v>11</v>
      </c>
      <c r="P81" s="2"/>
      <c r="Q81" s="2" t="s">
        <v>218</v>
      </c>
      <c r="R81" s="2"/>
    </row>
    <row r="82" spans="1:18">
      <c r="A82" s="2" t="s">
        <v>220</v>
      </c>
      <c r="B82" s="2" t="s">
        <v>221</v>
      </c>
      <c r="C82" s="2" t="s">
        <v>217</v>
      </c>
      <c r="D82" s="2">
        <v>32</v>
      </c>
      <c r="E82" s="2">
        <v>1000000</v>
      </c>
      <c r="F82" s="3">
        <f>IF(COUNT(D82,E82)=2,D82*E82,NA())</f>
        <v>32000000.0</v>
      </c>
      <c r="G82" s="2" t="s">
        <v>45</v>
      </c>
      <c r="H82" s="2" t="s">
        <v>46</v>
      </c>
      <c r="I82" s="2" t="s">
        <v>47</v>
      </c>
      <c r="J82" s="2" t="s">
        <v>9</v>
      </c>
      <c r="K82" s="2" t="s">
        <v>48</v>
      </c>
      <c r="L82" s="2" t="s">
        <v>49</v>
      </c>
      <c r="M82" s="2" t="s">
        <v>50</v>
      </c>
      <c r="N82" s="2" t="s">
        <v>51</v>
      </c>
      <c r="O82" s="2" t="s">
        <v>11</v>
      </c>
      <c r="P82" s="2"/>
      <c r="Q82" s="2" t="s">
        <v>220</v>
      </c>
      <c r="R82" s="2"/>
    </row>
    <row r="83" spans="1:18">
      <c r="A83" s="2" t="s">
        <v>222</v>
      </c>
      <c r="B83" s="2" t="s">
        <v>223</v>
      </c>
      <c r="C83" s="2" t="s">
        <v>217</v>
      </c>
      <c r="D83" s="2">
        <v>55</v>
      </c>
      <c r="E83" s="2">
        <v>1000000</v>
      </c>
      <c r="F83" s="3">
        <f>IF(COUNT(D83,E83)=2,D83*E83,NA())</f>
        <v>55000000.0</v>
      </c>
      <c r="G83" s="2" t="s">
        <v>45</v>
      </c>
      <c r="H83" s="2" t="s">
        <v>46</v>
      </c>
      <c r="I83" s="2" t="s">
        <v>47</v>
      </c>
      <c r="J83" s="2" t="s">
        <v>9</v>
      </c>
      <c r="K83" s="2" t="s">
        <v>48</v>
      </c>
      <c r="L83" s="2" t="s">
        <v>49</v>
      </c>
      <c r="M83" s="2" t="s">
        <v>50</v>
      </c>
      <c r="N83" s="2" t="s">
        <v>51</v>
      </c>
      <c r="O83" s="2" t="s">
        <v>11</v>
      </c>
      <c r="P83" s="2"/>
      <c r="Q83" s="2" t="s">
        <v>222</v>
      </c>
      <c r="R83" s="2"/>
    </row>
    <row r="84" spans="1:18">
      <c r="A84" s="2" t="s">
        <v>224</v>
      </c>
      <c r="B84" s="2" t="s">
        <v>225</v>
      </c>
      <c r="C84" s="2" t="s">
        <v>217</v>
      </c>
      <c r="D84" s="2">
        <v>1285</v>
      </c>
      <c r="E84" s="2">
        <v>1000000</v>
      </c>
      <c r="F84" s="3">
        <f>IF(COUNT(D84,E84)=2,D84*E84,NA())</f>
        <v>1285000000.0</v>
      </c>
      <c r="G84" s="2" t="s">
        <v>45</v>
      </c>
      <c r="H84" s="2" t="s">
        <v>46</v>
      </c>
      <c r="I84" s="2" t="s">
        <v>47</v>
      </c>
      <c r="J84" s="2" t="s">
        <v>9</v>
      </c>
      <c r="K84" s="2" t="s">
        <v>48</v>
      </c>
      <c r="L84" s="2" t="s">
        <v>49</v>
      </c>
      <c r="M84" s="2" t="s">
        <v>50</v>
      </c>
      <c r="N84" s="2" t="s">
        <v>51</v>
      </c>
      <c r="O84" s="2" t="s">
        <v>11</v>
      </c>
      <c r="P84" s="2"/>
      <c r="Q84" s="2" t="s">
        <v>224</v>
      </c>
      <c r="R84" s="2"/>
    </row>
    <row r="85" spans="1:18">
      <c r="A85" s="2" t="s">
        <v>226</v>
      </c>
      <c r="B85" s="2" t="s">
        <v>227</v>
      </c>
      <c r="C85" s="2" t="s">
        <v>217</v>
      </c>
      <c r="D85" s="2">
        <v>20</v>
      </c>
      <c r="E85" s="2">
        <v>1000000</v>
      </c>
      <c r="F85" s="3">
        <f>IF(COUNT(D85,E85)=2,D85*E85,NA())</f>
        <v>20000000.0</v>
      </c>
      <c r="G85" s="2" t="s">
        <v>45</v>
      </c>
      <c r="H85" s="2" t="s">
        <v>46</v>
      </c>
      <c r="I85" s="2" t="s">
        <v>47</v>
      </c>
      <c r="J85" s="2" t="s">
        <v>9</v>
      </c>
      <c r="K85" s="2" t="s">
        <v>48</v>
      </c>
      <c r="L85" s="2" t="s">
        <v>49</v>
      </c>
      <c r="M85" s="2" t="s">
        <v>50</v>
      </c>
      <c r="N85" s="2" t="s">
        <v>51</v>
      </c>
      <c r="O85" s="2" t="s">
        <v>11</v>
      </c>
      <c r="P85" s="2"/>
      <c r="Q85" s="2" t="s">
        <v>226</v>
      </c>
      <c r="R85" s="2"/>
    </row>
    <row r="86" spans="1:18">
      <c r="A86" s="2" t="s">
        <v>228</v>
      </c>
      <c r="B86" s="2" t="s">
        <v>229</v>
      </c>
      <c r="C86" s="2" t="s">
        <v>217</v>
      </c>
      <c r="D86" s="2">
        <v>13</v>
      </c>
      <c r="E86" s="2">
        <v>1000000</v>
      </c>
      <c r="F86" s="3">
        <f>IF(COUNT(D86,E86)=2,D86*E86,NA())</f>
        <v>13000000.0</v>
      </c>
      <c r="G86" s="2" t="s">
        <v>45</v>
      </c>
      <c r="H86" s="2" t="s">
        <v>46</v>
      </c>
      <c r="I86" s="2" t="s">
        <v>47</v>
      </c>
      <c r="J86" s="2" t="s">
        <v>9</v>
      </c>
      <c r="K86" s="2" t="s">
        <v>48</v>
      </c>
      <c r="L86" s="2" t="s">
        <v>49</v>
      </c>
      <c r="M86" s="2" t="s">
        <v>50</v>
      </c>
      <c r="N86" s="2" t="s">
        <v>51</v>
      </c>
      <c r="O86" s="2" t="s">
        <v>11</v>
      </c>
      <c r="P86" s="2"/>
      <c r="Q86" s="2" t="s">
        <v>228</v>
      </c>
      <c r="R86" s="2"/>
    </row>
    <row r="87" spans="1:18">
      <c r="A87" s="2" t="s">
        <v>230</v>
      </c>
      <c r="B87" s="2" t="s">
        <v>231</v>
      </c>
      <c r="C87" s="2" t="s">
        <v>217</v>
      </c>
      <c r="D87" s="2">
        <v>810</v>
      </c>
      <c r="E87" s="2">
        <v>1000000</v>
      </c>
      <c r="F87" s="3">
        <f>IF(COUNT(D87,E87)=2,D87*E87,NA())</f>
        <v>810000000.0</v>
      </c>
      <c r="G87" s="2" t="s">
        <v>45</v>
      </c>
      <c r="H87" s="2" t="s">
        <v>46</v>
      </c>
      <c r="I87" s="2" t="s">
        <v>47</v>
      </c>
      <c r="J87" s="2" t="s">
        <v>9</v>
      </c>
      <c r="K87" s="2" t="s">
        <v>48</v>
      </c>
      <c r="L87" s="2" t="s">
        <v>49</v>
      </c>
      <c r="M87" s="2" t="s">
        <v>50</v>
      </c>
      <c r="N87" s="2" t="s">
        <v>51</v>
      </c>
      <c r="O87" s="2" t="s">
        <v>11</v>
      </c>
      <c r="P87" s="2"/>
      <c r="Q87" s="2" t="s">
        <v>230</v>
      </c>
      <c r="R87" s="2"/>
    </row>
    <row r="88" spans="1:18">
      <c r="A88" s="2" t="s">
        <v>232</v>
      </c>
      <c r="B88" s="2" t="s">
        <v>233</v>
      </c>
      <c r="C88" s="2" t="s">
        <v>217</v>
      </c>
      <c r="D88" s="2">
        <v>60</v>
      </c>
      <c r="E88" s="2">
        <v>1000000</v>
      </c>
      <c r="F88" s="3">
        <f>IF(COUNT(D88,E88)=2,D88*E88,NA())</f>
        <v>60000000.0</v>
      </c>
      <c r="G88" s="2" t="s">
        <v>45</v>
      </c>
      <c r="H88" s="2" t="s">
        <v>46</v>
      </c>
      <c r="I88" s="2" t="s">
        <v>47</v>
      </c>
      <c r="J88" s="2" t="s">
        <v>9</v>
      </c>
      <c r="K88" s="2" t="s">
        <v>48</v>
      </c>
      <c r="L88" s="2" t="s">
        <v>49</v>
      </c>
      <c r="M88" s="2" t="s">
        <v>50</v>
      </c>
      <c r="N88" s="2" t="s">
        <v>51</v>
      </c>
      <c r="O88" s="2" t="s">
        <v>11</v>
      </c>
      <c r="P88" s="2"/>
      <c r="Q88" s="2" t="s">
        <v>232</v>
      </c>
      <c r="R88" s="2"/>
    </row>
    <row r="89" spans="1:18">
      <c r="A89" s="2" t="s">
        <v>234</v>
      </c>
      <c r="B89" s="2" t="s">
        <v>235</v>
      </c>
      <c r="C89" s="2" t="s">
        <v>217</v>
      </c>
      <c r="D89" s="2">
        <v>59</v>
      </c>
      <c r="E89" s="2">
        <v>1000000</v>
      </c>
      <c r="F89" s="3">
        <f>IF(COUNT(D89,E89)=2,D89*E89,NA())</f>
        <v>59000000.0</v>
      </c>
      <c r="G89" s="2" t="s">
        <v>45</v>
      </c>
      <c r="H89" s="2" t="s">
        <v>46</v>
      </c>
      <c r="I89" s="2" t="s">
        <v>47</v>
      </c>
      <c r="J89" s="2" t="s">
        <v>9</v>
      </c>
      <c r="K89" s="2" t="s">
        <v>48</v>
      </c>
      <c r="L89" s="2" t="s">
        <v>49</v>
      </c>
      <c r="M89" s="2" t="s">
        <v>50</v>
      </c>
      <c r="N89" s="2" t="s">
        <v>51</v>
      </c>
      <c r="O89" s="2" t="s">
        <v>11</v>
      </c>
      <c r="P89" s="2"/>
      <c r="Q89" s="2" t="s">
        <v>234</v>
      </c>
      <c r="R89" s="2"/>
    </row>
    <row r="90" spans="1:18">
      <c r="A90" s="2" t="s">
        <v>236</v>
      </c>
      <c r="B90" s="2" t="s">
        <v>237</v>
      </c>
      <c r="C90" s="2" t="s">
        <v>238</v>
      </c>
      <c r="D90" s="2">
        <v>701</v>
      </c>
      <c r="E90" s="2">
        <v>1000000</v>
      </c>
      <c r="F90" s="3">
        <f>IF(COUNT(D90,E90)=2,D90*E90,NA())</f>
        <v>701000000.0</v>
      </c>
      <c r="G90" s="2" t="s">
        <v>45</v>
      </c>
      <c r="H90" s="2" t="s">
        <v>46</v>
      </c>
      <c r="I90" s="2" t="s">
        <v>47</v>
      </c>
      <c r="J90" s="2" t="s">
        <v>9</v>
      </c>
      <c r="K90" s="2" t="s">
        <v>48</v>
      </c>
      <c r="L90" s="2" t="s">
        <v>49</v>
      </c>
      <c r="M90" s="2" t="s">
        <v>50</v>
      </c>
      <c r="N90" s="2" t="s">
        <v>51</v>
      </c>
      <c r="O90" s="2" t="s">
        <v>11</v>
      </c>
      <c r="P90" s="2"/>
      <c r="Q90" s="2" t="s">
        <v>236</v>
      </c>
      <c r="R90" s="2"/>
    </row>
    <row r="91" spans="1:18">
      <c r="A91" s="2" t="s">
        <v>239</v>
      </c>
      <c r="B91" s="2" t="s">
        <v>240</v>
      </c>
      <c r="C91" s="2" t="s">
        <v>217</v>
      </c>
      <c r="D91" s="2">
        <v>3860</v>
      </c>
      <c r="E91" s="2">
        <v>1000000</v>
      </c>
      <c r="F91" s="3">
        <f>IF(COUNT(D91,E91)=2,D91*E91,NA())</f>
        <v>3860000000.0</v>
      </c>
      <c r="G91" s="2" t="s">
        <v>45</v>
      </c>
      <c r="H91" s="2" t="s">
        <v>46</v>
      </c>
      <c r="I91" s="2" t="s">
        <v>47</v>
      </c>
      <c r="J91" s="2" t="s">
        <v>9</v>
      </c>
      <c r="K91" s="2"/>
      <c r="L91" s="2" t="s">
        <v>55</v>
      </c>
      <c r="M91" s="2" t="s">
        <v>150</v>
      </c>
      <c r="N91" s="2" t="s">
        <v>51</v>
      </c>
      <c r="O91" s="2" t="s">
        <v>11</v>
      </c>
      <c r="P91" s="2"/>
      <c r="Q91" s="2" t="s">
        <v>239</v>
      </c>
      <c r="R91" s="2"/>
    </row>
    <row r="92" spans="1:18">
      <c r="A92" s="2" t="s">
        <v>241</v>
      </c>
      <c r="B92" s="2" t="s">
        <v>242</v>
      </c>
      <c r="C92" s="2" t="s">
        <v>217</v>
      </c>
      <c r="D92" s="2">
        <v>4341</v>
      </c>
      <c r="E92" s="2">
        <v>1000000</v>
      </c>
      <c r="F92" s="3">
        <f>IF(COUNT(D92,E92)=2,D92*E92,NA())</f>
        <v>4341000000.0</v>
      </c>
      <c r="G92" s="2" t="s">
        <v>45</v>
      </c>
      <c r="H92" s="2" t="s">
        <v>46</v>
      </c>
      <c r="I92" s="2" t="s">
        <v>47</v>
      </c>
      <c r="J92" s="2" t="s">
        <v>9</v>
      </c>
      <c r="K92" s="2"/>
      <c r="L92" s="2" t="s">
        <v>49</v>
      </c>
      <c r="M92" s="2" t="s">
        <v>150</v>
      </c>
      <c r="N92" s="2" t="s">
        <v>51</v>
      </c>
      <c r="O92" s="2" t="s">
        <v>11</v>
      </c>
      <c r="P92" s="2"/>
      <c r="Q92" s="2" t="s">
        <v>241</v>
      </c>
      <c r="R92" s="2"/>
    </row>
    <row r="93" spans="1:18">
      <c r="A93" s="2" t="s">
        <v>243</v>
      </c>
      <c r="B93" s="2" t="s">
        <v>244</v>
      </c>
      <c r="C93" s="2" t="s">
        <v>245</v>
      </c>
      <c r="D93" s="2">
        <v>3424</v>
      </c>
      <c r="E93" s="2">
        <v>1000000</v>
      </c>
      <c r="F93" s="3">
        <f>IF(COUNT(D93,E93)=2,D93*E93,NA())</f>
        <v>3424000000.0</v>
      </c>
      <c r="G93" s="2" t="s">
        <v>45</v>
      </c>
      <c r="H93" s="2" t="s">
        <v>46</v>
      </c>
      <c r="I93" s="2" t="s">
        <v>47</v>
      </c>
      <c r="J93" s="2" t="s">
        <v>9</v>
      </c>
      <c r="K93" s="2"/>
      <c r="L93" s="2" t="s">
        <v>49</v>
      </c>
      <c r="M93" s="2" t="s">
        <v>150</v>
      </c>
      <c r="N93" s="2" t="s">
        <v>51</v>
      </c>
      <c r="O93" s="2" t="s">
        <v>11</v>
      </c>
      <c r="P93" s="2"/>
      <c r="Q93" s="2" t="s">
        <v>243</v>
      </c>
      <c r="R93" s="2"/>
    </row>
    <row r="94" spans="1:18">
      <c r="A94" s="2" t="s">
        <v>246</v>
      </c>
      <c r="B94" s="2" t="s">
        <v>247</v>
      </c>
      <c r="C94" s="2" t="s">
        <v>245</v>
      </c>
      <c r="D94" s="2">
        <v>5285</v>
      </c>
      <c r="E94" s="2">
        <v>1000000</v>
      </c>
      <c r="F94" s="3">
        <f>IF(COUNT(D94,E94)=2,D94*E94,NA())</f>
        <v>5285000000.0</v>
      </c>
      <c r="G94" s="2" t="s">
        <v>45</v>
      </c>
      <c r="H94" s="2" t="s">
        <v>46</v>
      </c>
      <c r="I94" s="2" t="s">
        <v>47</v>
      </c>
      <c r="J94" s="2" t="s">
        <v>9</v>
      </c>
      <c r="K94" s="2"/>
      <c r="L94" s="2" t="s">
        <v>49</v>
      </c>
      <c r="M94" s="2" t="s">
        <v>150</v>
      </c>
      <c r="N94" s="2" t="s">
        <v>51</v>
      </c>
      <c r="O94" s="2" t="s">
        <v>11</v>
      </c>
      <c r="P94" s="2"/>
      <c r="Q94" s="2" t="s">
        <v>246</v>
      </c>
      <c r="R94" s="2"/>
    </row>
    <row r="95" spans="1:18">
      <c r="A95" s="2" t="s">
        <v>248</v>
      </c>
      <c r="B95" s="2" t="s">
        <v>249</v>
      </c>
      <c r="C95" s="2" t="s">
        <v>250</v>
      </c>
      <c r="D95" s="2">
        <v>2870</v>
      </c>
      <c r="E95" s="2">
        <v>1000000</v>
      </c>
      <c r="F95" s="3">
        <f>IF(COUNT(D95,E95)=2,D95*E95,NA())</f>
        <v>2870000000.0</v>
      </c>
      <c r="G95" s="2" t="s">
        <v>45</v>
      </c>
      <c r="H95" s="2" t="s">
        <v>46</v>
      </c>
      <c r="I95" s="2" t="s">
        <v>47</v>
      </c>
      <c r="J95" s="2" t="s">
        <v>251</v>
      </c>
      <c r="K95" s="2"/>
      <c r="L95" s="2" t="s">
        <v>49</v>
      </c>
      <c r="M95" s="2" t="s">
        <v>150</v>
      </c>
      <c r="N95" s="2" t="s">
        <v>51</v>
      </c>
      <c r="O95" s="2" t="s">
        <v>11</v>
      </c>
      <c r="P95" s="2"/>
      <c r="Q95" s="2" t="s">
        <v>248</v>
      </c>
      <c r="R95" s="2"/>
    </row>
  </sheetData>
  <autoFilter ref="A1:R95"/>
  <pageMargins left="0.7" right="0.7" top="0.75" bottom="0.75" header="0.3" footer="0.3"/>
</worksheet>
</file>

<file path=xl/worksheets/sheet3.xml><?xml version="1.0" encoding="utf-8"?>
<worksheet xmlns="http://schemas.openxmlformats.org/spreadsheetml/2006/main" xmlns:r="http://schemas.openxmlformats.org/officeDocument/2006/relationships">
  <sheetPr>
    <pageSetUpPr fitToPage="1"/>
  </sheetPr>
  <dimension ref="A1:O29"/>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4.7109375" customWidth="1"/>
    <col min="2" max="3" width="20.7109375" customWidth="1"/>
    <col min="4" max="5" width="24.7109375" customWidth="1"/>
    <col min="6" max="6" width="13.7109375" customWidth="1"/>
    <col min="7" max="7" width="18.7109375" customWidth="1"/>
    <col min="8" max="8" width="22.7109375" customWidth="1"/>
    <col min="9" max="9" width="24.7109375" customWidth="1"/>
    <col min="10" max="10" width="12.7109375" customWidth="1"/>
    <col min="11" max="11" width="8.7109375" customWidth="1"/>
    <col min="12" max="12" width="16.7109375" customWidth="1"/>
    <col min="13" max="13" width="10.7109375" customWidth="1"/>
    <col min="14" max="15" width="11.7109375" customWidth="1"/>
  </cols>
  <sheetData>
    <row r="1" spans="1:15" ht="32" customHeight="1">
      <c r="A1" s="1" t="s">
        <v>26</v>
      </c>
      <c r="B1" s="1" t="s">
        <v>252</v>
      </c>
      <c r="C1" s="1" t="s">
        <v>253</v>
      </c>
      <c r="D1" s="1" t="s">
        <v>254</v>
      </c>
      <c r="E1" s="1" t="s">
        <v>255</v>
      </c>
      <c r="F1" s="1" t="s">
        <v>38</v>
      </c>
      <c r="G1" s="1" t="s">
        <v>256</v>
      </c>
      <c r="H1" s="1" t="s">
        <v>257</v>
      </c>
      <c r="I1" s="1" t="s">
        <v>258</v>
      </c>
      <c r="J1" s="1" t="s">
        <v>259</v>
      </c>
      <c r="K1" s="1" t="s">
        <v>30</v>
      </c>
      <c r="L1" s="1" t="s">
        <v>34</v>
      </c>
      <c r="M1" s="1" t="s">
        <v>8</v>
      </c>
      <c r="N1" s="1" t="s">
        <v>35</v>
      </c>
      <c r="O1" s="1" t="s">
        <v>36</v>
      </c>
    </row>
    <row r="2" spans="1:15">
      <c r="A2" s="2" t="s">
        <v>260</v>
      </c>
      <c r="B2" s="2" t="s">
        <v>261</v>
      </c>
      <c r="C2" s="2" t="s">
        <v>344</v>
      </c>
      <c r="D2" s="3">
        <f>IF(OR('Facts'!F3&lt;=0,'Facts'!F2&lt;0),NA(),((('Facts'!F2-'Facts'!F3)/'Facts'!F3))*1)</f>
        <v>0.3689034936008302</v>
      </c>
      <c r="E2" s="4">
        <f>D2/K2</f>
        <v>0.3689034936008302</v>
      </c>
      <c r="F2" s="2" t="str">
        <f>IF(ISNUMBER(D2),"calculated","not_calculated")</f>
        <v>calculated</v>
      </c>
      <c r="G2" s="2">
        <f>IF(ISNUMBER(D2),"","检查缺失值、分母与输入；口径变更须重跑Python")</f>
        <v/>
      </c>
      <c r="H2" s="2" t="s">
        <v>263</v>
      </c>
      <c r="I2" s="2" t="s">
        <v>264</v>
      </c>
      <c r="J2" s="2" t="s">
        <v>265</v>
      </c>
      <c r="K2" s="2">
        <v>1</v>
      </c>
      <c r="L2" s="2" t="s">
        <v>47</v>
      </c>
      <c r="M2" s="2" t="s">
        <v>9</v>
      </c>
      <c r="N2" s="2" t="s">
        <v>48</v>
      </c>
      <c r="O2" s="2" t="s">
        <v>49</v>
      </c>
    </row>
    <row r="3" spans="1:15">
      <c r="A3" s="2" t="s">
        <v>266</v>
      </c>
      <c r="B3" s="2" t="s">
        <v>267</v>
      </c>
      <c r="C3" s="2" t="s">
        <v>345</v>
      </c>
      <c r="D3" s="3">
        <f>IF(OR('Facts'!F13&lt;=0,'Facts'!F12&lt;0),NA(),((('Facts'!F12-'Facts'!F13)/'Facts'!F13))*1)</f>
        <v>0.3559103002660585</v>
      </c>
      <c r="E3" s="4">
        <f>D3/K3</f>
        <v>0.3559103002660585</v>
      </c>
      <c r="F3" s="2" t="str">
        <f>IF(ISNUMBER(D3),"calculated","not_calculated")</f>
        <v>calculated</v>
      </c>
      <c r="G3" s="2">
        <f>IF(ISNUMBER(D3),"","检查缺失值、分母与输入；口径变更须重跑Python")</f>
        <v/>
      </c>
      <c r="H3" s="2" t="s">
        <v>263</v>
      </c>
      <c r="I3" s="2" t="s">
        <v>264</v>
      </c>
      <c r="J3" s="2" t="s">
        <v>265</v>
      </c>
      <c r="K3" s="2">
        <v>1</v>
      </c>
      <c r="L3" s="2" t="s">
        <v>47</v>
      </c>
      <c r="M3" s="2" t="s">
        <v>9</v>
      </c>
      <c r="N3" s="2" t="s">
        <v>48</v>
      </c>
      <c r="O3" s="2" t="s">
        <v>49</v>
      </c>
    </row>
    <row r="4" spans="1:15">
      <c r="A4" s="2" t="s">
        <v>268</v>
      </c>
      <c r="B4" s="2" t="s">
        <v>269</v>
      </c>
      <c r="C4" s="2" t="s">
        <v>346</v>
      </c>
      <c r="D4" s="3">
        <f>IF(OR('Facts'!F9&lt;=0,'Facts'!F8&lt;0),NA(),((('Facts'!F8-'Facts'!F9)/'Facts'!F9))*1)</f>
        <v>0.42449336834309565</v>
      </c>
      <c r="E4" s="4">
        <f>D4/K4</f>
        <v>0.42449336834309565</v>
      </c>
      <c r="F4" s="2" t="str">
        <f>IF(ISNUMBER(D4),"calculated","not_calculated")</f>
        <v>calculated</v>
      </c>
      <c r="G4" s="2">
        <f>IF(ISNUMBER(D4),"","检查缺失值、分母与输入；口径变更须重跑Python")</f>
        <v/>
      </c>
      <c r="H4" s="2" t="s">
        <v>263</v>
      </c>
      <c r="I4" s="2" t="s">
        <v>264</v>
      </c>
      <c r="J4" s="2" t="s">
        <v>265</v>
      </c>
      <c r="K4" s="2">
        <v>1</v>
      </c>
      <c r="L4" s="2" t="s">
        <v>47</v>
      </c>
      <c r="M4" s="2" t="s">
        <v>9</v>
      </c>
      <c r="N4" s="2" t="s">
        <v>48</v>
      </c>
      <c r="O4" s="2" t="s">
        <v>49</v>
      </c>
    </row>
    <row r="5" spans="1:15">
      <c r="A5" s="2" t="s">
        <v>270</v>
      </c>
      <c r="B5" s="2" t="s">
        <v>271</v>
      </c>
      <c r="C5" s="2" t="s">
        <v>347</v>
      </c>
      <c r="D5" s="3">
        <f>IF(OR('Facts'!F7&lt;=0,'Facts'!F6&lt;0),NA(),((('Facts'!F6-'Facts'!F7)/'Facts'!F7))*1)</f>
        <v>0.037345240511467426</v>
      </c>
      <c r="E5" s="4">
        <f>D5/K5</f>
        <v>0.037345240511467426</v>
      </c>
      <c r="F5" s="2" t="str">
        <f>IF(ISNUMBER(D5),"calculated","not_calculated")</f>
        <v>calculated</v>
      </c>
      <c r="G5" s="2">
        <f>IF(ISNUMBER(D5),"","检查缺失值、分母与输入；口径变更须重跑Python")</f>
        <v/>
      </c>
      <c r="H5" s="2" t="s">
        <v>263</v>
      </c>
      <c r="I5" s="2" t="s">
        <v>264</v>
      </c>
      <c r="J5" s="2" t="s">
        <v>265</v>
      </c>
      <c r="K5" s="2">
        <v>1</v>
      </c>
      <c r="L5" s="2" t="s">
        <v>47</v>
      </c>
      <c r="M5" s="2" t="s">
        <v>9</v>
      </c>
      <c r="N5" s="2" t="s">
        <v>48</v>
      </c>
      <c r="O5" s="2" t="s">
        <v>49</v>
      </c>
    </row>
    <row r="6" spans="1:15">
      <c r="A6" s="2" t="s">
        <v>272</v>
      </c>
      <c r="B6" s="2" t="s">
        <v>273</v>
      </c>
      <c r="C6" s="2" t="s">
        <v>348</v>
      </c>
      <c r="D6" s="3">
        <f>(('Facts'!F2-'Facts'!F3))*1</f>
        <v>6399000000.0</v>
      </c>
      <c r="E6" s="3">
        <f>D6/K6</f>
        <v>6399.0</v>
      </c>
      <c r="F6" s="2" t="str">
        <f>IF(ISNUMBER(D6),"calculated","not_calculated")</f>
        <v>calculated</v>
      </c>
      <c r="G6" s="2">
        <f>IF(ISNUMBER(D6),"","检查缺失值、分母与输入；口径变更须重跑Python")</f>
        <v/>
      </c>
      <c r="H6" s="2" t="s">
        <v>274</v>
      </c>
      <c r="I6" s="2" t="s">
        <v>264</v>
      </c>
      <c r="J6" s="2" t="s">
        <v>275</v>
      </c>
      <c r="K6" s="2">
        <v>1000000</v>
      </c>
      <c r="L6" s="2" t="s">
        <v>47</v>
      </c>
      <c r="M6" s="2" t="s">
        <v>9</v>
      </c>
      <c r="N6" s="2" t="s">
        <v>48</v>
      </c>
      <c r="O6" s="2" t="s">
        <v>49</v>
      </c>
    </row>
    <row r="7" spans="1:15">
      <c r="A7" s="2" t="s">
        <v>276</v>
      </c>
      <c r="B7" s="2" t="s">
        <v>277</v>
      </c>
      <c r="C7" s="2" t="s">
        <v>349</v>
      </c>
      <c r="D7" s="3">
        <f>(('Facts'!F4-'Facts'!F5))*1</f>
        <v>6787000000.0</v>
      </c>
      <c r="E7" s="3">
        <f>D7/K7</f>
        <v>6787.0</v>
      </c>
      <c r="F7" s="2" t="str">
        <f>IF(ISNUMBER(D7),"calculated","not_calculated")</f>
        <v>calculated</v>
      </c>
      <c r="G7" s="2">
        <f>IF(ISNUMBER(D7),"","检查缺失值、分母与输入；口径变更须重跑Python")</f>
        <v/>
      </c>
      <c r="H7" s="2" t="s">
        <v>278</v>
      </c>
      <c r="I7" s="2" t="s">
        <v>264</v>
      </c>
      <c r="J7" s="2" t="s">
        <v>275</v>
      </c>
      <c r="K7" s="2">
        <v>1000000</v>
      </c>
      <c r="L7" s="2" t="s">
        <v>47</v>
      </c>
      <c r="M7" s="2" t="s">
        <v>9</v>
      </c>
      <c r="N7" s="2" t="s">
        <v>48</v>
      </c>
      <c r="O7" s="2" t="s">
        <v>49</v>
      </c>
    </row>
    <row r="8" spans="1:15">
      <c r="A8" s="2" t="s">
        <v>279</v>
      </c>
      <c r="B8" s="2" t="s">
        <v>280</v>
      </c>
      <c r="C8" s="2" t="s">
        <v>350</v>
      </c>
      <c r="D8" s="3">
        <f>IF('Calculations'!D7&lt;=0,NA(),(('Calculations'!D6/'Calculations'!D7))*1)</f>
        <v>0.942831884485045</v>
      </c>
      <c r="E8" s="4">
        <f>D8/K8</f>
        <v>0.942831884485045</v>
      </c>
      <c r="F8" s="2" t="str">
        <f>IF(ISNUMBER(D8),"calculated","not_calculated")</f>
        <v>calculated</v>
      </c>
      <c r="G8" s="2">
        <f>IF(ISNUMBER(D8),"","检查缺失值、分母与输入；口径变更须重跑Python")</f>
        <v/>
      </c>
      <c r="H8" s="2" t="s">
        <v>281</v>
      </c>
      <c r="I8" s="2" t="s">
        <v>264</v>
      </c>
      <c r="J8" s="2" t="s">
        <v>265</v>
      </c>
      <c r="K8" s="2">
        <v>1</v>
      </c>
      <c r="L8" s="2" t="s">
        <v>47</v>
      </c>
      <c r="M8" s="2" t="s">
        <v>9</v>
      </c>
      <c r="N8" s="2" t="s">
        <v>48</v>
      </c>
      <c r="O8" s="2" t="s">
        <v>49</v>
      </c>
    </row>
    <row r="9" spans="1:15">
      <c r="A9" s="2" t="s">
        <v>282</v>
      </c>
      <c r="B9" s="2" t="s">
        <v>283</v>
      </c>
      <c r="C9" s="2" t="s">
        <v>351</v>
      </c>
      <c r="D9" s="3">
        <f>(('Facts'!F14-'Facts'!F15))*1</f>
        <v>5229000000.0</v>
      </c>
      <c r="E9" s="3">
        <f>D9/K9</f>
        <v>5229.0</v>
      </c>
      <c r="F9" s="2" t="str">
        <f>IF(ISNUMBER(D9),"calculated","not_calculated")</f>
        <v>calculated</v>
      </c>
      <c r="G9" s="2">
        <f>IF(ISNUMBER(D9),"","检查缺失值、分母与输入；口径变更须重跑Python")</f>
        <v/>
      </c>
      <c r="H9" s="2" t="s">
        <v>284</v>
      </c>
      <c r="I9" s="2" t="s">
        <v>264</v>
      </c>
      <c r="J9" s="2" t="s">
        <v>275</v>
      </c>
      <c r="K9" s="2">
        <v>1000000</v>
      </c>
      <c r="L9" s="2" t="s">
        <v>47</v>
      </c>
      <c r="M9" s="2" t="s">
        <v>9</v>
      </c>
      <c r="N9" s="2" t="s">
        <v>48</v>
      </c>
      <c r="O9" s="2" t="s">
        <v>49</v>
      </c>
    </row>
    <row r="10" spans="1:15">
      <c r="A10" s="2" t="s">
        <v>285</v>
      </c>
      <c r="B10" s="2" t="s">
        <v>286</v>
      </c>
      <c r="C10" s="2" t="s">
        <v>352</v>
      </c>
      <c r="D10" s="3">
        <f>(('Facts'!F16-'Facts'!F17))*1</f>
        <v>6515000000.0</v>
      </c>
      <c r="E10" s="3">
        <f>D10/K10</f>
        <v>6515.0</v>
      </c>
      <c r="F10" s="2" t="str">
        <f>IF(ISNUMBER(D10),"calculated","not_calculated")</f>
        <v>calculated</v>
      </c>
      <c r="G10" s="2">
        <f>IF(ISNUMBER(D10),"","检查缺失值、分母与输入；口径变更须重跑Python")</f>
        <v/>
      </c>
      <c r="H10" s="2" t="s">
        <v>284</v>
      </c>
      <c r="I10" s="2" t="s">
        <v>264</v>
      </c>
      <c r="J10" s="2" t="s">
        <v>275</v>
      </c>
      <c r="K10" s="2">
        <v>1000000</v>
      </c>
      <c r="L10" s="2" t="s">
        <v>47</v>
      </c>
      <c r="M10" s="2" t="s">
        <v>9</v>
      </c>
      <c r="N10" s="2" t="s">
        <v>48</v>
      </c>
      <c r="O10" s="2" t="s">
        <v>49</v>
      </c>
    </row>
    <row r="11" spans="1:15">
      <c r="A11" s="2" t="s">
        <v>287</v>
      </c>
      <c r="B11" s="2" t="s">
        <v>288</v>
      </c>
      <c r="C11" s="2" t="s">
        <v>353</v>
      </c>
      <c r="D11" s="3">
        <f>IF('Calculations'!D10&lt;=0,NA(),(('Calculations'!D9/'Calculations'!D10))*1)</f>
        <v>0.8026093630084421</v>
      </c>
      <c r="E11" s="4">
        <f>D11/K11</f>
        <v>0.8026093630084421</v>
      </c>
      <c r="F11" s="2" t="str">
        <f>IF(ISNUMBER(D11),"calculated","not_calculated")</f>
        <v>calculated</v>
      </c>
      <c r="G11" s="2">
        <f>IF(ISNUMBER(D11),"","检查缺失值、分母与输入；口径变更须重跑Python")</f>
        <v/>
      </c>
      <c r="H11" s="2" t="s">
        <v>289</v>
      </c>
      <c r="I11" s="2" t="s">
        <v>264</v>
      </c>
      <c r="J11" s="2" t="s">
        <v>265</v>
      </c>
      <c r="K11" s="2">
        <v>1</v>
      </c>
      <c r="L11" s="2" t="s">
        <v>47</v>
      </c>
      <c r="M11" s="2" t="s">
        <v>9</v>
      </c>
      <c r="N11" s="2" t="s">
        <v>48</v>
      </c>
      <c r="O11" s="2" t="s">
        <v>49</v>
      </c>
    </row>
    <row r="12" spans="1:15">
      <c r="A12" s="2" t="s">
        <v>290</v>
      </c>
      <c r="B12" s="2" t="s">
        <v>291</v>
      </c>
      <c r="C12" s="2" t="s">
        <v>354</v>
      </c>
      <c r="D12" s="3">
        <f>(('Facts'!F8*1)+('Facts'!F18*1)+('Facts'!F19*1)+('Facts'!F20*1)+('Facts'!F21*1)+('Facts'!F22*1)+('Facts'!F23*1)+('Facts'!F24*1)+('Facts'!F25*1)+('Facts'!F26*1)+('Facts'!F27*1)+('Facts'!F28*1)+('Facts'!F29*1)+('Facts'!F30*1)+('Facts'!F31*1)+('Facts'!F32*1)+('Facts'!F33*1)+('Facts'!F34*1))*1</f>
        <v>19005000000.0</v>
      </c>
      <c r="E12" s="3">
        <f>D12/K12</f>
        <v>19005.0</v>
      </c>
      <c r="F12" s="2" t="str">
        <f>IF(ISNUMBER(D12),"calculated","not_calculated")</f>
        <v>calculated</v>
      </c>
      <c r="G12" s="2">
        <f>IF(ISNUMBER(D12),"","检查缺失值、分母与输入；口径变更须重跑Python")</f>
        <v/>
      </c>
      <c r="H12" s="2" t="s">
        <v>292</v>
      </c>
      <c r="I12" s="2" t="s">
        <v>264</v>
      </c>
      <c r="J12" s="2" t="s">
        <v>275</v>
      </c>
      <c r="K12" s="2">
        <v>1000000</v>
      </c>
      <c r="L12" s="2" t="s">
        <v>47</v>
      </c>
      <c r="M12" s="2" t="s">
        <v>9</v>
      </c>
      <c r="N12" s="2" t="s">
        <v>48</v>
      </c>
      <c r="O12" s="2" t="s">
        <v>49</v>
      </c>
    </row>
    <row r="13" spans="1:15">
      <c r="A13" s="2" t="s">
        <v>293</v>
      </c>
      <c r="B13" s="2" t="s">
        <v>294</v>
      </c>
      <c r="C13" s="2" t="s">
        <v>355</v>
      </c>
      <c r="D13" s="3">
        <f>(('Calculations'!D12*1)+('Facts'!F36*1)+('Facts'!F37*1)+('Facts'!F38*1)+('Facts'!F39*1))*1</f>
        <v>19855000000.0</v>
      </c>
      <c r="E13" s="3">
        <f>D13/K13</f>
        <v>19855.0</v>
      </c>
      <c r="F13" s="2" t="str">
        <f>IF(ISNUMBER(D13),"calculated","not_calculated")</f>
        <v>calculated</v>
      </c>
      <c r="G13" s="2">
        <f>IF(ISNUMBER(D13),"","检查缺失值、分母与输入；口径变更须重跑Python")</f>
        <v/>
      </c>
      <c r="H13" s="2" t="s">
        <v>295</v>
      </c>
      <c r="I13" s="2" t="s">
        <v>264</v>
      </c>
      <c r="J13" s="2" t="s">
        <v>275</v>
      </c>
      <c r="K13" s="2">
        <v>1000000</v>
      </c>
      <c r="L13" s="2" t="s">
        <v>47</v>
      </c>
      <c r="M13" s="2" t="s">
        <v>9</v>
      </c>
      <c r="N13" s="2" t="s">
        <v>48</v>
      </c>
      <c r="O13" s="2" t="s">
        <v>49</v>
      </c>
    </row>
    <row r="14" spans="1:15">
      <c r="A14" s="2" t="s">
        <v>296</v>
      </c>
      <c r="B14" s="2" t="s">
        <v>297</v>
      </c>
      <c r="C14" s="2" t="s">
        <v>356</v>
      </c>
      <c r="D14" s="3">
        <f>(('Calculations'!D13*1)+('Facts'!F41*1))*1</f>
        <v>25627000000.0</v>
      </c>
      <c r="E14" s="3">
        <f>D14/K14</f>
        <v>25627.0</v>
      </c>
      <c r="F14" s="2" t="str">
        <f>IF(ISNUMBER(D14),"calculated","not_calculated")</f>
        <v>calculated</v>
      </c>
      <c r="G14" s="2">
        <f>IF(ISNUMBER(D14),"","检查缺失值、分母与输入；口径变更须重跑Python")</f>
        <v/>
      </c>
      <c r="H14" s="2" t="s">
        <v>298</v>
      </c>
      <c r="I14" s="2" t="s">
        <v>264</v>
      </c>
      <c r="J14" s="2" t="s">
        <v>275</v>
      </c>
      <c r="K14" s="2">
        <v>1000000</v>
      </c>
      <c r="L14" s="2" t="s">
        <v>47</v>
      </c>
      <c r="M14" s="2" t="s">
        <v>9</v>
      </c>
      <c r="N14" s="2" t="s">
        <v>48</v>
      </c>
      <c r="O14" s="2" t="s">
        <v>49</v>
      </c>
    </row>
    <row r="15" spans="1:15">
      <c r="A15" s="2" t="s">
        <v>299</v>
      </c>
      <c r="B15" s="2" t="s">
        <v>300</v>
      </c>
      <c r="C15" s="2" t="s">
        <v>357</v>
      </c>
      <c r="D15" s="3">
        <f>(('Facts'!F49*1)+('Facts'!F42*1)+('Facts'!F43*1)+('Facts'!F44*1)+('Facts'!F45*1))*1</f>
        <v>19353000000.0</v>
      </c>
      <c r="E15" s="3">
        <f>D15/K15</f>
        <v>19353.0</v>
      </c>
      <c r="F15" s="2" t="str">
        <f>IF(ISNUMBER(D15),"calculated","not_calculated")</f>
        <v>calculated</v>
      </c>
      <c r="G15" s="2">
        <f>IF(ISNUMBER(D15),"","检查缺失值、分母与输入；口径变更须重跑Python")</f>
        <v/>
      </c>
      <c r="H15" s="2" t="s">
        <v>301</v>
      </c>
      <c r="I15" s="2" t="s">
        <v>264</v>
      </c>
      <c r="J15" s="2" t="s">
        <v>275</v>
      </c>
      <c r="K15" s="2">
        <v>1000000</v>
      </c>
      <c r="L15" s="2" t="s">
        <v>47</v>
      </c>
      <c r="M15" s="2" t="s">
        <v>9</v>
      </c>
      <c r="N15" s="2" t="s">
        <v>48</v>
      </c>
      <c r="O15" s="2" t="s">
        <v>49</v>
      </c>
    </row>
    <row r="16" spans="1:15">
      <c r="A16" s="2" t="s">
        <v>302</v>
      </c>
      <c r="B16" s="2" t="s">
        <v>303</v>
      </c>
      <c r="C16" s="2" t="s">
        <v>358</v>
      </c>
      <c r="D16" s="3">
        <f>(('Facts'!F52*1)+('Facts'!F53*1)+('Facts'!F54*1)+('Facts'!F55*1))*1</f>
        <v>182724000000.0</v>
      </c>
      <c r="E16" s="3">
        <f>D16/K16</f>
        <v>182724.0</v>
      </c>
      <c r="F16" s="2" t="str">
        <f>IF(ISNUMBER(D16),"calculated","not_calculated")</f>
        <v>calculated</v>
      </c>
      <c r="G16" s="2">
        <f>IF(ISNUMBER(D16),"","检查缺失值、分母与输入；口径变更须重跑Python")</f>
        <v/>
      </c>
      <c r="H16" s="2" t="s">
        <v>304</v>
      </c>
      <c r="I16" s="2" t="s">
        <v>264</v>
      </c>
      <c r="J16" s="2" t="s">
        <v>275</v>
      </c>
      <c r="K16" s="2">
        <v>1000000</v>
      </c>
      <c r="L16" s="2" t="s">
        <v>47</v>
      </c>
      <c r="M16" s="2" t="s">
        <v>9</v>
      </c>
      <c r="N16" s="2"/>
      <c r="O16" s="2" t="s">
        <v>49</v>
      </c>
    </row>
    <row r="17" spans="1:15">
      <c r="A17" s="2" t="s">
        <v>305</v>
      </c>
      <c r="B17" s="2" t="s">
        <v>306</v>
      </c>
      <c r="C17" s="2" t="s">
        <v>359</v>
      </c>
      <c r="D17" s="3">
        <f>(('Facts'!F53-'Facts'!F56))*1</f>
        <v>19353000000.0</v>
      </c>
      <c r="E17" s="3">
        <f>D17/K17</f>
        <v>19353.0</v>
      </c>
      <c r="F17" s="2" t="str">
        <f>IF(ISNUMBER(D17),"calculated","not_calculated")</f>
        <v>calculated</v>
      </c>
      <c r="G17" s="2">
        <f>IF(ISNUMBER(D17),"","检查缺失值、分母与输入；口径变更须重跑Python")</f>
        <v/>
      </c>
      <c r="H17" s="2" t="s">
        <v>307</v>
      </c>
      <c r="I17" s="2" t="s">
        <v>264</v>
      </c>
      <c r="J17" s="2" t="s">
        <v>275</v>
      </c>
      <c r="K17" s="2">
        <v>1000000</v>
      </c>
      <c r="L17" s="2" t="s">
        <v>47</v>
      </c>
      <c r="M17" s="2" t="s">
        <v>9</v>
      </c>
      <c r="N17" s="2"/>
      <c r="O17" s="2" t="s">
        <v>49</v>
      </c>
    </row>
    <row r="18" spans="1:15">
      <c r="A18" s="2" t="s">
        <v>308</v>
      </c>
      <c r="B18" s="2" t="s">
        <v>309</v>
      </c>
      <c r="C18" s="2" t="s">
        <v>360</v>
      </c>
      <c r="D18" s="3">
        <f>(('Facts'!F54*1)+('Facts'!F57*1)+('Facts'!F58*1)+('Facts'!F59*1)+('Facts'!F60*1)+('Facts'!F61*1))*1</f>
        <v>269243000000.0</v>
      </c>
      <c r="E18" s="3">
        <f>D18/K18</f>
        <v>269243.0</v>
      </c>
      <c r="F18" s="2" t="str">
        <f>IF(ISNUMBER(D18),"calculated","not_calculated")</f>
        <v>calculated</v>
      </c>
      <c r="G18" s="2">
        <f>IF(ISNUMBER(D18),"","检查缺失值、分母与输入；口径变更须重跑Python")</f>
        <v/>
      </c>
      <c r="H18" s="2" t="s">
        <v>310</v>
      </c>
      <c r="I18" s="2" t="s">
        <v>264</v>
      </c>
      <c r="J18" s="2" t="s">
        <v>275</v>
      </c>
      <c r="K18" s="2">
        <v>1000000</v>
      </c>
      <c r="L18" s="2" t="s">
        <v>47</v>
      </c>
      <c r="M18" s="2" t="s">
        <v>9</v>
      </c>
      <c r="N18" s="2"/>
      <c r="O18" s="2" t="s">
        <v>49</v>
      </c>
    </row>
    <row r="19" spans="1:15">
      <c r="A19" s="2" t="s">
        <v>311</v>
      </c>
      <c r="B19" s="2" t="s">
        <v>312</v>
      </c>
      <c r="C19" s="2" t="s">
        <v>361</v>
      </c>
      <c r="D19" s="3">
        <f>(('Facts'!F55*1)+('Facts'!F63*1)+('Facts'!F64*-1))*1</f>
        <v>35796000000.0</v>
      </c>
      <c r="E19" s="3">
        <f>D19/K19</f>
        <v>35796.0</v>
      </c>
      <c r="F19" s="2" t="str">
        <f>IF(ISNUMBER(D19),"calculated","not_calculated")</f>
        <v>calculated</v>
      </c>
      <c r="G19" s="2">
        <f>IF(ISNUMBER(D19),"","检查缺失值、分母与输入；口径变更须重跑Python")</f>
        <v/>
      </c>
      <c r="H19" s="2" t="s">
        <v>313</v>
      </c>
      <c r="I19" s="2" t="s">
        <v>264</v>
      </c>
      <c r="J19" s="2" t="s">
        <v>275</v>
      </c>
      <c r="K19" s="2">
        <v>1000000</v>
      </c>
      <c r="L19" s="2" t="s">
        <v>47</v>
      </c>
      <c r="M19" s="2" t="s">
        <v>9</v>
      </c>
      <c r="N19" s="2"/>
      <c r="O19" s="2" t="s">
        <v>49</v>
      </c>
    </row>
    <row r="20" spans="1:15">
      <c r="A20" s="2" t="s">
        <v>314</v>
      </c>
      <c r="B20" s="2" t="s">
        <v>315</v>
      </c>
      <c r="C20" s="2" t="s">
        <v>362</v>
      </c>
      <c r="D20" s="3">
        <f>(('Facts'!F66-'Facts'!F67))*1</f>
        <v>58729000000.0</v>
      </c>
      <c r="E20" s="3">
        <f>D20/K20</f>
        <v>58729.0</v>
      </c>
      <c r="F20" s="2" t="str">
        <f>IF(ISNUMBER(D20),"calculated","not_calculated")</f>
        <v>calculated</v>
      </c>
      <c r="G20" s="2">
        <f>IF(ISNUMBER(D20),"","检查缺失值、分母与输入；口径变更须重跑Python")</f>
        <v/>
      </c>
      <c r="H20" s="2" t="s">
        <v>316</v>
      </c>
      <c r="I20" s="2" t="s">
        <v>264</v>
      </c>
      <c r="J20" s="2" t="s">
        <v>275</v>
      </c>
      <c r="K20" s="2">
        <v>1000000</v>
      </c>
      <c r="L20" s="2" t="s">
        <v>47</v>
      </c>
      <c r="M20" s="2" t="s">
        <v>9</v>
      </c>
      <c r="N20" s="2"/>
      <c r="O20" s="2" t="s">
        <v>49</v>
      </c>
    </row>
    <row r="21" spans="1:15">
      <c r="A21" s="2" t="s">
        <v>317</v>
      </c>
      <c r="B21" s="2" t="s">
        <v>318</v>
      </c>
      <c r="C21" s="2" t="s">
        <v>363</v>
      </c>
      <c r="D21" s="3">
        <f>(('Facts'!F69*1)+('Facts'!F12*1)+('Facts'!F70*1)+('Facts'!F71*1)+('Facts'!F72*1)+('Facts'!F73*1)+('Facts'!F74*1)+('Facts'!F23*1)+('Facts'!F75*1))*1</f>
        <v>58729000000.0</v>
      </c>
      <c r="E21" s="3">
        <f>D21/K21</f>
        <v>58729.0</v>
      </c>
      <c r="F21" s="2" t="str">
        <f>IF(ISNUMBER(D21),"calculated","not_calculated")</f>
        <v>calculated</v>
      </c>
      <c r="G21" s="2">
        <f>IF(ISNUMBER(D21),"","检查缺失值、分母与输入；口径变更须重跑Python")</f>
        <v/>
      </c>
      <c r="H21" s="2" t="s">
        <v>319</v>
      </c>
      <c r="I21" s="2" t="s">
        <v>264</v>
      </c>
      <c r="J21" s="2" t="s">
        <v>275</v>
      </c>
      <c r="K21" s="2">
        <v>1000000</v>
      </c>
      <c r="L21" s="2" t="s">
        <v>47</v>
      </c>
      <c r="M21" s="2" t="s">
        <v>9</v>
      </c>
      <c r="N21" s="2" t="s">
        <v>48</v>
      </c>
      <c r="O21" s="2" t="s">
        <v>49</v>
      </c>
    </row>
    <row r="22" spans="1:15">
      <c r="A22" s="2" t="s">
        <v>320</v>
      </c>
      <c r="B22" s="2" t="s">
        <v>321</v>
      </c>
      <c r="C22" s="2" t="s">
        <v>364</v>
      </c>
      <c r="D22" s="3">
        <f>(('Facts'!F78*1)+('Facts'!F76*1)+('Facts'!F77*-1))*1</f>
        <v>398000000.0</v>
      </c>
      <c r="E22" s="3">
        <f>D22/K22</f>
        <v>398.0</v>
      </c>
      <c r="F22" s="2" t="str">
        <f>IF(ISNUMBER(D22),"calculated","not_calculated")</f>
        <v>calculated</v>
      </c>
      <c r="G22" s="2">
        <f>IF(ISNUMBER(D22),"","检查缺失值、分母与输入；口径变更须重跑Python")</f>
        <v/>
      </c>
      <c r="H22" s="2" t="s">
        <v>322</v>
      </c>
      <c r="I22" s="2" t="s">
        <v>264</v>
      </c>
      <c r="J22" s="2" t="s">
        <v>275</v>
      </c>
      <c r="K22" s="2">
        <v>1000000</v>
      </c>
      <c r="L22" s="2" t="s">
        <v>47</v>
      </c>
      <c r="M22" s="2" t="s">
        <v>9</v>
      </c>
      <c r="N22" s="2" t="s">
        <v>48</v>
      </c>
      <c r="O22" s="2" t="s">
        <v>49</v>
      </c>
    </row>
    <row r="23" spans="1:15">
      <c r="A23" s="2" t="s">
        <v>323</v>
      </c>
      <c r="B23" s="2" t="s">
        <v>324</v>
      </c>
      <c r="C23" s="2" t="s">
        <v>365</v>
      </c>
      <c r="D23" s="3">
        <f>(('Facts'!F80*1)+('Facts'!F82*1)+('Facts'!F83*-1))*1</f>
        <v>13274000000.0</v>
      </c>
      <c r="E23" s="3">
        <f>D23/K23</f>
        <v>13274.0</v>
      </c>
      <c r="F23" s="2" t="str">
        <f>IF(ISNUMBER(D23),"calculated","not_calculated")</f>
        <v>calculated</v>
      </c>
      <c r="G23" s="2">
        <f>IF(ISNUMBER(D23),"","检查缺失值、分母与输入；口径变更须重跑Python")</f>
        <v/>
      </c>
      <c r="H23" s="2" t="s">
        <v>325</v>
      </c>
      <c r="I23" s="2" t="s">
        <v>264</v>
      </c>
      <c r="J23" s="2" t="s">
        <v>275</v>
      </c>
      <c r="K23" s="2">
        <v>1000000</v>
      </c>
      <c r="L23" s="2" t="s">
        <v>47</v>
      </c>
      <c r="M23" s="2" t="s">
        <v>9</v>
      </c>
      <c r="N23" s="2" t="s">
        <v>48</v>
      </c>
      <c r="O23" s="2" t="s">
        <v>49</v>
      </c>
    </row>
    <row r="24" spans="1:15">
      <c r="A24" s="2" t="s">
        <v>326</v>
      </c>
      <c r="B24" s="2" t="s">
        <v>327</v>
      </c>
      <c r="C24" s="2" t="s">
        <v>366</v>
      </c>
      <c r="D24" s="3">
        <f>(('Facts'!F91*1)+('Facts'!F84*1)+('Facts'!F85*1)+('Facts'!F86*-1)+('Facts'!F87*-1)+('Facts'!F88*-1)+('Facts'!F89*1))*1</f>
        <v>4341000000.0</v>
      </c>
      <c r="E24" s="3">
        <f>D24/K24</f>
        <v>4341.0</v>
      </c>
      <c r="F24" s="2" t="str">
        <f>IF(ISNUMBER(D24),"calculated","not_calculated")</f>
        <v>calculated</v>
      </c>
      <c r="G24" s="2">
        <f>IF(ISNUMBER(D24),"","检查缺失值、分母与输入；口径变更须重跑Python")</f>
        <v/>
      </c>
      <c r="H24" s="2" t="s">
        <v>328</v>
      </c>
      <c r="I24" s="2" t="s">
        <v>264</v>
      </c>
      <c r="J24" s="2" t="s">
        <v>275</v>
      </c>
      <c r="K24" s="2">
        <v>1000000</v>
      </c>
      <c r="L24" s="2" t="s">
        <v>47</v>
      </c>
      <c r="M24" s="2" t="s">
        <v>9</v>
      </c>
      <c r="N24" s="2" t="s">
        <v>48</v>
      </c>
      <c r="O24" s="2" t="s">
        <v>49</v>
      </c>
    </row>
    <row r="25" spans="1:15">
      <c r="A25" s="2" t="s">
        <v>329</v>
      </c>
      <c r="B25" s="2" t="s">
        <v>330</v>
      </c>
      <c r="C25" s="2" t="s">
        <v>367</v>
      </c>
      <c r="D25" s="3">
        <f>(('Facts'!F40*1)+('Facts'!F46*-1)+('Facts'!F47*-1))*1</f>
        <v>14974000000.0</v>
      </c>
      <c r="E25" s="3">
        <f>D25/K25</f>
        <v>14974.0</v>
      </c>
      <c r="F25" s="2" t="str">
        <f>IF(ISNUMBER(D25),"calculated","not_calculated")</f>
        <v>calculated</v>
      </c>
      <c r="G25" s="2">
        <f>IF(ISNUMBER(D25),"","检查缺失值、分母与输入；口径变更须重跑Python")</f>
        <v/>
      </c>
      <c r="H25" s="2" t="s">
        <v>331</v>
      </c>
      <c r="I25" s="2" t="s">
        <v>264</v>
      </c>
      <c r="J25" s="2" t="s">
        <v>275</v>
      </c>
      <c r="K25" s="2">
        <v>1000000</v>
      </c>
      <c r="L25" s="2" t="s">
        <v>47</v>
      </c>
      <c r="M25" s="2" t="s">
        <v>9</v>
      </c>
      <c r="N25" s="2" t="s">
        <v>48</v>
      </c>
      <c r="O25" s="2" t="s">
        <v>49</v>
      </c>
    </row>
    <row r="26" spans="1:15">
      <c r="A26" s="2" t="s">
        <v>332</v>
      </c>
      <c r="B26" s="2" t="s">
        <v>333</v>
      </c>
      <c r="C26" s="2" t="s">
        <v>368</v>
      </c>
      <c r="D26" s="3">
        <f>(('Calculations'!D25-'Facts'!F48))*1</f>
        <v>1252000000.0</v>
      </c>
      <c r="E26" s="3">
        <f>D26/K26</f>
        <v>1252.0</v>
      </c>
      <c r="F26" s="2" t="str">
        <f>IF(ISNUMBER(D26),"calculated","not_calculated")</f>
        <v>calculated</v>
      </c>
      <c r="G26" s="2">
        <f>IF(ISNUMBER(D26),"","检查缺失值、分母与输入；口径变更须重跑Python")</f>
        <v/>
      </c>
      <c r="H26" s="2" t="s">
        <v>334</v>
      </c>
      <c r="I26" s="2" t="s">
        <v>264</v>
      </c>
      <c r="J26" s="2" t="s">
        <v>275</v>
      </c>
      <c r="K26" s="2">
        <v>1000000</v>
      </c>
      <c r="L26" s="2" t="s">
        <v>47</v>
      </c>
      <c r="M26" s="2" t="s">
        <v>9</v>
      </c>
      <c r="N26" s="2" t="s">
        <v>48</v>
      </c>
      <c r="O26" s="2" t="s">
        <v>49</v>
      </c>
    </row>
    <row r="27" spans="1:15">
      <c r="A27" s="2" t="s">
        <v>335</v>
      </c>
      <c r="B27" s="2" t="s">
        <v>336</v>
      </c>
      <c r="C27" s="2" t="s">
        <v>369</v>
      </c>
      <c r="D27" s="3">
        <f>IF('Facts'!F8&lt;=0,NA(),(('Facts'!F10/'Facts'!F8))*1)</f>
        <v>0.1569619056621609</v>
      </c>
      <c r="E27" s="4">
        <f>D27/K27</f>
        <v>0.1569619056621609</v>
      </c>
      <c r="F27" s="2" t="str">
        <f>IF(ISNUMBER(D27),"calculated","not_calculated")</f>
        <v>calculated</v>
      </c>
      <c r="G27" s="2">
        <f>IF(ISNUMBER(D27),"","检查缺失值、分母与输入；口径变更须重跑Python")</f>
        <v/>
      </c>
      <c r="H27" s="2" t="s">
        <v>337</v>
      </c>
      <c r="I27" s="2" t="s">
        <v>264</v>
      </c>
      <c r="J27" s="2" t="s">
        <v>265</v>
      </c>
      <c r="K27" s="2">
        <v>1</v>
      </c>
      <c r="L27" s="2" t="s">
        <v>47</v>
      </c>
      <c r="M27" s="2" t="s">
        <v>9</v>
      </c>
      <c r="N27" s="2" t="s">
        <v>48</v>
      </c>
      <c r="O27" s="2" t="s">
        <v>49</v>
      </c>
    </row>
    <row r="28" spans="1:15">
      <c r="A28" s="2" t="s">
        <v>338</v>
      </c>
      <c r="B28" s="2" t="s">
        <v>339</v>
      </c>
      <c r="C28" s="2" t="s">
        <v>370</v>
      </c>
      <c r="D28" s="3">
        <f>(('Facts'!F10-'Facts'!F11))*1</f>
        <v>1623000000.0</v>
      </c>
      <c r="E28" s="3">
        <f>D28/K28</f>
        <v>1623.0</v>
      </c>
      <c r="F28" s="2" t="str">
        <f>IF(ISNUMBER(D28),"calculated","not_calculated")</f>
        <v>calculated</v>
      </c>
      <c r="G28" s="2">
        <f>IF(ISNUMBER(D28),"","检查缺失值、分母与输入；口径变更须重跑Python")</f>
        <v/>
      </c>
      <c r="H28" s="2" t="s">
        <v>340</v>
      </c>
      <c r="I28" s="2" t="s">
        <v>264</v>
      </c>
      <c r="J28" s="2" t="s">
        <v>275</v>
      </c>
      <c r="K28" s="2">
        <v>1000000</v>
      </c>
      <c r="L28" s="2" t="s">
        <v>47</v>
      </c>
      <c r="M28" s="2" t="s">
        <v>9</v>
      </c>
      <c r="N28" s="2" t="s">
        <v>48</v>
      </c>
      <c r="O28" s="2" t="s">
        <v>49</v>
      </c>
    </row>
    <row r="29" spans="1:15">
      <c r="A29" s="2" t="s">
        <v>341</v>
      </c>
      <c r="B29" s="2" t="s">
        <v>342</v>
      </c>
      <c r="C29" s="2" t="s">
        <v>371</v>
      </c>
      <c r="D29" s="3">
        <f>IF('Calculations'!D28&lt;=0,NA(),(('Facts'!F90/'Calculations'!D28))*1)</f>
        <v>0.4319162045594578</v>
      </c>
      <c r="E29" s="4">
        <f>D29/K29</f>
        <v>0.4319162045594578</v>
      </c>
      <c r="F29" s="2" t="str">
        <f>IF(ISNUMBER(D29),"calculated","not_calculated")</f>
        <v>calculated</v>
      </c>
      <c r="G29" s="2">
        <f>IF(ISNUMBER(D29),"","检查缺失值、分母与输入；口径变更须重跑Python")</f>
        <v/>
      </c>
      <c r="H29" s="2" t="s">
        <v>343</v>
      </c>
      <c r="I29" s="2" t="s">
        <v>264</v>
      </c>
      <c r="J29" s="2" t="s">
        <v>265</v>
      </c>
      <c r="K29" s="2">
        <v>1</v>
      </c>
      <c r="L29" s="2" t="s">
        <v>47</v>
      </c>
      <c r="M29" s="2" t="s">
        <v>9</v>
      </c>
      <c r="N29" s="2" t="s">
        <v>48</v>
      </c>
      <c r="O29" s="2" t="s">
        <v>49</v>
      </c>
    </row>
  </sheetData>
  <autoFilter ref="A1:O29"/>
  <pageMargins left="0.25" right="0.25" top="0.75" bottom="0.75" header="0.3" footer="0.3"/>
  <pageSetup paperSize="8" fitToHeight="0" orientation="landscape"/>
</worksheet>
</file>

<file path=xl/worksheets/sheet4.xml><?xml version="1.0" encoding="utf-8"?>
<worksheet xmlns="http://schemas.openxmlformats.org/spreadsheetml/2006/main" xmlns:r="http://schemas.openxmlformats.org/officeDocument/2006/relationships">
  <sheetPr>
    <pageSetUpPr fitToPage="1"/>
  </sheetPr>
  <dimension ref="A1:J1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30.7109375" customWidth="1"/>
    <col min="3" max="4" width="22.7109375" customWidth="1"/>
    <col min="5" max="6" width="24.7109375" customWidth="1"/>
    <col min="7" max="7" width="25.7109375" customWidth="1"/>
    <col min="8" max="8" width="38.7109375" customWidth="1"/>
    <col min="9" max="9" width="28.7109375" customWidth="1"/>
    <col min="10" max="10" width="12.7109375" customWidth="1"/>
  </cols>
  <sheetData>
    <row r="1" spans="1:10" ht="32" customHeight="1">
      <c r="A1" s="1" t="s">
        <v>26</v>
      </c>
      <c r="B1" s="1" t="s">
        <v>372</v>
      </c>
      <c r="C1" s="1" t="s">
        <v>373</v>
      </c>
      <c r="D1" s="1" t="s">
        <v>374</v>
      </c>
      <c r="E1" s="1" t="s">
        <v>375</v>
      </c>
      <c r="F1" s="1" t="s">
        <v>376</v>
      </c>
      <c r="G1" s="1" t="s">
        <v>38</v>
      </c>
      <c r="H1" s="1" t="s">
        <v>377</v>
      </c>
      <c r="I1" s="1" t="s">
        <v>378</v>
      </c>
      <c r="J1" s="1" t="s">
        <v>379</v>
      </c>
    </row>
    <row r="2" spans="1:10">
      <c r="A2" s="2" t="s">
        <v>380</v>
      </c>
      <c r="B2" s="2" t="s">
        <v>380</v>
      </c>
      <c r="C2" s="2" t="s">
        <v>290</v>
      </c>
      <c r="D2" s="2" t="s">
        <v>119</v>
      </c>
      <c r="E2" s="3">
        <f>ROUND('Calculations'!D12-'Facts'!F35,J2)</f>
        <v>0.0</v>
      </c>
      <c r="F2" s="2">
        <v>0</v>
      </c>
      <c r="G2" s="2" t="str">
        <f>IF(COUNT(E2,F2)&lt;2,"not_tested",IF(ABS(E2)&lt;=F2,"within_input_tolerance","unexplained_difference"))</f>
        <v>within_input_tolerance</v>
      </c>
      <c r="H2" s="2" t="s">
        <v>382</v>
      </c>
      <c r="I2" s="2">
        <f>IF(ISNUMBER(E2),"","missing or unavailable input")</f>
        <v/>
      </c>
      <c r="J2">
        <v>0</v>
      </c>
    </row>
    <row r="3" spans="1:10">
      <c r="A3" s="2" t="s">
        <v>383</v>
      </c>
      <c r="B3" s="2" t="s">
        <v>383</v>
      </c>
      <c r="C3" s="2" t="s">
        <v>293</v>
      </c>
      <c r="D3" s="2" t="s">
        <v>129</v>
      </c>
      <c r="E3" s="3">
        <f>ROUND('Calculations'!D13-'Facts'!F40,J3)</f>
        <v>0.0</v>
      </c>
      <c r="F3" s="2">
        <v>0</v>
      </c>
      <c r="G3" s="2" t="str">
        <f>IF(COUNT(E3,F3)&lt;2,"not_tested",IF(ABS(E3)&lt;=F3,"within_input_tolerance","unexplained_difference"))</f>
        <v>within_input_tolerance</v>
      </c>
      <c r="H3" s="2" t="s">
        <v>382</v>
      </c>
      <c r="I3" s="2">
        <f>IF(ISNUMBER(E3),"","missing or unavailable input")</f>
        <v/>
      </c>
      <c r="J3">
        <v>0</v>
      </c>
    </row>
    <row r="4" spans="1:10">
      <c r="A4" s="2" t="s">
        <v>384</v>
      </c>
      <c r="B4" s="2" t="s">
        <v>384</v>
      </c>
      <c r="C4" s="2" t="s">
        <v>296</v>
      </c>
      <c r="D4" s="2" t="s">
        <v>133</v>
      </c>
      <c r="E4" s="3">
        <f>ROUND('Calculations'!D14-'Facts'!F42,J4)</f>
        <v>0.0</v>
      </c>
      <c r="F4" s="2">
        <v>0</v>
      </c>
      <c r="G4" s="2" t="str">
        <f>IF(COUNT(E4,F4)&lt;2,"not_tested",IF(ABS(E4)&lt;=F4,"within_input_tolerance","unexplained_difference"))</f>
        <v>within_input_tolerance</v>
      </c>
      <c r="H4" s="2" t="s">
        <v>382</v>
      </c>
      <c r="I4" s="2">
        <f>IF(ISNUMBER(E4),"","missing or unavailable input")</f>
        <v/>
      </c>
      <c r="J4">
        <v>0</v>
      </c>
    </row>
    <row r="5" spans="1:10">
      <c r="A5" s="2" t="s">
        <v>385</v>
      </c>
      <c r="B5" s="2" t="s">
        <v>385</v>
      </c>
      <c r="C5" s="2" t="s">
        <v>299</v>
      </c>
      <c r="D5" s="2" t="s">
        <v>151</v>
      </c>
      <c r="E5" s="3">
        <f>ROUND('Calculations'!D15-'Facts'!F50,J5)</f>
        <v>0.0</v>
      </c>
      <c r="F5" s="2">
        <v>0</v>
      </c>
      <c r="G5" s="2" t="str">
        <f>IF(COUNT(E5,F5)&lt;2,"not_tested",IF(ABS(E5)&lt;=F5,"within_input_tolerance","unexplained_difference"))</f>
        <v>within_input_tolerance</v>
      </c>
      <c r="H5" s="2" t="s">
        <v>382</v>
      </c>
      <c r="I5" s="2">
        <f>IF(ISNUMBER(E5),"","missing or unavailable input")</f>
        <v/>
      </c>
      <c r="J5">
        <v>0</v>
      </c>
    </row>
    <row r="6" spans="1:10">
      <c r="A6" s="2" t="s">
        <v>386</v>
      </c>
      <c r="B6" s="2" t="s">
        <v>386</v>
      </c>
      <c r="C6" s="2" t="s">
        <v>302</v>
      </c>
      <c r="D6" s="2" t="s">
        <v>153</v>
      </c>
      <c r="E6" s="3">
        <f>ROUND('Calculations'!D16-'Facts'!F51,J6)</f>
        <v>0.0</v>
      </c>
      <c r="F6" s="2">
        <v>0</v>
      </c>
      <c r="G6" s="2" t="str">
        <f>IF(COUNT(E6,F6)&lt;2,"not_tested",IF(ABS(E6)&lt;=F6,"within_input_tolerance","unexplained_difference"))</f>
        <v>within_input_tolerance</v>
      </c>
      <c r="H6" s="2" t="s">
        <v>382</v>
      </c>
      <c r="I6" s="2">
        <f>IF(ISNUMBER(E6),"","missing or unavailable input")</f>
        <v/>
      </c>
      <c r="J6">
        <v>0</v>
      </c>
    </row>
    <row r="7" spans="1:10">
      <c r="A7" s="2" t="s">
        <v>387</v>
      </c>
      <c r="B7" s="2" t="s">
        <v>387</v>
      </c>
      <c r="C7" s="2" t="s">
        <v>305</v>
      </c>
      <c r="D7" s="2" t="s">
        <v>151</v>
      </c>
      <c r="E7" s="3">
        <f>ROUND('Calculations'!D17-'Facts'!F50,J7)</f>
        <v>0.0</v>
      </c>
      <c r="F7" s="2">
        <v>0</v>
      </c>
      <c r="G7" s="2" t="str">
        <f>IF(COUNT(E7,F7)&lt;2,"not_tested",IF(ABS(E7)&lt;=F7,"within_input_tolerance","unexplained_difference"))</f>
        <v>within_input_tolerance</v>
      </c>
      <c r="H7" s="2" t="s">
        <v>382</v>
      </c>
      <c r="I7" s="2">
        <f>IF(ISNUMBER(E7),"","missing or unavailable input")</f>
        <v/>
      </c>
      <c r="J7">
        <v>0</v>
      </c>
    </row>
    <row r="8" spans="1:10">
      <c r="A8" s="2" t="s">
        <v>388</v>
      </c>
      <c r="B8" s="2" t="s">
        <v>388</v>
      </c>
      <c r="C8" s="2" t="s">
        <v>308</v>
      </c>
      <c r="D8" s="2" t="s">
        <v>176</v>
      </c>
      <c r="E8" s="3">
        <f>ROUND('Calculations'!D18-'Facts'!F62,J8)</f>
        <v>0.0</v>
      </c>
      <c r="F8" s="2">
        <v>0</v>
      </c>
      <c r="G8" s="2" t="str">
        <f>IF(COUNT(E8,F8)&lt;2,"not_tested",IF(ABS(E8)&lt;=F8,"within_input_tolerance","unexplained_difference"))</f>
        <v>within_input_tolerance</v>
      </c>
      <c r="H8" s="2" t="s">
        <v>382</v>
      </c>
      <c r="I8" s="2">
        <f>IF(ISNUMBER(E8),"","missing or unavailable input")</f>
        <v/>
      </c>
      <c r="J8">
        <v>0</v>
      </c>
    </row>
    <row r="9" spans="1:10">
      <c r="A9" s="2" t="s">
        <v>389</v>
      </c>
      <c r="B9" s="2" t="s">
        <v>389</v>
      </c>
      <c r="C9" s="2" t="s">
        <v>311</v>
      </c>
      <c r="D9" s="2" t="s">
        <v>182</v>
      </c>
      <c r="E9" s="3">
        <f>ROUND('Calculations'!D19-'Facts'!F65,J9)</f>
        <v>0.0</v>
      </c>
      <c r="F9" s="2">
        <v>0</v>
      </c>
      <c r="G9" s="2" t="str">
        <f>IF(COUNT(E9,F9)&lt;2,"not_tested",IF(ABS(E9)&lt;=F9,"within_input_tolerance","unexplained_difference"))</f>
        <v>within_input_tolerance</v>
      </c>
      <c r="H9" s="2" t="s">
        <v>382</v>
      </c>
      <c r="I9" s="2">
        <f>IF(ISNUMBER(E9),"","missing or unavailable input")</f>
        <v/>
      </c>
      <c r="J9">
        <v>0</v>
      </c>
    </row>
    <row r="10" spans="1:10">
      <c r="A10" s="2" t="s">
        <v>390</v>
      </c>
      <c r="B10" s="2" t="s">
        <v>390</v>
      </c>
      <c r="C10" s="2" t="s">
        <v>314</v>
      </c>
      <c r="D10" s="2" t="s">
        <v>189</v>
      </c>
      <c r="E10" s="3">
        <f>ROUND('Calculations'!D20-'Facts'!F68,J10)</f>
        <v>0.0</v>
      </c>
      <c r="F10" s="2">
        <v>0</v>
      </c>
      <c r="G10" s="2" t="str">
        <f>IF(COUNT(E10,F10)&lt;2,"not_tested",IF(ABS(E10)&lt;=F10,"within_input_tolerance","unexplained_difference"))</f>
        <v>within_input_tolerance</v>
      </c>
      <c r="H10" s="2" t="s">
        <v>382</v>
      </c>
      <c r="I10" s="2">
        <f>IF(ISNUMBER(E10),"","missing or unavailable input")</f>
        <v/>
      </c>
      <c r="J10">
        <v>0</v>
      </c>
    </row>
    <row r="11" spans="1:10">
      <c r="A11" s="2" t="s">
        <v>391</v>
      </c>
      <c r="B11" s="2" t="s">
        <v>391</v>
      </c>
      <c r="C11" s="2" t="s">
        <v>317</v>
      </c>
      <c r="D11" s="2" t="s">
        <v>189</v>
      </c>
      <c r="E11" s="3">
        <f>ROUND('Calculations'!D21-'Facts'!F68,J11)</f>
        <v>0.0</v>
      </c>
      <c r="F11" s="2">
        <v>0</v>
      </c>
      <c r="G11" s="2" t="str">
        <f>IF(COUNT(E11,F11)&lt;2,"not_tested",IF(ABS(E11)&lt;=F11,"within_input_tolerance","unexplained_difference"))</f>
        <v>within_input_tolerance</v>
      </c>
      <c r="H11" s="2" t="s">
        <v>382</v>
      </c>
      <c r="I11" s="2">
        <f>IF(ISNUMBER(E11),"","missing or unavailable input")</f>
        <v/>
      </c>
      <c r="J11">
        <v>0</v>
      </c>
    </row>
    <row r="12" spans="1:10">
      <c r="A12" s="2" t="s">
        <v>392</v>
      </c>
      <c r="B12" s="2" t="s">
        <v>392</v>
      </c>
      <c r="C12" s="2" t="s">
        <v>320</v>
      </c>
      <c r="D12" s="2" t="s">
        <v>213</v>
      </c>
      <c r="E12" s="3">
        <f>ROUND('Calculations'!D22-'Facts'!F79,J12)</f>
        <v>0.0</v>
      </c>
      <c r="F12" s="2">
        <v>0</v>
      </c>
      <c r="G12" s="2" t="str">
        <f>IF(COUNT(E12,F12)&lt;2,"not_tested",IF(ABS(E12)&lt;=F12,"within_input_tolerance","unexplained_difference"))</f>
        <v>within_input_tolerance</v>
      </c>
      <c r="H12" s="2" t="s">
        <v>382</v>
      </c>
      <c r="I12" s="2">
        <f>IF(ISNUMBER(E12),"","missing or unavailable input")</f>
        <v/>
      </c>
      <c r="J12">
        <v>0</v>
      </c>
    </row>
    <row r="13" spans="1:10">
      <c r="A13" s="2" t="s">
        <v>393</v>
      </c>
      <c r="B13" s="2" t="s">
        <v>393</v>
      </c>
      <c r="C13" s="2" t="s">
        <v>323</v>
      </c>
      <c r="D13" s="2" t="s">
        <v>218</v>
      </c>
      <c r="E13" s="3">
        <f>ROUND('Calculations'!D23-'Facts'!F81,J13)</f>
        <v>0.0</v>
      </c>
      <c r="F13" s="2">
        <v>0</v>
      </c>
      <c r="G13" s="2" t="str">
        <f>IF(COUNT(E13,F13)&lt;2,"not_tested",IF(ABS(E13)&lt;=F13,"within_input_tolerance","unexplained_difference"))</f>
        <v>within_input_tolerance</v>
      </c>
      <c r="H13" s="2" t="s">
        <v>382</v>
      </c>
      <c r="I13" s="2">
        <f>IF(ISNUMBER(E13),"","missing or unavailable input")</f>
        <v/>
      </c>
      <c r="J13">
        <v>0</v>
      </c>
    </row>
    <row r="14" spans="1:10">
      <c r="A14" s="2" t="s">
        <v>394</v>
      </c>
      <c r="B14" s="2" t="s">
        <v>394</v>
      </c>
      <c r="C14" s="2" t="s">
        <v>326</v>
      </c>
      <c r="D14" s="2" t="s">
        <v>241</v>
      </c>
      <c r="E14" s="3">
        <f>ROUND('Calculations'!D24-'Facts'!F92,J14)</f>
        <v>0.0</v>
      </c>
      <c r="F14" s="2">
        <v>0</v>
      </c>
      <c r="G14" s="2" t="str">
        <f>IF(COUNT(E14,F14)&lt;2,"not_tested",IF(ABS(E14)&lt;=F14,"within_input_tolerance","unexplained_difference"))</f>
        <v>within_input_tolerance</v>
      </c>
      <c r="H14" s="2" t="s">
        <v>382</v>
      </c>
      <c r="I14" s="2">
        <f>IF(ISNUMBER(E14),"","missing or unavailable input")</f>
        <v/>
      </c>
      <c r="J14">
        <v>0</v>
      </c>
    </row>
  </sheetData>
  <autoFilter ref="A1:J14"/>
  <pageMargins left="0.25" right="0.25" top="0.75" bottom="0.75" header="0.3" footer="0.3"/>
  <pageSetup paperSize="8" fitToHeight="0" orientation="landscape"/>
</worksheet>
</file>

<file path=xl/worksheets/sheet5.xml><?xml version="1.0" encoding="utf-8"?>
<worksheet xmlns="http://schemas.openxmlformats.org/spreadsheetml/2006/main" xmlns:r="http://schemas.openxmlformats.org/officeDocument/2006/relationships">
  <dimension ref="A1:F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0.7109375" customWidth="1"/>
    <col min="2" max="2" width="60.7109375" customWidth="1"/>
    <col min="3" max="3" width="100.7109375" customWidth="1"/>
    <col min="4" max="4" width="20.7109375" customWidth="1"/>
    <col min="5" max="6" width="70.7109375" customWidth="1"/>
  </cols>
  <sheetData>
    <row r="1" spans="1:6" ht="32" customHeight="1">
      <c r="A1" s="1" t="s">
        <v>26</v>
      </c>
      <c r="B1" s="1" t="s">
        <v>395</v>
      </c>
      <c r="C1" s="1" t="s">
        <v>396</v>
      </c>
      <c r="D1" s="1" t="s">
        <v>397</v>
      </c>
      <c r="E1" s="1" t="s">
        <v>398</v>
      </c>
      <c r="F1" s="1" t="s">
        <v>399</v>
      </c>
    </row>
    <row r="2" spans="1:6">
      <c r="A2" s="2" t="s">
        <v>400</v>
      </c>
      <c r="B2" s="2" t="s">
        <v>401</v>
      </c>
      <c r="C2" s="2" t="s">
        <v>402</v>
      </c>
      <c r="D2" s="2" t="s">
        <v>403</v>
      </c>
      <c r="E2" s="2" t="s">
        <v>404</v>
      </c>
      <c r="F2" s="2" t="s">
        <v>405</v>
      </c>
    </row>
    <row r="3" spans="1:6">
      <c r="A3" s="2" t="s">
        <v>406</v>
      </c>
      <c r="B3" s="2" t="s">
        <v>407</v>
      </c>
      <c r="C3" s="2" t="s">
        <v>408</v>
      </c>
      <c r="D3" s="2" t="s">
        <v>409</v>
      </c>
      <c r="E3" s="2" t="s">
        <v>410</v>
      </c>
      <c r="F3" s="2" t="s">
        <v>411</v>
      </c>
    </row>
    <row r="4" spans="1:6">
      <c r="A4" s="2" t="s">
        <v>412</v>
      </c>
      <c r="B4" s="2" t="s">
        <v>413</v>
      </c>
      <c r="C4" s="2" t="s">
        <v>414</v>
      </c>
      <c r="D4" s="2" t="s">
        <v>403</v>
      </c>
      <c r="E4" s="2" t="s">
        <v>415</v>
      </c>
      <c r="F4" s="2" t="s">
        <v>416</v>
      </c>
    </row>
  </sheetData>
  <autoFilter ref="A1:F4"/>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0.7109375" customWidth="1"/>
    <col min="3" max="3" width="45.7109375" customWidth="1"/>
    <col min="4" max="4" width="90.7109375" customWidth="1"/>
    <col min="5" max="5" width="65.7109375" customWidth="1"/>
  </cols>
  <sheetData>
    <row r="1" spans="1:5" ht="32" customHeight="1">
      <c r="A1" s="1" t="s">
        <v>26</v>
      </c>
      <c r="B1" s="1" t="s">
        <v>417</v>
      </c>
      <c r="C1" s="1" t="s">
        <v>418</v>
      </c>
      <c r="D1" s="1" t="s">
        <v>419</v>
      </c>
      <c r="E1" s="1" t="s">
        <v>420</v>
      </c>
    </row>
    <row r="2" spans="1:5">
      <c r="A2" s="2" t="s">
        <v>421</v>
      </c>
      <c r="B2" s="2" t="s">
        <v>400</v>
      </c>
      <c r="C2" s="2" t="s">
        <v>422</v>
      </c>
      <c r="D2" s="2" t="s">
        <v>423</v>
      </c>
      <c r="E2" s="2" t="s">
        <v>424</v>
      </c>
    </row>
    <row r="3" spans="1:5">
      <c r="A3" s="2" t="s">
        <v>44</v>
      </c>
      <c r="B3" s="2" t="s">
        <v>400</v>
      </c>
      <c r="C3" s="2" t="s">
        <v>425</v>
      </c>
      <c r="D3" s="2" t="s">
        <v>426</v>
      </c>
      <c r="E3" s="2" t="s">
        <v>424</v>
      </c>
    </row>
    <row r="4" spans="1:5">
      <c r="A4" s="2" t="s">
        <v>427</v>
      </c>
      <c r="B4" s="2" t="s">
        <v>400</v>
      </c>
      <c r="C4" s="2" t="s">
        <v>428</v>
      </c>
      <c r="D4" s="2" t="s">
        <v>429</v>
      </c>
      <c r="E4" s="2" t="s">
        <v>424</v>
      </c>
    </row>
    <row r="5" spans="1:5">
      <c r="A5" s="2" t="s">
        <v>86</v>
      </c>
      <c r="B5" s="2" t="s">
        <v>400</v>
      </c>
      <c r="C5" s="2" t="s">
        <v>430</v>
      </c>
      <c r="D5" s="2" t="s">
        <v>431</v>
      </c>
      <c r="E5" s="2" t="s">
        <v>424</v>
      </c>
    </row>
    <row r="6" spans="1:5">
      <c r="A6" s="2" t="s">
        <v>149</v>
      </c>
      <c r="B6" s="2" t="s">
        <v>400</v>
      </c>
      <c r="C6" s="2" t="s">
        <v>432</v>
      </c>
      <c r="D6" s="2" t="s">
        <v>433</v>
      </c>
      <c r="E6" s="2" t="s">
        <v>424</v>
      </c>
    </row>
    <row r="7" spans="1:5">
      <c r="A7" s="2" t="s">
        <v>167</v>
      </c>
      <c r="B7" s="2" t="s">
        <v>400</v>
      </c>
      <c r="C7" s="2" t="s">
        <v>434</v>
      </c>
      <c r="D7" s="2" t="s">
        <v>435</v>
      </c>
      <c r="E7" s="2" t="s">
        <v>424</v>
      </c>
    </row>
    <row r="8" spans="1:5">
      <c r="A8" s="2" t="s">
        <v>193</v>
      </c>
      <c r="B8" s="2" t="s">
        <v>400</v>
      </c>
      <c r="C8" s="2" t="s">
        <v>436</v>
      </c>
      <c r="D8" s="2" t="s">
        <v>437</v>
      </c>
      <c r="E8" s="2" t="s">
        <v>424</v>
      </c>
    </row>
    <row r="9" spans="1:5">
      <c r="A9" s="2" t="s">
        <v>186</v>
      </c>
      <c r="B9" s="2" t="s">
        <v>400</v>
      </c>
      <c r="C9" s="2" t="s">
        <v>438</v>
      </c>
      <c r="D9" s="2" t="s">
        <v>439</v>
      </c>
      <c r="E9" s="2" t="s">
        <v>424</v>
      </c>
    </row>
    <row r="10" spans="1:5">
      <c r="A10" s="2" t="s">
        <v>217</v>
      </c>
      <c r="B10" s="2" t="s">
        <v>400</v>
      </c>
      <c r="C10" s="2" t="s">
        <v>440</v>
      </c>
      <c r="D10" s="2" t="s">
        <v>441</v>
      </c>
      <c r="E10" s="2" t="s">
        <v>424</v>
      </c>
    </row>
    <row r="11" spans="1:5">
      <c r="A11" s="2" t="s">
        <v>245</v>
      </c>
      <c r="B11" s="2" t="s">
        <v>400</v>
      </c>
      <c r="C11" s="2" t="s">
        <v>442</v>
      </c>
      <c r="D11" s="2" t="s">
        <v>443</v>
      </c>
      <c r="E11" s="2" t="s">
        <v>424</v>
      </c>
    </row>
    <row r="12" spans="1:5">
      <c r="A12" s="2" t="s">
        <v>238</v>
      </c>
      <c r="B12" s="2" t="s">
        <v>400</v>
      </c>
      <c r="C12" s="2" t="s">
        <v>444</v>
      </c>
      <c r="D12" s="2" t="s">
        <v>445</v>
      </c>
      <c r="E12" s="2" t="s">
        <v>424</v>
      </c>
    </row>
    <row r="13" spans="1:5">
      <c r="A13" s="2" t="s">
        <v>446</v>
      </c>
      <c r="B13" s="2" t="s">
        <v>400</v>
      </c>
      <c r="C13" s="2" t="s">
        <v>447</v>
      </c>
      <c r="D13" s="2" t="s">
        <v>448</v>
      </c>
      <c r="E13" s="2" t="s">
        <v>424</v>
      </c>
    </row>
    <row r="14" spans="1:5">
      <c r="A14" s="2" t="s">
        <v>250</v>
      </c>
      <c r="B14" s="2" t="s">
        <v>400</v>
      </c>
      <c r="C14" s="2" t="s">
        <v>449</v>
      </c>
      <c r="D14" s="2" t="s">
        <v>450</v>
      </c>
      <c r="E14" s="2" t="s">
        <v>424</v>
      </c>
    </row>
    <row r="15" spans="1:5">
      <c r="A15" s="2" t="s">
        <v>451</v>
      </c>
      <c r="B15" s="2" t="s">
        <v>406</v>
      </c>
      <c r="C15" s="2" t="s">
        <v>452</v>
      </c>
      <c r="D15" s="2" t="s">
        <v>453</v>
      </c>
      <c r="E15" s="2" t="s">
        <v>454</v>
      </c>
    </row>
    <row r="16" spans="1:5">
      <c r="A16" s="2" t="s">
        <v>455</v>
      </c>
      <c r="B16" s="2" t="s">
        <v>412</v>
      </c>
      <c r="C16" s="2" t="s">
        <v>456</v>
      </c>
      <c r="D16" s="2" t="s">
        <v>457</v>
      </c>
      <c r="E16" s="2" t="s">
        <v>458</v>
      </c>
    </row>
  </sheetData>
  <autoFilter ref="A1:E16"/>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10"/>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45.7109375" customWidth="1"/>
    <col min="3" max="3" width="85.7109375" customWidth="1"/>
    <col min="4" max="4" width="75.7109375" customWidth="1"/>
    <col min="5" max="5" width="18.7109375" customWidth="1"/>
    <col min="6" max="7" width="35.7109375" customWidth="1"/>
    <col min="8" max="9" width="75.7109375" customWidth="1"/>
  </cols>
  <sheetData>
    <row r="1" spans="1:9" ht="32" customHeight="1">
      <c r="A1" s="1" t="s">
        <v>26</v>
      </c>
      <c r="B1" s="1" t="s">
        <v>459</v>
      </c>
      <c r="C1" s="1" t="s">
        <v>460</v>
      </c>
      <c r="D1" s="1" t="s">
        <v>461</v>
      </c>
      <c r="E1" s="1" t="s">
        <v>38</v>
      </c>
      <c r="F1" s="1" t="s">
        <v>462</v>
      </c>
      <c r="G1" s="1" t="s">
        <v>463</v>
      </c>
      <c r="H1" s="1" t="s">
        <v>464</v>
      </c>
      <c r="I1" s="1" t="s">
        <v>465</v>
      </c>
    </row>
    <row r="2" spans="1:9">
      <c r="A2" s="2" t="s">
        <v>466</v>
      </c>
      <c r="B2" s="2" t="s">
        <v>467</v>
      </c>
      <c r="C2" s="2" t="s">
        <v>468</v>
      </c>
      <c r="D2" s="2" t="s">
        <v>469</v>
      </c>
      <c r="E2" s="2" t="s">
        <v>470</v>
      </c>
      <c r="F2" s="2" t="s">
        <v>471</v>
      </c>
      <c r="G2" s="2" t="s">
        <v>217</v>
      </c>
      <c r="H2" s="2" t="s">
        <v>472</v>
      </c>
      <c r="I2" s="2" t="s">
        <v>473</v>
      </c>
    </row>
    <row r="3" spans="1:9">
      <c r="A3" s="2" t="s">
        <v>474</v>
      </c>
      <c r="B3" s="2" t="s">
        <v>475</v>
      </c>
      <c r="C3" s="2" t="s">
        <v>476</v>
      </c>
      <c r="D3" s="2" t="s">
        <v>477</v>
      </c>
      <c r="E3" s="2" t="s">
        <v>470</v>
      </c>
      <c r="F3" s="2" t="s">
        <v>478</v>
      </c>
      <c r="G3" s="2" t="s">
        <v>250</v>
      </c>
      <c r="H3" s="2" t="s">
        <v>479</v>
      </c>
      <c r="I3" s="2" t="s">
        <v>480</v>
      </c>
    </row>
    <row r="4" spans="1:9">
      <c r="A4" s="2" t="s">
        <v>481</v>
      </c>
      <c r="B4" s="2" t="s">
        <v>482</v>
      </c>
      <c r="C4" s="2" t="s">
        <v>483</v>
      </c>
      <c r="D4" s="2" t="s">
        <v>484</v>
      </c>
      <c r="E4" s="2" t="s">
        <v>485</v>
      </c>
      <c r="F4" s="2" t="s">
        <v>486</v>
      </c>
      <c r="G4" s="2"/>
      <c r="H4" s="2" t="s">
        <v>487</v>
      </c>
      <c r="I4" s="2" t="s">
        <v>488</v>
      </c>
    </row>
    <row r="5" spans="1:9">
      <c r="A5" s="2" t="s">
        <v>489</v>
      </c>
      <c r="B5" s="2" t="s">
        <v>490</v>
      </c>
      <c r="C5" s="2" t="s">
        <v>491</v>
      </c>
      <c r="D5" s="2" t="s">
        <v>492</v>
      </c>
      <c r="E5" s="2" t="s">
        <v>470</v>
      </c>
      <c r="F5" s="2" t="s">
        <v>493</v>
      </c>
      <c r="G5" s="2"/>
      <c r="H5" s="2" t="s">
        <v>494</v>
      </c>
      <c r="I5" s="2" t="s">
        <v>495</v>
      </c>
    </row>
    <row r="6" spans="1:9">
      <c r="A6" s="2" t="s">
        <v>496</v>
      </c>
      <c r="B6" s="2" t="s">
        <v>497</v>
      </c>
      <c r="C6" s="2" t="s">
        <v>498</v>
      </c>
      <c r="D6" s="2" t="s">
        <v>499</v>
      </c>
      <c r="E6" s="2" t="s">
        <v>485</v>
      </c>
      <c r="F6" s="2" t="s">
        <v>500</v>
      </c>
      <c r="G6" s="2"/>
      <c r="H6" s="2" t="s">
        <v>501</v>
      </c>
      <c r="I6" s="2" t="s">
        <v>502</v>
      </c>
    </row>
    <row r="7" spans="1:9">
      <c r="A7" s="2" t="s">
        <v>503</v>
      </c>
      <c r="B7" s="2" t="s">
        <v>504</v>
      </c>
      <c r="C7" s="2" t="s">
        <v>505</v>
      </c>
      <c r="D7" s="2" t="s">
        <v>506</v>
      </c>
      <c r="E7" s="2" t="s">
        <v>485</v>
      </c>
      <c r="F7" s="2" t="s">
        <v>507</v>
      </c>
      <c r="G7" s="2"/>
      <c r="H7" s="2" t="s">
        <v>508</v>
      </c>
      <c r="I7" s="2" t="s">
        <v>509</v>
      </c>
    </row>
    <row r="8" spans="1:9">
      <c r="A8" s="2" t="s">
        <v>510</v>
      </c>
      <c r="B8" s="2" t="s">
        <v>511</v>
      </c>
      <c r="C8" s="2" t="s">
        <v>512</v>
      </c>
      <c r="D8" s="2" t="s">
        <v>513</v>
      </c>
      <c r="E8" s="2" t="s">
        <v>470</v>
      </c>
      <c r="F8" s="2" t="s">
        <v>514</v>
      </c>
      <c r="G8" s="2"/>
      <c r="H8" s="2" t="s">
        <v>515</v>
      </c>
      <c r="I8" s="2" t="s">
        <v>516</v>
      </c>
    </row>
    <row r="9" spans="1:9">
      <c r="A9" s="2" t="s">
        <v>517</v>
      </c>
      <c r="B9" s="2" t="s">
        <v>518</v>
      </c>
      <c r="C9" s="2" t="s">
        <v>519</v>
      </c>
      <c r="D9" s="2" t="s">
        <v>520</v>
      </c>
      <c r="E9" s="2" t="s">
        <v>485</v>
      </c>
      <c r="F9" s="2" t="s">
        <v>521</v>
      </c>
      <c r="G9" s="2" t="s">
        <v>455</v>
      </c>
      <c r="H9" s="2" t="s">
        <v>522</v>
      </c>
      <c r="I9" s="2" t="s">
        <v>523</v>
      </c>
    </row>
    <row r="10" spans="1:9">
      <c r="A10" s="2" t="s">
        <v>524</v>
      </c>
      <c r="B10" s="2" t="s">
        <v>525</v>
      </c>
      <c r="C10" s="2" t="s">
        <v>526</v>
      </c>
      <c r="D10" s="2" t="s">
        <v>527</v>
      </c>
      <c r="E10" s="2" t="s">
        <v>485</v>
      </c>
      <c r="F10" s="2" t="s">
        <v>528</v>
      </c>
      <c r="G10" s="2" t="s">
        <v>446</v>
      </c>
      <c r="H10" s="2" t="s">
        <v>529</v>
      </c>
      <c r="I10" s="2" t="s">
        <v>530</v>
      </c>
    </row>
  </sheetData>
  <autoFilter ref="A1:I10"/>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0" width="28.7109375" customWidth="1"/>
  </cols>
  <sheetData>
    <row r="1" spans="1:10" ht="32" customHeight="1">
      <c r="A1" s="1" t="s">
        <v>26</v>
      </c>
      <c r="B1" s="1" t="s">
        <v>531</v>
      </c>
      <c r="C1" s="1" t="s">
        <v>532</v>
      </c>
      <c r="D1" s="1" t="s">
        <v>533</v>
      </c>
      <c r="E1" s="1" t="s">
        <v>534</v>
      </c>
      <c r="F1" s="1" t="s">
        <v>535</v>
      </c>
      <c r="G1" s="1" t="s">
        <v>38</v>
      </c>
      <c r="H1" s="1" t="s">
        <v>536</v>
      </c>
      <c r="I1" s="1" t="s">
        <v>28</v>
      </c>
      <c r="J1" s="1" t="s">
        <v>537</v>
      </c>
    </row>
    <row r="2" spans="1:10">
      <c r="A2" s="2" t="s">
        <v>538</v>
      </c>
      <c r="B2" s="2" t="s">
        <v>474</v>
      </c>
      <c r="C2" s="2" t="s">
        <v>539</v>
      </c>
      <c r="D2" s="2" t="s">
        <v>540</v>
      </c>
      <c r="E2" s="2" t="s">
        <v>541</v>
      </c>
      <c r="F2" s="2" t="s">
        <v>542</v>
      </c>
      <c r="G2" s="2" t="s">
        <v>543</v>
      </c>
      <c r="H2" s="2" t="s">
        <v>544</v>
      </c>
      <c r="I2" s="2" t="s">
        <v>545</v>
      </c>
      <c r="J2" s="2" t="s">
        <v>546</v>
      </c>
    </row>
    <row r="3" spans="1:10">
      <c r="A3" s="2" t="s">
        <v>547</v>
      </c>
      <c r="B3" s="2" t="s">
        <v>489</v>
      </c>
      <c r="C3" s="2" t="s">
        <v>539</v>
      </c>
      <c r="D3" s="2" t="s">
        <v>540</v>
      </c>
      <c r="E3" s="2" t="s">
        <v>541</v>
      </c>
      <c r="F3" s="2" t="s">
        <v>548</v>
      </c>
      <c r="G3" s="2" t="s">
        <v>543</v>
      </c>
      <c r="H3" s="2" t="s">
        <v>549</v>
      </c>
      <c r="I3" s="2" t="s">
        <v>550</v>
      </c>
      <c r="J3" s="2" t="s">
        <v>546</v>
      </c>
    </row>
    <row r="4" spans="1:10">
      <c r="A4" s="2" t="s">
        <v>551</v>
      </c>
      <c r="B4" s="2" t="s">
        <v>496</v>
      </c>
      <c r="C4" s="2" t="s">
        <v>539</v>
      </c>
      <c r="D4" s="2" t="s">
        <v>540</v>
      </c>
      <c r="E4" s="2" t="s">
        <v>541</v>
      </c>
      <c r="F4" s="2" t="s">
        <v>552</v>
      </c>
      <c r="G4" s="2" t="s">
        <v>543</v>
      </c>
      <c r="H4" s="2" t="s">
        <v>553</v>
      </c>
      <c r="I4" s="2" t="s">
        <v>554</v>
      </c>
      <c r="J4" s="2" t="s">
        <v>546</v>
      </c>
    </row>
    <row r="5" spans="1:10">
      <c r="A5" s="2" t="s">
        <v>555</v>
      </c>
      <c r="B5" s="2" t="s">
        <v>481</v>
      </c>
      <c r="C5" s="2" t="s">
        <v>539</v>
      </c>
      <c r="D5" s="2" t="s">
        <v>540</v>
      </c>
      <c r="E5" s="2" t="s">
        <v>541</v>
      </c>
      <c r="F5" s="2" t="s">
        <v>556</v>
      </c>
      <c r="G5" s="2" t="s">
        <v>543</v>
      </c>
      <c r="H5" s="2" t="s">
        <v>557</v>
      </c>
      <c r="I5" s="2" t="s">
        <v>558</v>
      </c>
      <c r="J5" s="2" t="s">
        <v>546</v>
      </c>
    </row>
  </sheetData>
  <autoFilter ref="A1:J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18.7109375" customWidth="1"/>
    <col min="3" max="3" width="75.7109375" customWidth="1"/>
    <col min="4" max="4" width="70.7109375" customWidth="1"/>
    <col min="5" max="5" width="30.7109375" customWidth="1"/>
    <col min="6" max="6" width="75.7109375" customWidth="1"/>
  </cols>
  <sheetData>
    <row r="1" spans="1:6" ht="32" customHeight="1">
      <c r="A1" s="1" t="s">
        <v>26</v>
      </c>
      <c r="B1" s="1" t="s">
        <v>531</v>
      </c>
      <c r="C1" s="1" t="s">
        <v>559</v>
      </c>
      <c r="D1" s="1" t="s">
        <v>560</v>
      </c>
      <c r="E1" s="1" t="s">
        <v>561</v>
      </c>
      <c r="F1" s="1" t="s">
        <v>562</v>
      </c>
    </row>
    <row r="2" spans="1:6">
      <c r="A2" s="2" t="s">
        <v>563</v>
      </c>
      <c r="B2" s="2" t="s">
        <v>481</v>
      </c>
      <c r="C2" s="2" t="s">
        <v>564</v>
      </c>
      <c r="D2" s="2" t="s">
        <v>565</v>
      </c>
      <c r="E2" s="2" t="s">
        <v>566</v>
      </c>
      <c r="F2" s="2" t="s">
        <v>567</v>
      </c>
    </row>
    <row r="3" spans="1:6">
      <c r="A3" s="2" t="s">
        <v>568</v>
      </c>
      <c r="B3" s="2" t="s">
        <v>496</v>
      </c>
      <c r="C3" s="2" t="s">
        <v>569</v>
      </c>
      <c r="D3" s="2" t="s">
        <v>570</v>
      </c>
      <c r="E3" s="2" t="s">
        <v>571</v>
      </c>
      <c r="F3" s="2" t="s">
        <v>572</v>
      </c>
    </row>
    <row r="4" spans="1:6">
      <c r="A4" s="2" t="s">
        <v>573</v>
      </c>
      <c r="B4" s="2" t="s">
        <v>503</v>
      </c>
      <c r="C4" s="2" t="s">
        <v>574</v>
      </c>
      <c r="D4" s="2" t="s">
        <v>575</v>
      </c>
      <c r="E4" s="2" t="s">
        <v>576</v>
      </c>
      <c r="F4" s="2" t="s">
        <v>577</v>
      </c>
    </row>
    <row r="5" spans="1:6">
      <c r="A5" s="2" t="s">
        <v>578</v>
      </c>
      <c r="B5" s="2" t="s">
        <v>517</v>
      </c>
      <c r="C5" s="2" t="s">
        <v>579</v>
      </c>
      <c r="D5" s="2" t="s">
        <v>580</v>
      </c>
      <c r="E5" s="2" t="s">
        <v>581</v>
      </c>
      <c r="F5" s="2" t="s">
        <v>582</v>
      </c>
    </row>
  </sheetData>
  <autoFilter ref="A1:F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Readme</vt:lpstr>
      <vt:lpstr>Facts</vt:lpstr>
      <vt:lpstr>Calculations</vt:lpstr>
      <vt:lpstr>Reconciliations</vt:lpstr>
      <vt:lpstr>Sources</vt:lpstr>
      <vt:lpstr>Evidence</vt:lpstr>
      <vt:lpstr>Findings</vt:lpstr>
      <vt:lpstr>Procedures</vt:lpstr>
      <vt:lpstr>Requests</vt:lpstr>
      <vt:lpstr>Calculations!Print_Titles</vt:lpstr>
      <vt:lpstr>Readme!Print_Titles</vt:lpstr>
      <vt:lpstr>Reconciliations!Print_Titles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港交所2025：经营增长、会计质量与资本现金连接</dc:title>
  <dc:creator/>
  <dc:description>Workpaper hkex-2025-example-v1</dc:description>
  <cp:lastModifiedBy/>
  <dcterms:created xsi:type="dcterms:W3CDTF">2026-10-03T01:45:07Z</dcterms:created>
  <dcterms:modified xsi:type="dcterms:W3CDTF">2026-10-03T01:45:07Z</dcterms:modified>
</cp:coreProperties>
</file>