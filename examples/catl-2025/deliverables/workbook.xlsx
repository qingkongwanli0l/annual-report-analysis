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acts" sheetId="2" r:id="rId2"/>
    <sheet name="Calculations" sheetId="3" r:id="rId3"/>
    <sheet name="Reconciliations" sheetId="4" r:id="rId4"/>
    <sheet name="Sources" sheetId="5" r:id="rId5"/>
    <sheet name="Evidence" sheetId="6" r:id="rId6"/>
    <sheet name="Findings" sheetId="7" r:id="rId7"/>
    <sheet name="Procedures" sheetId="8" r:id="rId8"/>
    <sheet name="Requests" sheetId="9" r:id="rId9"/>
  </sheets>
  <definedNames>
    <definedName name="_xlnm._FilterDatabase" localSheetId="2" hidden="1">Calculations!$A$1:$O$28</definedName>
    <definedName name="_xlnm._FilterDatabase" localSheetId="5" hidden="1">Evidence!$A$1:$E$14</definedName>
    <definedName name="_xlnm._FilterDatabase" localSheetId="1" hidden="1">Facts!$A$1:$R$84</definedName>
    <definedName name="_xlnm._FilterDatabase" localSheetId="6" hidden="1">Findings!$A$1:$I$8</definedName>
    <definedName name="_xlnm._FilterDatabase" localSheetId="7" hidden="1">Procedures!$A$1:$J$3</definedName>
    <definedName name="_xlnm._FilterDatabase" localSheetId="0" hidden="1">Readme!$A$1:$B$12</definedName>
    <definedName name="_xlnm._FilterDatabase" localSheetId="3" hidden="1">Reconciliations!$A$1:$I$11</definedName>
    <definedName name="_xlnm._FilterDatabase" localSheetId="8" hidden="1">Requests!$A$1:$F$3</definedName>
    <definedName name="_xlnm._FilterDatabase" localSheetId="4" hidden="1">Sources!$A$1:$F$2</definedName>
  </definedNames>
  <calcPr calcId="124519" fullCalcOnLoad="1"/>
</workbook>
</file>

<file path=xl/sharedStrings.xml><?xml version="1.0" encoding="utf-8"?>
<sst xmlns="http://schemas.openxmlformats.org/spreadsheetml/2006/main" count="1658" uniqueCount="514">
  <si>
    <t>字段 / field</t>
  </si>
  <si>
    <t>内容 / value</t>
  </si>
  <si>
    <t>任务</t>
  </si>
  <si>
    <t>宁德时代2025年经营现金与信用分析</t>
  </si>
  <si>
    <t>版本</t>
  </si>
  <si>
    <t>catl-2025-example-v1</t>
  </si>
  <si>
    <t>信息截止</t>
  </si>
  <si>
    <t>2026-03-10</t>
  </si>
  <si>
    <t>范围</t>
  </si>
  <si>
    <t>consolidated</t>
  </si>
  <si>
    <t>准则</t>
  </si>
  <si>
    <t>CAS</t>
  </si>
  <si>
    <t>单位</t>
  </si>
  <si>
    <t>Facts D=原始值，E=倍数，F=基础单位。Calculations D=基础单位，E=展示值。</t>
  </si>
  <si>
    <t>复算</t>
  </si>
  <si>
    <t>数值公式可编辑；修改主体、期间、币种、规则或资料后须重跑 export.py 复核口径。</t>
  </si>
  <si>
    <t>缺口</t>
  </si>
  <si>
    <t>空值不是零。未执行程序、假设与已披露数据分别标识。</t>
  </si>
  <si>
    <t>限制</t>
  </si>
  <si>
    <t>本例为选定公开资料的专业研究示范，不是整本年报全部披露的完整审计。</t>
  </si>
  <si>
    <t>未取得银行/授信合同、按法人可调度现金、逐月预算、保修明细及资产组原始预测，不出具正式信用等级或审计鉴证。</t>
  </si>
  <si>
    <t>事实以2026年3月10日已公开的2025年报为界；假设与实际披露分列。</t>
  </si>
  <si>
    <t>ID</t>
  </si>
  <si>
    <t>原始科目</t>
  </si>
  <si>
    <t>证据</t>
  </si>
  <si>
    <t>原始数值</t>
  </si>
  <si>
    <t>倍数</t>
  </si>
  <si>
    <t>基础单位数值</t>
  </si>
  <si>
    <t>量纲</t>
  </si>
  <si>
    <t>币种</t>
  </si>
  <si>
    <t>实体</t>
  </si>
  <si>
    <t>开始</t>
  </si>
  <si>
    <t>结束</t>
  </si>
  <si>
    <t>统计类型</t>
  </si>
  <si>
    <t>状态</t>
  </si>
  <si>
    <t>说明</t>
  </si>
  <si>
    <t>概念</t>
  </si>
  <si>
    <t>实物单位</t>
  </si>
  <si>
    <t>revenue</t>
  </si>
  <si>
    <t>营业收入</t>
  </si>
  <si>
    <t>E_PL</t>
  </si>
  <si>
    <t>money</t>
  </si>
  <si>
    <t>CNY</t>
  </si>
  <si>
    <t>宁德时代集团</t>
  </si>
  <si>
    <t>2025-01-01</t>
  </si>
  <si>
    <t>2025-12-31</t>
  </si>
  <si>
    <t>flow</t>
  </si>
  <si>
    <t>reported</t>
  </si>
  <si>
    <t>revenue_prior</t>
  </si>
  <si>
    <t>营业收入 上期</t>
  </si>
  <si>
    <t>2024-01-01</t>
  </si>
  <si>
    <t>2024-12-31</t>
  </si>
  <si>
    <t>cost</t>
  </si>
  <si>
    <t>营业成本</t>
  </si>
  <si>
    <t>cost_prior</t>
  </si>
  <si>
    <t>营业成本 上期</t>
  </si>
  <si>
    <t>ni</t>
  </si>
  <si>
    <t>合并净利润</t>
  </si>
  <si>
    <t>E_BRIDGE</t>
  </si>
  <si>
    <t>ni_prior</t>
  </si>
  <si>
    <t>合并净利润 上期</t>
  </si>
  <si>
    <t>cfo</t>
  </si>
  <si>
    <t>经营活动现金净额</t>
  </si>
  <si>
    <t>E_CF</t>
  </si>
  <si>
    <t>cfo_prior</t>
  </si>
  <si>
    <t>经营活动现金净额 上期</t>
  </si>
  <si>
    <t>cash</t>
  </si>
  <si>
    <t>现金及现金等价物</t>
  </si>
  <si>
    <t>E_CASH</t>
  </si>
  <si>
    <t>instant</t>
  </si>
  <si>
    <t>cash_prior</t>
  </si>
  <si>
    <t>现金及现金等价物 上期</t>
  </si>
  <si>
    <t>assets</t>
  </si>
  <si>
    <t>资产总额</t>
  </si>
  <si>
    <t>E_BS</t>
  </si>
  <si>
    <t>assets_prior</t>
  </si>
  <si>
    <t>资产总额 上期</t>
  </si>
  <si>
    <t>equity</t>
  </si>
  <si>
    <t>所有者权益总额</t>
  </si>
  <si>
    <t>equity_prior</t>
  </si>
  <si>
    <t>所有者权益总额 上期</t>
  </si>
  <si>
    <t>parent_equity</t>
  </si>
  <si>
    <t>归母权益</t>
  </si>
  <si>
    <t>parent_equity_prior</t>
  </si>
  <si>
    <t>归母权益 上期</t>
  </si>
  <si>
    <t>inventory</t>
  </si>
  <si>
    <t>存货账面值</t>
  </si>
  <si>
    <t>inventory_prior</t>
  </si>
  <si>
    <t>存货账面值 上期</t>
  </si>
  <si>
    <t>ar</t>
  </si>
  <si>
    <t>应收账款账面值</t>
  </si>
  <si>
    <t>ar_prior</t>
  </si>
  <si>
    <t>应收账款账面值 上期</t>
  </si>
  <si>
    <t>ap</t>
  </si>
  <si>
    <t>应付账款</t>
  </si>
  <si>
    <t>ap_prior</t>
  </si>
  <si>
    <t>应付账款 上期</t>
  </si>
  <si>
    <t>contract_liability</t>
  </si>
  <si>
    <t>合同负债</t>
  </si>
  <si>
    <t>contract_liability_prior</t>
  </si>
  <si>
    <t>合同负债 上期</t>
  </si>
  <si>
    <t>supply</t>
  </si>
  <si>
    <t>供应商融资安排合计</t>
  </si>
  <si>
    <t>E_SUPPLY</t>
  </si>
  <si>
    <t>supply_prior</t>
  </si>
  <si>
    <t>供应商融资安排合计 上期</t>
  </si>
  <si>
    <t>warranty</t>
  </si>
  <si>
    <t>售后综合服务预计负债</t>
  </si>
  <si>
    <t>E_WARRANTY</t>
  </si>
  <si>
    <t>warranty_prior</t>
  </si>
  <si>
    <t>售后综合服务预计负债 上期</t>
  </si>
  <si>
    <t>debt</t>
  </si>
  <si>
    <t>筹资负债表借款债券及租赁合计</t>
  </si>
  <si>
    <t>E_DEBT</t>
  </si>
  <si>
    <t>debt_prior</t>
  </si>
  <si>
    <t>筹资负债表借款债券及租赁合计 上期</t>
  </si>
  <si>
    <t>power_sales</t>
  </si>
  <si>
    <t>动力电池系统收入</t>
  </si>
  <si>
    <t>E_BIZ</t>
  </si>
  <si>
    <t>power_sales_prior</t>
  </si>
  <si>
    <t>动力电池系统收入 上期</t>
  </si>
  <si>
    <t>storage_sales</t>
  </si>
  <si>
    <t>储能电池系统收入</t>
  </si>
  <si>
    <t>storage_sales_prior</t>
  </si>
  <si>
    <t>储能电池系统收入 上期</t>
  </si>
  <si>
    <t>materials_sales</t>
  </si>
  <si>
    <t>材料及回收收入</t>
  </si>
  <si>
    <t>materials_sales_prior</t>
  </si>
  <si>
    <t>材料及回收收入 上期</t>
  </si>
  <si>
    <t>ni_parent</t>
  </si>
  <si>
    <t>归母净利润</t>
  </si>
  <si>
    <t>ni_nci</t>
  </si>
  <si>
    <t>少数股东损益</t>
  </si>
  <si>
    <t>cfi</t>
  </si>
  <si>
    <t>投资现金流</t>
  </si>
  <si>
    <t>cff</t>
  </si>
  <si>
    <t>筹资现金流</t>
  </si>
  <si>
    <t>fx</t>
  </si>
  <si>
    <t>汇率对现金影响</t>
  </si>
  <si>
    <t>cash_increase</t>
  </si>
  <si>
    <t>披露现金净增加</t>
  </si>
  <si>
    <t>capex</t>
  </si>
  <si>
    <t>购建长期资产现金</t>
  </si>
  <si>
    <t>comprehensive</t>
  </si>
  <si>
    <t>综合收益总额</t>
  </si>
  <si>
    <t>E_EQ</t>
  </si>
  <si>
    <t>capital_transactions</t>
  </si>
  <si>
    <t>所有者投入和减少资本净额</t>
  </si>
  <si>
    <t>distributions</t>
  </si>
  <si>
    <t>权益表对股东分配</t>
  </si>
  <si>
    <t>reserve_change</t>
  </si>
  <si>
    <t>专项储备变动</t>
  </si>
  <si>
    <t>debt_cash_in</t>
  </si>
  <si>
    <t>筹资负债现金增加</t>
  </si>
  <si>
    <t>debt_cash_out</t>
  </si>
  <si>
    <t>筹资负债现金减少</t>
  </si>
  <si>
    <t>debt_noncash</t>
  </si>
  <si>
    <t>筹资负债非现金变动</t>
  </si>
  <si>
    <t>ppe_impairment</t>
  </si>
  <si>
    <t>固定资产本期计提减值</t>
  </si>
  <si>
    <t>E_PPE</t>
  </si>
  <si>
    <t>ppe_transfer</t>
  </si>
  <si>
    <t>在建转入固定资产</t>
  </si>
  <si>
    <t>liabilities</t>
  </si>
  <si>
    <t>负债总额</t>
  </si>
  <si>
    <t>book_cash</t>
  </si>
  <si>
    <t>货币资金</t>
  </si>
  <si>
    <t>cash_excluded</t>
  </si>
  <si>
    <t>排除于现金等价物的货币资金</t>
  </si>
  <si>
    <t>guarantee_cash</t>
  </si>
  <si>
    <t>受限保证金</t>
  </si>
  <si>
    <t>pledged_cash</t>
  </si>
  <si>
    <t>质押定期存款</t>
  </si>
  <si>
    <t>term_deposits</t>
  </si>
  <si>
    <t>不可随时支取定期存款及利息</t>
  </si>
  <si>
    <t>supply_notes</t>
  </si>
  <si>
    <t>融单</t>
  </si>
  <si>
    <t>reverse_factoring</t>
  </si>
  <si>
    <t>反向保理</t>
  </si>
  <si>
    <t>supplier_received</t>
  </si>
  <si>
    <t>其中供应商已从融资方收到款项</t>
  </si>
  <si>
    <t>ppe_test_carrying</t>
  </si>
  <si>
    <t>被测试相关资产减值前账面额</t>
  </si>
  <si>
    <t>ppe_recoverable</t>
  </si>
  <si>
    <t>该组可收回金额</t>
  </si>
  <si>
    <t>ni_company</t>
  </si>
  <si>
    <t>母公司净利润</t>
  </si>
  <si>
    <t>parent_only</t>
  </si>
  <si>
    <t>volume</t>
  </si>
  <si>
    <t>电池系统销售量 GWh</t>
  </si>
  <si>
    <t>count</t>
  </si>
  <si>
    <t>GWh</t>
  </si>
  <si>
    <t>volume_prior</t>
  </si>
  <si>
    <t>电池系统销售量 GWh 上期</t>
  </si>
  <si>
    <t>asset_imp</t>
  </si>
  <si>
    <t>资产减值</t>
  </si>
  <si>
    <t>credit_imp</t>
  </si>
  <si>
    <t>信用减值</t>
  </si>
  <si>
    <t>depreciation</t>
  </si>
  <si>
    <t>固定资产折旧</t>
  </si>
  <si>
    <t>rou_dep</t>
  </si>
  <si>
    <t>使用权折旧</t>
  </si>
  <si>
    <t>amort</t>
  </si>
  <si>
    <t>无形资产摊销</t>
  </si>
  <si>
    <t>deferred_amort</t>
  </si>
  <si>
    <t>长期待摊摊销</t>
  </si>
  <si>
    <t>disposal</t>
  </si>
  <si>
    <t>处置损失</t>
  </si>
  <si>
    <t>scrap</t>
  </si>
  <si>
    <t>报废损失</t>
  </si>
  <si>
    <t>fair_value</t>
  </si>
  <si>
    <t>公允价值损失</t>
  </si>
  <si>
    <t>finance</t>
  </si>
  <si>
    <t>财务费用</t>
  </si>
  <si>
    <t>investment</t>
  </si>
  <si>
    <t>投资损失</t>
  </si>
  <si>
    <t>deferred_tax_asset</t>
  </si>
  <si>
    <t>递延税资产变动</t>
  </si>
  <si>
    <t>deferred_tax_liab</t>
  </si>
  <si>
    <t>递延税负债变动</t>
  </si>
  <si>
    <t>inventory_cf</t>
  </si>
  <si>
    <t>存货现金调整</t>
  </si>
  <si>
    <t>receivables_cf</t>
  </si>
  <si>
    <t>经营应收现金调整</t>
  </si>
  <si>
    <t>payables_cf</t>
  </si>
  <si>
    <t>经营应付现金调整</t>
  </si>
  <si>
    <t>other_cf</t>
  </si>
  <si>
    <t>披露其他现金调整</t>
  </si>
  <si>
    <t>指标或桥</t>
  </si>
  <si>
    <t>基础单位公式</t>
  </si>
  <si>
    <t>基础单位结果</t>
  </si>
  <si>
    <t>展示结果</t>
  </si>
  <si>
    <t>不计算原因</t>
  </si>
  <si>
    <t>定义</t>
  </si>
  <si>
    <t>解释边界</t>
  </si>
  <si>
    <t>展示单位</t>
  </si>
  <si>
    <t>gross_profit</t>
  </si>
  <si>
    <t>毛利</t>
  </si>
  <si>
    <t>calculated</t>
  </si>
  <si>
    <t>收入减成本</t>
  </si>
  <si>
    <t>CNY × 1000</t>
  </si>
  <si>
    <t>gross_margin</t>
  </si>
  <si>
    <t>毛利率</t>
  </si>
  <si>
    <t>毛利/营业收入</t>
  </si>
  <si>
    <t>ratio</t>
  </si>
  <si>
    <t>revenue_growth</t>
  </si>
  <si>
    <t>收入同比</t>
  </si>
  <si>
    <t>同范围本期减上期，再除以上期</t>
  </si>
  <si>
    <t>销量和收入范围仍须核对，不能直接推出售价变化。</t>
  </si>
  <si>
    <t>ni_growth</t>
  </si>
  <si>
    <t>合并净利润同比</t>
  </si>
  <si>
    <t>cfo_growth</t>
  </si>
  <si>
    <t>经营现金同比</t>
  </si>
  <si>
    <t>power_sales_growth</t>
  </si>
  <si>
    <t>动力系统收入同比</t>
  </si>
  <si>
    <t>storage_sales_growth</t>
  </si>
  <si>
    <t>储能系统收入同比</t>
  </si>
  <si>
    <t>materials_sales_growth</t>
  </si>
  <si>
    <t>材料回收收入同比</t>
  </si>
  <si>
    <t>volume_growth</t>
  </si>
  <si>
    <t>销售量同比</t>
  </si>
  <si>
    <t>cfo_profit</t>
  </si>
  <si>
    <t>CFO与合并净利润之比</t>
  </si>
  <si>
    <t>同一集团CFO/总净利润</t>
  </si>
  <si>
    <t>经营负债增长可能暂时抬高该比率，不能单独证明盈利质量。</t>
  </si>
  <si>
    <t>cfo_bridge</t>
  </si>
  <si>
    <t>净利润至CFO复算</t>
  </si>
  <si>
    <t>附注67原始带符号调整之和</t>
  </si>
  <si>
    <t>working_capital_effect</t>
  </si>
  <si>
    <t>经营营运资本现金净贡献</t>
  </si>
  <si>
    <t>披露的存货、经营应收及经营应付三项之和</t>
  </si>
  <si>
    <t>fcf_simple</t>
  </si>
  <si>
    <t>CFO减购建长期资产现金</t>
  </si>
  <si>
    <t>仅定义为CFO减现金资本支出</t>
  </si>
  <si>
    <t>不是可分配现金；未扣并购、股利、债务偿还或区分维持/扩张投资。</t>
  </si>
  <si>
    <t>cash_flow_change</t>
  </si>
  <si>
    <t>现金变动四项之和</t>
  </si>
  <si>
    <t>经营+投资+筹资+汇率</t>
  </si>
  <si>
    <t>cash_rollforward</t>
  </si>
  <si>
    <t>期末现金复算</t>
  </si>
  <si>
    <t>期初现金加四类变动</t>
  </si>
  <si>
    <t>balance_sheet</t>
  </si>
  <si>
    <t>负债加权益</t>
  </si>
  <si>
    <t>负债+总权益</t>
  </si>
  <si>
    <t>profit_attribution</t>
  </si>
  <si>
    <t>净利润归属合计</t>
  </si>
  <si>
    <t>归母+少数损益</t>
  </si>
  <si>
    <t>equity_rollforward</t>
  </si>
  <si>
    <t>权益变动复算</t>
  </si>
  <si>
    <t>期初+综合收益+投入减少+分配+专项储备</t>
  </si>
  <si>
    <t>debt_rollforward</t>
  </si>
  <si>
    <t>筹资负债滚动复算</t>
  </si>
  <si>
    <t>期初+现金增减+非现金</t>
  </si>
  <si>
    <t>supply_components</t>
  </si>
  <si>
    <t>供应商融资构成合计</t>
  </si>
  <si>
    <t>融单+反向保理；已收款为子集不再相加</t>
  </si>
  <si>
    <t>supply_change</t>
  </si>
  <si>
    <t>供应商融资余额变化</t>
  </si>
  <si>
    <t>期末减期初</t>
  </si>
  <si>
    <t>cash_composition</t>
  </si>
  <si>
    <t>货币资金构成复算</t>
  </si>
  <si>
    <t>现金等价物+附注排除项目</t>
  </si>
  <si>
    <t>cash_exclusion_sum</t>
  </si>
  <si>
    <t>非现金等价物三项之和</t>
  </si>
  <si>
    <t>受限保证金+质押定存+不可随时支取定存利息</t>
  </si>
  <si>
    <t>debt_supply_sensitivity</t>
  </si>
  <si>
    <t>含供应商融资的债务敏感性口径</t>
  </si>
  <si>
    <t>筹资负债台账加供应商融资安排一次</t>
  </si>
  <si>
    <t>分析者敏感性，不改报表债务；需完整合同决定最终信用调整，避免重复计入应付账款。</t>
  </si>
  <si>
    <t>average_parent_equity</t>
  </si>
  <si>
    <t>期初期末平均归母权益</t>
  </si>
  <si>
    <t>两期真实归母权益简单平均</t>
  </si>
  <si>
    <t>roe_simple</t>
  </si>
  <si>
    <t>简单平均权益ROE</t>
  </si>
  <si>
    <t>归母净利润/简单平均归母权益</t>
  </si>
  <si>
    <t>不是发行人披露的加权平均ROE。</t>
  </si>
  <si>
    <t>ppe_imp_recalc</t>
  </si>
  <si>
    <t>该组固定资产减值复算</t>
  </si>
  <si>
    <t>被测资产组账面减可收回额</t>
  </si>
  <si>
    <t>不是全部固定资产的可收回额；不能外推到集团所有产线。</t>
  </si>
  <si>
    <t>=(('Facts'!F2-'Facts'!F4))*1</t>
  </si>
  <si>
    <t>=IF('Facts'!F2&lt;=0,NA(),(('Calculations'!D2/'Facts'!F2))*1)</t>
  </si>
  <si>
    <t>=IF(OR('Facts'!F3&lt;=0,'Facts'!F2&lt;0),NA(),((('Facts'!F2-'Facts'!F3)/'Facts'!F3))*1)</t>
  </si>
  <si>
    <t>=IF(OR('Facts'!F7&lt;=0,'Facts'!F6&lt;0),NA(),((('Facts'!F6-'Facts'!F7)/'Facts'!F7))*1)</t>
  </si>
  <si>
    <t>=IF(OR('Facts'!F9&lt;=0,'Facts'!F8&lt;0),NA(),((('Facts'!F8-'Facts'!F9)/'Facts'!F9))*1)</t>
  </si>
  <si>
    <t>=IF(OR('Facts'!F33&lt;=0,'Facts'!F32&lt;0),NA(),((('Facts'!F32-'Facts'!F33)/'Facts'!F33))*1)</t>
  </si>
  <si>
    <t>=IF(OR('Facts'!F35&lt;=0,'Facts'!F34&lt;0),NA(),((('Facts'!F34-'Facts'!F35)/'Facts'!F35))*1)</t>
  </si>
  <si>
    <t>=IF(OR('Facts'!F37&lt;=0,'Facts'!F36&lt;0),NA(),((('Facts'!F36-'Facts'!F37)/'Facts'!F37))*1)</t>
  </si>
  <si>
    <t>=IF(OR('Facts'!F67&lt;=0,'Facts'!F66&lt;0),NA(),((('Facts'!F66-'Facts'!F67)/'Facts'!F67))*1)</t>
  </si>
  <si>
    <t>=IF('Facts'!F6&lt;=0,NA(),(('Facts'!F8/'Facts'!F6))*1)</t>
  </si>
  <si>
    <t>=(('Facts'!F6*1)+('Facts'!F68*1)+('Facts'!F69*1)+('Facts'!F70*1)+('Facts'!F71*1)+('Facts'!F72*1)+('Facts'!F73*1)+('Facts'!F74*1)+('Facts'!F75*1)+('Facts'!F76*1)+('Facts'!F77*1)+('Facts'!F78*1)+('Facts'!F79*1)+('Facts'!F80*1)+('Facts'!F81*1)+('Facts'!F82*1)+('Facts'!F83*1)+('Facts'!F84*1))*1</t>
  </si>
  <si>
    <t>=(('Facts'!F81*1)+('Facts'!F82*1)+('Facts'!F83*1))*1</t>
  </si>
  <si>
    <t>=(('Facts'!F8-'Facts'!F44))*1</t>
  </si>
  <si>
    <t>=(('Facts'!F8*1)+('Facts'!F40*1)+('Facts'!F41*1)+('Facts'!F42*1))*1</t>
  </si>
  <si>
    <t>=(('Facts'!F11*1)+('Facts'!F8*1)+('Facts'!F40*1)+('Facts'!F41*1)+('Facts'!F42*1))*1</t>
  </si>
  <si>
    <t>=(('Facts'!F54*1)+('Facts'!F14*1))*1</t>
  </si>
  <si>
    <t>=(('Facts'!F38*1)+('Facts'!F39*1))*1</t>
  </si>
  <si>
    <t>=(('Facts'!F15*1)+('Facts'!F45*1)+('Facts'!F46*1)+('Facts'!F47*1)+('Facts'!F48*1))*1</t>
  </si>
  <si>
    <t>=(('Facts'!F31*1)+('Facts'!F49*1)+('Facts'!F50*1)+('Facts'!F51*1))*1</t>
  </si>
  <si>
    <t>=(('Facts'!F60*1)+('Facts'!F61*1))*1</t>
  </si>
  <si>
    <t>=(('Facts'!F26-'Facts'!F27))*1</t>
  </si>
  <si>
    <t>=(('Facts'!F10*1)+('Facts'!F56*1))*1</t>
  </si>
  <si>
    <t>=(('Facts'!F57*1)+('Facts'!F58*1)+('Facts'!F59*1))*1</t>
  </si>
  <si>
    <t>=(('Facts'!F30*1)+('Facts'!F26*1))*1</t>
  </si>
  <si>
    <t>=(AVERAGE('Facts'!F17,'Facts'!F16))*1</t>
  </si>
  <si>
    <t>=IF('Calculations'!D26&lt;=0,NA(),(('Facts'!F38/'Calculations'!D26))*1)</t>
  </si>
  <si>
    <t>=(('Facts'!F63-'Facts'!F64))*1</t>
  </si>
  <si>
    <t>勾稽</t>
  </si>
  <si>
    <t>实际</t>
  </si>
  <si>
    <t>目标</t>
  </si>
  <si>
    <t>残差 基础单位</t>
  </si>
  <si>
    <t>容差 基础单位</t>
  </si>
  <si>
    <t>容差依据</t>
  </si>
  <si>
    <t>未测试原因</t>
  </si>
  <si>
    <t>R_BS</t>
  </si>
  <si>
    <t>资产负债关系</t>
  </si>
  <si>
    <t>within_input_tolerance</t>
  </si>
  <si>
    <t>基础单位人民币；原表以千元披露。按参加计算项目的独立舍入上界保留残差，不将容差内残差强制归零。</t>
  </si>
  <si>
    <t>R_NI</t>
  </si>
  <si>
    <t>利润归属</t>
  </si>
  <si>
    <t>R_CFO</t>
  </si>
  <si>
    <t>净利润至CFO</t>
  </si>
  <si>
    <t>R_FX</t>
  </si>
  <si>
    <t>现金变动含汇率</t>
  </si>
  <si>
    <t>R_CASH</t>
  </si>
  <si>
    <t>现金滚动</t>
  </si>
  <si>
    <t>R_EQ</t>
  </si>
  <si>
    <t>权益滚动</t>
  </si>
  <si>
    <t>R_DEBT</t>
  </si>
  <si>
    <t>融资负债滚动</t>
  </si>
  <si>
    <t>R_SUPPLY</t>
  </si>
  <si>
    <t>跨页供应商融资</t>
  </si>
  <si>
    <t>R_COMPOSITION</t>
  </si>
  <si>
    <t>货币资金桥</t>
  </si>
  <si>
    <t>R_EXCLUDED</t>
  </si>
  <si>
    <t>排除项目合计</t>
  </si>
  <si>
    <t>文件</t>
  </si>
  <si>
    <t>链接</t>
  </si>
  <si>
    <t>公布日期</t>
  </si>
  <si>
    <t>SHA256</t>
  </si>
  <si>
    <t>时间证据与限制</t>
  </si>
  <si>
    <t>AR</t>
  </si>
  <si>
    <t>宁德时代新能源科技股份有限公司2025年年度报告</t>
  </si>
  <si>
    <t>https://static.cninfo.com.cn/finalpage/2026-03-10/1225002214.PDF</t>
  </si>
  <si>
    <t>c15272977147dee7e6935a38ea0e4fd6855370aabb106f54cfe20f7cf6048ec9</t>
  </si>
  <si>
    <t>来源</t>
  </si>
  <si>
    <t>定位</t>
  </si>
  <si>
    <t>观察</t>
  </si>
  <si>
    <t>可靠性与限制</t>
  </si>
  <si>
    <t>PDF及印刷页24—27 收入成本与产销表</t>
  </si>
  <si>
    <t>主营电池收入与销量不同范围；产品、地区与合并范围变动分别披露。</t>
  </si>
  <si>
    <t>发行人正式年报；本次读取定位并复算，未独立确认底层交易真实性。</t>
  </si>
  <si>
    <t>PDF及印刷页111—113 合并资产负债表</t>
  </si>
  <si>
    <t>人民币千元；合并资产负债和所有者权益，区别母公司表。</t>
  </si>
  <si>
    <t>PDF及印刷页116—119 利润表</t>
  </si>
  <si>
    <t>合并总净利润、归母净利润、少数损益与母公司净利润分列。</t>
  </si>
  <si>
    <t>PDF及印刷页120—121 合并现金流量表</t>
  </si>
  <si>
    <t>经营、投资、筹资和汇率影响分别披露。</t>
  </si>
  <si>
    <t>PDF及印刷页123—125 合并权益变动表</t>
  </si>
  <si>
    <t>权益包括综合收益、资本交易、利润分配及专项储备变动。</t>
  </si>
  <si>
    <t>E_POLICY</t>
  </si>
  <si>
    <t>PDF及印刷页134、153 会计基础及收入政策</t>
  </si>
  <si>
    <t>采用CAS与公历年、人民币列报；质量保证不构成单独履约义务，返利为可变对价。</t>
  </si>
  <si>
    <t>PDF及印刷页200—201 附注67 现金流补充资料</t>
  </si>
  <si>
    <t>净利润至CFO的非现金调整与经营性存货、应收、应付分别列示。</t>
  </si>
  <si>
    <t>PDF及印刷页200 筹资负债变动表</t>
  </si>
  <si>
    <t>借款、应付债券和租赁的期初、现金及非现金变动与期末。</t>
  </si>
  <si>
    <t>PDF及印刷页202—203 附注67 供应商融资</t>
  </si>
  <si>
    <t>跨页包含融单与反向保理；供应商已收款是合计的子集，不能再加一次。</t>
  </si>
  <si>
    <t>PDF及印刷页202—203 现金构成与排除项目</t>
  </si>
  <si>
    <t>保证金、质押存款和不可随时支取定期存款排除在现金等价物外。</t>
  </si>
  <si>
    <t>PDF及印刷页177—180 固定资产与减值</t>
  </si>
  <si>
    <t>固定资产转固不等于当年现金支出；被测试资产组的账面值、可收回额和减值单列。</t>
  </si>
  <si>
    <t>PDF及印刷页192 预计负债</t>
  </si>
  <si>
    <t>售后综合服务费用估计依赖质保内累计销量、维修成本和维修率；未披露完整准备滚动。</t>
  </si>
  <si>
    <t>E_AUDIT</t>
  </si>
  <si>
    <t>PDF及印刷页107—110 审计报告</t>
  </si>
  <si>
    <t>无保留意见；固定资产减值和收入确认为关键审计事项，原审计程序非本次执行。</t>
  </si>
  <si>
    <t>问题</t>
  </si>
  <si>
    <t>结论</t>
  </si>
  <si>
    <t>机制</t>
  </si>
  <si>
    <t>依据</t>
  </si>
  <si>
    <t>反证</t>
  </si>
  <si>
    <t>其他解释</t>
  </si>
  <si>
    <t>改变结论条件</t>
  </si>
  <si>
    <t>F_GROWTH</t>
  </si>
  <si>
    <t>增长从何而来</t>
  </si>
  <si>
    <t>收入增长17.04%，动力系统增长25.08%，储能增长8.99%，材料回收同比-23.83%。</t>
  </si>
  <si>
    <t>销量增长高于合并收入，但收入含非电池业务，销量单位与产品结构也不同，不能将两者之比直接称为电池降价。产能扩张与存货增加要求核对投产及订单兑现。</t>
  </si>
  <si>
    <t>conditional</t>
  </si>
  <si>
    <t>E_BIZ, revenue_growth, volume_growth</t>
  </si>
  <si>
    <t>产品结构和地区组合变化可能影响收入增速。
并表变化也可能影响同比；未取得同范围量价明细。</t>
  </si>
  <si>
    <t>取得同产品同范围的数量、单价、并购及汇率桥后，重新判断有机增长与单位经济性。</t>
  </si>
  <si>
    <t>F_CASH</t>
  </si>
  <si>
    <t>利润为何低于CFO</t>
  </si>
  <si>
    <t>CFO为1,332.20 亿元人民币，与总净利润之比173.49%；营运资本三项合计贡献332.16 亿元人民币。</t>
  </si>
  <si>
    <t>存货和经营应收占用被经营应付增加超过，需区分业务规模、客户预收、付款期和融资安排。CFO减现金资本支出为908.75 亿元人民币，尚不是自由可分配资金。</t>
  </si>
  <si>
    <t>E_BRIDGE, cfo_bridge, working_capital_effect, fcf_simple</t>
  </si>
  <si>
    <t>采购规模和合同负债变化可能使经营应付增加，并不必然是延迟付款。
期末余额差额受合并、非现金和重分类影响，不能替代现金流附注项目。</t>
  </si>
  <si>
    <t>逐月回款付款、客户预收和供应商账期桥显示资金贡献不可持续时，下调可持续现金假设。</t>
  </si>
  <si>
    <t>F_SUPPLY</t>
  </si>
  <si>
    <t>是否把CFO改善全部归因于融资扩张</t>
  </si>
  <si>
    <t>跨页融资安排合计372.23 亿元人民币，较期初变动-71.40 亿元人民币；供应商已收款307.28 亿元人民币是其中一部分。</t>
  </si>
  <si>
    <t>余额下降反驳“全部现金改善来自供应链融资新增”的解释。把全部安排一次性纳入债务的敏感性口径为1,568.24 亿元人民币；需合同条款决定信用分类。</t>
  </si>
  <si>
    <t>E_SUPPLY, supply_components, supply_change</t>
  </si>
  <si>
    <t>余额下降仍可能同时伴随普通贸易应付款上升。
供应商融资可替换其他资金，风险还取决于期限、集中度和终止条款。</t>
  </si>
  <si>
    <t>取得融资机构、到期梯度及撤回条款，重算现金缺口和债务口径；不能把存量总额直接当本期CFO调整额。</t>
  </si>
  <si>
    <t>F_LIQUIDITY</t>
  </si>
  <si>
    <t>集团大额现金意味着怎样的流动性</t>
  </si>
  <si>
    <t>货币资金3,335.13 亿元人民币中，现金及现金等价物2,999.30 亿元人民币，排除项目335.83 亿元人民币；现金桥保留千元级舍入差。</t>
  </si>
  <si>
    <t>排除项目包含受限保证金、质押定存和不可随时支取定存及利息，各类限制不同。集团现金尚需法人、币种、地区、季节性及经营最低现金判断，不能直接抵销全部集团债务。</t>
  </si>
  <si>
    <t>E_CASH, E_CF, cash_composition, debt</t>
  </si>
  <si>
    <t>部分定存到期后可用，但时间须匹配债务到期。
境外现金可能受转移或税费限制；年报汇总不足以确认可调度数。</t>
  </si>
  <si>
    <t>按法人取得账户限制、债务期限和承诺授信条件，才能完成分期流动性覆盖。</t>
  </si>
  <si>
    <t>F_ESTIMATES</t>
  </si>
  <si>
    <t>高增长是否证明资产和准备估计充足</t>
  </si>
  <si>
    <t>被测试固定资产组减值前账面28.66 亿元人民币、可收回额2.06 亿元人民币；售后预计负债512.33 亿元人民币。</t>
  </si>
  <si>
    <t>总体产能利用率不能推翻个别旧产线减值。转固606.16 亿元人民币与当期购建现金423.45 亿元人民币反映不同边界。售后预计负债依赖质保内销量、维修率与单位成本，余额增加不能替代费用与实际使用桥。</t>
  </si>
  <si>
    <t>E_PPE, E_WARRANTY, E_POLICY, ppe_imp_recalc</t>
  </si>
  <si>
    <t>技术迭代或客户迁移可使局部产线减值，即使集团需求增长。
准备余额增加可能来自销量、维修率、成本或实际支出节奏，公开表无法分清。</t>
  </si>
  <si>
    <t>取得资产组预算/折现参数与历史兑现，及售后准备新增、使用、冲回和批次维修数据后，形成可收回额和准备敏感性。</t>
  </si>
  <si>
    <t>F_EQUITY</t>
  </si>
  <si>
    <t>股东回报怎样复算</t>
  </si>
  <si>
    <t>归母净利润722.01 亿元人民币与母公司净利润704.14 亿元人民币分开；简单平均权益ROE为24.72%。</t>
  </si>
  <si>
    <t>集团权益增长由综合收益、股东投入与分配共同形成；集团盈利不能直接代表母公司可分红现金。简单平均ROE不是公司披露的加权ROE，香港发行新股也影响分母与资金。</t>
  </si>
  <si>
    <t>E_EQ, E_PL, equity_rollforward, roe_simple</t>
  </si>
  <si>
    <t>资本交易和其他综合收益会改变权益而不增加经营利润。
母公司投资收益和子公司分红存在时间及可分配限制。</t>
  </si>
  <si>
    <t>分红能力判断需要母公司可分配利润、法定限制和实际资金，而非只看集团ROE。</t>
  </si>
  <si>
    <t>F_AUDIT</t>
  </si>
  <si>
    <t>关键审计事项能说明什么</t>
  </si>
  <si>
    <t>原报告为无保留意见，固定资产减值和收入确认为关键审计事项；本次只执行披露取证与复算。</t>
  </si>
  <si>
    <t>关键审计事项说明原审计中的重要关注，不等于确认错报。本次需将收入截止、可变对价及资产组估计落实到合同与数据，不能复制原审计师程序为已完成。</t>
  </si>
  <si>
    <t>supported</t>
  </si>
  <si>
    <t>E_AUDIT, E_POLICY, E_PPE</t>
  </si>
  <si>
    <t>存在重要估计不等于估计错误。
无保留意见也不意味着每项经营假设均经独立证实。</t>
  </si>
  <si>
    <t>实际合同、验收、返利及资产组证据支持或反驳原判断后更新风险状态。</t>
  </si>
  <si>
    <t>事项</t>
  </si>
  <si>
    <t>目的与认定</t>
  </si>
  <si>
    <t>总体</t>
  </si>
  <si>
    <t>选取</t>
  </si>
  <si>
    <t>步骤</t>
  </si>
  <si>
    <t>实际结果</t>
  </si>
  <si>
    <t>执行者日期</t>
  </si>
  <si>
    <t>P_RECALC</t>
  </si>
  <si>
    <t>复算所选报表与附注关系 / 准确性, 列报</t>
  </si>
  <si>
    <t>本例已列事实所对应的报表及附注</t>
  </si>
  <si>
    <t>按现金、债务、利润归属、权益及供应商融资重要问题选取；非审计抽样</t>
  </si>
  <si>
    <t>按PDF页码读取原始科目及千元单位。
使用同一底稿重新加总桥及残差。
对供应商融资跨页和现金等价物附注回看原页。</t>
  </si>
  <si>
    <t>performed</t>
  </si>
  <si>
    <t>本次已完成取证和计算输入准备；确定性运行的每项实际残差列于Reconciliations，不能仅据复算证明交易真实性。</t>
  </si>
  <si>
    <t>E_CF, E_BRIDGE, E_DEBT, E_EQ, E_SUPPLY</t>
  </si>
  <si>
    <t>Codex 本次公开资料分析 2026-10-02</t>
  </si>
  <si>
    <t>P_CONTRACT</t>
  </si>
  <si>
    <t>验证收入截止及返利估计 / 发生, 截止, 准确性</t>
  </si>
  <si>
    <t>年末前后主要客户交付、验收及返利合同与收入明细</t>
  </si>
  <si>
    <t>待取得总体与重要性后确定；不能以年报披露金额代替总体</t>
  </si>
  <si>
    <t>将合同、验收、发票及期后回款按交易匹配。
检查年末前后交付截止及期后退货折让。
重算返利条款和可变对价限制。</t>
  </si>
  <si>
    <t>awaiting_data</t>
  </si>
  <si>
    <t>未取得底层合同与明细，未执行细节检查；暂无确认错报金额。</t>
  </si>
  <si>
    <t xml:space="preserve"> </t>
  </si>
  <si>
    <t>所需资料</t>
  </si>
  <si>
    <t>影响</t>
  </si>
  <si>
    <t>责任角色</t>
  </si>
  <si>
    <t>关闭条件</t>
  </si>
  <si>
    <t>REQ_CASH</t>
  </si>
  <si>
    <t>取得逐法人、币种、月份的债务本金利息、受限现金、承诺额度到期与提款条件，以及未来经营/投资/分红预算。</t>
  </si>
  <si>
    <t>集团现金汇总不能证明每个到期点的可用资金。</t>
  </si>
  <si>
    <t>资金负责人及信用分析师</t>
  </si>
  <si>
    <t>来源用途与期初现金逐月闭合，融资条件有证据，压力下最小现金和契约时点可重算。</t>
  </si>
  <si>
    <t>REQ_ESTIMATE</t>
  </si>
  <si>
    <t>取得资产组范围与完整减值预测、折现率依据、历史预算兑现，以及售后准备新增/使用/冲回和质保批次数据。</t>
  </si>
  <si>
    <t>仅年报余额不能验证全部减值及保修估计。</t>
  </si>
  <si>
    <t>资产/售后财务负责人及审计估计负责人</t>
  </si>
  <si>
    <t>账面范围与模型一致，关键参数有证据，独立敏感性可复算，重大差异处理完成。</t>
  </si>
</sst>
</file>

<file path=xl/styles.xml><?xml version="1.0" encoding="utf-8"?>
<styleSheet xmlns="http://schemas.openxmlformats.org/spreadsheetml/2006/main">
  <numFmts count="2">
    <numFmt numFmtId="164" formatCode="#,##0.00;[Red](#,##0.00)"/>
    <numFmt numFmtId="165" formatCode="0.00%;[Red](0.00%)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13B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10.7109375" customWidth="1"/>
  </cols>
  <sheetData>
    <row r="1" spans="1:2" ht="32" customHeight="1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18</v>
      </c>
      <c r="B11" s="2" t="s">
        <v>20</v>
      </c>
    </row>
    <row r="12" spans="1:2">
      <c r="A12" s="2" t="s">
        <v>18</v>
      </c>
      <c r="B12" s="2" t="s">
        <v>21</v>
      </c>
    </row>
  </sheetData>
  <autoFilter ref="A1:B1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8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8" width="28.7109375" customWidth="1"/>
  </cols>
  <sheetData>
    <row r="1" spans="1:18" ht="32" customHeight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8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10</v>
      </c>
      <c r="P1" s="1" t="s">
        <v>35</v>
      </c>
      <c r="Q1" s="1" t="s">
        <v>36</v>
      </c>
      <c r="R1" s="1" t="s">
        <v>37</v>
      </c>
    </row>
    <row r="2" spans="1:18">
      <c r="A2" s="2" t="s">
        <v>38</v>
      </c>
      <c r="B2" s="2" t="s">
        <v>39</v>
      </c>
      <c r="C2" s="2" t="s">
        <v>40</v>
      </c>
      <c r="D2" s="2">
        <v>423701834</v>
      </c>
      <c r="E2" s="2">
        <v>1000</v>
      </c>
      <c r="F2" s="3">
        <f>IF(COUNT(D2,E2)=2,D2*E2,NA())</f>
        <v>423701834000.0</v>
      </c>
      <c r="G2" s="2" t="s">
        <v>41</v>
      </c>
      <c r="H2" s="2" t="s">
        <v>42</v>
      </c>
      <c r="I2" s="2" t="s">
        <v>43</v>
      </c>
      <c r="J2" s="2" t="s">
        <v>9</v>
      </c>
      <c r="K2" s="2" t="s">
        <v>44</v>
      </c>
      <c r="L2" s="2" t="s">
        <v>45</v>
      </c>
      <c r="M2" s="2" t="s">
        <v>46</v>
      </c>
      <c r="N2" s="2" t="s">
        <v>47</v>
      </c>
      <c r="O2" s="2" t="s">
        <v>11</v>
      </c>
      <c r="P2" s="2"/>
      <c r="Q2" s="2" t="s">
        <v>38</v>
      </c>
      <c r="R2" s="2"/>
    </row>
    <row r="3" spans="1:18">
      <c r="A3" s="2" t="s">
        <v>48</v>
      </c>
      <c r="B3" s="2" t="s">
        <v>49</v>
      </c>
      <c r="C3" s="2" t="s">
        <v>40</v>
      </c>
      <c r="D3" s="2">
        <v>362012554</v>
      </c>
      <c r="E3" s="2">
        <v>1000</v>
      </c>
      <c r="F3" s="3">
        <f>IF(COUNT(D3,E3)=2,D3*E3,NA())</f>
        <v>362012554000.0</v>
      </c>
      <c r="G3" s="2" t="s">
        <v>41</v>
      </c>
      <c r="H3" s="2" t="s">
        <v>42</v>
      </c>
      <c r="I3" s="2" t="s">
        <v>43</v>
      </c>
      <c r="J3" s="2" t="s">
        <v>9</v>
      </c>
      <c r="K3" s="2" t="s">
        <v>50</v>
      </c>
      <c r="L3" s="2" t="s">
        <v>51</v>
      </c>
      <c r="M3" s="2" t="s">
        <v>46</v>
      </c>
      <c r="N3" s="2" t="s">
        <v>47</v>
      </c>
      <c r="O3" s="2" t="s">
        <v>11</v>
      </c>
      <c r="P3" s="2"/>
      <c r="Q3" s="2" t="s">
        <v>38</v>
      </c>
      <c r="R3" s="2"/>
    </row>
    <row r="4" spans="1:18">
      <c r="A4" s="2" t="s">
        <v>52</v>
      </c>
      <c r="B4" s="2" t="s">
        <v>53</v>
      </c>
      <c r="C4" s="2" t="s">
        <v>40</v>
      </c>
      <c r="D4" s="2">
        <v>312383297</v>
      </c>
      <c r="E4" s="2">
        <v>1000</v>
      </c>
      <c r="F4" s="3">
        <f>IF(COUNT(D4,E4)=2,D4*E4,NA())</f>
        <v>312383297000.0</v>
      </c>
      <c r="G4" s="2" t="s">
        <v>41</v>
      </c>
      <c r="H4" s="2" t="s">
        <v>42</v>
      </c>
      <c r="I4" s="2" t="s">
        <v>43</v>
      </c>
      <c r="J4" s="2" t="s">
        <v>9</v>
      </c>
      <c r="K4" s="2" t="s">
        <v>44</v>
      </c>
      <c r="L4" s="2" t="s">
        <v>45</v>
      </c>
      <c r="M4" s="2" t="s">
        <v>46</v>
      </c>
      <c r="N4" s="2" t="s">
        <v>47</v>
      </c>
      <c r="O4" s="2" t="s">
        <v>11</v>
      </c>
      <c r="P4" s="2"/>
      <c r="Q4" s="2" t="s">
        <v>52</v>
      </c>
      <c r="R4" s="2"/>
    </row>
    <row r="5" spans="1:18">
      <c r="A5" s="2" t="s">
        <v>54</v>
      </c>
      <c r="B5" s="2" t="s">
        <v>55</v>
      </c>
      <c r="C5" s="2" t="s">
        <v>40</v>
      </c>
      <c r="D5" s="2">
        <v>273518959</v>
      </c>
      <c r="E5" s="2">
        <v>1000</v>
      </c>
      <c r="F5" s="3">
        <f>IF(COUNT(D5,E5)=2,D5*E5,NA())</f>
        <v>273518959000.0</v>
      </c>
      <c r="G5" s="2" t="s">
        <v>41</v>
      </c>
      <c r="H5" s="2" t="s">
        <v>42</v>
      </c>
      <c r="I5" s="2" t="s">
        <v>43</v>
      </c>
      <c r="J5" s="2" t="s">
        <v>9</v>
      </c>
      <c r="K5" s="2" t="s">
        <v>50</v>
      </c>
      <c r="L5" s="2" t="s">
        <v>51</v>
      </c>
      <c r="M5" s="2" t="s">
        <v>46</v>
      </c>
      <c r="N5" s="2" t="s">
        <v>47</v>
      </c>
      <c r="O5" s="2" t="s">
        <v>11</v>
      </c>
      <c r="P5" s="2"/>
      <c r="Q5" s="2" t="s">
        <v>52</v>
      </c>
      <c r="R5" s="2"/>
    </row>
    <row r="6" spans="1:18">
      <c r="A6" s="2" t="s">
        <v>56</v>
      </c>
      <c r="B6" s="2" t="s">
        <v>57</v>
      </c>
      <c r="C6" s="2" t="s">
        <v>58</v>
      </c>
      <c r="D6" s="2">
        <v>76786309</v>
      </c>
      <c r="E6" s="2">
        <v>1000</v>
      </c>
      <c r="F6" s="3">
        <f>IF(COUNT(D6,E6)=2,D6*E6,NA())</f>
        <v>76786309000.0</v>
      </c>
      <c r="G6" s="2" t="s">
        <v>41</v>
      </c>
      <c r="H6" s="2" t="s">
        <v>42</v>
      </c>
      <c r="I6" s="2" t="s">
        <v>43</v>
      </c>
      <c r="J6" s="2" t="s">
        <v>9</v>
      </c>
      <c r="K6" s="2" t="s">
        <v>44</v>
      </c>
      <c r="L6" s="2" t="s">
        <v>45</v>
      </c>
      <c r="M6" s="2" t="s">
        <v>46</v>
      </c>
      <c r="N6" s="2" t="s">
        <v>47</v>
      </c>
      <c r="O6" s="2" t="s">
        <v>11</v>
      </c>
      <c r="P6" s="2"/>
      <c r="Q6" s="2" t="s">
        <v>56</v>
      </c>
      <c r="R6" s="2"/>
    </row>
    <row r="7" spans="1:18">
      <c r="A7" s="2" t="s">
        <v>59</v>
      </c>
      <c r="B7" s="2" t="s">
        <v>60</v>
      </c>
      <c r="C7" s="2" t="s">
        <v>58</v>
      </c>
      <c r="D7" s="2">
        <v>54006794</v>
      </c>
      <c r="E7" s="2">
        <v>1000</v>
      </c>
      <c r="F7" s="3">
        <f>IF(COUNT(D7,E7)=2,D7*E7,NA())</f>
        <v>54006794000.0</v>
      </c>
      <c r="G7" s="2" t="s">
        <v>41</v>
      </c>
      <c r="H7" s="2" t="s">
        <v>42</v>
      </c>
      <c r="I7" s="2" t="s">
        <v>43</v>
      </c>
      <c r="J7" s="2" t="s">
        <v>9</v>
      </c>
      <c r="K7" s="2" t="s">
        <v>50</v>
      </c>
      <c r="L7" s="2" t="s">
        <v>51</v>
      </c>
      <c r="M7" s="2" t="s">
        <v>46</v>
      </c>
      <c r="N7" s="2" t="s">
        <v>47</v>
      </c>
      <c r="O7" s="2" t="s">
        <v>11</v>
      </c>
      <c r="P7" s="2"/>
      <c r="Q7" s="2" t="s">
        <v>56</v>
      </c>
      <c r="R7" s="2"/>
    </row>
    <row r="8" spans="1:18">
      <c r="A8" s="2" t="s">
        <v>61</v>
      </c>
      <c r="B8" s="2" t="s">
        <v>62</v>
      </c>
      <c r="C8" s="2" t="s">
        <v>63</v>
      </c>
      <c r="D8" s="2">
        <v>133219982</v>
      </c>
      <c r="E8" s="2">
        <v>1000</v>
      </c>
      <c r="F8" s="3">
        <f>IF(COUNT(D8,E8)=2,D8*E8,NA())</f>
        <v>133219982000.0</v>
      </c>
      <c r="G8" s="2" t="s">
        <v>41</v>
      </c>
      <c r="H8" s="2" t="s">
        <v>42</v>
      </c>
      <c r="I8" s="2" t="s">
        <v>43</v>
      </c>
      <c r="J8" s="2" t="s">
        <v>9</v>
      </c>
      <c r="K8" s="2" t="s">
        <v>44</v>
      </c>
      <c r="L8" s="2" t="s">
        <v>45</v>
      </c>
      <c r="M8" s="2" t="s">
        <v>46</v>
      </c>
      <c r="N8" s="2" t="s">
        <v>47</v>
      </c>
      <c r="O8" s="2" t="s">
        <v>11</v>
      </c>
      <c r="P8" s="2"/>
      <c r="Q8" s="2" t="s">
        <v>61</v>
      </c>
      <c r="R8" s="2"/>
    </row>
    <row r="9" spans="1:18">
      <c r="A9" s="2" t="s">
        <v>64</v>
      </c>
      <c r="B9" s="2" t="s">
        <v>65</v>
      </c>
      <c r="C9" s="2" t="s">
        <v>63</v>
      </c>
      <c r="D9" s="2">
        <v>96990345</v>
      </c>
      <c r="E9" s="2">
        <v>1000</v>
      </c>
      <c r="F9" s="3">
        <f>IF(COUNT(D9,E9)=2,D9*E9,NA())</f>
        <v>96990345000.0</v>
      </c>
      <c r="G9" s="2" t="s">
        <v>41</v>
      </c>
      <c r="H9" s="2" t="s">
        <v>42</v>
      </c>
      <c r="I9" s="2" t="s">
        <v>43</v>
      </c>
      <c r="J9" s="2" t="s">
        <v>9</v>
      </c>
      <c r="K9" s="2" t="s">
        <v>50</v>
      </c>
      <c r="L9" s="2" t="s">
        <v>51</v>
      </c>
      <c r="M9" s="2" t="s">
        <v>46</v>
      </c>
      <c r="N9" s="2" t="s">
        <v>47</v>
      </c>
      <c r="O9" s="2" t="s">
        <v>11</v>
      </c>
      <c r="P9" s="2"/>
      <c r="Q9" s="2" t="s">
        <v>61</v>
      </c>
      <c r="R9" s="2"/>
    </row>
    <row r="10" spans="1:18">
      <c r="A10" s="2" t="s">
        <v>66</v>
      </c>
      <c r="B10" s="2" t="s">
        <v>67</v>
      </c>
      <c r="C10" s="2" t="s">
        <v>68</v>
      </c>
      <c r="D10" s="2">
        <v>299929741</v>
      </c>
      <c r="E10" s="2">
        <v>1000</v>
      </c>
      <c r="F10" s="3">
        <f>IF(COUNT(D10,E10)=2,D10*E10,NA())</f>
        <v>299929741000.0</v>
      </c>
      <c r="G10" s="2" t="s">
        <v>41</v>
      </c>
      <c r="H10" s="2" t="s">
        <v>42</v>
      </c>
      <c r="I10" s="2" t="s">
        <v>43</v>
      </c>
      <c r="J10" s="2" t="s">
        <v>9</v>
      </c>
      <c r="K10" s="2"/>
      <c r="L10" s="2" t="s">
        <v>45</v>
      </c>
      <c r="M10" s="2" t="s">
        <v>69</v>
      </c>
      <c r="N10" s="2" t="s">
        <v>47</v>
      </c>
      <c r="O10" s="2" t="s">
        <v>11</v>
      </c>
      <c r="P10" s="2"/>
      <c r="Q10" s="2" t="s">
        <v>66</v>
      </c>
      <c r="R10" s="2"/>
    </row>
    <row r="11" spans="1:18">
      <c r="A11" s="2" t="s">
        <v>70</v>
      </c>
      <c r="B11" s="2" t="s">
        <v>71</v>
      </c>
      <c r="C11" s="2" t="s">
        <v>68</v>
      </c>
      <c r="D11" s="2">
        <v>270159734</v>
      </c>
      <c r="E11" s="2">
        <v>1000</v>
      </c>
      <c r="F11" s="3">
        <f>IF(COUNT(D11,E11)=2,D11*E11,NA())</f>
        <v>270159734000.0</v>
      </c>
      <c r="G11" s="2" t="s">
        <v>41</v>
      </c>
      <c r="H11" s="2" t="s">
        <v>42</v>
      </c>
      <c r="I11" s="2" t="s">
        <v>43</v>
      </c>
      <c r="J11" s="2" t="s">
        <v>9</v>
      </c>
      <c r="K11" s="2"/>
      <c r="L11" s="2" t="s">
        <v>51</v>
      </c>
      <c r="M11" s="2" t="s">
        <v>69</v>
      </c>
      <c r="N11" s="2" t="s">
        <v>47</v>
      </c>
      <c r="O11" s="2" t="s">
        <v>11</v>
      </c>
      <c r="P11" s="2"/>
      <c r="Q11" s="2" t="s">
        <v>66</v>
      </c>
      <c r="R11" s="2"/>
    </row>
    <row r="12" spans="1:18">
      <c r="A12" s="2" t="s">
        <v>72</v>
      </c>
      <c r="B12" s="2" t="s">
        <v>73</v>
      </c>
      <c r="C12" s="2" t="s">
        <v>74</v>
      </c>
      <c r="D12" s="2">
        <v>974827544</v>
      </c>
      <c r="E12" s="2">
        <v>1000</v>
      </c>
      <c r="F12" s="3">
        <f>IF(COUNT(D12,E12)=2,D12*E12,NA())</f>
        <v>974827544000.0</v>
      </c>
      <c r="G12" s="2" t="s">
        <v>41</v>
      </c>
      <c r="H12" s="2" t="s">
        <v>42</v>
      </c>
      <c r="I12" s="2" t="s">
        <v>43</v>
      </c>
      <c r="J12" s="2" t="s">
        <v>9</v>
      </c>
      <c r="K12" s="2"/>
      <c r="L12" s="2" t="s">
        <v>45</v>
      </c>
      <c r="M12" s="2" t="s">
        <v>69</v>
      </c>
      <c r="N12" s="2" t="s">
        <v>47</v>
      </c>
      <c r="O12" s="2" t="s">
        <v>11</v>
      </c>
      <c r="P12" s="2"/>
      <c r="Q12" s="2" t="s">
        <v>72</v>
      </c>
      <c r="R12" s="2"/>
    </row>
    <row r="13" spans="1:18">
      <c r="A13" s="2" t="s">
        <v>75</v>
      </c>
      <c r="B13" s="2" t="s">
        <v>76</v>
      </c>
      <c r="C13" s="2" t="s">
        <v>74</v>
      </c>
      <c r="D13" s="2">
        <v>786658123</v>
      </c>
      <c r="E13" s="2">
        <v>1000</v>
      </c>
      <c r="F13" s="3">
        <f>IF(COUNT(D13,E13)=2,D13*E13,NA())</f>
        <v>786658123000.0</v>
      </c>
      <c r="G13" s="2" t="s">
        <v>41</v>
      </c>
      <c r="H13" s="2" t="s">
        <v>42</v>
      </c>
      <c r="I13" s="2" t="s">
        <v>43</v>
      </c>
      <c r="J13" s="2" t="s">
        <v>9</v>
      </c>
      <c r="K13" s="2"/>
      <c r="L13" s="2" t="s">
        <v>51</v>
      </c>
      <c r="M13" s="2" t="s">
        <v>69</v>
      </c>
      <c r="N13" s="2" t="s">
        <v>47</v>
      </c>
      <c r="O13" s="2" t="s">
        <v>11</v>
      </c>
      <c r="P13" s="2"/>
      <c r="Q13" s="2" t="s">
        <v>72</v>
      </c>
      <c r="R13" s="2"/>
    </row>
    <row r="14" spans="1:18">
      <c r="A14" s="2" t="s">
        <v>77</v>
      </c>
      <c r="B14" s="2" t="s">
        <v>78</v>
      </c>
      <c r="C14" s="2" t="s">
        <v>74</v>
      </c>
      <c r="D14" s="2">
        <v>371026324</v>
      </c>
      <c r="E14" s="2">
        <v>1000</v>
      </c>
      <c r="F14" s="3">
        <f>IF(COUNT(D14,E14)=2,D14*E14,NA())</f>
        <v>371026324000.0</v>
      </c>
      <c r="G14" s="2" t="s">
        <v>41</v>
      </c>
      <c r="H14" s="2" t="s">
        <v>42</v>
      </c>
      <c r="I14" s="2" t="s">
        <v>43</v>
      </c>
      <c r="J14" s="2" t="s">
        <v>9</v>
      </c>
      <c r="K14" s="2"/>
      <c r="L14" s="2" t="s">
        <v>45</v>
      </c>
      <c r="M14" s="2" t="s">
        <v>69</v>
      </c>
      <c r="N14" s="2" t="s">
        <v>47</v>
      </c>
      <c r="O14" s="2" t="s">
        <v>11</v>
      </c>
      <c r="P14" s="2"/>
      <c r="Q14" s="2" t="s">
        <v>77</v>
      </c>
      <c r="R14" s="2"/>
    </row>
    <row r="15" spans="1:18">
      <c r="A15" s="2" t="s">
        <v>79</v>
      </c>
      <c r="B15" s="2" t="s">
        <v>80</v>
      </c>
      <c r="C15" s="2" t="s">
        <v>74</v>
      </c>
      <c r="D15" s="2">
        <v>273456174</v>
      </c>
      <c r="E15" s="2">
        <v>1000</v>
      </c>
      <c r="F15" s="3">
        <f>IF(COUNT(D15,E15)=2,D15*E15,NA())</f>
        <v>273456174000.0</v>
      </c>
      <c r="G15" s="2" t="s">
        <v>41</v>
      </c>
      <c r="H15" s="2" t="s">
        <v>42</v>
      </c>
      <c r="I15" s="2" t="s">
        <v>43</v>
      </c>
      <c r="J15" s="2" t="s">
        <v>9</v>
      </c>
      <c r="K15" s="2"/>
      <c r="L15" s="2" t="s">
        <v>51</v>
      </c>
      <c r="M15" s="2" t="s">
        <v>69</v>
      </c>
      <c r="N15" s="2" t="s">
        <v>47</v>
      </c>
      <c r="O15" s="2" t="s">
        <v>11</v>
      </c>
      <c r="P15" s="2"/>
      <c r="Q15" s="2" t="s">
        <v>77</v>
      </c>
      <c r="R15" s="2"/>
    </row>
    <row r="16" spans="1:18">
      <c r="A16" s="2" t="s">
        <v>81</v>
      </c>
      <c r="B16" s="2" t="s">
        <v>82</v>
      </c>
      <c r="C16" s="2" t="s">
        <v>74</v>
      </c>
      <c r="D16" s="2">
        <v>337107747</v>
      </c>
      <c r="E16" s="2">
        <v>1000</v>
      </c>
      <c r="F16" s="3">
        <f>IF(COUNT(D16,E16)=2,D16*E16,NA())</f>
        <v>337107747000.0</v>
      </c>
      <c r="G16" s="2" t="s">
        <v>41</v>
      </c>
      <c r="H16" s="2" t="s">
        <v>42</v>
      </c>
      <c r="I16" s="2" t="s">
        <v>43</v>
      </c>
      <c r="J16" s="2" t="s">
        <v>9</v>
      </c>
      <c r="K16" s="2"/>
      <c r="L16" s="2" t="s">
        <v>45</v>
      </c>
      <c r="M16" s="2" t="s">
        <v>69</v>
      </c>
      <c r="N16" s="2" t="s">
        <v>47</v>
      </c>
      <c r="O16" s="2" t="s">
        <v>11</v>
      </c>
      <c r="P16" s="2"/>
      <c r="Q16" s="2" t="s">
        <v>81</v>
      </c>
      <c r="R16" s="2"/>
    </row>
    <row r="17" spans="1:18">
      <c r="A17" s="2" t="s">
        <v>83</v>
      </c>
      <c r="B17" s="2" t="s">
        <v>84</v>
      </c>
      <c r="C17" s="2" t="s">
        <v>74</v>
      </c>
      <c r="D17" s="2">
        <v>246930033</v>
      </c>
      <c r="E17" s="2">
        <v>1000</v>
      </c>
      <c r="F17" s="3">
        <f>IF(COUNT(D17,E17)=2,D17*E17,NA())</f>
        <v>246930033000.0</v>
      </c>
      <c r="G17" s="2" t="s">
        <v>41</v>
      </c>
      <c r="H17" s="2" t="s">
        <v>42</v>
      </c>
      <c r="I17" s="2" t="s">
        <v>43</v>
      </c>
      <c r="J17" s="2" t="s">
        <v>9</v>
      </c>
      <c r="K17" s="2"/>
      <c r="L17" s="2" t="s">
        <v>51</v>
      </c>
      <c r="M17" s="2" t="s">
        <v>69</v>
      </c>
      <c r="N17" s="2" t="s">
        <v>47</v>
      </c>
      <c r="O17" s="2" t="s">
        <v>11</v>
      </c>
      <c r="P17" s="2"/>
      <c r="Q17" s="2" t="s">
        <v>81</v>
      </c>
      <c r="R17" s="2"/>
    </row>
    <row r="18" spans="1:18">
      <c r="A18" s="2" t="s">
        <v>85</v>
      </c>
      <c r="B18" s="2" t="s">
        <v>86</v>
      </c>
      <c r="C18" s="2" t="s">
        <v>74</v>
      </c>
      <c r="D18" s="2">
        <v>94526239</v>
      </c>
      <c r="E18" s="2">
        <v>1000</v>
      </c>
      <c r="F18" s="3">
        <f>IF(COUNT(D18,E18)=2,D18*E18,NA())</f>
        <v>94526239000.0</v>
      </c>
      <c r="G18" s="2" t="s">
        <v>41</v>
      </c>
      <c r="H18" s="2" t="s">
        <v>42</v>
      </c>
      <c r="I18" s="2" t="s">
        <v>43</v>
      </c>
      <c r="J18" s="2" t="s">
        <v>9</v>
      </c>
      <c r="K18" s="2"/>
      <c r="L18" s="2" t="s">
        <v>45</v>
      </c>
      <c r="M18" s="2" t="s">
        <v>69</v>
      </c>
      <c r="N18" s="2" t="s">
        <v>47</v>
      </c>
      <c r="O18" s="2" t="s">
        <v>11</v>
      </c>
      <c r="P18" s="2"/>
      <c r="Q18" s="2" t="s">
        <v>85</v>
      </c>
      <c r="R18" s="2"/>
    </row>
    <row r="19" spans="1:18">
      <c r="A19" s="2" t="s">
        <v>87</v>
      </c>
      <c r="B19" s="2" t="s">
        <v>88</v>
      </c>
      <c r="C19" s="2" t="s">
        <v>74</v>
      </c>
      <c r="D19" s="2">
        <v>59835533</v>
      </c>
      <c r="E19" s="2">
        <v>1000</v>
      </c>
      <c r="F19" s="3">
        <f>IF(COUNT(D19,E19)=2,D19*E19,NA())</f>
        <v>59835533000.0</v>
      </c>
      <c r="G19" s="2" t="s">
        <v>41</v>
      </c>
      <c r="H19" s="2" t="s">
        <v>42</v>
      </c>
      <c r="I19" s="2" t="s">
        <v>43</v>
      </c>
      <c r="J19" s="2" t="s">
        <v>9</v>
      </c>
      <c r="K19" s="2"/>
      <c r="L19" s="2" t="s">
        <v>51</v>
      </c>
      <c r="M19" s="2" t="s">
        <v>69</v>
      </c>
      <c r="N19" s="2" t="s">
        <v>47</v>
      </c>
      <c r="O19" s="2" t="s">
        <v>11</v>
      </c>
      <c r="P19" s="2"/>
      <c r="Q19" s="2" t="s">
        <v>85</v>
      </c>
      <c r="R19" s="2"/>
    </row>
    <row r="20" spans="1:18">
      <c r="A20" s="2" t="s">
        <v>89</v>
      </c>
      <c r="B20" s="2" t="s">
        <v>90</v>
      </c>
      <c r="C20" s="2" t="s">
        <v>74</v>
      </c>
      <c r="D20" s="2">
        <v>76403264</v>
      </c>
      <c r="E20" s="2">
        <v>1000</v>
      </c>
      <c r="F20" s="3">
        <f>IF(COUNT(D20,E20)=2,D20*E20,NA())</f>
        <v>76403264000.0</v>
      </c>
      <c r="G20" s="2" t="s">
        <v>41</v>
      </c>
      <c r="H20" s="2" t="s">
        <v>42</v>
      </c>
      <c r="I20" s="2" t="s">
        <v>43</v>
      </c>
      <c r="J20" s="2" t="s">
        <v>9</v>
      </c>
      <c r="K20" s="2"/>
      <c r="L20" s="2" t="s">
        <v>45</v>
      </c>
      <c r="M20" s="2" t="s">
        <v>69</v>
      </c>
      <c r="N20" s="2" t="s">
        <v>47</v>
      </c>
      <c r="O20" s="2" t="s">
        <v>11</v>
      </c>
      <c r="P20" s="2"/>
      <c r="Q20" s="2" t="s">
        <v>89</v>
      </c>
      <c r="R20" s="2"/>
    </row>
    <row r="21" spans="1:18">
      <c r="A21" s="2" t="s">
        <v>91</v>
      </c>
      <c r="B21" s="2" t="s">
        <v>92</v>
      </c>
      <c r="C21" s="2" t="s">
        <v>74</v>
      </c>
      <c r="D21" s="2">
        <v>64135510</v>
      </c>
      <c r="E21" s="2">
        <v>1000</v>
      </c>
      <c r="F21" s="3">
        <f>IF(COUNT(D21,E21)=2,D21*E21,NA())</f>
        <v>64135510000.0</v>
      </c>
      <c r="G21" s="2" t="s">
        <v>41</v>
      </c>
      <c r="H21" s="2" t="s">
        <v>42</v>
      </c>
      <c r="I21" s="2" t="s">
        <v>43</v>
      </c>
      <c r="J21" s="2" t="s">
        <v>9</v>
      </c>
      <c r="K21" s="2"/>
      <c r="L21" s="2" t="s">
        <v>51</v>
      </c>
      <c r="M21" s="2" t="s">
        <v>69</v>
      </c>
      <c r="N21" s="2" t="s">
        <v>47</v>
      </c>
      <c r="O21" s="2" t="s">
        <v>11</v>
      </c>
      <c r="P21" s="2"/>
      <c r="Q21" s="2" t="s">
        <v>89</v>
      </c>
      <c r="R21" s="2"/>
    </row>
    <row r="22" spans="1:18">
      <c r="A22" s="2" t="s">
        <v>93</v>
      </c>
      <c r="B22" s="2" t="s">
        <v>94</v>
      </c>
      <c r="C22" s="2" t="s">
        <v>74</v>
      </c>
      <c r="D22" s="2">
        <v>160328962</v>
      </c>
      <c r="E22" s="2">
        <v>1000</v>
      </c>
      <c r="F22" s="3">
        <f>IF(COUNT(D22,E22)=2,D22*E22,NA())</f>
        <v>160328962000.0</v>
      </c>
      <c r="G22" s="2" t="s">
        <v>41</v>
      </c>
      <c r="H22" s="2" t="s">
        <v>42</v>
      </c>
      <c r="I22" s="2" t="s">
        <v>43</v>
      </c>
      <c r="J22" s="2" t="s">
        <v>9</v>
      </c>
      <c r="K22" s="2"/>
      <c r="L22" s="2" t="s">
        <v>45</v>
      </c>
      <c r="M22" s="2" t="s">
        <v>69</v>
      </c>
      <c r="N22" s="2" t="s">
        <v>47</v>
      </c>
      <c r="O22" s="2" t="s">
        <v>11</v>
      </c>
      <c r="P22" s="2"/>
      <c r="Q22" s="2" t="s">
        <v>93</v>
      </c>
      <c r="R22" s="2"/>
    </row>
    <row r="23" spans="1:18">
      <c r="A23" s="2" t="s">
        <v>95</v>
      </c>
      <c r="B23" s="2" t="s">
        <v>96</v>
      </c>
      <c r="C23" s="2" t="s">
        <v>74</v>
      </c>
      <c r="D23" s="2">
        <v>130977408</v>
      </c>
      <c r="E23" s="2">
        <v>1000</v>
      </c>
      <c r="F23" s="3">
        <f>IF(COUNT(D23,E23)=2,D23*E23,NA())</f>
        <v>130977408000.0</v>
      </c>
      <c r="G23" s="2" t="s">
        <v>41</v>
      </c>
      <c r="H23" s="2" t="s">
        <v>42</v>
      </c>
      <c r="I23" s="2" t="s">
        <v>43</v>
      </c>
      <c r="J23" s="2" t="s">
        <v>9</v>
      </c>
      <c r="K23" s="2"/>
      <c r="L23" s="2" t="s">
        <v>51</v>
      </c>
      <c r="M23" s="2" t="s">
        <v>69</v>
      </c>
      <c r="N23" s="2" t="s">
        <v>47</v>
      </c>
      <c r="O23" s="2" t="s">
        <v>11</v>
      </c>
      <c r="P23" s="2"/>
      <c r="Q23" s="2" t="s">
        <v>93</v>
      </c>
      <c r="R23" s="2"/>
    </row>
    <row r="24" spans="1:18">
      <c r="A24" s="2" t="s">
        <v>97</v>
      </c>
      <c r="B24" s="2" t="s">
        <v>98</v>
      </c>
      <c r="C24" s="2" t="s">
        <v>74</v>
      </c>
      <c r="D24" s="2">
        <v>49233377</v>
      </c>
      <c r="E24" s="2">
        <v>1000</v>
      </c>
      <c r="F24" s="3">
        <f>IF(COUNT(D24,E24)=2,D24*E24,NA())</f>
        <v>49233377000.0</v>
      </c>
      <c r="G24" s="2" t="s">
        <v>41</v>
      </c>
      <c r="H24" s="2" t="s">
        <v>42</v>
      </c>
      <c r="I24" s="2" t="s">
        <v>43</v>
      </c>
      <c r="J24" s="2" t="s">
        <v>9</v>
      </c>
      <c r="K24" s="2"/>
      <c r="L24" s="2" t="s">
        <v>45</v>
      </c>
      <c r="M24" s="2" t="s">
        <v>69</v>
      </c>
      <c r="N24" s="2" t="s">
        <v>47</v>
      </c>
      <c r="O24" s="2" t="s">
        <v>11</v>
      </c>
      <c r="P24" s="2"/>
      <c r="Q24" s="2" t="s">
        <v>97</v>
      </c>
      <c r="R24" s="2"/>
    </row>
    <row r="25" spans="1:18">
      <c r="A25" s="2" t="s">
        <v>99</v>
      </c>
      <c r="B25" s="2" t="s">
        <v>100</v>
      </c>
      <c r="C25" s="2" t="s">
        <v>74</v>
      </c>
      <c r="D25" s="2">
        <v>27834446</v>
      </c>
      <c r="E25" s="2">
        <v>1000</v>
      </c>
      <c r="F25" s="3">
        <f>IF(COUNT(D25,E25)=2,D25*E25,NA())</f>
        <v>27834446000.0</v>
      </c>
      <c r="G25" s="2" t="s">
        <v>41</v>
      </c>
      <c r="H25" s="2" t="s">
        <v>42</v>
      </c>
      <c r="I25" s="2" t="s">
        <v>43</v>
      </c>
      <c r="J25" s="2" t="s">
        <v>9</v>
      </c>
      <c r="K25" s="2"/>
      <c r="L25" s="2" t="s">
        <v>51</v>
      </c>
      <c r="M25" s="2" t="s">
        <v>69</v>
      </c>
      <c r="N25" s="2" t="s">
        <v>47</v>
      </c>
      <c r="O25" s="2" t="s">
        <v>11</v>
      </c>
      <c r="P25" s="2"/>
      <c r="Q25" s="2" t="s">
        <v>97</v>
      </c>
      <c r="R25" s="2"/>
    </row>
    <row r="26" spans="1:18">
      <c r="A26" s="2" t="s">
        <v>101</v>
      </c>
      <c r="B26" s="2" t="s">
        <v>102</v>
      </c>
      <c r="C26" s="2" t="s">
        <v>103</v>
      </c>
      <c r="D26" s="2">
        <v>37222781</v>
      </c>
      <c r="E26" s="2">
        <v>1000</v>
      </c>
      <c r="F26" s="3">
        <f>IF(COUNT(D26,E26)=2,D26*E26,NA())</f>
        <v>37222781000.0</v>
      </c>
      <c r="G26" s="2" t="s">
        <v>41</v>
      </c>
      <c r="H26" s="2" t="s">
        <v>42</v>
      </c>
      <c r="I26" s="2" t="s">
        <v>43</v>
      </c>
      <c r="J26" s="2" t="s">
        <v>9</v>
      </c>
      <c r="K26" s="2"/>
      <c r="L26" s="2" t="s">
        <v>45</v>
      </c>
      <c r="M26" s="2" t="s">
        <v>69</v>
      </c>
      <c r="N26" s="2" t="s">
        <v>47</v>
      </c>
      <c r="O26" s="2" t="s">
        <v>11</v>
      </c>
      <c r="P26" s="2"/>
      <c r="Q26" s="2" t="s">
        <v>101</v>
      </c>
      <c r="R26" s="2"/>
    </row>
    <row r="27" spans="1:18">
      <c r="A27" s="2" t="s">
        <v>104</v>
      </c>
      <c r="B27" s="2" t="s">
        <v>105</v>
      </c>
      <c r="C27" s="2" t="s">
        <v>103</v>
      </c>
      <c r="D27" s="2">
        <v>44362409</v>
      </c>
      <c r="E27" s="2">
        <v>1000</v>
      </c>
      <c r="F27" s="3">
        <f>IF(COUNT(D27,E27)=2,D27*E27,NA())</f>
        <v>44362409000.0</v>
      </c>
      <c r="G27" s="2" t="s">
        <v>41</v>
      </c>
      <c r="H27" s="2" t="s">
        <v>42</v>
      </c>
      <c r="I27" s="2" t="s">
        <v>43</v>
      </c>
      <c r="J27" s="2" t="s">
        <v>9</v>
      </c>
      <c r="K27" s="2"/>
      <c r="L27" s="2" t="s">
        <v>51</v>
      </c>
      <c r="M27" s="2" t="s">
        <v>69</v>
      </c>
      <c r="N27" s="2" t="s">
        <v>47</v>
      </c>
      <c r="O27" s="2" t="s">
        <v>11</v>
      </c>
      <c r="P27" s="2"/>
      <c r="Q27" s="2" t="s">
        <v>101</v>
      </c>
      <c r="R27" s="2"/>
    </row>
    <row r="28" spans="1:18">
      <c r="A28" s="2" t="s">
        <v>106</v>
      </c>
      <c r="B28" s="2" t="s">
        <v>107</v>
      </c>
      <c r="C28" s="2" t="s">
        <v>108</v>
      </c>
      <c r="D28" s="2">
        <v>51233080</v>
      </c>
      <c r="E28" s="2">
        <v>1000</v>
      </c>
      <c r="F28" s="3">
        <f>IF(COUNT(D28,E28)=2,D28*E28,NA())</f>
        <v>51233080000.0</v>
      </c>
      <c r="G28" s="2" t="s">
        <v>41</v>
      </c>
      <c r="H28" s="2" t="s">
        <v>42</v>
      </c>
      <c r="I28" s="2" t="s">
        <v>43</v>
      </c>
      <c r="J28" s="2" t="s">
        <v>9</v>
      </c>
      <c r="K28" s="2"/>
      <c r="L28" s="2" t="s">
        <v>45</v>
      </c>
      <c r="M28" s="2" t="s">
        <v>69</v>
      </c>
      <c r="N28" s="2" t="s">
        <v>47</v>
      </c>
      <c r="O28" s="2" t="s">
        <v>11</v>
      </c>
      <c r="P28" s="2"/>
      <c r="Q28" s="2" t="s">
        <v>106</v>
      </c>
      <c r="R28" s="2"/>
    </row>
    <row r="29" spans="1:18">
      <c r="A29" s="2" t="s">
        <v>109</v>
      </c>
      <c r="B29" s="2" t="s">
        <v>110</v>
      </c>
      <c r="C29" s="2" t="s">
        <v>108</v>
      </c>
      <c r="D29" s="2">
        <v>39070181</v>
      </c>
      <c r="E29" s="2">
        <v>1000</v>
      </c>
      <c r="F29" s="3">
        <f>IF(COUNT(D29,E29)=2,D29*E29,NA())</f>
        <v>39070181000.0</v>
      </c>
      <c r="G29" s="2" t="s">
        <v>41</v>
      </c>
      <c r="H29" s="2" t="s">
        <v>42</v>
      </c>
      <c r="I29" s="2" t="s">
        <v>43</v>
      </c>
      <c r="J29" s="2" t="s">
        <v>9</v>
      </c>
      <c r="K29" s="2"/>
      <c r="L29" s="2" t="s">
        <v>51</v>
      </c>
      <c r="M29" s="2" t="s">
        <v>69</v>
      </c>
      <c r="N29" s="2" t="s">
        <v>47</v>
      </c>
      <c r="O29" s="2" t="s">
        <v>11</v>
      </c>
      <c r="P29" s="2"/>
      <c r="Q29" s="2" t="s">
        <v>106</v>
      </c>
      <c r="R29" s="2"/>
    </row>
    <row r="30" spans="1:18">
      <c r="A30" s="2" t="s">
        <v>111</v>
      </c>
      <c r="B30" s="2" t="s">
        <v>112</v>
      </c>
      <c r="C30" s="2" t="s">
        <v>113</v>
      </c>
      <c r="D30" s="2">
        <v>119601197</v>
      </c>
      <c r="E30" s="2">
        <v>1000</v>
      </c>
      <c r="F30" s="3">
        <f>IF(COUNT(D30,E30)=2,D30*E30,NA())</f>
        <v>119601197000.0</v>
      </c>
      <c r="G30" s="2" t="s">
        <v>41</v>
      </c>
      <c r="H30" s="2" t="s">
        <v>42</v>
      </c>
      <c r="I30" s="2" t="s">
        <v>43</v>
      </c>
      <c r="J30" s="2" t="s">
        <v>9</v>
      </c>
      <c r="K30" s="2"/>
      <c r="L30" s="2" t="s">
        <v>45</v>
      </c>
      <c r="M30" s="2" t="s">
        <v>69</v>
      </c>
      <c r="N30" s="2" t="s">
        <v>47</v>
      </c>
      <c r="O30" s="2" t="s">
        <v>11</v>
      </c>
      <c r="P30" s="2"/>
      <c r="Q30" s="2" t="s">
        <v>111</v>
      </c>
      <c r="R30" s="2"/>
    </row>
    <row r="31" spans="1:18">
      <c r="A31" s="2" t="s">
        <v>114</v>
      </c>
      <c r="B31" s="2" t="s">
        <v>115</v>
      </c>
      <c r="C31" s="2" t="s">
        <v>113</v>
      </c>
      <c r="D31" s="2">
        <v>136346553</v>
      </c>
      <c r="E31" s="2">
        <v>1000</v>
      </c>
      <c r="F31" s="3">
        <f>IF(COUNT(D31,E31)=2,D31*E31,NA())</f>
        <v>136346553000.0</v>
      </c>
      <c r="G31" s="2" t="s">
        <v>41</v>
      </c>
      <c r="H31" s="2" t="s">
        <v>42</v>
      </c>
      <c r="I31" s="2" t="s">
        <v>43</v>
      </c>
      <c r="J31" s="2" t="s">
        <v>9</v>
      </c>
      <c r="K31" s="2"/>
      <c r="L31" s="2" t="s">
        <v>51</v>
      </c>
      <c r="M31" s="2" t="s">
        <v>69</v>
      </c>
      <c r="N31" s="2" t="s">
        <v>47</v>
      </c>
      <c r="O31" s="2" t="s">
        <v>11</v>
      </c>
      <c r="P31" s="2"/>
      <c r="Q31" s="2" t="s">
        <v>111</v>
      </c>
      <c r="R31" s="2"/>
    </row>
    <row r="32" spans="1:18">
      <c r="A32" s="2" t="s">
        <v>116</v>
      </c>
      <c r="B32" s="2" t="s">
        <v>117</v>
      </c>
      <c r="C32" s="2" t="s">
        <v>118</v>
      </c>
      <c r="D32" s="2">
        <v>316506369</v>
      </c>
      <c r="E32" s="2">
        <v>1000</v>
      </c>
      <c r="F32" s="3">
        <f>IF(COUNT(D32,E32)=2,D32*E32,NA())</f>
        <v>316506369000.0</v>
      </c>
      <c r="G32" s="2" t="s">
        <v>41</v>
      </c>
      <c r="H32" s="2" t="s">
        <v>42</v>
      </c>
      <c r="I32" s="2" t="s">
        <v>43</v>
      </c>
      <c r="J32" s="2" t="s">
        <v>9</v>
      </c>
      <c r="K32" s="2" t="s">
        <v>44</v>
      </c>
      <c r="L32" s="2" t="s">
        <v>45</v>
      </c>
      <c r="M32" s="2" t="s">
        <v>46</v>
      </c>
      <c r="N32" s="2" t="s">
        <v>47</v>
      </c>
      <c r="O32" s="2" t="s">
        <v>11</v>
      </c>
      <c r="P32" s="2"/>
      <c r="Q32" s="2" t="s">
        <v>116</v>
      </c>
      <c r="R32" s="2"/>
    </row>
    <row r="33" spans="1:18">
      <c r="A33" s="2" t="s">
        <v>119</v>
      </c>
      <c r="B33" s="2" t="s">
        <v>120</v>
      </c>
      <c r="C33" s="2" t="s">
        <v>118</v>
      </c>
      <c r="D33" s="2">
        <v>253041337</v>
      </c>
      <c r="E33" s="2">
        <v>1000</v>
      </c>
      <c r="F33" s="3">
        <f>IF(COUNT(D33,E33)=2,D33*E33,NA())</f>
        <v>253041337000.0</v>
      </c>
      <c r="G33" s="2" t="s">
        <v>41</v>
      </c>
      <c r="H33" s="2" t="s">
        <v>42</v>
      </c>
      <c r="I33" s="2" t="s">
        <v>43</v>
      </c>
      <c r="J33" s="2" t="s">
        <v>9</v>
      </c>
      <c r="K33" s="2" t="s">
        <v>50</v>
      </c>
      <c r="L33" s="2" t="s">
        <v>51</v>
      </c>
      <c r="M33" s="2" t="s">
        <v>46</v>
      </c>
      <c r="N33" s="2" t="s">
        <v>47</v>
      </c>
      <c r="O33" s="2" t="s">
        <v>11</v>
      </c>
      <c r="P33" s="2"/>
      <c r="Q33" s="2" t="s">
        <v>116</v>
      </c>
      <c r="R33" s="2"/>
    </row>
    <row r="34" spans="1:18">
      <c r="A34" s="2" t="s">
        <v>121</v>
      </c>
      <c r="B34" s="2" t="s">
        <v>122</v>
      </c>
      <c r="C34" s="2" t="s">
        <v>118</v>
      </c>
      <c r="D34" s="2">
        <v>62439820</v>
      </c>
      <c r="E34" s="2">
        <v>1000</v>
      </c>
      <c r="F34" s="3">
        <f>IF(COUNT(D34,E34)=2,D34*E34,NA())</f>
        <v>62439820000.0</v>
      </c>
      <c r="G34" s="2" t="s">
        <v>41</v>
      </c>
      <c r="H34" s="2" t="s">
        <v>42</v>
      </c>
      <c r="I34" s="2" t="s">
        <v>43</v>
      </c>
      <c r="J34" s="2" t="s">
        <v>9</v>
      </c>
      <c r="K34" s="2" t="s">
        <v>44</v>
      </c>
      <c r="L34" s="2" t="s">
        <v>45</v>
      </c>
      <c r="M34" s="2" t="s">
        <v>46</v>
      </c>
      <c r="N34" s="2" t="s">
        <v>47</v>
      </c>
      <c r="O34" s="2" t="s">
        <v>11</v>
      </c>
      <c r="P34" s="2"/>
      <c r="Q34" s="2" t="s">
        <v>121</v>
      </c>
      <c r="R34" s="2"/>
    </row>
    <row r="35" spans="1:18">
      <c r="A35" s="2" t="s">
        <v>123</v>
      </c>
      <c r="B35" s="2" t="s">
        <v>124</v>
      </c>
      <c r="C35" s="2" t="s">
        <v>118</v>
      </c>
      <c r="D35" s="2">
        <v>57290460</v>
      </c>
      <c r="E35" s="2">
        <v>1000</v>
      </c>
      <c r="F35" s="3">
        <f>IF(COUNT(D35,E35)=2,D35*E35,NA())</f>
        <v>57290460000.0</v>
      </c>
      <c r="G35" s="2" t="s">
        <v>41</v>
      </c>
      <c r="H35" s="2" t="s">
        <v>42</v>
      </c>
      <c r="I35" s="2" t="s">
        <v>43</v>
      </c>
      <c r="J35" s="2" t="s">
        <v>9</v>
      </c>
      <c r="K35" s="2" t="s">
        <v>50</v>
      </c>
      <c r="L35" s="2" t="s">
        <v>51</v>
      </c>
      <c r="M35" s="2" t="s">
        <v>46</v>
      </c>
      <c r="N35" s="2" t="s">
        <v>47</v>
      </c>
      <c r="O35" s="2" t="s">
        <v>11</v>
      </c>
      <c r="P35" s="2"/>
      <c r="Q35" s="2" t="s">
        <v>121</v>
      </c>
      <c r="R35" s="2"/>
    </row>
    <row r="36" spans="1:18">
      <c r="A36" s="2" t="s">
        <v>125</v>
      </c>
      <c r="B36" s="2" t="s">
        <v>126</v>
      </c>
      <c r="C36" s="2" t="s">
        <v>118</v>
      </c>
      <c r="D36" s="2">
        <v>21860936</v>
      </c>
      <c r="E36" s="2">
        <v>1000</v>
      </c>
      <c r="F36" s="3">
        <f>IF(COUNT(D36,E36)=2,D36*E36,NA())</f>
        <v>21860936000.0</v>
      </c>
      <c r="G36" s="2" t="s">
        <v>41</v>
      </c>
      <c r="H36" s="2" t="s">
        <v>42</v>
      </c>
      <c r="I36" s="2" t="s">
        <v>43</v>
      </c>
      <c r="J36" s="2" t="s">
        <v>9</v>
      </c>
      <c r="K36" s="2" t="s">
        <v>44</v>
      </c>
      <c r="L36" s="2" t="s">
        <v>45</v>
      </c>
      <c r="M36" s="2" t="s">
        <v>46</v>
      </c>
      <c r="N36" s="2" t="s">
        <v>47</v>
      </c>
      <c r="O36" s="2" t="s">
        <v>11</v>
      </c>
      <c r="P36" s="2"/>
      <c r="Q36" s="2" t="s">
        <v>125</v>
      </c>
      <c r="R36" s="2"/>
    </row>
    <row r="37" spans="1:18">
      <c r="A37" s="2" t="s">
        <v>127</v>
      </c>
      <c r="B37" s="2" t="s">
        <v>128</v>
      </c>
      <c r="C37" s="2" t="s">
        <v>118</v>
      </c>
      <c r="D37" s="2">
        <v>28699935</v>
      </c>
      <c r="E37" s="2">
        <v>1000</v>
      </c>
      <c r="F37" s="3">
        <f>IF(COUNT(D37,E37)=2,D37*E37,NA())</f>
        <v>28699935000.0</v>
      </c>
      <c r="G37" s="2" t="s">
        <v>41</v>
      </c>
      <c r="H37" s="2" t="s">
        <v>42</v>
      </c>
      <c r="I37" s="2" t="s">
        <v>43</v>
      </c>
      <c r="J37" s="2" t="s">
        <v>9</v>
      </c>
      <c r="K37" s="2" t="s">
        <v>50</v>
      </c>
      <c r="L37" s="2" t="s">
        <v>51</v>
      </c>
      <c r="M37" s="2" t="s">
        <v>46</v>
      </c>
      <c r="N37" s="2" t="s">
        <v>47</v>
      </c>
      <c r="O37" s="2" t="s">
        <v>11</v>
      </c>
      <c r="P37" s="2"/>
      <c r="Q37" s="2" t="s">
        <v>125</v>
      </c>
      <c r="R37" s="2"/>
    </row>
    <row r="38" spans="1:18">
      <c r="A38" s="2" t="s">
        <v>129</v>
      </c>
      <c r="B38" s="2" t="s">
        <v>130</v>
      </c>
      <c r="C38" s="2" t="s">
        <v>40</v>
      </c>
      <c r="D38" s="2">
        <v>72201282</v>
      </c>
      <c r="E38" s="2">
        <v>1000</v>
      </c>
      <c r="F38" s="3">
        <f>IF(COUNT(D38,E38)=2,D38*E38,NA())</f>
        <v>72201282000.0</v>
      </c>
      <c r="G38" s="2" t="s">
        <v>41</v>
      </c>
      <c r="H38" s="2" t="s">
        <v>42</v>
      </c>
      <c r="I38" s="2" t="s">
        <v>43</v>
      </c>
      <c r="J38" s="2" t="s">
        <v>9</v>
      </c>
      <c r="K38" s="2" t="s">
        <v>44</v>
      </c>
      <c r="L38" s="2" t="s">
        <v>45</v>
      </c>
      <c r="M38" s="2" t="s">
        <v>46</v>
      </c>
      <c r="N38" s="2" t="s">
        <v>47</v>
      </c>
      <c r="O38" s="2" t="s">
        <v>11</v>
      </c>
      <c r="P38" s="2"/>
      <c r="Q38" s="2" t="s">
        <v>129</v>
      </c>
      <c r="R38" s="2"/>
    </row>
    <row r="39" spans="1:18">
      <c r="A39" s="2" t="s">
        <v>131</v>
      </c>
      <c r="B39" s="2" t="s">
        <v>132</v>
      </c>
      <c r="C39" s="2" t="s">
        <v>40</v>
      </c>
      <c r="D39" s="2">
        <v>4585027</v>
      </c>
      <c r="E39" s="2">
        <v>1000</v>
      </c>
      <c r="F39" s="3">
        <f>IF(COUNT(D39,E39)=2,D39*E39,NA())</f>
        <v>4585027000.0</v>
      </c>
      <c r="G39" s="2" t="s">
        <v>41</v>
      </c>
      <c r="H39" s="2" t="s">
        <v>42</v>
      </c>
      <c r="I39" s="2" t="s">
        <v>43</v>
      </c>
      <c r="J39" s="2" t="s">
        <v>9</v>
      </c>
      <c r="K39" s="2" t="s">
        <v>44</v>
      </c>
      <c r="L39" s="2" t="s">
        <v>45</v>
      </c>
      <c r="M39" s="2" t="s">
        <v>46</v>
      </c>
      <c r="N39" s="2" t="s">
        <v>47</v>
      </c>
      <c r="O39" s="2" t="s">
        <v>11</v>
      </c>
      <c r="P39" s="2"/>
      <c r="Q39" s="2" t="s">
        <v>131</v>
      </c>
      <c r="R39" s="2"/>
    </row>
    <row r="40" spans="1:18">
      <c r="A40" s="2" t="s">
        <v>133</v>
      </c>
      <c r="B40" s="2" t="s">
        <v>134</v>
      </c>
      <c r="C40" s="2" t="s">
        <v>63</v>
      </c>
      <c r="D40" s="2">
        <v>-94475790</v>
      </c>
      <c r="E40" s="2">
        <v>1000</v>
      </c>
      <c r="F40" s="3">
        <f>IF(COUNT(D40,E40)=2,D40*E40,NA())</f>
        <v>-94475790000.0</v>
      </c>
      <c r="G40" s="2" t="s">
        <v>41</v>
      </c>
      <c r="H40" s="2" t="s">
        <v>42</v>
      </c>
      <c r="I40" s="2" t="s">
        <v>43</v>
      </c>
      <c r="J40" s="2" t="s">
        <v>9</v>
      </c>
      <c r="K40" s="2" t="s">
        <v>44</v>
      </c>
      <c r="L40" s="2" t="s">
        <v>45</v>
      </c>
      <c r="M40" s="2" t="s">
        <v>46</v>
      </c>
      <c r="N40" s="2" t="s">
        <v>47</v>
      </c>
      <c r="O40" s="2" t="s">
        <v>11</v>
      </c>
      <c r="P40" s="2"/>
      <c r="Q40" s="2" t="s">
        <v>133</v>
      </c>
      <c r="R40" s="2"/>
    </row>
    <row r="41" spans="1:18">
      <c r="A41" s="2" t="s">
        <v>135</v>
      </c>
      <c r="B41" s="2" t="s">
        <v>136</v>
      </c>
      <c r="C41" s="2" t="s">
        <v>63</v>
      </c>
      <c r="D41" s="2">
        <v>-6309543</v>
      </c>
      <c r="E41" s="2">
        <v>1000</v>
      </c>
      <c r="F41" s="3">
        <f>IF(COUNT(D41,E41)=2,D41*E41,NA())</f>
        <v>-6309543000.0</v>
      </c>
      <c r="G41" s="2" t="s">
        <v>41</v>
      </c>
      <c r="H41" s="2" t="s">
        <v>42</v>
      </c>
      <c r="I41" s="2" t="s">
        <v>43</v>
      </c>
      <c r="J41" s="2" t="s">
        <v>9</v>
      </c>
      <c r="K41" s="2" t="s">
        <v>44</v>
      </c>
      <c r="L41" s="2" t="s">
        <v>45</v>
      </c>
      <c r="M41" s="2" t="s">
        <v>46</v>
      </c>
      <c r="N41" s="2" t="s">
        <v>47</v>
      </c>
      <c r="O41" s="2" t="s">
        <v>11</v>
      </c>
      <c r="P41" s="2"/>
      <c r="Q41" s="2" t="s">
        <v>135</v>
      </c>
      <c r="R41" s="2"/>
    </row>
    <row r="42" spans="1:18">
      <c r="A42" s="2" t="s">
        <v>137</v>
      </c>
      <c r="B42" s="2" t="s">
        <v>138</v>
      </c>
      <c r="C42" s="2" t="s">
        <v>63</v>
      </c>
      <c r="D42" s="2">
        <v>-2664640</v>
      </c>
      <c r="E42" s="2">
        <v>1000</v>
      </c>
      <c r="F42" s="3">
        <f>IF(COUNT(D42,E42)=2,D42*E42,NA())</f>
        <v>-2664640000.0</v>
      </c>
      <c r="G42" s="2" t="s">
        <v>41</v>
      </c>
      <c r="H42" s="2" t="s">
        <v>42</v>
      </c>
      <c r="I42" s="2" t="s">
        <v>43</v>
      </c>
      <c r="J42" s="2" t="s">
        <v>9</v>
      </c>
      <c r="K42" s="2" t="s">
        <v>44</v>
      </c>
      <c r="L42" s="2" t="s">
        <v>45</v>
      </c>
      <c r="M42" s="2" t="s">
        <v>46</v>
      </c>
      <c r="N42" s="2" t="s">
        <v>47</v>
      </c>
      <c r="O42" s="2" t="s">
        <v>11</v>
      </c>
      <c r="P42" s="2"/>
      <c r="Q42" s="2" t="s">
        <v>137</v>
      </c>
      <c r="R42" s="2"/>
    </row>
    <row r="43" spans="1:18">
      <c r="A43" s="2" t="s">
        <v>139</v>
      </c>
      <c r="B43" s="2" t="s">
        <v>140</v>
      </c>
      <c r="C43" s="2" t="s">
        <v>63</v>
      </c>
      <c r="D43" s="2">
        <v>29770008</v>
      </c>
      <c r="E43" s="2">
        <v>1000</v>
      </c>
      <c r="F43" s="3">
        <f>IF(COUNT(D43,E43)=2,D43*E43,NA())</f>
        <v>29770008000.0</v>
      </c>
      <c r="G43" s="2" t="s">
        <v>41</v>
      </c>
      <c r="H43" s="2" t="s">
        <v>42</v>
      </c>
      <c r="I43" s="2" t="s">
        <v>43</v>
      </c>
      <c r="J43" s="2" t="s">
        <v>9</v>
      </c>
      <c r="K43" s="2" t="s">
        <v>44</v>
      </c>
      <c r="L43" s="2" t="s">
        <v>45</v>
      </c>
      <c r="M43" s="2" t="s">
        <v>46</v>
      </c>
      <c r="N43" s="2" t="s">
        <v>47</v>
      </c>
      <c r="O43" s="2" t="s">
        <v>11</v>
      </c>
      <c r="P43" s="2"/>
      <c r="Q43" s="2" t="s">
        <v>139</v>
      </c>
      <c r="R43" s="2"/>
    </row>
    <row r="44" spans="1:18">
      <c r="A44" s="2" t="s">
        <v>141</v>
      </c>
      <c r="B44" s="2" t="s">
        <v>142</v>
      </c>
      <c r="C44" s="2" t="s">
        <v>63</v>
      </c>
      <c r="D44" s="2">
        <v>42344558</v>
      </c>
      <c r="E44" s="2">
        <v>1000</v>
      </c>
      <c r="F44" s="3">
        <f>IF(COUNT(D44,E44)=2,D44*E44,NA())</f>
        <v>42344558000.0</v>
      </c>
      <c r="G44" s="2" t="s">
        <v>41</v>
      </c>
      <c r="H44" s="2" t="s">
        <v>42</v>
      </c>
      <c r="I44" s="2" t="s">
        <v>43</v>
      </c>
      <c r="J44" s="2" t="s">
        <v>9</v>
      </c>
      <c r="K44" s="2" t="s">
        <v>44</v>
      </c>
      <c r="L44" s="2" t="s">
        <v>45</v>
      </c>
      <c r="M44" s="2" t="s">
        <v>46</v>
      </c>
      <c r="N44" s="2" t="s">
        <v>47</v>
      </c>
      <c r="O44" s="2" t="s">
        <v>11</v>
      </c>
      <c r="P44" s="2"/>
      <c r="Q44" s="2" t="s">
        <v>141</v>
      </c>
      <c r="R44" s="2"/>
    </row>
    <row r="45" spans="1:18">
      <c r="A45" s="2" t="s">
        <v>143</v>
      </c>
      <c r="B45" s="2" t="s">
        <v>144</v>
      </c>
      <c r="C45" s="2" t="s">
        <v>145</v>
      </c>
      <c r="D45" s="2">
        <v>84006523</v>
      </c>
      <c r="E45" s="2">
        <v>1000</v>
      </c>
      <c r="F45" s="3">
        <f>IF(COUNT(D45,E45)=2,D45*E45,NA())</f>
        <v>84006523000.0</v>
      </c>
      <c r="G45" s="2" t="s">
        <v>41</v>
      </c>
      <c r="H45" s="2" t="s">
        <v>42</v>
      </c>
      <c r="I45" s="2" t="s">
        <v>43</v>
      </c>
      <c r="J45" s="2" t="s">
        <v>9</v>
      </c>
      <c r="K45" s="2" t="s">
        <v>44</v>
      </c>
      <c r="L45" s="2" t="s">
        <v>45</v>
      </c>
      <c r="M45" s="2" t="s">
        <v>46</v>
      </c>
      <c r="N45" s="2" t="s">
        <v>47</v>
      </c>
      <c r="O45" s="2" t="s">
        <v>11</v>
      </c>
      <c r="P45" s="2"/>
      <c r="Q45" s="2" t="s">
        <v>143</v>
      </c>
      <c r="R45" s="2"/>
    </row>
    <row r="46" spans="1:18">
      <c r="A46" s="2" t="s">
        <v>146</v>
      </c>
      <c r="B46" s="2" t="s">
        <v>147</v>
      </c>
      <c r="C46" s="2" t="s">
        <v>145</v>
      </c>
      <c r="D46" s="2">
        <v>40416391</v>
      </c>
      <c r="E46" s="2">
        <v>1000</v>
      </c>
      <c r="F46" s="3">
        <f>IF(COUNT(D46,E46)=2,D46*E46,NA())</f>
        <v>40416391000.0</v>
      </c>
      <c r="G46" s="2" t="s">
        <v>41</v>
      </c>
      <c r="H46" s="2" t="s">
        <v>42</v>
      </c>
      <c r="I46" s="2" t="s">
        <v>43</v>
      </c>
      <c r="J46" s="2" t="s">
        <v>9</v>
      </c>
      <c r="K46" s="2" t="s">
        <v>44</v>
      </c>
      <c r="L46" s="2" t="s">
        <v>45</v>
      </c>
      <c r="M46" s="2" t="s">
        <v>46</v>
      </c>
      <c r="N46" s="2" t="s">
        <v>47</v>
      </c>
      <c r="O46" s="2" t="s">
        <v>11</v>
      </c>
      <c r="P46" s="2"/>
      <c r="Q46" s="2" t="s">
        <v>146</v>
      </c>
      <c r="R46" s="2"/>
    </row>
    <row r="47" spans="1:18">
      <c r="A47" s="2" t="s">
        <v>148</v>
      </c>
      <c r="B47" s="2" t="s">
        <v>149</v>
      </c>
      <c r="C47" s="2" t="s">
        <v>145</v>
      </c>
      <c r="D47" s="2">
        <v>-26842954</v>
      </c>
      <c r="E47" s="2">
        <v>1000</v>
      </c>
      <c r="F47" s="3">
        <f>IF(COUNT(D47,E47)=2,D47*E47,NA())</f>
        <v>-26842954000.0</v>
      </c>
      <c r="G47" s="2" t="s">
        <v>41</v>
      </c>
      <c r="H47" s="2" t="s">
        <v>42</v>
      </c>
      <c r="I47" s="2" t="s">
        <v>43</v>
      </c>
      <c r="J47" s="2" t="s">
        <v>9</v>
      </c>
      <c r="K47" s="2" t="s">
        <v>44</v>
      </c>
      <c r="L47" s="2" t="s">
        <v>45</v>
      </c>
      <c r="M47" s="2" t="s">
        <v>46</v>
      </c>
      <c r="N47" s="2" t="s">
        <v>47</v>
      </c>
      <c r="O47" s="2" t="s">
        <v>11</v>
      </c>
      <c r="P47" s="2"/>
      <c r="Q47" s="2" t="s">
        <v>148</v>
      </c>
      <c r="R47" s="2"/>
    </row>
    <row r="48" spans="1:18">
      <c r="A48" s="2" t="s">
        <v>150</v>
      </c>
      <c r="B48" s="2" t="s">
        <v>151</v>
      </c>
      <c r="C48" s="2" t="s">
        <v>145</v>
      </c>
      <c r="D48" s="2">
        <v>-9811</v>
      </c>
      <c r="E48" s="2">
        <v>1000</v>
      </c>
      <c r="F48" s="3">
        <f>IF(COUNT(D48,E48)=2,D48*E48,NA())</f>
        <v>-9811000.0</v>
      </c>
      <c r="G48" s="2" t="s">
        <v>41</v>
      </c>
      <c r="H48" s="2" t="s">
        <v>42</v>
      </c>
      <c r="I48" s="2" t="s">
        <v>43</v>
      </c>
      <c r="J48" s="2" t="s">
        <v>9</v>
      </c>
      <c r="K48" s="2" t="s">
        <v>44</v>
      </c>
      <c r="L48" s="2" t="s">
        <v>45</v>
      </c>
      <c r="M48" s="2" t="s">
        <v>46</v>
      </c>
      <c r="N48" s="2" t="s">
        <v>47</v>
      </c>
      <c r="O48" s="2" t="s">
        <v>11</v>
      </c>
      <c r="P48" s="2"/>
      <c r="Q48" s="2" t="s">
        <v>150</v>
      </c>
      <c r="R48" s="2"/>
    </row>
    <row r="49" spans="1:18">
      <c r="A49" s="2" t="s">
        <v>152</v>
      </c>
      <c r="B49" s="2" t="s">
        <v>153</v>
      </c>
      <c r="C49" s="2" t="s">
        <v>113</v>
      </c>
      <c r="D49" s="2">
        <v>39790079</v>
      </c>
      <c r="E49" s="2">
        <v>1000</v>
      </c>
      <c r="F49" s="3">
        <f>IF(COUNT(D49,E49)=2,D49*E49,NA())</f>
        <v>39790079000.0</v>
      </c>
      <c r="G49" s="2" t="s">
        <v>41</v>
      </c>
      <c r="H49" s="2" t="s">
        <v>42</v>
      </c>
      <c r="I49" s="2" t="s">
        <v>43</v>
      </c>
      <c r="J49" s="2" t="s">
        <v>9</v>
      </c>
      <c r="K49" s="2" t="s">
        <v>44</v>
      </c>
      <c r="L49" s="2" t="s">
        <v>45</v>
      </c>
      <c r="M49" s="2" t="s">
        <v>46</v>
      </c>
      <c r="N49" s="2" t="s">
        <v>47</v>
      </c>
      <c r="O49" s="2" t="s">
        <v>11</v>
      </c>
      <c r="P49" s="2"/>
      <c r="Q49" s="2" t="s">
        <v>152</v>
      </c>
      <c r="R49" s="2"/>
    </row>
    <row r="50" spans="1:18">
      <c r="A50" s="2" t="s">
        <v>154</v>
      </c>
      <c r="B50" s="2" t="s">
        <v>155</v>
      </c>
      <c r="C50" s="2" t="s">
        <v>113</v>
      </c>
      <c r="D50" s="2">
        <v>-54608510</v>
      </c>
      <c r="E50" s="2">
        <v>1000</v>
      </c>
      <c r="F50" s="3">
        <f>IF(COUNT(D50,E50)=2,D50*E50,NA())</f>
        <v>-54608510000.0</v>
      </c>
      <c r="G50" s="2" t="s">
        <v>41</v>
      </c>
      <c r="H50" s="2" t="s">
        <v>42</v>
      </c>
      <c r="I50" s="2" t="s">
        <v>43</v>
      </c>
      <c r="J50" s="2" t="s">
        <v>9</v>
      </c>
      <c r="K50" s="2" t="s">
        <v>44</v>
      </c>
      <c r="L50" s="2" t="s">
        <v>45</v>
      </c>
      <c r="M50" s="2" t="s">
        <v>46</v>
      </c>
      <c r="N50" s="2" t="s">
        <v>47</v>
      </c>
      <c r="O50" s="2" t="s">
        <v>11</v>
      </c>
      <c r="P50" s="2"/>
      <c r="Q50" s="2" t="s">
        <v>154</v>
      </c>
      <c r="R50" s="2"/>
    </row>
    <row r="51" spans="1:18">
      <c r="A51" s="2" t="s">
        <v>156</v>
      </c>
      <c r="B51" s="2" t="s">
        <v>157</v>
      </c>
      <c r="C51" s="2" t="s">
        <v>113</v>
      </c>
      <c r="D51" s="2">
        <v>-1926925</v>
      </c>
      <c r="E51" s="2">
        <v>1000</v>
      </c>
      <c r="F51" s="3">
        <f>IF(COUNT(D51,E51)=2,D51*E51,NA())</f>
        <v>-1926925000.0</v>
      </c>
      <c r="G51" s="2" t="s">
        <v>41</v>
      </c>
      <c r="H51" s="2" t="s">
        <v>42</v>
      </c>
      <c r="I51" s="2" t="s">
        <v>43</v>
      </c>
      <c r="J51" s="2" t="s">
        <v>9</v>
      </c>
      <c r="K51" s="2" t="s">
        <v>44</v>
      </c>
      <c r="L51" s="2" t="s">
        <v>45</v>
      </c>
      <c r="M51" s="2" t="s">
        <v>46</v>
      </c>
      <c r="N51" s="2" t="s">
        <v>47</v>
      </c>
      <c r="O51" s="2" t="s">
        <v>11</v>
      </c>
      <c r="P51" s="2"/>
      <c r="Q51" s="2" t="s">
        <v>156</v>
      </c>
      <c r="R51" s="2"/>
    </row>
    <row r="52" spans="1:18">
      <c r="A52" s="2" t="s">
        <v>158</v>
      </c>
      <c r="B52" s="2" t="s">
        <v>159</v>
      </c>
      <c r="C52" s="2" t="s">
        <v>160</v>
      </c>
      <c r="D52" s="2">
        <v>2659992</v>
      </c>
      <c r="E52" s="2">
        <v>1000</v>
      </c>
      <c r="F52" s="3">
        <f>IF(COUNT(D52,E52)=2,D52*E52,NA())</f>
        <v>2659992000.0</v>
      </c>
      <c r="G52" s="2" t="s">
        <v>41</v>
      </c>
      <c r="H52" s="2" t="s">
        <v>42</v>
      </c>
      <c r="I52" s="2" t="s">
        <v>43</v>
      </c>
      <c r="J52" s="2" t="s">
        <v>9</v>
      </c>
      <c r="K52" s="2" t="s">
        <v>44</v>
      </c>
      <c r="L52" s="2" t="s">
        <v>45</v>
      </c>
      <c r="M52" s="2" t="s">
        <v>46</v>
      </c>
      <c r="N52" s="2" t="s">
        <v>47</v>
      </c>
      <c r="O52" s="2" t="s">
        <v>11</v>
      </c>
      <c r="P52" s="2"/>
      <c r="Q52" s="2" t="s">
        <v>158</v>
      </c>
      <c r="R52" s="2"/>
    </row>
    <row r="53" spans="1:18">
      <c r="A53" s="2" t="s">
        <v>161</v>
      </c>
      <c r="B53" s="2" t="s">
        <v>162</v>
      </c>
      <c r="C53" s="2" t="s">
        <v>160</v>
      </c>
      <c r="D53" s="2">
        <v>60616240</v>
      </c>
      <c r="E53" s="2">
        <v>1000</v>
      </c>
      <c r="F53" s="3">
        <f>IF(COUNT(D53,E53)=2,D53*E53,NA())</f>
        <v>60616240000.0</v>
      </c>
      <c r="G53" s="2" t="s">
        <v>41</v>
      </c>
      <c r="H53" s="2" t="s">
        <v>42</v>
      </c>
      <c r="I53" s="2" t="s">
        <v>43</v>
      </c>
      <c r="J53" s="2" t="s">
        <v>9</v>
      </c>
      <c r="K53" s="2" t="s">
        <v>44</v>
      </c>
      <c r="L53" s="2" t="s">
        <v>45</v>
      </c>
      <c r="M53" s="2" t="s">
        <v>46</v>
      </c>
      <c r="N53" s="2" t="s">
        <v>47</v>
      </c>
      <c r="O53" s="2" t="s">
        <v>11</v>
      </c>
      <c r="P53" s="2"/>
      <c r="Q53" s="2" t="s">
        <v>161</v>
      </c>
      <c r="R53" s="2"/>
    </row>
    <row r="54" spans="1:18">
      <c r="A54" s="2" t="s">
        <v>163</v>
      </c>
      <c r="B54" s="2" t="s">
        <v>164</v>
      </c>
      <c r="C54" s="2" t="s">
        <v>74</v>
      </c>
      <c r="D54" s="2">
        <v>603801220</v>
      </c>
      <c r="E54" s="2">
        <v>1000</v>
      </c>
      <c r="F54" s="3">
        <f>IF(COUNT(D54,E54)=2,D54*E54,NA())</f>
        <v>603801220000.0</v>
      </c>
      <c r="G54" s="2" t="s">
        <v>41</v>
      </c>
      <c r="H54" s="2" t="s">
        <v>42</v>
      </c>
      <c r="I54" s="2" t="s">
        <v>43</v>
      </c>
      <c r="J54" s="2" t="s">
        <v>9</v>
      </c>
      <c r="K54" s="2"/>
      <c r="L54" s="2" t="s">
        <v>45</v>
      </c>
      <c r="M54" s="2" t="s">
        <v>69</v>
      </c>
      <c r="N54" s="2" t="s">
        <v>47</v>
      </c>
      <c r="O54" s="2" t="s">
        <v>11</v>
      </c>
      <c r="P54" s="2"/>
      <c r="Q54" s="2" t="s">
        <v>163</v>
      </c>
      <c r="R54" s="2"/>
    </row>
    <row r="55" spans="1:18">
      <c r="A55" s="2" t="s">
        <v>165</v>
      </c>
      <c r="B55" s="2" t="s">
        <v>166</v>
      </c>
      <c r="C55" s="2" t="s">
        <v>74</v>
      </c>
      <c r="D55" s="2">
        <v>333512927</v>
      </c>
      <c r="E55" s="2">
        <v>1000</v>
      </c>
      <c r="F55" s="3">
        <f>IF(COUNT(D55,E55)=2,D55*E55,NA())</f>
        <v>333512927000.0</v>
      </c>
      <c r="G55" s="2" t="s">
        <v>41</v>
      </c>
      <c r="H55" s="2" t="s">
        <v>42</v>
      </c>
      <c r="I55" s="2" t="s">
        <v>43</v>
      </c>
      <c r="J55" s="2" t="s">
        <v>9</v>
      </c>
      <c r="K55" s="2"/>
      <c r="L55" s="2" t="s">
        <v>45</v>
      </c>
      <c r="M55" s="2" t="s">
        <v>69</v>
      </c>
      <c r="N55" s="2" t="s">
        <v>47</v>
      </c>
      <c r="O55" s="2" t="s">
        <v>11</v>
      </c>
      <c r="P55" s="2"/>
      <c r="Q55" s="2" t="s">
        <v>165</v>
      </c>
      <c r="R55" s="2"/>
    </row>
    <row r="56" spans="1:18">
      <c r="A56" s="2" t="s">
        <v>167</v>
      </c>
      <c r="B56" s="2" t="s">
        <v>168</v>
      </c>
      <c r="C56" s="2" t="s">
        <v>68</v>
      </c>
      <c r="D56" s="2">
        <v>33583185</v>
      </c>
      <c r="E56" s="2">
        <v>1000</v>
      </c>
      <c r="F56" s="3">
        <f>IF(COUNT(D56,E56)=2,D56*E56,NA())</f>
        <v>33583185000.0</v>
      </c>
      <c r="G56" s="2" t="s">
        <v>41</v>
      </c>
      <c r="H56" s="2" t="s">
        <v>42</v>
      </c>
      <c r="I56" s="2" t="s">
        <v>43</v>
      </c>
      <c r="J56" s="2" t="s">
        <v>9</v>
      </c>
      <c r="K56" s="2"/>
      <c r="L56" s="2" t="s">
        <v>45</v>
      </c>
      <c r="M56" s="2" t="s">
        <v>69</v>
      </c>
      <c r="N56" s="2" t="s">
        <v>47</v>
      </c>
      <c r="O56" s="2" t="s">
        <v>11</v>
      </c>
      <c r="P56" s="2"/>
      <c r="Q56" s="2" t="s">
        <v>167</v>
      </c>
      <c r="R56" s="2"/>
    </row>
    <row r="57" spans="1:18">
      <c r="A57" s="2" t="s">
        <v>169</v>
      </c>
      <c r="B57" s="2" t="s">
        <v>170</v>
      </c>
      <c r="C57" s="2" t="s">
        <v>68</v>
      </c>
      <c r="D57" s="2">
        <v>18428631</v>
      </c>
      <c r="E57" s="2">
        <v>1000</v>
      </c>
      <c r="F57" s="3">
        <f>IF(COUNT(D57,E57)=2,D57*E57,NA())</f>
        <v>18428631000.0</v>
      </c>
      <c r="G57" s="2" t="s">
        <v>41</v>
      </c>
      <c r="H57" s="2" t="s">
        <v>42</v>
      </c>
      <c r="I57" s="2" t="s">
        <v>43</v>
      </c>
      <c r="J57" s="2" t="s">
        <v>9</v>
      </c>
      <c r="K57" s="2"/>
      <c r="L57" s="2" t="s">
        <v>45</v>
      </c>
      <c r="M57" s="2" t="s">
        <v>69</v>
      </c>
      <c r="N57" s="2" t="s">
        <v>47</v>
      </c>
      <c r="O57" s="2" t="s">
        <v>11</v>
      </c>
      <c r="P57" s="2"/>
      <c r="Q57" s="2" t="s">
        <v>169</v>
      </c>
      <c r="R57" s="2"/>
    </row>
    <row r="58" spans="1:18">
      <c r="A58" s="2" t="s">
        <v>171</v>
      </c>
      <c r="B58" s="2" t="s">
        <v>172</v>
      </c>
      <c r="C58" s="2" t="s">
        <v>68</v>
      </c>
      <c r="D58" s="2">
        <v>461587</v>
      </c>
      <c r="E58" s="2">
        <v>1000</v>
      </c>
      <c r="F58" s="3">
        <f>IF(COUNT(D58,E58)=2,D58*E58,NA())</f>
        <v>461587000.0</v>
      </c>
      <c r="G58" s="2" t="s">
        <v>41</v>
      </c>
      <c r="H58" s="2" t="s">
        <v>42</v>
      </c>
      <c r="I58" s="2" t="s">
        <v>43</v>
      </c>
      <c r="J58" s="2" t="s">
        <v>9</v>
      </c>
      <c r="K58" s="2"/>
      <c r="L58" s="2" t="s">
        <v>45</v>
      </c>
      <c r="M58" s="2" t="s">
        <v>69</v>
      </c>
      <c r="N58" s="2" t="s">
        <v>47</v>
      </c>
      <c r="O58" s="2" t="s">
        <v>11</v>
      </c>
      <c r="P58" s="2"/>
      <c r="Q58" s="2" t="s">
        <v>171</v>
      </c>
      <c r="R58" s="2"/>
    </row>
    <row r="59" spans="1:18">
      <c r="A59" s="2" t="s">
        <v>173</v>
      </c>
      <c r="B59" s="2" t="s">
        <v>174</v>
      </c>
      <c r="C59" s="2" t="s">
        <v>68</v>
      </c>
      <c r="D59" s="2">
        <v>14692968</v>
      </c>
      <c r="E59" s="2">
        <v>1000</v>
      </c>
      <c r="F59" s="3">
        <f>IF(COUNT(D59,E59)=2,D59*E59,NA())</f>
        <v>14692968000.0</v>
      </c>
      <c r="G59" s="2" t="s">
        <v>41</v>
      </c>
      <c r="H59" s="2" t="s">
        <v>42</v>
      </c>
      <c r="I59" s="2" t="s">
        <v>43</v>
      </c>
      <c r="J59" s="2" t="s">
        <v>9</v>
      </c>
      <c r="K59" s="2"/>
      <c r="L59" s="2" t="s">
        <v>45</v>
      </c>
      <c r="M59" s="2" t="s">
        <v>69</v>
      </c>
      <c r="N59" s="2" t="s">
        <v>47</v>
      </c>
      <c r="O59" s="2" t="s">
        <v>11</v>
      </c>
      <c r="P59" s="2"/>
      <c r="Q59" s="2" t="s">
        <v>173</v>
      </c>
      <c r="R59" s="2"/>
    </row>
    <row r="60" spans="1:18">
      <c r="A60" s="2" t="s">
        <v>175</v>
      </c>
      <c r="B60" s="2" t="s">
        <v>176</v>
      </c>
      <c r="C60" s="2" t="s">
        <v>103</v>
      </c>
      <c r="D60" s="2">
        <v>23902653</v>
      </c>
      <c r="E60" s="2">
        <v>1000</v>
      </c>
      <c r="F60" s="3">
        <f>IF(COUNT(D60,E60)=2,D60*E60,NA())</f>
        <v>23902653000.0</v>
      </c>
      <c r="G60" s="2" t="s">
        <v>41</v>
      </c>
      <c r="H60" s="2" t="s">
        <v>42</v>
      </c>
      <c r="I60" s="2" t="s">
        <v>43</v>
      </c>
      <c r="J60" s="2" t="s">
        <v>9</v>
      </c>
      <c r="K60" s="2"/>
      <c r="L60" s="2" t="s">
        <v>45</v>
      </c>
      <c r="M60" s="2" t="s">
        <v>69</v>
      </c>
      <c r="N60" s="2" t="s">
        <v>47</v>
      </c>
      <c r="O60" s="2" t="s">
        <v>11</v>
      </c>
      <c r="P60" s="2"/>
      <c r="Q60" s="2" t="s">
        <v>175</v>
      </c>
      <c r="R60" s="2"/>
    </row>
    <row r="61" spans="1:18">
      <c r="A61" s="2" t="s">
        <v>177</v>
      </c>
      <c r="B61" s="2" t="s">
        <v>178</v>
      </c>
      <c r="C61" s="2" t="s">
        <v>103</v>
      </c>
      <c r="D61" s="2">
        <v>13320128</v>
      </c>
      <c r="E61" s="2">
        <v>1000</v>
      </c>
      <c r="F61" s="3">
        <f>IF(COUNT(D61,E61)=2,D61*E61,NA())</f>
        <v>13320128000.0</v>
      </c>
      <c r="G61" s="2" t="s">
        <v>41</v>
      </c>
      <c r="H61" s="2" t="s">
        <v>42</v>
      </c>
      <c r="I61" s="2" t="s">
        <v>43</v>
      </c>
      <c r="J61" s="2" t="s">
        <v>9</v>
      </c>
      <c r="K61" s="2"/>
      <c r="L61" s="2" t="s">
        <v>45</v>
      </c>
      <c r="M61" s="2" t="s">
        <v>69</v>
      </c>
      <c r="N61" s="2" t="s">
        <v>47</v>
      </c>
      <c r="O61" s="2" t="s">
        <v>11</v>
      </c>
      <c r="P61" s="2"/>
      <c r="Q61" s="2" t="s">
        <v>177</v>
      </c>
      <c r="R61" s="2"/>
    </row>
    <row r="62" spans="1:18">
      <c r="A62" s="2" t="s">
        <v>179</v>
      </c>
      <c r="B62" s="2" t="s">
        <v>180</v>
      </c>
      <c r="C62" s="2" t="s">
        <v>103</v>
      </c>
      <c r="D62" s="2">
        <v>30728127</v>
      </c>
      <c r="E62" s="2">
        <v>1000</v>
      </c>
      <c r="F62" s="3">
        <f>IF(COUNT(D62,E62)=2,D62*E62,NA())</f>
        <v>30728127000.0</v>
      </c>
      <c r="G62" s="2" t="s">
        <v>41</v>
      </c>
      <c r="H62" s="2" t="s">
        <v>42</v>
      </c>
      <c r="I62" s="2" t="s">
        <v>43</v>
      </c>
      <c r="J62" s="2" t="s">
        <v>9</v>
      </c>
      <c r="K62" s="2"/>
      <c r="L62" s="2" t="s">
        <v>45</v>
      </c>
      <c r="M62" s="2" t="s">
        <v>69</v>
      </c>
      <c r="N62" s="2" t="s">
        <v>47</v>
      </c>
      <c r="O62" s="2" t="s">
        <v>11</v>
      </c>
      <c r="P62" s="2"/>
      <c r="Q62" s="2" t="s">
        <v>179</v>
      </c>
      <c r="R62" s="2"/>
    </row>
    <row r="63" spans="1:18">
      <c r="A63" s="2" t="s">
        <v>181</v>
      </c>
      <c r="B63" s="2" t="s">
        <v>182</v>
      </c>
      <c r="C63" s="2" t="s">
        <v>160</v>
      </c>
      <c r="D63" s="2">
        <v>2865508</v>
      </c>
      <c r="E63" s="2">
        <v>1000</v>
      </c>
      <c r="F63" s="3">
        <f>IF(COUNT(D63,E63)=2,D63*E63,NA())</f>
        <v>2865508000.0</v>
      </c>
      <c r="G63" s="2" t="s">
        <v>41</v>
      </c>
      <c r="H63" s="2" t="s">
        <v>42</v>
      </c>
      <c r="I63" s="2" t="s">
        <v>43</v>
      </c>
      <c r="J63" s="2" t="s">
        <v>9</v>
      </c>
      <c r="K63" s="2"/>
      <c r="L63" s="2" t="s">
        <v>45</v>
      </c>
      <c r="M63" s="2" t="s">
        <v>69</v>
      </c>
      <c r="N63" s="2" t="s">
        <v>47</v>
      </c>
      <c r="O63" s="2" t="s">
        <v>11</v>
      </c>
      <c r="P63" s="2"/>
      <c r="Q63" s="2" t="s">
        <v>181</v>
      </c>
      <c r="R63" s="2"/>
    </row>
    <row r="64" spans="1:18">
      <c r="A64" s="2" t="s">
        <v>183</v>
      </c>
      <c r="B64" s="2" t="s">
        <v>184</v>
      </c>
      <c r="C64" s="2" t="s">
        <v>160</v>
      </c>
      <c r="D64" s="2">
        <v>205516</v>
      </c>
      <c r="E64" s="2">
        <v>1000</v>
      </c>
      <c r="F64" s="3">
        <f>IF(COUNT(D64,E64)=2,D64*E64,NA())</f>
        <v>205516000.0</v>
      </c>
      <c r="G64" s="2" t="s">
        <v>41</v>
      </c>
      <c r="H64" s="2" t="s">
        <v>42</v>
      </c>
      <c r="I64" s="2" t="s">
        <v>43</v>
      </c>
      <c r="J64" s="2" t="s">
        <v>9</v>
      </c>
      <c r="K64" s="2"/>
      <c r="L64" s="2" t="s">
        <v>45</v>
      </c>
      <c r="M64" s="2" t="s">
        <v>69</v>
      </c>
      <c r="N64" s="2" t="s">
        <v>47</v>
      </c>
      <c r="O64" s="2" t="s">
        <v>11</v>
      </c>
      <c r="P64" s="2"/>
      <c r="Q64" s="2" t="s">
        <v>183</v>
      </c>
      <c r="R64" s="2"/>
    </row>
    <row r="65" spans="1:18">
      <c r="A65" s="2" t="s">
        <v>185</v>
      </c>
      <c r="B65" s="2" t="s">
        <v>186</v>
      </c>
      <c r="C65" s="2" t="s">
        <v>40</v>
      </c>
      <c r="D65" s="2">
        <v>70414214</v>
      </c>
      <c r="E65" s="2">
        <v>1000</v>
      </c>
      <c r="F65" s="3">
        <f>IF(COUNT(D65,E65)=2,D65*E65,NA())</f>
        <v>70414214000.0</v>
      </c>
      <c r="G65" s="2" t="s">
        <v>41</v>
      </c>
      <c r="H65" s="2" t="s">
        <v>42</v>
      </c>
      <c r="I65" s="2" t="s">
        <v>43</v>
      </c>
      <c r="J65" s="2" t="s">
        <v>187</v>
      </c>
      <c r="K65" s="2" t="s">
        <v>44</v>
      </c>
      <c r="L65" s="2" t="s">
        <v>45</v>
      </c>
      <c r="M65" s="2" t="s">
        <v>46</v>
      </c>
      <c r="N65" s="2" t="s">
        <v>47</v>
      </c>
      <c r="O65" s="2" t="s">
        <v>11</v>
      </c>
      <c r="P65" s="2"/>
      <c r="Q65" s="2" t="s">
        <v>185</v>
      </c>
      <c r="R65" s="2"/>
    </row>
    <row r="66" spans="1:18">
      <c r="A66" s="2" t="s">
        <v>188</v>
      </c>
      <c r="B66" s="2" t="s">
        <v>189</v>
      </c>
      <c r="C66" s="2" t="s">
        <v>118</v>
      </c>
      <c r="D66" s="2">
        <v>661</v>
      </c>
      <c r="E66" s="2">
        <v>1</v>
      </c>
      <c r="F66" s="3">
        <f>IF(COUNT(D66,E66)=2,D66*E66,NA())</f>
        <v>661.0</v>
      </c>
      <c r="G66" s="2" t="s">
        <v>190</v>
      </c>
      <c r="H66" s="2"/>
      <c r="I66" s="2" t="s">
        <v>43</v>
      </c>
      <c r="J66" s="2" t="s">
        <v>9</v>
      </c>
      <c r="K66" s="2" t="s">
        <v>44</v>
      </c>
      <c r="L66" s="2" t="s">
        <v>45</v>
      </c>
      <c r="M66" s="2" t="s">
        <v>46</v>
      </c>
      <c r="N66" s="2" t="s">
        <v>47</v>
      </c>
      <c r="O66" s="2" t="s">
        <v>11</v>
      </c>
      <c r="P66" s="2"/>
      <c r="Q66" s="2" t="s">
        <v>188</v>
      </c>
      <c r="R66" s="2" t="s">
        <v>191</v>
      </c>
    </row>
    <row r="67" spans="1:18">
      <c r="A67" s="2" t="s">
        <v>192</v>
      </c>
      <c r="B67" s="2" t="s">
        <v>193</v>
      </c>
      <c r="C67" s="2" t="s">
        <v>118</v>
      </c>
      <c r="D67" s="2">
        <v>475</v>
      </c>
      <c r="E67" s="2">
        <v>1</v>
      </c>
      <c r="F67" s="3">
        <f>IF(COUNT(D67,E67)=2,D67*E67,NA())</f>
        <v>475.0</v>
      </c>
      <c r="G67" s="2" t="s">
        <v>190</v>
      </c>
      <c r="H67" s="2"/>
      <c r="I67" s="2" t="s">
        <v>43</v>
      </c>
      <c r="J67" s="2" t="s">
        <v>9</v>
      </c>
      <c r="K67" s="2" t="s">
        <v>50</v>
      </c>
      <c r="L67" s="2" t="s">
        <v>51</v>
      </c>
      <c r="M67" s="2" t="s">
        <v>46</v>
      </c>
      <c r="N67" s="2" t="s">
        <v>47</v>
      </c>
      <c r="O67" s="2" t="s">
        <v>11</v>
      </c>
      <c r="P67" s="2"/>
      <c r="Q67" s="2" t="s">
        <v>188</v>
      </c>
      <c r="R67" s="2" t="s">
        <v>191</v>
      </c>
    </row>
    <row r="68" spans="1:18">
      <c r="A68" s="2" t="s">
        <v>194</v>
      </c>
      <c r="B68" s="2" t="s">
        <v>195</v>
      </c>
      <c r="C68" s="2" t="s">
        <v>58</v>
      </c>
      <c r="D68" s="2">
        <v>8660164</v>
      </c>
      <c r="E68" s="2">
        <v>1000</v>
      </c>
      <c r="F68" s="3">
        <f>IF(COUNT(D68,E68)=2,D68*E68,NA())</f>
        <v>8660164000.0</v>
      </c>
      <c r="G68" s="2" t="s">
        <v>41</v>
      </c>
      <c r="H68" s="2" t="s">
        <v>42</v>
      </c>
      <c r="I68" s="2" t="s">
        <v>43</v>
      </c>
      <c r="J68" s="2" t="s">
        <v>9</v>
      </c>
      <c r="K68" s="2" t="s">
        <v>44</v>
      </c>
      <c r="L68" s="2" t="s">
        <v>45</v>
      </c>
      <c r="M68" s="2" t="s">
        <v>46</v>
      </c>
      <c r="N68" s="2" t="s">
        <v>47</v>
      </c>
      <c r="O68" s="2" t="s">
        <v>11</v>
      </c>
      <c r="P68" s="2"/>
      <c r="Q68" s="2" t="s">
        <v>194</v>
      </c>
      <c r="R68" s="2"/>
    </row>
    <row r="69" spans="1:18">
      <c r="A69" s="2" t="s">
        <v>196</v>
      </c>
      <c r="B69" s="2" t="s">
        <v>197</v>
      </c>
      <c r="C69" s="2" t="s">
        <v>58</v>
      </c>
      <c r="D69" s="2">
        <v>418585</v>
      </c>
      <c r="E69" s="2">
        <v>1000</v>
      </c>
      <c r="F69" s="3">
        <f>IF(COUNT(D69,E69)=2,D69*E69,NA())</f>
        <v>418585000.0</v>
      </c>
      <c r="G69" s="2" t="s">
        <v>41</v>
      </c>
      <c r="H69" s="2" t="s">
        <v>42</v>
      </c>
      <c r="I69" s="2" t="s">
        <v>43</v>
      </c>
      <c r="J69" s="2" t="s">
        <v>9</v>
      </c>
      <c r="K69" s="2" t="s">
        <v>44</v>
      </c>
      <c r="L69" s="2" t="s">
        <v>45</v>
      </c>
      <c r="M69" s="2" t="s">
        <v>46</v>
      </c>
      <c r="N69" s="2" t="s">
        <v>47</v>
      </c>
      <c r="O69" s="2" t="s">
        <v>11</v>
      </c>
      <c r="P69" s="2"/>
      <c r="Q69" s="2" t="s">
        <v>196</v>
      </c>
      <c r="R69" s="2"/>
    </row>
    <row r="70" spans="1:18">
      <c r="A70" s="2" t="s">
        <v>198</v>
      </c>
      <c r="B70" s="2" t="s">
        <v>199</v>
      </c>
      <c r="C70" s="2" t="s">
        <v>58</v>
      </c>
      <c r="D70" s="2">
        <v>24322780</v>
      </c>
      <c r="E70" s="2">
        <v>1000</v>
      </c>
      <c r="F70" s="3">
        <f>IF(COUNT(D70,E70)=2,D70*E70,NA())</f>
        <v>24322780000.0</v>
      </c>
      <c r="G70" s="2" t="s">
        <v>41</v>
      </c>
      <c r="H70" s="2" t="s">
        <v>42</v>
      </c>
      <c r="I70" s="2" t="s">
        <v>43</v>
      </c>
      <c r="J70" s="2" t="s">
        <v>9</v>
      </c>
      <c r="K70" s="2" t="s">
        <v>44</v>
      </c>
      <c r="L70" s="2" t="s">
        <v>45</v>
      </c>
      <c r="M70" s="2" t="s">
        <v>46</v>
      </c>
      <c r="N70" s="2" t="s">
        <v>47</v>
      </c>
      <c r="O70" s="2" t="s">
        <v>11</v>
      </c>
      <c r="P70" s="2"/>
      <c r="Q70" s="2" t="s">
        <v>198</v>
      </c>
      <c r="R70" s="2"/>
    </row>
    <row r="71" spans="1:18">
      <c r="A71" s="2" t="s">
        <v>200</v>
      </c>
      <c r="B71" s="2" t="s">
        <v>201</v>
      </c>
      <c r="C71" s="2" t="s">
        <v>58</v>
      </c>
      <c r="D71" s="2">
        <v>337367</v>
      </c>
      <c r="E71" s="2">
        <v>1000</v>
      </c>
      <c r="F71" s="3">
        <f>IF(COUNT(D71,E71)=2,D71*E71,NA())</f>
        <v>337367000.0</v>
      </c>
      <c r="G71" s="2" t="s">
        <v>41</v>
      </c>
      <c r="H71" s="2" t="s">
        <v>42</v>
      </c>
      <c r="I71" s="2" t="s">
        <v>43</v>
      </c>
      <c r="J71" s="2" t="s">
        <v>9</v>
      </c>
      <c r="K71" s="2" t="s">
        <v>44</v>
      </c>
      <c r="L71" s="2" t="s">
        <v>45</v>
      </c>
      <c r="M71" s="2" t="s">
        <v>46</v>
      </c>
      <c r="N71" s="2" t="s">
        <v>47</v>
      </c>
      <c r="O71" s="2" t="s">
        <v>11</v>
      </c>
      <c r="P71" s="2"/>
      <c r="Q71" s="2" t="s">
        <v>200</v>
      </c>
      <c r="R71" s="2"/>
    </row>
    <row r="72" spans="1:18">
      <c r="A72" s="2" t="s">
        <v>202</v>
      </c>
      <c r="B72" s="2" t="s">
        <v>203</v>
      </c>
      <c r="C72" s="2" t="s">
        <v>58</v>
      </c>
      <c r="D72" s="2">
        <v>512000</v>
      </c>
      <c r="E72" s="2">
        <v>1000</v>
      </c>
      <c r="F72" s="3">
        <f>IF(COUNT(D72,E72)=2,D72*E72,NA())</f>
        <v>512000000.0</v>
      </c>
      <c r="G72" s="2" t="s">
        <v>41</v>
      </c>
      <c r="H72" s="2" t="s">
        <v>42</v>
      </c>
      <c r="I72" s="2" t="s">
        <v>43</v>
      </c>
      <c r="J72" s="2" t="s">
        <v>9</v>
      </c>
      <c r="K72" s="2" t="s">
        <v>44</v>
      </c>
      <c r="L72" s="2" t="s">
        <v>45</v>
      </c>
      <c r="M72" s="2" t="s">
        <v>46</v>
      </c>
      <c r="N72" s="2" t="s">
        <v>47</v>
      </c>
      <c r="O72" s="2" t="s">
        <v>11</v>
      </c>
      <c r="P72" s="2"/>
      <c r="Q72" s="2" t="s">
        <v>202</v>
      </c>
      <c r="R72" s="2"/>
    </row>
    <row r="73" spans="1:18">
      <c r="A73" s="2" t="s">
        <v>204</v>
      </c>
      <c r="B73" s="2" t="s">
        <v>205</v>
      </c>
      <c r="C73" s="2" t="s">
        <v>58</v>
      </c>
      <c r="D73" s="2">
        <v>1764508</v>
      </c>
      <c r="E73" s="2">
        <v>1000</v>
      </c>
      <c r="F73" s="3">
        <f>IF(COUNT(D73,E73)=2,D73*E73,NA())</f>
        <v>1764508000.0</v>
      </c>
      <c r="G73" s="2" t="s">
        <v>41</v>
      </c>
      <c r="H73" s="2" t="s">
        <v>42</v>
      </c>
      <c r="I73" s="2" t="s">
        <v>43</v>
      </c>
      <c r="J73" s="2" t="s">
        <v>9</v>
      </c>
      <c r="K73" s="2" t="s">
        <v>44</v>
      </c>
      <c r="L73" s="2" t="s">
        <v>45</v>
      </c>
      <c r="M73" s="2" t="s">
        <v>46</v>
      </c>
      <c r="N73" s="2" t="s">
        <v>47</v>
      </c>
      <c r="O73" s="2" t="s">
        <v>11</v>
      </c>
      <c r="P73" s="2"/>
      <c r="Q73" s="2" t="s">
        <v>204</v>
      </c>
      <c r="R73" s="2"/>
    </row>
    <row r="74" spans="1:18">
      <c r="A74" s="2" t="s">
        <v>206</v>
      </c>
      <c r="B74" s="2" t="s">
        <v>207</v>
      </c>
      <c r="C74" s="2" t="s">
        <v>58</v>
      </c>
      <c r="D74" s="2">
        <v>-174640</v>
      </c>
      <c r="E74" s="2">
        <v>1000</v>
      </c>
      <c r="F74" s="3">
        <f>IF(COUNT(D74,E74)=2,D74*E74,NA())</f>
        <v>-174640000.0</v>
      </c>
      <c r="G74" s="2" t="s">
        <v>41</v>
      </c>
      <c r="H74" s="2" t="s">
        <v>42</v>
      </c>
      <c r="I74" s="2" t="s">
        <v>43</v>
      </c>
      <c r="J74" s="2" t="s">
        <v>9</v>
      </c>
      <c r="K74" s="2" t="s">
        <v>44</v>
      </c>
      <c r="L74" s="2" t="s">
        <v>45</v>
      </c>
      <c r="M74" s="2" t="s">
        <v>46</v>
      </c>
      <c r="N74" s="2" t="s">
        <v>47</v>
      </c>
      <c r="O74" s="2" t="s">
        <v>11</v>
      </c>
      <c r="P74" s="2"/>
      <c r="Q74" s="2" t="s">
        <v>206</v>
      </c>
      <c r="R74" s="2"/>
    </row>
    <row r="75" spans="1:18">
      <c r="A75" s="2" t="s">
        <v>208</v>
      </c>
      <c r="B75" s="2" t="s">
        <v>209</v>
      </c>
      <c r="C75" s="2" t="s">
        <v>58</v>
      </c>
      <c r="D75" s="2">
        <v>151291</v>
      </c>
      <c r="E75" s="2">
        <v>1000</v>
      </c>
      <c r="F75" s="3">
        <f>IF(COUNT(D75,E75)=2,D75*E75,NA())</f>
        <v>151291000.0</v>
      </c>
      <c r="G75" s="2" t="s">
        <v>41</v>
      </c>
      <c r="H75" s="2" t="s">
        <v>42</v>
      </c>
      <c r="I75" s="2" t="s">
        <v>43</v>
      </c>
      <c r="J75" s="2" t="s">
        <v>9</v>
      </c>
      <c r="K75" s="2" t="s">
        <v>44</v>
      </c>
      <c r="L75" s="2" t="s">
        <v>45</v>
      </c>
      <c r="M75" s="2" t="s">
        <v>46</v>
      </c>
      <c r="N75" s="2" t="s">
        <v>47</v>
      </c>
      <c r="O75" s="2" t="s">
        <v>11</v>
      </c>
      <c r="P75" s="2"/>
      <c r="Q75" s="2" t="s">
        <v>208</v>
      </c>
      <c r="R75" s="2"/>
    </row>
    <row r="76" spans="1:18">
      <c r="A76" s="2" t="s">
        <v>210</v>
      </c>
      <c r="B76" s="2" t="s">
        <v>211</v>
      </c>
      <c r="C76" s="2" t="s">
        <v>58</v>
      </c>
      <c r="D76" s="2">
        <v>-974079</v>
      </c>
      <c r="E76" s="2">
        <v>1000</v>
      </c>
      <c r="F76" s="3">
        <f>IF(COUNT(D76,E76)=2,D76*E76,NA())</f>
        <v>-974079000.0</v>
      </c>
      <c r="G76" s="2" t="s">
        <v>41</v>
      </c>
      <c r="H76" s="2" t="s">
        <v>42</v>
      </c>
      <c r="I76" s="2" t="s">
        <v>43</v>
      </c>
      <c r="J76" s="2" t="s">
        <v>9</v>
      </c>
      <c r="K76" s="2" t="s">
        <v>44</v>
      </c>
      <c r="L76" s="2" t="s">
        <v>45</v>
      </c>
      <c r="M76" s="2" t="s">
        <v>46</v>
      </c>
      <c r="N76" s="2" t="s">
        <v>47</v>
      </c>
      <c r="O76" s="2" t="s">
        <v>11</v>
      </c>
      <c r="P76" s="2"/>
      <c r="Q76" s="2" t="s">
        <v>210</v>
      </c>
      <c r="R76" s="2"/>
    </row>
    <row r="77" spans="1:18">
      <c r="A77" s="2" t="s">
        <v>212</v>
      </c>
      <c r="B77" s="2" t="s">
        <v>213</v>
      </c>
      <c r="C77" s="2" t="s">
        <v>58</v>
      </c>
      <c r="D77" s="2">
        <v>2470751</v>
      </c>
      <c r="E77" s="2">
        <v>1000</v>
      </c>
      <c r="F77" s="3">
        <f>IF(COUNT(D77,E77)=2,D77*E77,NA())</f>
        <v>2470751000.0</v>
      </c>
      <c r="G77" s="2" t="s">
        <v>41</v>
      </c>
      <c r="H77" s="2" t="s">
        <v>42</v>
      </c>
      <c r="I77" s="2" t="s">
        <v>43</v>
      </c>
      <c r="J77" s="2" t="s">
        <v>9</v>
      </c>
      <c r="K77" s="2" t="s">
        <v>44</v>
      </c>
      <c r="L77" s="2" t="s">
        <v>45</v>
      </c>
      <c r="M77" s="2" t="s">
        <v>46</v>
      </c>
      <c r="N77" s="2" t="s">
        <v>47</v>
      </c>
      <c r="O77" s="2" t="s">
        <v>11</v>
      </c>
      <c r="P77" s="2"/>
      <c r="Q77" s="2" t="s">
        <v>212</v>
      </c>
      <c r="R77" s="2"/>
    </row>
    <row r="78" spans="1:18">
      <c r="A78" s="2" t="s">
        <v>214</v>
      </c>
      <c r="B78" s="2" t="s">
        <v>215</v>
      </c>
      <c r="C78" s="2" t="s">
        <v>58</v>
      </c>
      <c r="D78" s="2">
        <v>-8429599</v>
      </c>
      <c r="E78" s="2">
        <v>1000</v>
      </c>
      <c r="F78" s="3">
        <f>IF(COUNT(D78,E78)=2,D78*E78,NA())</f>
        <v>-8429599000.0</v>
      </c>
      <c r="G78" s="2" t="s">
        <v>41</v>
      </c>
      <c r="H78" s="2" t="s">
        <v>42</v>
      </c>
      <c r="I78" s="2" t="s">
        <v>43</v>
      </c>
      <c r="J78" s="2" t="s">
        <v>9</v>
      </c>
      <c r="K78" s="2" t="s">
        <v>44</v>
      </c>
      <c r="L78" s="2" t="s">
        <v>45</v>
      </c>
      <c r="M78" s="2" t="s">
        <v>46</v>
      </c>
      <c r="N78" s="2" t="s">
        <v>47</v>
      </c>
      <c r="O78" s="2" t="s">
        <v>11</v>
      </c>
      <c r="P78" s="2"/>
      <c r="Q78" s="2" t="s">
        <v>214</v>
      </c>
      <c r="R78" s="2"/>
    </row>
    <row r="79" spans="1:18">
      <c r="A79" s="2" t="s">
        <v>216</v>
      </c>
      <c r="B79" s="2" t="s">
        <v>217</v>
      </c>
      <c r="C79" s="2" t="s">
        <v>58</v>
      </c>
      <c r="D79" s="2">
        <v>-7660090</v>
      </c>
      <c r="E79" s="2">
        <v>1000</v>
      </c>
      <c r="F79" s="3">
        <f>IF(COUNT(D79,E79)=2,D79*E79,NA())</f>
        <v>-7660090000.0</v>
      </c>
      <c r="G79" s="2" t="s">
        <v>41</v>
      </c>
      <c r="H79" s="2" t="s">
        <v>42</v>
      </c>
      <c r="I79" s="2" t="s">
        <v>43</v>
      </c>
      <c r="J79" s="2" t="s">
        <v>9</v>
      </c>
      <c r="K79" s="2" t="s">
        <v>44</v>
      </c>
      <c r="L79" s="2" t="s">
        <v>45</v>
      </c>
      <c r="M79" s="2" t="s">
        <v>46</v>
      </c>
      <c r="N79" s="2" t="s">
        <v>47</v>
      </c>
      <c r="O79" s="2" t="s">
        <v>11</v>
      </c>
      <c r="P79" s="2"/>
      <c r="Q79" s="2" t="s">
        <v>216</v>
      </c>
      <c r="R79" s="2"/>
    </row>
    <row r="80" spans="1:18">
      <c r="A80" s="2" t="s">
        <v>218</v>
      </c>
      <c r="B80" s="2" t="s">
        <v>219</v>
      </c>
      <c r="C80" s="2" t="s">
        <v>58</v>
      </c>
      <c r="D80" s="2">
        <v>1900952</v>
      </c>
      <c r="E80" s="2">
        <v>1000</v>
      </c>
      <c r="F80" s="3">
        <f>IF(COUNT(D80,E80)=2,D80*E80,NA())</f>
        <v>1900952000.0</v>
      </c>
      <c r="G80" s="2" t="s">
        <v>41</v>
      </c>
      <c r="H80" s="2" t="s">
        <v>42</v>
      </c>
      <c r="I80" s="2" t="s">
        <v>43</v>
      </c>
      <c r="J80" s="2" t="s">
        <v>9</v>
      </c>
      <c r="K80" s="2" t="s">
        <v>44</v>
      </c>
      <c r="L80" s="2" t="s">
        <v>45</v>
      </c>
      <c r="M80" s="2" t="s">
        <v>46</v>
      </c>
      <c r="N80" s="2" t="s">
        <v>47</v>
      </c>
      <c r="O80" s="2" t="s">
        <v>11</v>
      </c>
      <c r="P80" s="2"/>
      <c r="Q80" s="2" t="s">
        <v>218</v>
      </c>
      <c r="R80" s="2"/>
    </row>
    <row r="81" spans="1:18">
      <c r="A81" s="2" t="s">
        <v>220</v>
      </c>
      <c r="B81" s="2" t="s">
        <v>221</v>
      </c>
      <c r="C81" s="2" t="s">
        <v>58</v>
      </c>
      <c r="D81" s="2">
        <v>-39837988</v>
      </c>
      <c r="E81" s="2">
        <v>1000</v>
      </c>
      <c r="F81" s="3">
        <f>IF(COUNT(D81,E81)=2,D81*E81,NA())</f>
        <v>-39837988000.0</v>
      </c>
      <c r="G81" s="2" t="s">
        <v>41</v>
      </c>
      <c r="H81" s="2" t="s">
        <v>42</v>
      </c>
      <c r="I81" s="2" t="s">
        <v>43</v>
      </c>
      <c r="J81" s="2" t="s">
        <v>9</v>
      </c>
      <c r="K81" s="2" t="s">
        <v>44</v>
      </c>
      <c r="L81" s="2" t="s">
        <v>45</v>
      </c>
      <c r="M81" s="2" t="s">
        <v>46</v>
      </c>
      <c r="N81" s="2" t="s">
        <v>47</v>
      </c>
      <c r="O81" s="2" t="s">
        <v>11</v>
      </c>
      <c r="P81" s="2"/>
      <c r="Q81" s="2" t="s">
        <v>220</v>
      </c>
      <c r="R81" s="2"/>
    </row>
    <row r="82" spans="1:18">
      <c r="A82" s="2" t="s">
        <v>222</v>
      </c>
      <c r="B82" s="2" t="s">
        <v>223</v>
      </c>
      <c r="C82" s="2" t="s">
        <v>58</v>
      </c>
      <c r="D82" s="2">
        <v>-16911542</v>
      </c>
      <c r="E82" s="2">
        <v>1000</v>
      </c>
      <c r="F82" s="3">
        <f>IF(COUNT(D82,E82)=2,D82*E82,NA())</f>
        <v>-16911542000.0</v>
      </c>
      <c r="G82" s="2" t="s">
        <v>41</v>
      </c>
      <c r="H82" s="2" t="s">
        <v>42</v>
      </c>
      <c r="I82" s="2" t="s">
        <v>43</v>
      </c>
      <c r="J82" s="2" t="s">
        <v>9</v>
      </c>
      <c r="K82" s="2" t="s">
        <v>44</v>
      </c>
      <c r="L82" s="2" t="s">
        <v>45</v>
      </c>
      <c r="M82" s="2" t="s">
        <v>46</v>
      </c>
      <c r="N82" s="2" t="s">
        <v>47</v>
      </c>
      <c r="O82" s="2" t="s">
        <v>11</v>
      </c>
      <c r="P82" s="2"/>
      <c r="Q82" s="2" t="s">
        <v>222</v>
      </c>
      <c r="R82" s="2"/>
    </row>
    <row r="83" spans="1:18">
      <c r="A83" s="2" t="s">
        <v>224</v>
      </c>
      <c r="B83" s="2" t="s">
        <v>225</v>
      </c>
      <c r="C83" s="2" t="s">
        <v>58</v>
      </c>
      <c r="D83" s="2">
        <v>89965735</v>
      </c>
      <c r="E83" s="2">
        <v>1000</v>
      </c>
      <c r="F83" s="3">
        <f>IF(COUNT(D83,E83)=2,D83*E83,NA())</f>
        <v>89965735000.0</v>
      </c>
      <c r="G83" s="2" t="s">
        <v>41</v>
      </c>
      <c r="H83" s="2" t="s">
        <v>42</v>
      </c>
      <c r="I83" s="2" t="s">
        <v>43</v>
      </c>
      <c r="J83" s="2" t="s">
        <v>9</v>
      </c>
      <c r="K83" s="2" t="s">
        <v>44</v>
      </c>
      <c r="L83" s="2" t="s">
        <v>45</v>
      </c>
      <c r="M83" s="2" t="s">
        <v>46</v>
      </c>
      <c r="N83" s="2" t="s">
        <v>47</v>
      </c>
      <c r="O83" s="2" t="s">
        <v>11</v>
      </c>
      <c r="P83" s="2"/>
      <c r="Q83" s="2" t="s">
        <v>224</v>
      </c>
      <c r="R83" s="2"/>
    </row>
    <row r="84" spans="1:18">
      <c r="A84" s="2" t="s">
        <v>226</v>
      </c>
      <c r="B84" s="2" t="s">
        <v>227</v>
      </c>
      <c r="C84" s="2" t="s">
        <v>58</v>
      </c>
      <c r="D84" s="2">
        <v>-82524</v>
      </c>
      <c r="E84" s="2">
        <v>1000</v>
      </c>
      <c r="F84" s="3">
        <f>IF(COUNT(D84,E84)=2,D84*E84,NA())</f>
        <v>-82524000.0</v>
      </c>
      <c r="G84" s="2" t="s">
        <v>41</v>
      </c>
      <c r="H84" s="2" t="s">
        <v>42</v>
      </c>
      <c r="I84" s="2" t="s">
        <v>43</v>
      </c>
      <c r="J84" s="2" t="s">
        <v>9</v>
      </c>
      <c r="K84" s="2" t="s">
        <v>44</v>
      </c>
      <c r="L84" s="2" t="s">
        <v>45</v>
      </c>
      <c r="M84" s="2" t="s">
        <v>46</v>
      </c>
      <c r="N84" s="2" t="s">
        <v>47</v>
      </c>
      <c r="O84" s="2" t="s">
        <v>11</v>
      </c>
      <c r="P84" s="2"/>
      <c r="Q84" s="2" t="s">
        <v>226</v>
      </c>
      <c r="R84" s="2"/>
    </row>
  </sheetData>
  <autoFilter ref="A1:R8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5" width="28.7109375" customWidth="1"/>
  </cols>
  <sheetData>
    <row r="1" spans="1:15" ht="32" customHeight="1">
      <c r="A1" s="1" t="s">
        <v>22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34</v>
      </c>
      <c r="G1" s="1" t="s">
        <v>232</v>
      </c>
      <c r="H1" s="1" t="s">
        <v>233</v>
      </c>
      <c r="I1" s="1" t="s">
        <v>234</v>
      </c>
      <c r="J1" s="1" t="s">
        <v>235</v>
      </c>
      <c r="K1" s="1" t="s">
        <v>26</v>
      </c>
      <c r="L1" s="1" t="s">
        <v>30</v>
      </c>
      <c r="M1" s="1" t="s">
        <v>8</v>
      </c>
      <c r="N1" s="1" t="s">
        <v>31</v>
      </c>
      <c r="O1" s="1" t="s">
        <v>32</v>
      </c>
    </row>
    <row r="2" spans="1:15">
      <c r="A2" s="2" t="s">
        <v>236</v>
      </c>
      <c r="B2" s="2" t="s">
        <v>237</v>
      </c>
      <c r="C2" s="2" t="s">
        <v>320</v>
      </c>
      <c r="D2" s="3">
        <f>(('Facts'!F2-'Facts'!F4))*1</f>
        <v>111318537000.0</v>
      </c>
      <c r="E2" s="3">
        <f>D2/K2</f>
        <v>111318537.0</v>
      </c>
      <c r="F2" s="2" t="str">
        <f>IF(ISNUMBER(D2),"calculated","not_calculated")</f>
        <v>calculated</v>
      </c>
      <c r="G2" s="2">
        <f>IF(ISNUMBER(D2),"","检查缺失值、分母与输入；口径变更须重跑Python")</f>
        <v/>
      </c>
      <c r="H2" s="2" t="s">
        <v>239</v>
      </c>
      <c r="I2" s="2" t="s">
        <v>239</v>
      </c>
      <c r="J2" s="2" t="s">
        <v>240</v>
      </c>
      <c r="K2" s="2">
        <v>1000</v>
      </c>
      <c r="L2" s="2" t="s">
        <v>43</v>
      </c>
      <c r="M2" s="2" t="s">
        <v>9</v>
      </c>
      <c r="N2" s="2" t="s">
        <v>44</v>
      </c>
      <c r="O2" s="2" t="s">
        <v>45</v>
      </c>
    </row>
    <row r="3" spans="1:15">
      <c r="A3" s="2" t="s">
        <v>241</v>
      </c>
      <c r="B3" s="2" t="s">
        <v>242</v>
      </c>
      <c r="C3" s="2" t="s">
        <v>321</v>
      </c>
      <c r="D3" s="3">
        <f>IF('Facts'!F2&lt;=0,NA(),(('Calculations'!D2/'Facts'!F2))*1)</f>
        <v>0.26272847570445024</v>
      </c>
      <c r="E3" s="4">
        <f>D3/K3</f>
        <v>0.26272847570445024</v>
      </c>
      <c r="F3" s="2" t="str">
        <f>IF(ISNUMBER(D3),"calculated","not_calculated")</f>
        <v>calculated</v>
      </c>
      <c r="G3" s="2">
        <f>IF(ISNUMBER(D3),"","检查缺失值、分母与输入；口径变更须重跑Python")</f>
        <v/>
      </c>
      <c r="H3" s="2" t="s">
        <v>243</v>
      </c>
      <c r="I3" s="2" t="s">
        <v>243</v>
      </c>
      <c r="J3" s="2" t="s">
        <v>244</v>
      </c>
      <c r="K3" s="2">
        <v>1</v>
      </c>
      <c r="L3" s="2" t="s">
        <v>43</v>
      </c>
      <c r="M3" s="2" t="s">
        <v>9</v>
      </c>
      <c r="N3" s="2" t="s">
        <v>44</v>
      </c>
      <c r="O3" s="2" t="s">
        <v>45</v>
      </c>
    </row>
    <row r="4" spans="1:15">
      <c r="A4" s="2" t="s">
        <v>245</v>
      </c>
      <c r="B4" s="2" t="s">
        <v>246</v>
      </c>
      <c r="C4" s="2" t="s">
        <v>322</v>
      </c>
      <c r="D4" s="3">
        <f>IF(OR('Facts'!F3&lt;=0,'Facts'!F2&lt;0),NA(),((('Facts'!F2-'Facts'!F3)/'Facts'!F3))*1)</f>
        <v>0.1704064660696822</v>
      </c>
      <c r="E4" s="4">
        <f>D4/K4</f>
        <v>0.1704064660696822</v>
      </c>
      <c r="F4" s="2" t="str">
        <f>IF(ISNUMBER(D4),"calculated","not_calculated")</f>
        <v>calculated</v>
      </c>
      <c r="G4" s="2">
        <f>IF(ISNUMBER(D4),"","检查缺失值、分母与输入；口径变更须重跑Python")</f>
        <v/>
      </c>
      <c r="H4" s="2" t="s">
        <v>247</v>
      </c>
      <c r="I4" s="2" t="s">
        <v>248</v>
      </c>
      <c r="J4" s="2" t="s">
        <v>244</v>
      </c>
      <c r="K4" s="2">
        <v>1</v>
      </c>
      <c r="L4" s="2" t="s">
        <v>43</v>
      </c>
      <c r="M4" s="2" t="s">
        <v>9</v>
      </c>
      <c r="N4" s="2" t="s">
        <v>44</v>
      </c>
      <c r="O4" s="2" t="s">
        <v>45</v>
      </c>
    </row>
    <row r="5" spans="1:15">
      <c r="A5" s="2" t="s">
        <v>249</v>
      </c>
      <c r="B5" s="2" t="s">
        <v>250</v>
      </c>
      <c r="C5" s="2" t="s">
        <v>323</v>
      </c>
      <c r="D5" s="3">
        <f>IF(OR('Facts'!F7&lt;=0,'Facts'!F6&lt;0),NA(),((('Facts'!F6-'Facts'!F7)/'Facts'!F7))*1)</f>
        <v>0.42178980296441965</v>
      </c>
      <c r="E5" s="4">
        <f>D5/K5</f>
        <v>0.42178980296441965</v>
      </c>
      <c r="F5" s="2" t="str">
        <f>IF(ISNUMBER(D5),"calculated","not_calculated")</f>
        <v>calculated</v>
      </c>
      <c r="G5" s="2">
        <f>IF(ISNUMBER(D5),"","检查缺失值、分母与输入；口径变更须重跑Python")</f>
        <v/>
      </c>
      <c r="H5" s="2" t="s">
        <v>247</v>
      </c>
      <c r="I5" s="2" t="s">
        <v>248</v>
      </c>
      <c r="J5" s="2" t="s">
        <v>244</v>
      </c>
      <c r="K5" s="2">
        <v>1</v>
      </c>
      <c r="L5" s="2" t="s">
        <v>43</v>
      </c>
      <c r="M5" s="2" t="s">
        <v>9</v>
      </c>
      <c r="N5" s="2" t="s">
        <v>44</v>
      </c>
      <c r="O5" s="2" t="s">
        <v>45</v>
      </c>
    </row>
    <row r="6" spans="1:15">
      <c r="A6" s="2" t="s">
        <v>251</v>
      </c>
      <c r="B6" s="2" t="s">
        <v>252</v>
      </c>
      <c r="C6" s="2" t="s">
        <v>324</v>
      </c>
      <c r="D6" s="3">
        <f>IF(OR('Facts'!F9&lt;=0,'Facts'!F8&lt;0),NA(),((('Facts'!F8-'Facts'!F9)/'Facts'!F9))*1)</f>
        <v>0.3735385929393281</v>
      </c>
      <c r="E6" s="4">
        <f>D6/K6</f>
        <v>0.3735385929393281</v>
      </c>
      <c r="F6" s="2" t="str">
        <f>IF(ISNUMBER(D6),"calculated","not_calculated")</f>
        <v>calculated</v>
      </c>
      <c r="G6" s="2">
        <f>IF(ISNUMBER(D6),"","检查缺失值、分母与输入；口径变更须重跑Python")</f>
        <v/>
      </c>
      <c r="H6" s="2" t="s">
        <v>247</v>
      </c>
      <c r="I6" s="2" t="s">
        <v>248</v>
      </c>
      <c r="J6" s="2" t="s">
        <v>244</v>
      </c>
      <c r="K6" s="2">
        <v>1</v>
      </c>
      <c r="L6" s="2" t="s">
        <v>43</v>
      </c>
      <c r="M6" s="2" t="s">
        <v>9</v>
      </c>
      <c r="N6" s="2" t="s">
        <v>44</v>
      </c>
      <c r="O6" s="2" t="s">
        <v>45</v>
      </c>
    </row>
    <row r="7" spans="1:15">
      <c r="A7" s="2" t="s">
        <v>253</v>
      </c>
      <c r="B7" s="2" t="s">
        <v>254</v>
      </c>
      <c r="C7" s="2" t="s">
        <v>325</v>
      </c>
      <c r="D7" s="3">
        <f>IF(OR('Facts'!F33&lt;=0,'Facts'!F32&lt;0),NA(),((('Facts'!F32-'Facts'!F33)/'Facts'!F33))*1)</f>
        <v>0.2508089498436376</v>
      </c>
      <c r="E7" s="4">
        <f>D7/K7</f>
        <v>0.2508089498436376</v>
      </c>
      <c r="F7" s="2" t="str">
        <f>IF(ISNUMBER(D7),"calculated","not_calculated")</f>
        <v>calculated</v>
      </c>
      <c r="G7" s="2">
        <f>IF(ISNUMBER(D7),"","检查缺失值、分母与输入；口径变更须重跑Python")</f>
        <v/>
      </c>
      <c r="H7" s="2" t="s">
        <v>247</v>
      </c>
      <c r="I7" s="2" t="s">
        <v>248</v>
      </c>
      <c r="J7" s="2" t="s">
        <v>244</v>
      </c>
      <c r="K7" s="2">
        <v>1</v>
      </c>
      <c r="L7" s="2" t="s">
        <v>43</v>
      </c>
      <c r="M7" s="2" t="s">
        <v>9</v>
      </c>
      <c r="N7" s="2" t="s">
        <v>44</v>
      </c>
      <c r="O7" s="2" t="s">
        <v>45</v>
      </c>
    </row>
    <row r="8" spans="1:15">
      <c r="A8" s="2" t="s">
        <v>255</v>
      </c>
      <c r="B8" s="2" t="s">
        <v>256</v>
      </c>
      <c r="C8" s="2" t="s">
        <v>326</v>
      </c>
      <c r="D8" s="3">
        <f>IF(OR('Facts'!F35&lt;=0,'Facts'!F34&lt;0),NA(),((('Facts'!F34-'Facts'!F35)/'Facts'!F35))*1)</f>
        <v>0.0898816312523935</v>
      </c>
      <c r="E8" s="4">
        <f>D8/K8</f>
        <v>0.0898816312523935</v>
      </c>
      <c r="F8" s="2" t="str">
        <f>IF(ISNUMBER(D8),"calculated","not_calculated")</f>
        <v>calculated</v>
      </c>
      <c r="G8" s="2">
        <f>IF(ISNUMBER(D8),"","检查缺失值、分母与输入；口径变更须重跑Python")</f>
        <v/>
      </c>
      <c r="H8" s="2" t="s">
        <v>247</v>
      </c>
      <c r="I8" s="2" t="s">
        <v>248</v>
      </c>
      <c r="J8" s="2" t="s">
        <v>244</v>
      </c>
      <c r="K8" s="2">
        <v>1</v>
      </c>
      <c r="L8" s="2" t="s">
        <v>43</v>
      </c>
      <c r="M8" s="2" t="s">
        <v>9</v>
      </c>
      <c r="N8" s="2" t="s">
        <v>44</v>
      </c>
      <c r="O8" s="2" t="s">
        <v>45</v>
      </c>
    </row>
    <row r="9" spans="1:15">
      <c r="A9" s="2" t="s">
        <v>257</v>
      </c>
      <c r="B9" s="2" t="s">
        <v>258</v>
      </c>
      <c r="C9" s="2" t="s">
        <v>327</v>
      </c>
      <c r="D9" s="3">
        <f>IF(OR('Facts'!F37&lt;=0,'Facts'!F36&lt;0),NA(),((('Facts'!F36-'Facts'!F37)/'Facts'!F37))*1)</f>
        <v>-0.23829318777202804</v>
      </c>
      <c r="E9" s="4">
        <f>D9/K9</f>
        <v>-0.23829318777202804</v>
      </c>
      <c r="F9" s="2" t="str">
        <f>IF(ISNUMBER(D9),"calculated","not_calculated")</f>
        <v>calculated</v>
      </c>
      <c r="G9" s="2">
        <f>IF(ISNUMBER(D9),"","检查缺失值、分母与输入；口径变更须重跑Python")</f>
        <v/>
      </c>
      <c r="H9" s="2" t="s">
        <v>247</v>
      </c>
      <c r="I9" s="2" t="s">
        <v>248</v>
      </c>
      <c r="J9" s="2" t="s">
        <v>244</v>
      </c>
      <c r="K9" s="2">
        <v>1</v>
      </c>
      <c r="L9" s="2" t="s">
        <v>43</v>
      </c>
      <c r="M9" s="2" t="s">
        <v>9</v>
      </c>
      <c r="N9" s="2" t="s">
        <v>44</v>
      </c>
      <c r="O9" s="2" t="s">
        <v>45</v>
      </c>
    </row>
    <row r="10" spans="1:15">
      <c r="A10" s="2" t="s">
        <v>259</v>
      </c>
      <c r="B10" s="2" t="s">
        <v>260</v>
      </c>
      <c r="C10" s="2" t="s">
        <v>328</v>
      </c>
      <c r="D10" s="3">
        <f>IF(OR('Facts'!F67&lt;=0,'Facts'!F66&lt;0),NA(),((('Facts'!F66-'Facts'!F67)/'Facts'!F67))*1)</f>
        <v>0.391578947368421</v>
      </c>
      <c r="E10" s="4">
        <f>D10/K10</f>
        <v>0.391578947368421</v>
      </c>
      <c r="F10" s="2" t="str">
        <f>IF(ISNUMBER(D10),"calculated","not_calculated")</f>
        <v>calculated</v>
      </c>
      <c r="G10" s="2">
        <f>IF(ISNUMBER(D10),"","检查缺失值、分母与输入；口径变更须重跑Python")</f>
        <v/>
      </c>
      <c r="H10" s="2" t="s">
        <v>247</v>
      </c>
      <c r="I10" s="2" t="s">
        <v>248</v>
      </c>
      <c r="J10" s="2" t="s">
        <v>244</v>
      </c>
      <c r="K10" s="2">
        <v>1</v>
      </c>
      <c r="L10" s="2" t="s">
        <v>43</v>
      </c>
      <c r="M10" s="2" t="s">
        <v>9</v>
      </c>
      <c r="N10" s="2" t="s">
        <v>44</v>
      </c>
      <c r="O10" s="2" t="s">
        <v>45</v>
      </c>
    </row>
    <row r="11" spans="1:15">
      <c r="A11" s="2" t="s">
        <v>261</v>
      </c>
      <c r="B11" s="2" t="s">
        <v>262</v>
      </c>
      <c r="C11" s="2" t="s">
        <v>329</v>
      </c>
      <c r="D11" s="3">
        <f>IF('Facts'!F6&lt;=0,NA(),(('Facts'!F8/'Facts'!F6))*1)</f>
        <v>1.7349444677696384</v>
      </c>
      <c r="E11" s="4">
        <f>D11/K11</f>
        <v>1.7349444677696384</v>
      </c>
      <c r="F11" s="2" t="str">
        <f>IF(ISNUMBER(D11),"calculated","not_calculated")</f>
        <v>calculated</v>
      </c>
      <c r="G11" s="2">
        <f>IF(ISNUMBER(D11),"","检查缺失值、分母与输入；口径变更须重跑Python")</f>
        <v/>
      </c>
      <c r="H11" s="2" t="s">
        <v>263</v>
      </c>
      <c r="I11" s="2" t="s">
        <v>264</v>
      </c>
      <c r="J11" s="2" t="s">
        <v>244</v>
      </c>
      <c r="K11" s="2">
        <v>1</v>
      </c>
      <c r="L11" s="2" t="s">
        <v>43</v>
      </c>
      <c r="M11" s="2" t="s">
        <v>9</v>
      </c>
      <c r="N11" s="2" t="s">
        <v>44</v>
      </c>
      <c r="O11" s="2" t="s">
        <v>45</v>
      </c>
    </row>
    <row r="12" spans="1:15">
      <c r="A12" s="2" t="s">
        <v>265</v>
      </c>
      <c r="B12" s="2" t="s">
        <v>266</v>
      </c>
      <c r="C12" s="2" t="s">
        <v>330</v>
      </c>
      <c r="D12" s="3">
        <f>(('Facts'!F6*1)+('Facts'!F68*1)+('Facts'!F69*1)+('Facts'!F70*1)+('Facts'!F71*1)+('Facts'!F72*1)+('Facts'!F73*1)+('Facts'!F74*1)+('Facts'!F75*1)+('Facts'!F76*1)+('Facts'!F77*1)+('Facts'!F78*1)+('Facts'!F79*1)+('Facts'!F80*1)+('Facts'!F81*1)+('Facts'!F82*1)+('Facts'!F83*1)+('Facts'!F84*1))*1</f>
        <v>133219980000.0</v>
      </c>
      <c r="E12" s="3">
        <f>D12/K12</f>
        <v>133219980.0</v>
      </c>
      <c r="F12" s="2" t="str">
        <f>IF(ISNUMBER(D12),"calculated","not_calculated")</f>
        <v>calculated</v>
      </c>
      <c r="G12" s="2">
        <f>IF(ISNUMBER(D12),"","检查缺失值、分母与输入；口径变更须重跑Python")</f>
        <v/>
      </c>
      <c r="H12" s="2" t="s">
        <v>267</v>
      </c>
      <c r="I12" s="2" t="s">
        <v>267</v>
      </c>
      <c r="J12" s="2" t="s">
        <v>240</v>
      </c>
      <c r="K12" s="2">
        <v>1000</v>
      </c>
      <c r="L12" s="2" t="s">
        <v>43</v>
      </c>
      <c r="M12" s="2" t="s">
        <v>9</v>
      </c>
      <c r="N12" s="2" t="s">
        <v>44</v>
      </c>
      <c r="O12" s="2" t="s">
        <v>45</v>
      </c>
    </row>
    <row r="13" spans="1:15">
      <c r="A13" s="2" t="s">
        <v>268</v>
      </c>
      <c r="B13" s="2" t="s">
        <v>269</v>
      </c>
      <c r="C13" s="2" t="s">
        <v>331</v>
      </c>
      <c r="D13" s="3">
        <f>(('Facts'!F81*1)+('Facts'!F82*1)+('Facts'!F83*1))*1</f>
        <v>33216205000.0</v>
      </c>
      <c r="E13" s="3">
        <f>D13/K13</f>
        <v>33216205.0</v>
      </c>
      <c r="F13" s="2" t="str">
        <f>IF(ISNUMBER(D13),"calculated","not_calculated")</f>
        <v>calculated</v>
      </c>
      <c r="G13" s="2">
        <f>IF(ISNUMBER(D13),"","检查缺失值、分母与输入；口径变更须重跑Python")</f>
        <v/>
      </c>
      <c r="H13" s="2" t="s">
        <v>270</v>
      </c>
      <c r="I13" s="2" t="s">
        <v>270</v>
      </c>
      <c r="J13" s="2" t="s">
        <v>240</v>
      </c>
      <c r="K13" s="2">
        <v>1000</v>
      </c>
      <c r="L13" s="2" t="s">
        <v>43</v>
      </c>
      <c r="M13" s="2" t="s">
        <v>9</v>
      </c>
      <c r="N13" s="2" t="s">
        <v>44</v>
      </c>
      <c r="O13" s="2" t="s">
        <v>45</v>
      </c>
    </row>
    <row r="14" spans="1:15">
      <c r="A14" s="2" t="s">
        <v>271</v>
      </c>
      <c r="B14" s="2" t="s">
        <v>272</v>
      </c>
      <c r="C14" s="2" t="s">
        <v>332</v>
      </c>
      <c r="D14" s="3">
        <f>(('Facts'!F8-'Facts'!F44))*1</f>
        <v>90875424000.0</v>
      </c>
      <c r="E14" s="3">
        <f>D14/K14</f>
        <v>90875424.0</v>
      </c>
      <c r="F14" s="2" t="str">
        <f>IF(ISNUMBER(D14),"calculated","not_calculated")</f>
        <v>calculated</v>
      </c>
      <c r="G14" s="2">
        <f>IF(ISNUMBER(D14),"","检查缺失值、分母与输入；口径变更须重跑Python")</f>
        <v/>
      </c>
      <c r="H14" s="2" t="s">
        <v>273</v>
      </c>
      <c r="I14" s="2" t="s">
        <v>274</v>
      </c>
      <c r="J14" s="2" t="s">
        <v>240</v>
      </c>
      <c r="K14" s="2">
        <v>1000</v>
      </c>
      <c r="L14" s="2" t="s">
        <v>43</v>
      </c>
      <c r="M14" s="2" t="s">
        <v>9</v>
      </c>
      <c r="N14" s="2" t="s">
        <v>44</v>
      </c>
      <c r="O14" s="2" t="s">
        <v>45</v>
      </c>
    </row>
    <row r="15" spans="1:15">
      <c r="A15" s="2" t="s">
        <v>275</v>
      </c>
      <c r="B15" s="2" t="s">
        <v>276</v>
      </c>
      <c r="C15" s="2" t="s">
        <v>333</v>
      </c>
      <c r="D15" s="3">
        <f>(('Facts'!F8*1)+('Facts'!F40*1)+('Facts'!F41*1)+('Facts'!F42*1))*1</f>
        <v>29770009000.0</v>
      </c>
      <c r="E15" s="3">
        <f>D15/K15</f>
        <v>29770009.0</v>
      </c>
      <c r="F15" s="2" t="str">
        <f>IF(ISNUMBER(D15),"calculated","not_calculated")</f>
        <v>calculated</v>
      </c>
      <c r="G15" s="2">
        <f>IF(ISNUMBER(D15),"","检查缺失值、分母与输入；口径变更须重跑Python")</f>
        <v/>
      </c>
      <c r="H15" s="2" t="s">
        <v>277</v>
      </c>
      <c r="I15" s="2" t="s">
        <v>277</v>
      </c>
      <c r="J15" s="2" t="s">
        <v>240</v>
      </c>
      <c r="K15" s="2">
        <v>1000</v>
      </c>
      <c r="L15" s="2" t="s">
        <v>43</v>
      </c>
      <c r="M15" s="2" t="s">
        <v>9</v>
      </c>
      <c r="N15" s="2" t="s">
        <v>44</v>
      </c>
      <c r="O15" s="2" t="s">
        <v>45</v>
      </c>
    </row>
    <row r="16" spans="1:15">
      <c r="A16" s="2" t="s">
        <v>278</v>
      </c>
      <c r="B16" s="2" t="s">
        <v>279</v>
      </c>
      <c r="C16" s="2" t="s">
        <v>334</v>
      </c>
      <c r="D16" s="3">
        <f>(('Facts'!F11*1)+('Facts'!F8*1)+('Facts'!F40*1)+('Facts'!F41*1)+('Facts'!F42*1))*1</f>
        <v>299929743000.0</v>
      </c>
      <c r="E16" s="3">
        <f>D16/K16</f>
        <v>299929743.0</v>
      </c>
      <c r="F16" s="2" t="str">
        <f>IF(ISNUMBER(D16),"calculated","not_calculated")</f>
        <v>calculated</v>
      </c>
      <c r="G16" s="2">
        <f>IF(ISNUMBER(D16),"","检查缺失值、分母与输入；口径变更须重跑Python")</f>
        <v/>
      </c>
      <c r="H16" s="2" t="s">
        <v>280</v>
      </c>
      <c r="I16" s="2" t="s">
        <v>280</v>
      </c>
      <c r="J16" s="2" t="s">
        <v>240</v>
      </c>
      <c r="K16" s="2">
        <v>1000</v>
      </c>
      <c r="L16" s="2" t="s">
        <v>43</v>
      </c>
      <c r="M16" s="2" t="s">
        <v>9</v>
      </c>
      <c r="N16" s="2" t="s">
        <v>44</v>
      </c>
      <c r="O16" s="2" t="s">
        <v>45</v>
      </c>
    </row>
    <row r="17" spans="1:15">
      <c r="A17" s="2" t="s">
        <v>281</v>
      </c>
      <c r="B17" s="2" t="s">
        <v>282</v>
      </c>
      <c r="C17" s="2" t="s">
        <v>335</v>
      </c>
      <c r="D17" s="3">
        <f>(('Facts'!F54*1)+('Facts'!F14*1))*1</f>
        <v>974827544000.0</v>
      </c>
      <c r="E17" s="3">
        <f>D17/K17</f>
        <v>974827544.0</v>
      </c>
      <c r="F17" s="2" t="str">
        <f>IF(ISNUMBER(D17),"calculated","not_calculated")</f>
        <v>calculated</v>
      </c>
      <c r="G17" s="2">
        <f>IF(ISNUMBER(D17),"","检查缺失值、分母与输入；口径变更须重跑Python")</f>
        <v/>
      </c>
      <c r="H17" s="2" t="s">
        <v>283</v>
      </c>
      <c r="I17" s="2" t="s">
        <v>283</v>
      </c>
      <c r="J17" s="2" t="s">
        <v>240</v>
      </c>
      <c r="K17" s="2">
        <v>1000</v>
      </c>
      <c r="L17" s="2" t="s">
        <v>43</v>
      </c>
      <c r="M17" s="2" t="s">
        <v>9</v>
      </c>
      <c r="N17" s="2"/>
      <c r="O17" s="2" t="s">
        <v>45</v>
      </c>
    </row>
    <row r="18" spans="1:15">
      <c r="A18" s="2" t="s">
        <v>284</v>
      </c>
      <c r="B18" s="2" t="s">
        <v>285</v>
      </c>
      <c r="C18" s="2" t="s">
        <v>336</v>
      </c>
      <c r="D18" s="3">
        <f>(('Facts'!F38*1)+('Facts'!F39*1))*1</f>
        <v>76786309000.0</v>
      </c>
      <c r="E18" s="3">
        <f>D18/K18</f>
        <v>76786309.0</v>
      </c>
      <c r="F18" s="2" t="str">
        <f>IF(ISNUMBER(D18),"calculated","not_calculated")</f>
        <v>calculated</v>
      </c>
      <c r="G18" s="2">
        <f>IF(ISNUMBER(D18),"","检查缺失值、分母与输入；口径变更须重跑Python")</f>
        <v/>
      </c>
      <c r="H18" s="2" t="s">
        <v>286</v>
      </c>
      <c r="I18" s="2" t="s">
        <v>286</v>
      </c>
      <c r="J18" s="2" t="s">
        <v>240</v>
      </c>
      <c r="K18" s="2">
        <v>1000</v>
      </c>
      <c r="L18" s="2" t="s">
        <v>43</v>
      </c>
      <c r="M18" s="2" t="s">
        <v>9</v>
      </c>
      <c r="N18" s="2" t="s">
        <v>44</v>
      </c>
      <c r="O18" s="2" t="s">
        <v>45</v>
      </c>
    </row>
    <row r="19" spans="1:15">
      <c r="A19" s="2" t="s">
        <v>287</v>
      </c>
      <c r="B19" s="2" t="s">
        <v>288</v>
      </c>
      <c r="C19" s="2" t="s">
        <v>337</v>
      </c>
      <c r="D19" s="3">
        <f>(('Facts'!F15*1)+('Facts'!F45*1)+('Facts'!F46*1)+('Facts'!F47*1)+('Facts'!F48*1))*1</f>
        <v>371026323000.0</v>
      </c>
      <c r="E19" s="3">
        <f>D19/K19</f>
        <v>371026323.0</v>
      </c>
      <c r="F19" s="2" t="str">
        <f>IF(ISNUMBER(D19),"calculated","not_calculated")</f>
        <v>calculated</v>
      </c>
      <c r="G19" s="2">
        <f>IF(ISNUMBER(D19),"","检查缺失值、分母与输入；口径变更须重跑Python")</f>
        <v/>
      </c>
      <c r="H19" s="2" t="s">
        <v>289</v>
      </c>
      <c r="I19" s="2" t="s">
        <v>289</v>
      </c>
      <c r="J19" s="2" t="s">
        <v>240</v>
      </c>
      <c r="K19" s="2">
        <v>1000</v>
      </c>
      <c r="L19" s="2" t="s">
        <v>43</v>
      </c>
      <c r="M19" s="2" t="s">
        <v>9</v>
      </c>
      <c r="N19" s="2" t="s">
        <v>44</v>
      </c>
      <c r="O19" s="2" t="s">
        <v>45</v>
      </c>
    </row>
    <row r="20" spans="1:15">
      <c r="A20" s="2" t="s">
        <v>290</v>
      </c>
      <c r="B20" s="2" t="s">
        <v>291</v>
      </c>
      <c r="C20" s="2" t="s">
        <v>338</v>
      </c>
      <c r="D20" s="3">
        <f>(('Facts'!F31*1)+('Facts'!F49*1)+('Facts'!F50*1)+('Facts'!F51*1))*1</f>
        <v>119601197000.0</v>
      </c>
      <c r="E20" s="3">
        <f>D20/K20</f>
        <v>119601197.0</v>
      </c>
      <c r="F20" s="2" t="str">
        <f>IF(ISNUMBER(D20),"calculated","not_calculated")</f>
        <v>calculated</v>
      </c>
      <c r="G20" s="2">
        <f>IF(ISNUMBER(D20),"","检查缺失值、分母与输入；口径变更须重跑Python")</f>
        <v/>
      </c>
      <c r="H20" s="2" t="s">
        <v>292</v>
      </c>
      <c r="I20" s="2" t="s">
        <v>292</v>
      </c>
      <c r="J20" s="2" t="s">
        <v>240</v>
      </c>
      <c r="K20" s="2">
        <v>1000</v>
      </c>
      <c r="L20" s="2" t="s">
        <v>43</v>
      </c>
      <c r="M20" s="2" t="s">
        <v>9</v>
      </c>
      <c r="N20" s="2" t="s">
        <v>44</v>
      </c>
      <c r="O20" s="2" t="s">
        <v>45</v>
      </c>
    </row>
    <row r="21" spans="1:15">
      <c r="A21" s="2" t="s">
        <v>293</v>
      </c>
      <c r="B21" s="2" t="s">
        <v>294</v>
      </c>
      <c r="C21" s="2" t="s">
        <v>339</v>
      </c>
      <c r="D21" s="3">
        <f>(('Facts'!F60*1)+('Facts'!F61*1))*1</f>
        <v>37222781000.0</v>
      </c>
      <c r="E21" s="3">
        <f>D21/K21</f>
        <v>37222781.0</v>
      </c>
      <c r="F21" s="2" t="str">
        <f>IF(ISNUMBER(D21),"calculated","not_calculated")</f>
        <v>calculated</v>
      </c>
      <c r="G21" s="2">
        <f>IF(ISNUMBER(D21),"","检查缺失值、分母与输入；口径变更须重跑Python")</f>
        <v/>
      </c>
      <c r="H21" s="2" t="s">
        <v>295</v>
      </c>
      <c r="I21" s="2" t="s">
        <v>295</v>
      </c>
      <c r="J21" s="2" t="s">
        <v>240</v>
      </c>
      <c r="K21" s="2">
        <v>1000</v>
      </c>
      <c r="L21" s="2" t="s">
        <v>43</v>
      </c>
      <c r="M21" s="2" t="s">
        <v>9</v>
      </c>
      <c r="N21" s="2"/>
      <c r="O21" s="2" t="s">
        <v>45</v>
      </c>
    </row>
    <row r="22" spans="1:15">
      <c r="A22" s="2" t="s">
        <v>296</v>
      </c>
      <c r="B22" s="2" t="s">
        <v>297</v>
      </c>
      <c r="C22" s="2" t="s">
        <v>340</v>
      </c>
      <c r="D22" s="3">
        <f>(('Facts'!F26-'Facts'!F27))*1</f>
        <v>-7139628000.0</v>
      </c>
      <c r="E22" s="3">
        <f>D22/K22</f>
        <v>-7139628.0</v>
      </c>
      <c r="F22" s="2" t="str">
        <f>IF(ISNUMBER(D22),"calculated","not_calculated")</f>
        <v>calculated</v>
      </c>
      <c r="G22" s="2">
        <f>IF(ISNUMBER(D22),"","检查缺失值、分母与输入；口径变更须重跑Python")</f>
        <v/>
      </c>
      <c r="H22" s="2" t="s">
        <v>298</v>
      </c>
      <c r="I22" s="2" t="s">
        <v>298</v>
      </c>
      <c r="J22" s="2" t="s">
        <v>240</v>
      </c>
      <c r="K22" s="2">
        <v>1000</v>
      </c>
      <c r="L22" s="2" t="s">
        <v>43</v>
      </c>
      <c r="M22" s="2" t="s">
        <v>9</v>
      </c>
      <c r="N22" s="2"/>
      <c r="O22" s="2" t="s">
        <v>45</v>
      </c>
    </row>
    <row r="23" spans="1:15">
      <c r="A23" s="2" t="s">
        <v>299</v>
      </c>
      <c r="B23" s="2" t="s">
        <v>300</v>
      </c>
      <c r="C23" s="2" t="s">
        <v>341</v>
      </c>
      <c r="D23" s="3">
        <f>(('Facts'!F10*1)+('Facts'!F56*1))*1</f>
        <v>333512926000.0</v>
      </c>
      <c r="E23" s="3">
        <f>D23/K23</f>
        <v>333512926.0</v>
      </c>
      <c r="F23" s="2" t="str">
        <f>IF(ISNUMBER(D23),"calculated","not_calculated")</f>
        <v>calculated</v>
      </c>
      <c r="G23" s="2">
        <f>IF(ISNUMBER(D23),"","检查缺失值、分母与输入；口径变更须重跑Python")</f>
        <v/>
      </c>
      <c r="H23" s="2" t="s">
        <v>301</v>
      </c>
      <c r="I23" s="2" t="s">
        <v>301</v>
      </c>
      <c r="J23" s="2" t="s">
        <v>240</v>
      </c>
      <c r="K23" s="2">
        <v>1000</v>
      </c>
      <c r="L23" s="2" t="s">
        <v>43</v>
      </c>
      <c r="M23" s="2" t="s">
        <v>9</v>
      </c>
      <c r="N23" s="2"/>
      <c r="O23" s="2" t="s">
        <v>45</v>
      </c>
    </row>
    <row r="24" spans="1:15">
      <c r="A24" s="2" t="s">
        <v>302</v>
      </c>
      <c r="B24" s="2" t="s">
        <v>303</v>
      </c>
      <c r="C24" s="2" t="s">
        <v>342</v>
      </c>
      <c r="D24" s="3">
        <f>(('Facts'!F57*1)+('Facts'!F58*1)+('Facts'!F59*1))*1</f>
        <v>33583186000.0</v>
      </c>
      <c r="E24" s="3">
        <f>D24/K24</f>
        <v>33583186.0</v>
      </c>
      <c r="F24" s="2" t="str">
        <f>IF(ISNUMBER(D24),"calculated","not_calculated")</f>
        <v>calculated</v>
      </c>
      <c r="G24" s="2">
        <f>IF(ISNUMBER(D24),"","检查缺失值、分母与输入；口径变更须重跑Python")</f>
        <v/>
      </c>
      <c r="H24" s="2" t="s">
        <v>304</v>
      </c>
      <c r="I24" s="2" t="s">
        <v>304</v>
      </c>
      <c r="J24" s="2" t="s">
        <v>240</v>
      </c>
      <c r="K24" s="2">
        <v>1000</v>
      </c>
      <c r="L24" s="2" t="s">
        <v>43</v>
      </c>
      <c r="M24" s="2" t="s">
        <v>9</v>
      </c>
      <c r="N24" s="2"/>
      <c r="O24" s="2" t="s">
        <v>45</v>
      </c>
    </row>
    <row r="25" spans="1:15">
      <c r="A25" s="2" t="s">
        <v>305</v>
      </c>
      <c r="B25" s="2" t="s">
        <v>306</v>
      </c>
      <c r="C25" s="2" t="s">
        <v>343</v>
      </c>
      <c r="D25" s="3">
        <f>(('Facts'!F30*1)+('Facts'!F26*1))*1</f>
        <v>156823978000.0</v>
      </c>
      <c r="E25" s="3">
        <f>D25/K25</f>
        <v>156823978.0</v>
      </c>
      <c r="F25" s="2" t="str">
        <f>IF(ISNUMBER(D25),"calculated","not_calculated")</f>
        <v>calculated</v>
      </c>
      <c r="G25" s="2">
        <f>IF(ISNUMBER(D25),"","检查缺失值、分母与输入；口径变更须重跑Python")</f>
        <v/>
      </c>
      <c r="H25" s="2" t="s">
        <v>307</v>
      </c>
      <c r="I25" s="2" t="s">
        <v>308</v>
      </c>
      <c r="J25" s="2" t="s">
        <v>240</v>
      </c>
      <c r="K25" s="2">
        <v>1000</v>
      </c>
      <c r="L25" s="2" t="s">
        <v>43</v>
      </c>
      <c r="M25" s="2" t="s">
        <v>9</v>
      </c>
      <c r="N25" s="2"/>
      <c r="O25" s="2" t="s">
        <v>45</v>
      </c>
    </row>
    <row r="26" spans="1:15">
      <c r="A26" s="2" t="s">
        <v>309</v>
      </c>
      <c r="B26" s="2" t="s">
        <v>310</v>
      </c>
      <c r="C26" s="2" t="s">
        <v>344</v>
      </c>
      <c r="D26" s="3">
        <f>(AVERAGE('Facts'!F17,'Facts'!F16))*1</f>
        <v>292018890000.0</v>
      </c>
      <c r="E26" s="3">
        <f>D26/K26</f>
        <v>292018890.0</v>
      </c>
      <c r="F26" s="2" t="str">
        <f>IF(ISNUMBER(D26),"calculated","not_calculated")</f>
        <v>calculated</v>
      </c>
      <c r="G26" s="2">
        <f>IF(ISNUMBER(D26),"","检查缺失值、分母与输入；口径变更须重跑Python")</f>
        <v/>
      </c>
      <c r="H26" s="2" t="s">
        <v>311</v>
      </c>
      <c r="I26" s="2" t="s">
        <v>311</v>
      </c>
      <c r="J26" s="2" t="s">
        <v>240</v>
      </c>
      <c r="K26" s="2">
        <v>1000</v>
      </c>
      <c r="L26" s="2" t="s">
        <v>43</v>
      </c>
      <c r="M26" s="2" t="s">
        <v>9</v>
      </c>
      <c r="N26" s="2" t="s">
        <v>44</v>
      </c>
      <c r="O26" s="2" t="s">
        <v>45</v>
      </c>
    </row>
    <row r="27" spans="1:15">
      <c r="A27" s="2" t="s">
        <v>312</v>
      </c>
      <c r="B27" s="2" t="s">
        <v>313</v>
      </c>
      <c r="C27" s="2" t="s">
        <v>345</v>
      </c>
      <c r="D27" s="3">
        <f>IF('Calculations'!D26&lt;=0,NA(),(('Facts'!F38/'Calculations'!D26))*1)</f>
        <v>0.24724866942683058</v>
      </c>
      <c r="E27" s="4">
        <f>D27/K27</f>
        <v>0.24724866942683058</v>
      </c>
      <c r="F27" s="2" t="str">
        <f>IF(ISNUMBER(D27),"calculated","not_calculated")</f>
        <v>calculated</v>
      </c>
      <c r="G27" s="2">
        <f>IF(ISNUMBER(D27),"","检查缺失值、分母与输入；口径变更须重跑Python")</f>
        <v/>
      </c>
      <c r="H27" s="2" t="s">
        <v>314</v>
      </c>
      <c r="I27" s="2" t="s">
        <v>315</v>
      </c>
      <c r="J27" s="2" t="s">
        <v>244</v>
      </c>
      <c r="K27" s="2">
        <v>1</v>
      </c>
      <c r="L27" s="2" t="s">
        <v>43</v>
      </c>
      <c r="M27" s="2" t="s">
        <v>9</v>
      </c>
      <c r="N27" s="2" t="s">
        <v>44</v>
      </c>
      <c r="O27" s="2" t="s">
        <v>45</v>
      </c>
    </row>
    <row r="28" spans="1:15">
      <c r="A28" s="2" t="s">
        <v>316</v>
      </c>
      <c r="B28" s="2" t="s">
        <v>317</v>
      </c>
      <c r="C28" s="2" t="s">
        <v>346</v>
      </c>
      <c r="D28" s="3">
        <f>(('Facts'!F63-'Facts'!F64))*1</f>
        <v>2659992000.0</v>
      </c>
      <c r="E28" s="3">
        <f>D28/K28</f>
        <v>2659992.0</v>
      </c>
      <c r="F28" s="2" t="str">
        <f>IF(ISNUMBER(D28),"calculated","not_calculated")</f>
        <v>calculated</v>
      </c>
      <c r="G28" s="2">
        <f>IF(ISNUMBER(D28),"","检查缺失值、分母与输入；口径变更须重跑Python")</f>
        <v/>
      </c>
      <c r="H28" s="2" t="s">
        <v>318</v>
      </c>
      <c r="I28" s="2" t="s">
        <v>319</v>
      </c>
      <c r="J28" s="2" t="s">
        <v>240</v>
      </c>
      <c r="K28" s="2">
        <v>1000</v>
      </c>
      <c r="L28" s="2" t="s">
        <v>43</v>
      </c>
      <c r="M28" s="2" t="s">
        <v>9</v>
      </c>
      <c r="N28" s="2"/>
      <c r="O28" s="2" t="s">
        <v>45</v>
      </c>
    </row>
  </sheetData>
  <autoFilter ref="A1:O2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9" width="28.7109375" customWidth="1"/>
  </cols>
  <sheetData>
    <row r="1" spans="1:9" ht="32" customHeight="1">
      <c r="A1" s="1" t="s">
        <v>22</v>
      </c>
      <c r="B1" s="1" t="s">
        <v>347</v>
      </c>
      <c r="C1" s="1" t="s">
        <v>348</v>
      </c>
      <c r="D1" s="1" t="s">
        <v>349</v>
      </c>
      <c r="E1" s="1" t="s">
        <v>350</v>
      </c>
      <c r="F1" s="1" t="s">
        <v>351</v>
      </c>
      <c r="G1" s="1" t="s">
        <v>34</v>
      </c>
      <c r="H1" s="1" t="s">
        <v>352</v>
      </c>
      <c r="I1" s="1" t="s">
        <v>353</v>
      </c>
    </row>
    <row r="2" spans="1:9">
      <c r="A2" s="2" t="s">
        <v>354</v>
      </c>
      <c r="B2" s="2" t="s">
        <v>355</v>
      </c>
      <c r="C2" s="2" t="s">
        <v>281</v>
      </c>
      <c r="D2" s="2" t="s">
        <v>72</v>
      </c>
      <c r="E2" s="3">
        <f>'Calculations'!D17-'Facts'!F12</f>
        <v>0.0</v>
      </c>
      <c r="F2" s="2">
        <v>0</v>
      </c>
      <c r="G2" s="2" t="str">
        <f>IF(COUNT(E2,F2)&lt;2,"not_tested",IF(ABS(E2)&lt;=F2,"within_input_tolerance","unexplained_difference"))</f>
        <v>within_input_tolerance</v>
      </c>
      <c r="H2" s="2" t="s">
        <v>357</v>
      </c>
      <c r="I2" s="2">
        <f>IF(ISNUMBER(E2),"","missing or unavailable input")</f>
        <v/>
      </c>
    </row>
    <row r="3" spans="1:9">
      <c r="A3" s="2" t="s">
        <v>358</v>
      </c>
      <c r="B3" s="2" t="s">
        <v>359</v>
      </c>
      <c r="C3" s="2" t="s">
        <v>284</v>
      </c>
      <c r="D3" s="2" t="s">
        <v>56</v>
      </c>
      <c r="E3" s="3">
        <f>'Calculations'!D18-'Facts'!F6</f>
        <v>0.0</v>
      </c>
      <c r="F3" s="2">
        <v>1000</v>
      </c>
      <c r="G3" s="2" t="str">
        <f>IF(COUNT(E3,F3)&lt;2,"not_tested",IF(ABS(E3)&lt;=F3,"within_input_tolerance","unexplained_difference"))</f>
        <v>within_input_tolerance</v>
      </c>
      <c r="H3" s="2" t="s">
        <v>357</v>
      </c>
      <c r="I3" s="2">
        <f>IF(ISNUMBER(E3),"","missing or unavailable input")</f>
        <v/>
      </c>
    </row>
    <row r="4" spans="1:9">
      <c r="A4" s="2" t="s">
        <v>360</v>
      </c>
      <c r="B4" s="2" t="s">
        <v>361</v>
      </c>
      <c r="C4" s="2" t="s">
        <v>265</v>
      </c>
      <c r="D4" s="2" t="s">
        <v>61</v>
      </c>
      <c r="E4" s="3">
        <f>'Calculations'!D12-'Facts'!F8</f>
        <v>-2000.0</v>
      </c>
      <c r="F4" s="2">
        <v>10000</v>
      </c>
      <c r="G4" s="2" t="str">
        <f>IF(COUNT(E4,F4)&lt;2,"not_tested",IF(ABS(E4)&lt;=F4,"within_input_tolerance","unexplained_difference"))</f>
        <v>within_input_tolerance</v>
      </c>
      <c r="H4" s="2" t="s">
        <v>357</v>
      </c>
      <c r="I4" s="2">
        <f>IF(ISNUMBER(E4),"","missing or unavailable input")</f>
        <v/>
      </c>
    </row>
    <row r="5" spans="1:9">
      <c r="A5" s="2" t="s">
        <v>362</v>
      </c>
      <c r="B5" s="2" t="s">
        <v>363</v>
      </c>
      <c r="C5" s="2" t="s">
        <v>275</v>
      </c>
      <c r="D5" s="2" t="s">
        <v>139</v>
      </c>
      <c r="E5" s="3">
        <f>'Calculations'!D15-'Facts'!F43</f>
        <v>1000.0</v>
      </c>
      <c r="F5" s="2">
        <v>2000</v>
      </c>
      <c r="G5" s="2" t="str">
        <f>IF(COUNT(E5,F5)&lt;2,"not_tested",IF(ABS(E5)&lt;=F5,"within_input_tolerance","unexplained_difference"))</f>
        <v>within_input_tolerance</v>
      </c>
      <c r="H5" s="2" t="s">
        <v>357</v>
      </c>
      <c r="I5" s="2">
        <f>IF(ISNUMBER(E5),"","missing or unavailable input")</f>
        <v/>
      </c>
    </row>
    <row r="6" spans="1:9">
      <c r="A6" s="2" t="s">
        <v>364</v>
      </c>
      <c r="B6" s="2" t="s">
        <v>365</v>
      </c>
      <c r="C6" s="2" t="s">
        <v>278</v>
      </c>
      <c r="D6" s="2" t="s">
        <v>66</v>
      </c>
      <c r="E6" s="3">
        <f>'Calculations'!D16-'Facts'!F10</f>
        <v>2000.0</v>
      </c>
      <c r="F6" s="2">
        <v>3000</v>
      </c>
      <c r="G6" s="2" t="str">
        <f>IF(COUNT(E6,F6)&lt;2,"not_tested",IF(ABS(E6)&lt;=F6,"within_input_tolerance","unexplained_difference"))</f>
        <v>within_input_tolerance</v>
      </c>
      <c r="H6" s="2" t="s">
        <v>357</v>
      </c>
      <c r="I6" s="2">
        <f>IF(ISNUMBER(E6),"","missing or unavailable input")</f>
        <v/>
      </c>
    </row>
    <row r="7" spans="1:9">
      <c r="A7" s="2" t="s">
        <v>366</v>
      </c>
      <c r="B7" s="2" t="s">
        <v>367</v>
      </c>
      <c r="C7" s="2" t="s">
        <v>287</v>
      </c>
      <c r="D7" s="2" t="s">
        <v>77</v>
      </c>
      <c r="E7" s="3">
        <f>'Calculations'!D19-'Facts'!F14</f>
        <v>-1000.0</v>
      </c>
      <c r="F7" s="2">
        <v>3000</v>
      </c>
      <c r="G7" s="2" t="str">
        <f>IF(COUNT(E7,F7)&lt;2,"not_tested",IF(ABS(E7)&lt;=F7,"within_input_tolerance","unexplained_difference"))</f>
        <v>within_input_tolerance</v>
      </c>
      <c r="H7" s="2" t="s">
        <v>357</v>
      </c>
      <c r="I7" s="2">
        <f>IF(ISNUMBER(E7),"","missing or unavailable input")</f>
        <v/>
      </c>
    </row>
    <row r="8" spans="1:9">
      <c r="A8" s="2" t="s">
        <v>368</v>
      </c>
      <c r="B8" s="2" t="s">
        <v>369</v>
      </c>
      <c r="C8" s="2" t="s">
        <v>290</v>
      </c>
      <c r="D8" s="2" t="s">
        <v>111</v>
      </c>
      <c r="E8" s="3">
        <f>'Calculations'!D20-'Facts'!F30</f>
        <v>0.0</v>
      </c>
      <c r="F8" s="2">
        <v>3000</v>
      </c>
      <c r="G8" s="2" t="str">
        <f>IF(COUNT(E8,F8)&lt;2,"not_tested",IF(ABS(E8)&lt;=F8,"within_input_tolerance","unexplained_difference"))</f>
        <v>within_input_tolerance</v>
      </c>
      <c r="H8" s="2" t="s">
        <v>357</v>
      </c>
      <c r="I8" s="2">
        <f>IF(ISNUMBER(E8),"","missing or unavailable input")</f>
        <v/>
      </c>
    </row>
    <row r="9" spans="1:9">
      <c r="A9" s="2" t="s">
        <v>370</v>
      </c>
      <c r="B9" s="2" t="s">
        <v>371</v>
      </c>
      <c r="C9" s="2" t="s">
        <v>293</v>
      </c>
      <c r="D9" s="2" t="s">
        <v>101</v>
      </c>
      <c r="E9" s="3">
        <f>'Calculations'!D21-'Facts'!F26</f>
        <v>0.0</v>
      </c>
      <c r="F9" s="2">
        <v>1000</v>
      </c>
      <c r="G9" s="2" t="str">
        <f>IF(COUNT(E9,F9)&lt;2,"not_tested",IF(ABS(E9)&lt;=F9,"within_input_tolerance","unexplained_difference"))</f>
        <v>within_input_tolerance</v>
      </c>
      <c r="H9" s="2" t="s">
        <v>357</v>
      </c>
      <c r="I9" s="2">
        <f>IF(ISNUMBER(E9),"","missing or unavailable input")</f>
        <v/>
      </c>
    </row>
    <row r="10" spans="1:9">
      <c r="A10" s="2" t="s">
        <v>372</v>
      </c>
      <c r="B10" s="2" t="s">
        <v>373</v>
      </c>
      <c r="C10" s="2" t="s">
        <v>299</v>
      </c>
      <c r="D10" s="2" t="s">
        <v>165</v>
      </c>
      <c r="E10" s="3">
        <f>'Calculations'!D23-'Facts'!F55</f>
        <v>-1000.0</v>
      </c>
      <c r="F10" s="2">
        <v>2000</v>
      </c>
      <c r="G10" s="2" t="str">
        <f>IF(COUNT(E10,F10)&lt;2,"not_tested",IF(ABS(E10)&lt;=F10,"within_input_tolerance","unexplained_difference"))</f>
        <v>within_input_tolerance</v>
      </c>
      <c r="H10" s="2" t="s">
        <v>357</v>
      </c>
      <c r="I10" s="2">
        <f>IF(ISNUMBER(E10),"","missing or unavailable input")</f>
        <v/>
      </c>
    </row>
    <row r="11" spans="1:9">
      <c r="A11" s="2" t="s">
        <v>374</v>
      </c>
      <c r="B11" s="2" t="s">
        <v>375</v>
      </c>
      <c r="C11" s="2" t="s">
        <v>302</v>
      </c>
      <c r="D11" s="2" t="s">
        <v>167</v>
      </c>
      <c r="E11" s="3">
        <f>'Calculations'!D24-'Facts'!F56</f>
        <v>1000.0</v>
      </c>
      <c r="F11" s="2">
        <v>2000</v>
      </c>
      <c r="G11" s="2" t="str">
        <f>IF(COUNT(E11,F11)&lt;2,"not_tested",IF(ABS(E11)&lt;=F11,"within_input_tolerance","unexplained_difference"))</f>
        <v>within_input_tolerance</v>
      </c>
      <c r="H11" s="2" t="s">
        <v>357</v>
      </c>
      <c r="I11" s="2">
        <f>IF(ISNUMBER(E11),"","missing or unavailable input")</f>
        <v/>
      </c>
    </row>
  </sheetData>
  <autoFilter ref="A1:I1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0.7109375" customWidth="1"/>
    <col min="2" max="2" width="60.7109375" customWidth="1"/>
    <col min="3" max="3" width="100.7109375" customWidth="1"/>
    <col min="4" max="4" width="20.7109375" customWidth="1"/>
    <col min="5" max="6" width="70.7109375" customWidth="1"/>
  </cols>
  <sheetData>
    <row r="1" spans="1:6" ht="32" customHeight="1">
      <c r="A1" s="1" t="s">
        <v>22</v>
      </c>
      <c r="B1" s="1" t="s">
        <v>376</v>
      </c>
      <c r="C1" s="1" t="s">
        <v>377</v>
      </c>
      <c r="D1" s="1" t="s">
        <v>378</v>
      </c>
      <c r="E1" s="1" t="s">
        <v>379</v>
      </c>
      <c r="F1" s="1" t="s">
        <v>380</v>
      </c>
    </row>
    <row r="2" spans="1:6">
      <c r="A2" s="2" t="s">
        <v>381</v>
      </c>
      <c r="B2" s="2" t="s">
        <v>382</v>
      </c>
      <c r="C2" s="2" t="s">
        <v>383</v>
      </c>
      <c r="D2" s="2" t="s">
        <v>7</v>
      </c>
      <c r="E2" s="2" t="s">
        <v>384</v>
      </c>
      <c r="F2" s="2"/>
    </row>
  </sheetData>
  <autoFilter ref="A1:F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0.7109375" customWidth="1"/>
    <col min="3" max="3" width="45.7109375" customWidth="1"/>
    <col min="4" max="4" width="90.7109375" customWidth="1"/>
    <col min="5" max="5" width="65.7109375" customWidth="1"/>
  </cols>
  <sheetData>
    <row r="1" spans="1:5" ht="32" customHeight="1">
      <c r="A1" s="1" t="s">
        <v>22</v>
      </c>
      <c r="B1" s="1" t="s">
        <v>385</v>
      </c>
      <c r="C1" s="1" t="s">
        <v>386</v>
      </c>
      <c r="D1" s="1" t="s">
        <v>387</v>
      </c>
      <c r="E1" s="1" t="s">
        <v>388</v>
      </c>
    </row>
    <row r="2" spans="1:5">
      <c r="A2" s="2" t="s">
        <v>118</v>
      </c>
      <c r="B2" s="2" t="s">
        <v>381</v>
      </c>
      <c r="C2" s="2" t="s">
        <v>389</v>
      </c>
      <c r="D2" s="2" t="s">
        <v>390</v>
      </c>
      <c r="E2" s="2" t="s">
        <v>391</v>
      </c>
    </row>
    <row r="3" spans="1:5">
      <c r="A3" s="2" t="s">
        <v>74</v>
      </c>
      <c r="B3" s="2" t="s">
        <v>381</v>
      </c>
      <c r="C3" s="2" t="s">
        <v>392</v>
      </c>
      <c r="D3" s="2" t="s">
        <v>393</v>
      </c>
      <c r="E3" s="2" t="s">
        <v>391</v>
      </c>
    </row>
    <row r="4" spans="1:5">
      <c r="A4" s="2" t="s">
        <v>40</v>
      </c>
      <c r="B4" s="2" t="s">
        <v>381</v>
      </c>
      <c r="C4" s="2" t="s">
        <v>394</v>
      </c>
      <c r="D4" s="2" t="s">
        <v>395</v>
      </c>
      <c r="E4" s="2" t="s">
        <v>391</v>
      </c>
    </row>
    <row r="5" spans="1:5">
      <c r="A5" s="2" t="s">
        <v>63</v>
      </c>
      <c r="B5" s="2" t="s">
        <v>381</v>
      </c>
      <c r="C5" s="2" t="s">
        <v>396</v>
      </c>
      <c r="D5" s="2" t="s">
        <v>397</v>
      </c>
      <c r="E5" s="2" t="s">
        <v>391</v>
      </c>
    </row>
    <row r="6" spans="1:5">
      <c r="A6" s="2" t="s">
        <v>145</v>
      </c>
      <c r="B6" s="2" t="s">
        <v>381</v>
      </c>
      <c r="C6" s="2" t="s">
        <v>398</v>
      </c>
      <c r="D6" s="2" t="s">
        <v>399</v>
      </c>
      <c r="E6" s="2" t="s">
        <v>391</v>
      </c>
    </row>
    <row r="7" spans="1:5">
      <c r="A7" s="2" t="s">
        <v>400</v>
      </c>
      <c r="B7" s="2" t="s">
        <v>381</v>
      </c>
      <c r="C7" s="2" t="s">
        <v>401</v>
      </c>
      <c r="D7" s="2" t="s">
        <v>402</v>
      </c>
      <c r="E7" s="2" t="s">
        <v>391</v>
      </c>
    </row>
    <row r="8" spans="1:5">
      <c r="A8" s="2" t="s">
        <v>58</v>
      </c>
      <c r="B8" s="2" t="s">
        <v>381</v>
      </c>
      <c r="C8" s="2" t="s">
        <v>403</v>
      </c>
      <c r="D8" s="2" t="s">
        <v>404</v>
      </c>
      <c r="E8" s="2" t="s">
        <v>391</v>
      </c>
    </row>
    <row r="9" spans="1:5">
      <c r="A9" s="2" t="s">
        <v>113</v>
      </c>
      <c r="B9" s="2" t="s">
        <v>381</v>
      </c>
      <c r="C9" s="2" t="s">
        <v>405</v>
      </c>
      <c r="D9" s="2" t="s">
        <v>406</v>
      </c>
      <c r="E9" s="2" t="s">
        <v>391</v>
      </c>
    </row>
    <row r="10" spans="1:5">
      <c r="A10" s="2" t="s">
        <v>103</v>
      </c>
      <c r="B10" s="2" t="s">
        <v>381</v>
      </c>
      <c r="C10" s="2" t="s">
        <v>407</v>
      </c>
      <c r="D10" s="2" t="s">
        <v>408</v>
      </c>
      <c r="E10" s="2" t="s">
        <v>391</v>
      </c>
    </row>
    <row r="11" spans="1:5">
      <c r="A11" s="2" t="s">
        <v>68</v>
      </c>
      <c r="B11" s="2" t="s">
        <v>381</v>
      </c>
      <c r="C11" s="2" t="s">
        <v>409</v>
      </c>
      <c r="D11" s="2" t="s">
        <v>410</v>
      </c>
      <c r="E11" s="2" t="s">
        <v>391</v>
      </c>
    </row>
    <row r="12" spans="1:5">
      <c r="A12" s="2" t="s">
        <v>160</v>
      </c>
      <c r="B12" s="2" t="s">
        <v>381</v>
      </c>
      <c r="C12" s="2" t="s">
        <v>411</v>
      </c>
      <c r="D12" s="2" t="s">
        <v>412</v>
      </c>
      <c r="E12" s="2" t="s">
        <v>391</v>
      </c>
    </row>
    <row r="13" spans="1:5">
      <c r="A13" s="2" t="s">
        <v>108</v>
      </c>
      <c r="B13" s="2" t="s">
        <v>381</v>
      </c>
      <c r="C13" s="2" t="s">
        <v>413</v>
      </c>
      <c r="D13" s="2" t="s">
        <v>414</v>
      </c>
      <c r="E13" s="2" t="s">
        <v>391</v>
      </c>
    </row>
    <row r="14" spans="1:5">
      <c r="A14" s="2" t="s">
        <v>415</v>
      </c>
      <c r="B14" s="2" t="s">
        <v>381</v>
      </c>
      <c r="C14" s="2" t="s">
        <v>416</v>
      </c>
      <c r="D14" s="2" t="s">
        <v>417</v>
      </c>
      <c r="E14" s="2" t="s">
        <v>391</v>
      </c>
    </row>
  </sheetData>
  <autoFilter ref="A1:E1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8.7109375" customWidth="1"/>
    <col min="2" max="2" width="45.7109375" customWidth="1"/>
    <col min="3" max="3" width="85.7109375" customWidth="1"/>
    <col min="4" max="4" width="75.7109375" customWidth="1"/>
    <col min="5" max="5" width="18.7109375" customWidth="1"/>
    <col min="6" max="7" width="35.7109375" customWidth="1"/>
    <col min="8" max="9" width="75.7109375" customWidth="1"/>
  </cols>
  <sheetData>
    <row r="1" spans="1:9" ht="32" customHeight="1">
      <c r="A1" s="1" t="s">
        <v>22</v>
      </c>
      <c r="B1" s="1" t="s">
        <v>418</v>
      </c>
      <c r="C1" s="1" t="s">
        <v>419</v>
      </c>
      <c r="D1" s="1" t="s">
        <v>420</v>
      </c>
      <c r="E1" s="1" t="s">
        <v>34</v>
      </c>
      <c r="F1" s="1" t="s">
        <v>421</v>
      </c>
      <c r="G1" s="1" t="s">
        <v>422</v>
      </c>
      <c r="H1" s="1" t="s">
        <v>423</v>
      </c>
      <c r="I1" s="1" t="s">
        <v>424</v>
      </c>
    </row>
    <row r="2" spans="1:9">
      <c r="A2" s="2" t="s">
        <v>425</v>
      </c>
      <c r="B2" s="2" t="s">
        <v>426</v>
      </c>
      <c r="C2" s="2" t="s">
        <v>427</v>
      </c>
      <c r="D2" s="2" t="s">
        <v>428</v>
      </c>
      <c r="E2" s="2" t="s">
        <v>429</v>
      </c>
      <c r="F2" s="2" t="s">
        <v>430</v>
      </c>
      <c r="G2" s="2"/>
      <c r="H2" s="2" t="s">
        <v>431</v>
      </c>
      <c r="I2" s="2" t="s">
        <v>432</v>
      </c>
    </row>
    <row r="3" spans="1:9">
      <c r="A3" s="2" t="s">
        <v>433</v>
      </c>
      <c r="B3" s="2" t="s">
        <v>434</v>
      </c>
      <c r="C3" s="2" t="s">
        <v>435</v>
      </c>
      <c r="D3" s="2" t="s">
        <v>436</v>
      </c>
      <c r="E3" s="2" t="s">
        <v>429</v>
      </c>
      <c r="F3" s="2" t="s">
        <v>437</v>
      </c>
      <c r="G3" s="2" t="s">
        <v>103</v>
      </c>
      <c r="H3" s="2" t="s">
        <v>438</v>
      </c>
      <c r="I3" s="2" t="s">
        <v>439</v>
      </c>
    </row>
    <row r="4" spans="1:9">
      <c r="A4" s="2" t="s">
        <v>440</v>
      </c>
      <c r="B4" s="2" t="s">
        <v>441</v>
      </c>
      <c r="C4" s="2" t="s">
        <v>442</v>
      </c>
      <c r="D4" s="2" t="s">
        <v>443</v>
      </c>
      <c r="E4" s="2" t="s">
        <v>429</v>
      </c>
      <c r="F4" s="2" t="s">
        <v>444</v>
      </c>
      <c r="G4" s="2" t="s">
        <v>58</v>
      </c>
      <c r="H4" s="2" t="s">
        <v>445</v>
      </c>
      <c r="I4" s="2" t="s">
        <v>446</v>
      </c>
    </row>
    <row r="5" spans="1:9">
      <c r="A5" s="2" t="s">
        <v>447</v>
      </c>
      <c r="B5" s="2" t="s">
        <v>448</v>
      </c>
      <c r="C5" s="2" t="s">
        <v>449</v>
      </c>
      <c r="D5" s="2" t="s">
        <v>450</v>
      </c>
      <c r="E5" s="2" t="s">
        <v>429</v>
      </c>
      <c r="F5" s="2" t="s">
        <v>451</v>
      </c>
      <c r="G5" s="2"/>
      <c r="H5" s="2" t="s">
        <v>452</v>
      </c>
      <c r="I5" s="2" t="s">
        <v>453</v>
      </c>
    </row>
    <row r="6" spans="1:9">
      <c r="A6" s="2" t="s">
        <v>454</v>
      </c>
      <c r="B6" s="2" t="s">
        <v>455</v>
      </c>
      <c r="C6" s="2" t="s">
        <v>456</v>
      </c>
      <c r="D6" s="2" t="s">
        <v>457</v>
      </c>
      <c r="E6" s="2" t="s">
        <v>429</v>
      </c>
      <c r="F6" s="2" t="s">
        <v>458</v>
      </c>
      <c r="G6" s="2" t="s">
        <v>118</v>
      </c>
      <c r="H6" s="2" t="s">
        <v>459</v>
      </c>
      <c r="I6" s="2" t="s">
        <v>460</v>
      </c>
    </row>
    <row r="7" spans="1:9">
      <c r="A7" s="2" t="s">
        <v>461</v>
      </c>
      <c r="B7" s="2" t="s">
        <v>462</v>
      </c>
      <c r="C7" s="2" t="s">
        <v>463</v>
      </c>
      <c r="D7" s="2" t="s">
        <v>464</v>
      </c>
      <c r="E7" s="2" t="s">
        <v>429</v>
      </c>
      <c r="F7" s="2" t="s">
        <v>465</v>
      </c>
      <c r="G7" s="2"/>
      <c r="H7" s="2" t="s">
        <v>466</v>
      </c>
      <c r="I7" s="2" t="s">
        <v>467</v>
      </c>
    </row>
    <row r="8" spans="1:9">
      <c r="A8" s="2" t="s">
        <v>468</v>
      </c>
      <c r="B8" s="2" t="s">
        <v>469</v>
      </c>
      <c r="C8" s="2" t="s">
        <v>470</v>
      </c>
      <c r="D8" s="2" t="s">
        <v>471</v>
      </c>
      <c r="E8" s="2" t="s">
        <v>472</v>
      </c>
      <c r="F8" s="2" t="s">
        <v>473</v>
      </c>
      <c r="G8" s="2"/>
      <c r="H8" s="2" t="s">
        <v>474</v>
      </c>
      <c r="I8" s="2" t="s">
        <v>475</v>
      </c>
    </row>
  </sheetData>
  <autoFilter ref="A1:I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0" width="28.7109375" customWidth="1"/>
  </cols>
  <sheetData>
    <row r="1" spans="1:10" ht="32" customHeight="1">
      <c r="A1" s="1" t="s">
        <v>22</v>
      </c>
      <c r="B1" s="1" t="s">
        <v>476</v>
      </c>
      <c r="C1" s="1" t="s">
        <v>477</v>
      </c>
      <c r="D1" s="1" t="s">
        <v>478</v>
      </c>
      <c r="E1" s="1" t="s">
        <v>479</v>
      </c>
      <c r="F1" s="1" t="s">
        <v>480</v>
      </c>
      <c r="G1" s="1" t="s">
        <v>34</v>
      </c>
      <c r="H1" s="1" t="s">
        <v>481</v>
      </c>
      <c r="I1" s="1" t="s">
        <v>24</v>
      </c>
      <c r="J1" s="1" t="s">
        <v>482</v>
      </c>
    </row>
    <row r="2" spans="1:10">
      <c r="A2" s="2" t="s">
        <v>483</v>
      </c>
      <c r="B2" s="2" t="s">
        <v>433</v>
      </c>
      <c r="C2" s="2" t="s">
        <v>484</v>
      </c>
      <c r="D2" s="2" t="s">
        <v>485</v>
      </c>
      <c r="E2" s="2" t="s">
        <v>486</v>
      </c>
      <c r="F2" s="2" t="s">
        <v>487</v>
      </c>
      <c r="G2" s="2" t="s">
        <v>488</v>
      </c>
      <c r="H2" s="2" t="s">
        <v>489</v>
      </c>
      <c r="I2" s="2" t="s">
        <v>490</v>
      </c>
      <c r="J2" s="2" t="s">
        <v>491</v>
      </c>
    </row>
    <row r="3" spans="1:10">
      <c r="A3" s="2" t="s">
        <v>492</v>
      </c>
      <c r="B3" s="2" t="s">
        <v>468</v>
      </c>
      <c r="C3" s="2" t="s">
        <v>493</v>
      </c>
      <c r="D3" s="2" t="s">
        <v>494</v>
      </c>
      <c r="E3" s="2" t="s">
        <v>495</v>
      </c>
      <c r="F3" s="2" t="s">
        <v>496</v>
      </c>
      <c r="G3" s="2" t="s">
        <v>497</v>
      </c>
      <c r="H3" s="2" t="s">
        <v>498</v>
      </c>
      <c r="I3" s="2"/>
      <c r="J3" s="2" t="s">
        <v>499</v>
      </c>
    </row>
  </sheetData>
  <autoFilter ref="A1:J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8.7109375" customWidth="1"/>
    <col min="3" max="3" width="75.7109375" customWidth="1"/>
    <col min="4" max="4" width="70.7109375" customWidth="1"/>
    <col min="5" max="5" width="30.7109375" customWidth="1"/>
    <col min="6" max="6" width="75.7109375" customWidth="1"/>
  </cols>
  <sheetData>
    <row r="1" spans="1:6" ht="32" customHeight="1">
      <c r="A1" s="1" t="s">
        <v>22</v>
      </c>
      <c r="B1" s="1" t="s">
        <v>476</v>
      </c>
      <c r="C1" s="1" t="s">
        <v>500</v>
      </c>
      <c r="D1" s="1" t="s">
        <v>501</v>
      </c>
      <c r="E1" s="1" t="s">
        <v>502</v>
      </c>
      <c r="F1" s="1" t="s">
        <v>503</v>
      </c>
    </row>
    <row r="2" spans="1:6">
      <c r="A2" s="2" t="s">
        <v>504</v>
      </c>
      <c r="B2" s="2" t="s">
        <v>447</v>
      </c>
      <c r="C2" s="2" t="s">
        <v>505</v>
      </c>
      <c r="D2" s="2" t="s">
        <v>506</v>
      </c>
      <c r="E2" s="2" t="s">
        <v>507</v>
      </c>
      <c r="F2" s="2" t="s">
        <v>508</v>
      </c>
    </row>
    <row r="3" spans="1:6">
      <c r="A3" s="2" t="s">
        <v>509</v>
      </c>
      <c r="B3" s="2" t="s">
        <v>454</v>
      </c>
      <c r="C3" s="2" t="s">
        <v>510</v>
      </c>
      <c r="D3" s="2" t="s">
        <v>511</v>
      </c>
      <c r="E3" s="2" t="s">
        <v>512</v>
      </c>
      <c r="F3" s="2" t="s">
        <v>513</v>
      </c>
    </row>
  </sheetData>
  <autoFilter ref="A1:F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Facts</vt:lpstr>
      <vt:lpstr>Calculations</vt:lpstr>
      <vt:lpstr>Reconciliations</vt:lpstr>
      <vt:lpstr>Sources</vt:lpstr>
      <vt:lpstr>Evidence</vt:lpstr>
      <vt:lpstr>Findings</vt:lpstr>
      <vt:lpstr>Procedures</vt:lpstr>
      <vt:lpstr>Requests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宁德时代2025年经营现金与信用分析</dc:title>
  <dc:creator/>
  <dc:description>Workpaper catl-2025-example-v1</dc:description>
  <cp:lastModifiedBy/>
  <dcterms:created xsi:type="dcterms:W3CDTF">2026-10-02T19:45:24Z</dcterms:created>
  <dcterms:modified xsi:type="dcterms:W3CDTF">2026-10-02T19:45:24Z</dcterms:modified>
</cp:coreProperties>
</file>