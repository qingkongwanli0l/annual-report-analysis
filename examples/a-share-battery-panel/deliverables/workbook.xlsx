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s" sheetId="2" r:id="rId2"/>
    <sheet name="Calculations" sheetId="3" r:id="rId3"/>
    <sheet name="Reconciliations" sheetId="4" r:id="rId4"/>
    <sheet name="Sources" sheetId="5" r:id="rId5"/>
    <sheet name="Evidence" sheetId="6" r:id="rId6"/>
    <sheet name="Findings" sheetId="7" r:id="rId7"/>
    <sheet name="Procedures" sheetId="8" r:id="rId8"/>
    <sheet name="Requests" sheetId="9" r:id="rId9"/>
    <sheet name="Q1Records" sheetId="10" r:id="rId10"/>
    <sheet name="Q1Peers" sheetId="11" r:id="rId11"/>
    <sheet name="Q1Train" sheetId="12" r:id="rId12"/>
    <sheet name="Q1Model" sheetId="13" r:id="rId13"/>
    <sheet name="Q1Test" sheetId="14" r:id="rId14"/>
    <sheet name="Q1Selection" sheetId="15" r:id="rId15"/>
    <sheet name="Quant1Notes" sheetId="16" r:id="rId16"/>
  </sheets>
  <definedNames>
    <definedName name="_xlnm._FilterDatabase" localSheetId="2" hidden="1">Calculations!$A$1:$O$37</definedName>
    <definedName name="_xlnm._FilterDatabase" localSheetId="5" hidden="1">Evidence!$A$1:$E$21</definedName>
    <definedName name="_xlnm._FilterDatabase" localSheetId="1" hidden="1">Facts!$A$1:$R$49</definedName>
    <definedName name="_xlnm._FilterDatabase" localSheetId="6" hidden="1">Findings!$A$1:$I$5</definedName>
    <definedName name="_xlnm._FilterDatabase" localSheetId="7" hidden="1">Procedures!$A$1:$J$2</definedName>
    <definedName name="_xlnm._FilterDatabase" localSheetId="12" hidden="1">Q1Model!$A$1:$B$9</definedName>
    <definedName name="_xlnm._FilterDatabase" localSheetId="10" hidden="1">Q1Peers!$A$1:$H$5</definedName>
    <definedName name="_xlnm._FilterDatabase" localSheetId="9" hidden="1">Q1Records!$A$1:$L$16</definedName>
    <definedName name="_xlnm._FilterDatabase" localSheetId="14" hidden="1">Q1Selection!$A$1:$C$9</definedName>
    <definedName name="_xlnm._FilterDatabase" localSheetId="13" hidden="1">Q1Test!$A$1:$J$5</definedName>
    <definedName name="_xlnm._FilterDatabase" localSheetId="11" hidden="1">Q1Train!$A$1:$E$4</definedName>
    <definedName name="_xlnm._FilterDatabase" localSheetId="15" hidden="1">Quant1Notes!$A$1:$B$7</definedName>
    <definedName name="_xlnm._FilterDatabase" localSheetId="0" hidden="1">Readme!$A$1:$B$17</definedName>
    <definedName name="_xlnm._FilterDatabase" localSheetId="3" hidden="1">Reconciliations!$A$1:$J$2</definedName>
    <definedName name="_xlnm._FilterDatabase" localSheetId="8" hidden="1">Requests!$A$1:$F$2</definedName>
    <definedName name="_xlnm._FilterDatabase" localSheetId="4" hidden="1">Sources!$A$1:$F$17</definedName>
  </definedNames>
  <calcPr calcId="124519" fullCalcOnLoad="1"/>
</workbook>
</file>

<file path=xl/sharedStrings.xml><?xml version="1.0" encoding="utf-8"?>
<sst xmlns="http://schemas.openxmlformats.org/spreadsheetml/2006/main" count="1661" uniqueCount="587">
  <si>
    <t>字段 / field</t>
  </si>
  <si>
    <t>内容 / value</t>
  </si>
  <si>
    <t>任务</t>
  </si>
  <si>
    <t>A股电池企业：原始披露与历史时点验证</t>
  </si>
  <si>
    <t>版本</t>
  </si>
  <si>
    <t>real-disclosure-example-v1</t>
  </si>
  <si>
    <t>信息截止</t>
  </si>
  <si>
    <t>2026-10-02</t>
  </si>
  <si>
    <t>范围</t>
  </si>
  <si>
    <t>各报告当期合并范围</t>
  </si>
  <si>
    <t>准则</t>
  </si>
  <si>
    <t>CAS</t>
  </si>
  <si>
    <t>单位</t>
  </si>
  <si>
    <t>Facts D=原始值，E=倍数，F=基础单位。Calculations D=基础单位，E=展示值。</t>
  </si>
  <si>
    <t>复算</t>
  </si>
  <si>
    <t>数值公式可编辑；修改主体、期间、币种、规则或资料后须重跑 export.py 复核口径。</t>
  </si>
  <si>
    <t>勾稽精度</t>
  </si>
  <si>
    <t>金额残差按本次Decimal输入/计算保留的小数位ROUND，消除Excel二进制尾差，不改变业务容差；提高输入小数精度后须重跑导出。</t>
  </si>
  <si>
    <t>缺口</t>
  </si>
  <si>
    <t>空值不是零。未执行程序、假设与已披露数据分别标识。</t>
  </si>
  <si>
    <t>限制</t>
  </si>
  <si>
    <t>仅四家事先选定企业，产品结构和合并范围不同；不是全市场样本或完全同质同业。</t>
  </si>
  <si>
    <t>公告日期来自官方列表，次日零点仅为日级证据的保守边界；没有证明历史精确字节从未替换。</t>
  </si>
  <si>
    <t>亿纬2022当前官方PDF的生成时间晚于原公告，历史可用时间为空，不纳入时点模型。</t>
  </si>
  <si>
    <t>2024年保证类质量保证成本重分类造成列报断点；原报告毛利率不等于跨年同口径经营质量。</t>
  </si>
  <si>
    <t>研究在2026年事后完成，研究者已知部分后期披露；这是固定方法流程演示，不是前瞻注册实验。</t>
  </si>
  <si>
    <t>留出误差只描述本次样本，不证明预测优势、统计显著性、因果、收益、违约概率或评级。</t>
  </si>
  <si>
    <t>来源 s_300014_2022 的正式公布日期未核验；不得据此证明在信息截止日前已公开。当前披露内容可以继续分析，历史时点结论须补充公告时间证据。</t>
  </si>
  <si>
    <t>ID</t>
  </si>
  <si>
    <t>原始科目</t>
  </si>
  <si>
    <t>证据</t>
  </si>
  <si>
    <t>原始数值</t>
  </si>
  <si>
    <t>倍数</t>
  </si>
  <si>
    <t>基础单位数值</t>
  </si>
  <si>
    <t>量纲</t>
  </si>
  <si>
    <t>币种</t>
  </si>
  <si>
    <t>实体</t>
  </si>
  <si>
    <t>开始</t>
  </si>
  <si>
    <t>结束</t>
  </si>
  <si>
    <t>统计类型</t>
  </si>
  <si>
    <t>状态</t>
  </si>
  <si>
    <t>说明</t>
  </si>
  <si>
    <t>概念</t>
  </si>
  <si>
    <t>实物单位</t>
  </si>
  <si>
    <t>002074_2022_revenue</t>
  </si>
  <si>
    <t>国轩高科股份有限公司2022其中：营业收入</t>
  </si>
  <si>
    <t>e_002074_2022</t>
  </si>
  <si>
    <t>money</t>
  </si>
  <si>
    <t>CNY</t>
  </si>
  <si>
    <t>国轩高科股份有限公司</t>
  </si>
  <si>
    <t>consolidated</t>
  </si>
  <si>
    <t>2022-01-01</t>
  </si>
  <si>
    <t>2022-12-31</t>
  </si>
  <si>
    <t>flow</t>
  </si>
  <si>
    <t>reported</t>
  </si>
  <si>
    <t>原报告当期值。不以后年比较数回填。</t>
  </si>
  <si>
    <t>revenue</t>
  </si>
  <si>
    <t>002074_2022_cost_of_sales</t>
  </si>
  <si>
    <t>国轩高科股份有限公司2022其中：营业成本</t>
  </si>
  <si>
    <t>cost_of_sales</t>
  </si>
  <si>
    <t>002074_2022_total_assets</t>
  </si>
  <si>
    <t>国轩高科股份有限公司2022资产总计</t>
  </si>
  <si>
    <t>instant</t>
  </si>
  <si>
    <t>total_assets</t>
  </si>
  <si>
    <t>002074_2023_revenue</t>
  </si>
  <si>
    <t>国轩高科股份有限公司2023其中：营业收入</t>
  </si>
  <si>
    <t>e_002074_2023</t>
  </si>
  <si>
    <t>2023-01-01</t>
  </si>
  <si>
    <t>2023-12-31</t>
  </si>
  <si>
    <t>002074_2023_cost_of_sales</t>
  </si>
  <si>
    <t>国轩高科股份有限公司2023其中：营业成本</t>
  </si>
  <si>
    <t>002074_2023_total_assets</t>
  </si>
  <si>
    <t>国轩高科股份有限公司2023资产总计</t>
  </si>
  <si>
    <t>002074_2024_revenue</t>
  </si>
  <si>
    <t>国轩高科股份有限公司2024其中：营业收入</t>
  </si>
  <si>
    <t>e_002074_2024</t>
  </si>
  <si>
    <t>2024-01-01</t>
  </si>
  <si>
    <t>2024-12-31</t>
  </si>
  <si>
    <t>002074_2024_cost_of_sales</t>
  </si>
  <si>
    <t>国轩高科股份有限公司2024其中：营业成本</t>
  </si>
  <si>
    <t>002074_2024_total_assets</t>
  </si>
  <si>
    <t>国轩高科股份有限公司2024资产总计</t>
  </si>
  <si>
    <t>002074_2025_revenue</t>
  </si>
  <si>
    <t>国轩高科股份有限公司2025其中：营业收入</t>
  </si>
  <si>
    <t>e_002074_2025</t>
  </si>
  <si>
    <t>2025-01-01</t>
  </si>
  <si>
    <t>2025-12-31</t>
  </si>
  <si>
    <t>002074_2025_cost_of_sales</t>
  </si>
  <si>
    <t>国轩高科股份有限公司2025其中：营业成本</t>
  </si>
  <si>
    <t>002074_2025_total_assets</t>
  </si>
  <si>
    <t>国轩高科股份有限公司2025资产总计</t>
  </si>
  <si>
    <t>300014_2022_revenue</t>
  </si>
  <si>
    <t>惠州亿纬锂能股份有限公司2022其中：营业收入</t>
  </si>
  <si>
    <t>e_300014_2022</t>
  </si>
  <si>
    <t>惠州亿纬锂能股份有限公司</t>
  </si>
  <si>
    <t>原报告当期值。历史时点版本未核实，仅保留当前内容核查。</t>
  </si>
  <si>
    <t>300014_2022_cost_of_sales</t>
  </si>
  <si>
    <t>惠州亿纬锂能股份有限公司2022其中：营业成本</t>
  </si>
  <si>
    <t>300014_2022_total_assets</t>
  </si>
  <si>
    <t>惠州亿纬锂能股份有限公司2022资产总计</t>
  </si>
  <si>
    <t>300014_2023_revenue</t>
  </si>
  <si>
    <t>惠州亿纬锂能股份有限公司2023其中：营业收入</t>
  </si>
  <si>
    <t>e_300014_2023</t>
  </si>
  <si>
    <t>300014_2023_cost_of_sales</t>
  </si>
  <si>
    <t>惠州亿纬锂能股份有限公司2023其中：营业成本</t>
  </si>
  <si>
    <t>300014_2023_total_assets</t>
  </si>
  <si>
    <t>惠州亿纬锂能股份有限公司2023资产总计</t>
  </si>
  <si>
    <t>300014_2024_revenue</t>
  </si>
  <si>
    <t>惠州亿纬锂能股份有限公司2024其中：营业收入</t>
  </si>
  <si>
    <t>e_300014_2024</t>
  </si>
  <si>
    <t>300014_2024_cost_of_sales</t>
  </si>
  <si>
    <t>惠州亿纬锂能股份有限公司2024其中：营业成本</t>
  </si>
  <si>
    <t>300014_2024_total_assets</t>
  </si>
  <si>
    <t>惠州亿纬锂能股份有限公司2024资产总计</t>
  </si>
  <si>
    <t>300014_2025_revenue</t>
  </si>
  <si>
    <t>惠州亿纬锂能股份有限公司2025其中：营业收入</t>
  </si>
  <si>
    <t>e_300014_2025</t>
  </si>
  <si>
    <t>300014_2025_cost_of_sales</t>
  </si>
  <si>
    <t>惠州亿纬锂能股份有限公司2025其中：营业成本</t>
  </si>
  <si>
    <t>300014_2025_total_assets</t>
  </si>
  <si>
    <t>惠州亿纬锂能股份有限公司2025资产总计</t>
  </si>
  <si>
    <t>300207_2022_revenue</t>
  </si>
  <si>
    <t>欣旺达电子股份有限公司2022其中：营业收入</t>
  </si>
  <si>
    <t>e_300207_2022</t>
  </si>
  <si>
    <t>欣旺达电子股份有限公司</t>
  </si>
  <si>
    <t>300207_2022_cost_of_sales</t>
  </si>
  <si>
    <t>欣旺达电子股份有限公司2022其中：营业成本</t>
  </si>
  <si>
    <t>300207_2022_total_assets</t>
  </si>
  <si>
    <t>欣旺达电子股份有限公司2022资产总计</t>
  </si>
  <si>
    <t>300207_2023_revenue</t>
  </si>
  <si>
    <t>欣旺达电子股份有限公司2023其中：营业收入</t>
  </si>
  <si>
    <t>e_300207_2023</t>
  </si>
  <si>
    <t>300207_2023_cost_of_sales</t>
  </si>
  <si>
    <t>欣旺达电子股份有限公司2023其中：营业成本</t>
  </si>
  <si>
    <t>300207_2023_total_assets</t>
  </si>
  <si>
    <t>欣旺达电子股份有限公司2023资产总计</t>
  </si>
  <si>
    <t>300207_2024_revenue</t>
  </si>
  <si>
    <t>欣旺达电子股份有限公司2024其中：营业收入</t>
  </si>
  <si>
    <t>e_300207_2024</t>
  </si>
  <si>
    <t>300207_2024_cost_of_sales</t>
  </si>
  <si>
    <t>欣旺达电子股份有限公司2024其中：营业成本</t>
  </si>
  <si>
    <t>300207_2024_total_assets</t>
  </si>
  <si>
    <t>欣旺达电子股份有限公司2024资产总计</t>
  </si>
  <si>
    <t>300207_2025_revenue</t>
  </si>
  <si>
    <t>欣旺达电子股份有限公司2025其中：营业收入</t>
  </si>
  <si>
    <t>e_300207_2025</t>
  </si>
  <si>
    <t>300207_2025_cost_of_sales</t>
  </si>
  <si>
    <t>欣旺达电子股份有限公司2025其中：营业成本</t>
  </si>
  <si>
    <t>300207_2025_total_assets</t>
  </si>
  <si>
    <t>欣旺达电子股份有限公司2025资产总计</t>
  </si>
  <si>
    <t>300750_2022_revenue</t>
  </si>
  <si>
    <t>宁德时代新能源科技股份有限公司2022其中：营业收入</t>
  </si>
  <si>
    <t>e_300750_2022</t>
  </si>
  <si>
    <t>宁德时代新能源科技股份有限公司</t>
  </si>
  <si>
    <t>300750_2022_cost_of_sales</t>
  </si>
  <si>
    <t>宁德时代新能源科技股份有限公司2022其中：营业成本</t>
  </si>
  <si>
    <t>300750_2022_total_assets</t>
  </si>
  <si>
    <t>宁德时代新能源科技股份有限公司2022资产总计</t>
  </si>
  <si>
    <t>300750_2023_revenue</t>
  </si>
  <si>
    <t>宁德时代新能源科技股份有限公司2023其中：营业收入</t>
  </si>
  <si>
    <t>e_300750_2023</t>
  </si>
  <si>
    <t>300750_2023_cost_of_sales</t>
  </si>
  <si>
    <t>宁德时代新能源科技股份有限公司2023其中：营业成本</t>
  </si>
  <si>
    <t>300750_2023_total_assets</t>
  </si>
  <si>
    <t>宁德时代新能源科技股份有限公司2023资产总计</t>
  </si>
  <si>
    <t>300750_2024_revenue</t>
  </si>
  <si>
    <t>宁德时代新能源科技股份有限公司2024其中：营业收入</t>
  </si>
  <si>
    <t>e_300750_2024</t>
  </si>
  <si>
    <t>300750_2024_cost_of_sales</t>
  </si>
  <si>
    <t>宁德时代新能源科技股份有限公司2024其中：营业成本</t>
  </si>
  <si>
    <t>300750_2024_total_assets</t>
  </si>
  <si>
    <t>宁德时代新能源科技股份有限公司2024资产总计</t>
  </si>
  <si>
    <t>300750_2025_revenue</t>
  </si>
  <si>
    <t>宁德时代新能源科技股份有限公司2025其中：营业收入</t>
  </si>
  <si>
    <t>e_300750_2025</t>
  </si>
  <si>
    <t>300750_2025_cost_of_sales</t>
  </si>
  <si>
    <t>宁德时代新能源科技股份有限公司2025其中：营业成本</t>
  </si>
  <si>
    <t>300750_2025_total_assets</t>
  </si>
  <si>
    <t>宁德时代新能源科技股份有限公司2025资产总计</t>
  </si>
  <si>
    <t>指标或桥</t>
  </si>
  <si>
    <t>基础单位公式</t>
  </si>
  <si>
    <t>基础单位结果</t>
  </si>
  <si>
    <t>展示结果</t>
  </si>
  <si>
    <t>不计算原因</t>
  </si>
  <si>
    <t>定义</t>
  </si>
  <si>
    <t>解释边界</t>
  </si>
  <si>
    <t>展示单位</t>
  </si>
  <si>
    <t>002074_2022_gross</t>
  </si>
  <si>
    <t>国轩高科股份有限公司2022毛利</t>
  </si>
  <si>
    <t>calculated</t>
  </si>
  <si>
    <t>当期合并营业收入减营业成本</t>
  </si>
  <si>
    <t>原报告列报口径；成本重分类会改变毛利。</t>
  </si>
  <si>
    <t>002074_2022_margin</t>
  </si>
  <si>
    <t>国轩高科股份有限公司2022毛利率</t>
  </si>
  <si>
    <t>当期毛利/营业收入</t>
  </si>
  <si>
    <t>不代表同口径经济利润变化或下一年保证。</t>
  </si>
  <si>
    <t>ratio</t>
  </si>
  <si>
    <t>002074_2023_gross</t>
  </si>
  <si>
    <t>国轩高科股份有限公司2023毛利</t>
  </si>
  <si>
    <t>002074_2023_margin</t>
  </si>
  <si>
    <t>国轩高科股份有限公司2023毛利率</t>
  </si>
  <si>
    <t>002074_2024_gross</t>
  </si>
  <si>
    <t>国轩高科股份有限公司2024毛利</t>
  </si>
  <si>
    <t>002074_2024_margin</t>
  </si>
  <si>
    <t>国轩高科股份有限公司2024毛利率</t>
  </si>
  <si>
    <t>002074_2025_gross</t>
  </si>
  <si>
    <t>国轩高科股份有限公司2025毛利</t>
  </si>
  <si>
    <t>002074_2025_margin</t>
  </si>
  <si>
    <t>国轩高科股份有限公司2025毛利率</t>
  </si>
  <si>
    <t>002074_2025_gpa</t>
  </si>
  <si>
    <t>国轩高科股份有限公司2025毛利/期末资产</t>
  </si>
  <si>
    <t>当期毛利/当期期末总资产</t>
  </si>
  <si>
    <t>明确采用期末资产；不是使用平均资产的ROA。</t>
  </si>
  <si>
    <t>300014_2022_gross</t>
  </si>
  <si>
    <t>惠州亿纬锂能股份有限公司2022毛利</t>
  </si>
  <si>
    <t>300014_2022_margin</t>
  </si>
  <si>
    <t>惠州亿纬锂能股份有限公司2022毛利率</t>
  </si>
  <si>
    <t>300014_2023_gross</t>
  </si>
  <si>
    <t>惠州亿纬锂能股份有限公司2023毛利</t>
  </si>
  <si>
    <t>300014_2023_margin</t>
  </si>
  <si>
    <t>惠州亿纬锂能股份有限公司2023毛利率</t>
  </si>
  <si>
    <t>300014_2024_gross</t>
  </si>
  <si>
    <t>惠州亿纬锂能股份有限公司2024毛利</t>
  </si>
  <si>
    <t>300014_2024_margin</t>
  </si>
  <si>
    <t>惠州亿纬锂能股份有限公司2024毛利率</t>
  </si>
  <si>
    <t>300014_2025_gross</t>
  </si>
  <si>
    <t>惠州亿纬锂能股份有限公司2025毛利</t>
  </si>
  <si>
    <t>300014_2025_margin</t>
  </si>
  <si>
    <t>惠州亿纬锂能股份有限公司2025毛利率</t>
  </si>
  <si>
    <t>300014_2025_gpa</t>
  </si>
  <si>
    <t>惠州亿纬锂能股份有限公司2025毛利/期末资产</t>
  </si>
  <si>
    <t>300207_2022_gross</t>
  </si>
  <si>
    <t>欣旺达电子股份有限公司2022毛利</t>
  </si>
  <si>
    <t>300207_2022_margin</t>
  </si>
  <si>
    <t>欣旺达电子股份有限公司2022毛利率</t>
  </si>
  <si>
    <t>300207_2023_gross</t>
  </si>
  <si>
    <t>欣旺达电子股份有限公司2023毛利</t>
  </si>
  <si>
    <t>300207_2023_margin</t>
  </si>
  <si>
    <t>欣旺达电子股份有限公司2023毛利率</t>
  </si>
  <si>
    <t>300207_2024_gross</t>
  </si>
  <si>
    <t>欣旺达电子股份有限公司2024毛利</t>
  </si>
  <si>
    <t>300207_2024_margin</t>
  </si>
  <si>
    <t>欣旺达电子股份有限公司2024毛利率</t>
  </si>
  <si>
    <t>300207_2025_gross</t>
  </si>
  <si>
    <t>欣旺达电子股份有限公司2025毛利</t>
  </si>
  <si>
    <t>300207_2025_margin</t>
  </si>
  <si>
    <t>欣旺达电子股份有限公司2025毛利率</t>
  </si>
  <si>
    <t>300207_2025_gpa</t>
  </si>
  <si>
    <t>欣旺达电子股份有限公司2025毛利/期末资产</t>
  </si>
  <si>
    <t>300750_2022_gross</t>
  </si>
  <si>
    <t>宁德时代新能源科技股份有限公司2022毛利</t>
  </si>
  <si>
    <t>300750_2022_margin</t>
  </si>
  <si>
    <t>宁德时代新能源科技股份有限公司2022毛利率</t>
  </si>
  <si>
    <t>300750_2023_gross</t>
  </si>
  <si>
    <t>宁德时代新能源科技股份有限公司2023毛利</t>
  </si>
  <si>
    <t>300750_2023_margin</t>
  </si>
  <si>
    <t>宁德时代新能源科技股份有限公司2023毛利率</t>
  </si>
  <si>
    <t>300750_2024_gross</t>
  </si>
  <si>
    <t>宁德时代新能源科技股份有限公司2024毛利</t>
  </si>
  <si>
    <t>300750_2024_margin</t>
  </si>
  <si>
    <t>宁德时代新能源科技股份有限公司2024毛利率</t>
  </si>
  <si>
    <t>300750_2025_gross</t>
  </si>
  <si>
    <t>宁德时代新能源科技股份有限公司2025毛利</t>
  </si>
  <si>
    <t>300750_2025_margin</t>
  </si>
  <si>
    <t>宁德时代新能源科技股份有限公司2025毛利率</t>
  </si>
  <si>
    <t>300750_2025_gpa</t>
  </si>
  <si>
    <t>宁德时代新能源科技股份有限公司2025毛利/期末资产</t>
  </si>
  <si>
    <t>=(('Facts'!F2-'Facts'!F3))*1</t>
  </si>
  <si>
    <t>=IF('Facts'!F2&lt;=0,NA(),(('Calculations'!D2/'Facts'!F2))*1)</t>
  </si>
  <si>
    <t>=(('Facts'!F5-'Facts'!F6))*1</t>
  </si>
  <si>
    <t>=IF('Facts'!F5&lt;=0,NA(),(('Calculations'!D4/'Facts'!F5))*1)</t>
  </si>
  <si>
    <t>=(('Facts'!F8-'Facts'!F9))*1</t>
  </si>
  <si>
    <t>=IF('Facts'!F8&lt;=0,NA(),(('Calculations'!D6/'Facts'!F8))*1)</t>
  </si>
  <si>
    <t>=(('Facts'!F11-'Facts'!F12))*1</t>
  </si>
  <si>
    <t>=IF('Facts'!F11&lt;=0,NA(),(('Calculations'!D8/'Facts'!F11))*1)</t>
  </si>
  <si>
    <t>=IF('Facts'!F13&lt;=0,NA(),(('Calculations'!D8/'Facts'!F13))*1)</t>
  </si>
  <si>
    <t>=(('Facts'!F14-'Facts'!F15))*1</t>
  </si>
  <si>
    <t>=IF('Facts'!F14&lt;=0,NA(),(('Calculations'!D11/'Facts'!F14))*1)</t>
  </si>
  <si>
    <t>=(('Facts'!F17-'Facts'!F18))*1</t>
  </si>
  <si>
    <t>=IF('Facts'!F17&lt;=0,NA(),(('Calculations'!D13/'Facts'!F17))*1)</t>
  </si>
  <si>
    <t>=(('Facts'!F20-'Facts'!F21))*1</t>
  </si>
  <si>
    <t>=IF('Facts'!F20&lt;=0,NA(),(('Calculations'!D15/'Facts'!F20))*1)</t>
  </si>
  <si>
    <t>=(('Facts'!F23-'Facts'!F24))*1</t>
  </si>
  <si>
    <t>=IF('Facts'!F23&lt;=0,NA(),(('Calculations'!D17/'Facts'!F23))*1)</t>
  </si>
  <si>
    <t>=IF('Facts'!F25&lt;=0,NA(),(('Calculations'!D17/'Facts'!F25))*1)</t>
  </si>
  <si>
    <t>=(('Facts'!F26-'Facts'!F27))*1</t>
  </si>
  <si>
    <t>=IF('Facts'!F26&lt;=0,NA(),(('Calculations'!D20/'Facts'!F26))*1)</t>
  </si>
  <si>
    <t>=(('Facts'!F29-'Facts'!F30))*1</t>
  </si>
  <si>
    <t>=IF('Facts'!F29&lt;=0,NA(),(('Calculations'!D22/'Facts'!F29))*1)</t>
  </si>
  <si>
    <t>=(('Facts'!F32-'Facts'!F33))*1</t>
  </si>
  <si>
    <t>=IF('Facts'!F32&lt;=0,NA(),(('Calculations'!D24/'Facts'!F32))*1)</t>
  </si>
  <si>
    <t>=(('Facts'!F35-'Facts'!F36))*1</t>
  </si>
  <si>
    <t>=IF('Facts'!F35&lt;=0,NA(),(('Calculations'!D26/'Facts'!F35))*1)</t>
  </si>
  <si>
    <t>=IF('Facts'!F37&lt;=0,NA(),(('Calculations'!D26/'Facts'!F37))*1)</t>
  </si>
  <si>
    <t>=(('Facts'!F38-'Facts'!F39))*1</t>
  </si>
  <si>
    <t>=IF('Facts'!F38&lt;=0,NA(),(('Calculations'!D29/'Facts'!F38))*1)</t>
  </si>
  <si>
    <t>=(('Facts'!F41-'Facts'!F42))*1</t>
  </si>
  <si>
    <t>=IF('Facts'!F41&lt;=0,NA(),(('Calculations'!D31/'Facts'!F41))*1)</t>
  </si>
  <si>
    <t>=(('Facts'!F44-'Facts'!F45))*1</t>
  </si>
  <si>
    <t>=IF('Facts'!F44&lt;=0,NA(),(('Calculations'!D33/'Facts'!F44))*1)</t>
  </si>
  <si>
    <t>=(('Facts'!F47-'Facts'!F48))*1</t>
  </si>
  <si>
    <t>=IF('Facts'!F47&lt;=0,NA(),(('Calculations'!D35/'Facts'!F47))*1)</t>
  </si>
  <si>
    <t>=IF('Facts'!F49&lt;=0,NA(),(('Calculations'!D35/'Facts'!F49))*1)</t>
  </si>
  <si>
    <t>勾稽</t>
  </si>
  <si>
    <t>实际</t>
  </si>
  <si>
    <t>目标</t>
  </si>
  <si>
    <t>残差 基础单位</t>
  </si>
  <si>
    <t>容差 基础单位</t>
  </si>
  <si>
    <t>容差依据</t>
  </si>
  <si>
    <t>未测试原因</t>
  </si>
  <si>
    <t>金额残差小数位</t>
  </si>
  <si>
    <t>文件</t>
  </si>
  <si>
    <t>链接</t>
  </si>
  <si>
    <t>公布日期</t>
  </si>
  <si>
    <t>SHA256</t>
  </si>
  <si>
    <t>时间证据与限制</t>
  </si>
  <si>
    <t>s_002074_2022</t>
  </si>
  <si>
    <t>国轩高科股份有限公司 2022 年度报告</t>
  </si>
  <si>
    <t>https://static.cninfo.com.cn/finalpage/2023-04-28/1216662624.PDF</t>
  </si>
  <si>
    <t>2023-04-28</t>
  </si>
  <si>
    <t>5f1037d1f4e4ef525605ec8c2274c095346ffae05a20d49ce54354cf3e166cfb</t>
  </si>
  <si>
    <t>官方列表日期2023-04-28；保守可用时点2023-04-29T00:00:00+08:00。现时官方公告列表与已获取全文进行关联；未声称查尽所有历史修订或已证明初始披露字节未被替换。PDF元数据只用于发现矛盾，不能证明历史公开可得时间。</t>
  </si>
  <si>
    <t>s_002074_2023</t>
  </si>
  <si>
    <t>国轩高科股份有限公司 2023 年度报告</t>
  </si>
  <si>
    <t>https://static.cninfo.com.cn/finalpage/2024-04-20/1219700973.PDF</t>
  </si>
  <si>
    <t>2024-04-20</t>
  </si>
  <si>
    <t>865d69b0da6dfa059de2c924e16eb8a4e5b11fabc1b19c985769baf44c94739d</t>
  </si>
  <si>
    <t>官方列表日期2024-04-20；保守可用时点2024-04-21T00:00:00+08:00。现时官方公告列表与已获取全文进行关联；未声称查尽所有历史修订或已证明初始披露字节未被替换。PDF元数据只用于发现矛盾，不能证明历史公开可得时间。</t>
  </si>
  <si>
    <t>s_002074_2024</t>
  </si>
  <si>
    <t>国轩高科股份有限公司 2024 年度报告</t>
  </si>
  <si>
    <t>https://static.cninfo.com.cn/finalpage/2025-04-25/1223284129.PDF</t>
  </si>
  <si>
    <t>2025-04-25</t>
  </si>
  <si>
    <t>cacf470f2dea6d0cf64ed9aa61872c726f739129a3715876a0b1059d2a9168ba</t>
  </si>
  <si>
    <t>官方列表日期2025-04-25；保守可用时点2025-04-26T00:00:00+08:00。现时官方公告列表与已获取全文进行关联；未声称查尽所有历史修订或已证明初始披露字节未被替换。PDF元数据只用于发现矛盾，不能证明历史公开可得时间。</t>
  </si>
  <si>
    <t>s_002074_2025</t>
  </si>
  <si>
    <t>国轩高科股份有限公司 2025 年度报告</t>
  </si>
  <si>
    <t>https://static.cninfo.com.cn/finalpage/2026-04-29/1225254220.pdf</t>
  </si>
  <si>
    <t>2026-04-29</t>
  </si>
  <si>
    <t>2a255f70026f280deb60691a7937b662615a1b1addb2ce379a56e95698e358fb</t>
  </si>
  <si>
    <t>官方列表日期2026-04-29；保守可用时点2026-04-30T00:00:00+08:00。现时官方公告列表与已获取全文进行关联；未声称查尽所有历史修订或已证明初始披露字节未被替换。PDF元数据只用于发现矛盾，不能证明历史公开可得时间。；先前检索到同日候选1225241936.PDF，正常请求返回404；本次官网IR及巨潮列表均指向1225254220.pdf。后者元数据为2026-04-29 16:11:55+08:00，同日版本先后/差异未核实；采用日结束后的保守时点，不称其为唯一初始版本。</t>
  </si>
  <si>
    <t>s_300014_2022</t>
  </si>
  <si>
    <t>惠州亿纬锂能股份有限公司 2022 年度报告</t>
  </si>
  <si>
    <t>https://static.cninfo.com.cn/finalpage/2023-04-18/1218857751.PDF</t>
  </si>
  <si>
    <t>未核验</t>
  </si>
  <si>
    <t>b681916e887b793ea79dee427de10af98a70cc2de52f28af030eb5da93d48dcf</t>
  </si>
  <si>
    <t>官方列表日期2023-04-18；保守可用时点None。现时官方公告列表与已获取全文进行关联；未声称查尽所有历史修订或已证明初始披露字节未被替换。PDF元数据只用于发现矛盾，不能证明历史公开可得时间。；当前巨潮PDF与另行取得的深交所PDF的CreationDate/ModDate均为2024-01-10，晚于列表标注的2023-04-18；未查得可证实为2023首次发布的官方全文版本，故available_at留空，不得用于该时点训练或回测。</t>
  </si>
  <si>
    <t>s_300014_2023</t>
  </si>
  <si>
    <t>惠州亿纬锂能股份有限公司 2023 年度报告</t>
  </si>
  <si>
    <t>https://static.cninfo.com.cn/finalpage/2024-04-19/1219668064.PDF</t>
  </si>
  <si>
    <t>2024-04-19</t>
  </si>
  <si>
    <t>959d6d51d529fd5129c829d1358ad41d384c95560ef2f8dc23caedd91e01f33e</t>
  </si>
  <si>
    <t>官方列表日期2024-04-19；保守可用时点2024-04-20T00:00:00+08:00。现时官方公告列表与已获取全文进行关联；未声称查尽所有历史修订或已证明初始披露字节未被替换。PDF元数据只用于发现矛盾，不能证明历史公开可得时间。</t>
  </si>
  <si>
    <t>s_300014_2024</t>
  </si>
  <si>
    <t>惠州亿纬锂能股份有限公司 2024 年度报告</t>
  </si>
  <si>
    <t>https://static.cninfo.com.cn/finalpage/2025-04-18/1223125812.PDF</t>
  </si>
  <si>
    <t>2025-04-18</t>
  </si>
  <si>
    <t>06be1a045d1ec713113cdcf626abfa534e2068f358770d5940975818a5a538aa</t>
  </si>
  <si>
    <t>官方列表日期2025-04-18；保守可用时点2025-04-19T00:00:00+08:00。现时官方公告列表与已获取全文进行关联；未声称查尽所有历史修订或已证明初始披露字节未被替换。PDF元数据只用于发现矛盾，不能证明历史公开可得时间。</t>
  </si>
  <si>
    <t>s_300014_2025</t>
  </si>
  <si>
    <t>惠州亿纬锂能股份有限公司 2025 年度报告</t>
  </si>
  <si>
    <t>https://static.cninfo.com.cn/finalpage/2026-03-28/1225045391.PDF</t>
  </si>
  <si>
    <t>2026-03-28</t>
  </si>
  <si>
    <t>3bee0ca9a6232c60c53f195d078446a45fd4941bd997258b474cebe835eea3b8</t>
  </si>
  <si>
    <t>官方列表日期2026-03-28；保守可用时点2026-03-29T00:00:00+08:00。现时官方公告列表与已获取全文进行关联；未声称查尽所有历史修订或已证明初始披露字节未被替换。PDF元数据只用于发现矛盾，不能证明历史公开可得时间。</t>
  </si>
  <si>
    <t>s_300207_2022</t>
  </si>
  <si>
    <t>欣旺达电子股份有限公司 2022 年度报告</t>
  </si>
  <si>
    <t>https://static.cninfo.com.cn/finalpage/2023-04-27/1216623719.PDF</t>
  </si>
  <si>
    <t>2023-04-27</t>
  </si>
  <si>
    <t>7533c4ae926b324b7059aa590c89b6e6775c296f9122ada0f4f388c91c30ac57</t>
  </si>
  <si>
    <t>官方列表日期2023-04-27；保守可用时点2023-04-28T00:00:00+08:00。本次巨潮年度报告分类公开查询仅观察到这四份全文及对应摘要；未检出另外的修订全文，但未声称穷尽所有历史版本。SHA-256固定本次下载字节，不证明历史时点的文件内容从未被替换。；未取得公告当日的独立历史快照或字节校验值；当前PDF自述时间早于公告日，只能作为一致性信号，不能证明当前字节在公告日已经存在，也不能证明链接从未替换。</t>
  </si>
  <si>
    <t>s_300207_2023</t>
  </si>
  <si>
    <t>欣旺达电子股份有限公司 2023 年度报告</t>
  </si>
  <si>
    <t>https://static.cninfo.com.cn/finalpage/2024-04-11/1219567241.PDF</t>
  </si>
  <si>
    <t>2024-04-11</t>
  </si>
  <si>
    <t>2b607a8320966d5648b7d819dbe53cd0b9a0e9fabf0e873f07ebfe0f83a6d821</t>
  </si>
  <si>
    <t>官方列表日期2024-04-11；保守可用时点2024-04-12T00:00:00+08:00。本次巨潮年度报告分类公开查询仅观察到这四份全文及对应摘要；未检出另外的修订全文，但未声称穷尽所有历史版本。SHA-256固定本次下载字节，不证明历史时点的文件内容从未被替换。；未取得公告当日的独立历史快照或字节校验值；当前PDF自述时间早于公告日，只能作为一致性信号，不能证明当前字节在公告日已经存在，也不能证明链接从未替换。</t>
  </si>
  <si>
    <t>s_300207_2024</t>
  </si>
  <si>
    <t>欣旺达电子股份有限公司 2024 年度报告</t>
  </si>
  <si>
    <t>https://static.cninfo.com.cn/finalpage/2025-04-22/1223194845.PDF</t>
  </si>
  <si>
    <t>2025-04-22</t>
  </si>
  <si>
    <t>c12b433318341147f879c878899bdb03ffd875505b04ba6a51bb649d6d574c92</t>
  </si>
  <si>
    <t>官方列表日期2025-04-22；保守可用时点2025-04-23T00:00:00+08:00。本次巨潮年度报告分类公开查询仅观察到这四份全文及对应摘要；未检出另外的修订全文，但未声称穷尽所有历史版本。SHA-256固定本次下载字节，不证明历史时点的文件内容从未被替换。；未取得公告当日的独立历史快照或字节校验值；当前PDF自述时间早于公告日，只能作为一致性信号，不能证明当前字节在公告日已经存在，也不能证明链接从未替换。</t>
  </si>
  <si>
    <t>s_300207_2025</t>
  </si>
  <si>
    <t>欣旺达电子股份有限公司 2025 年度报告</t>
  </si>
  <si>
    <t>https://static.cninfo.com.cn/finalpage/2026-04-24/1225160491.PDF</t>
  </si>
  <si>
    <t>2026-04-24</t>
  </si>
  <si>
    <t>1bf90eb16fc3b0ba81928df909c06ae13d97d27da23216f37f4a7fc1198bec04</t>
  </si>
  <si>
    <t>官方列表日期2026-04-24；保守可用时点2026-04-25T00:00:00+08:00。本次巨潮年度报告分类公开查询仅观察到这四份全文及对应摘要；未检出另外的修订全文，但未声称穷尽所有历史版本。SHA-256固定本次下载字节，不证明历史时点的文件内容从未被替换。；未取得公告当日的独立历史快照或字节校验值；当前PDF自述时间早于公告日，只能作为一致性信号，不能证明当前字节在公告日已经存在，也不能证明链接从未替换。</t>
  </si>
  <si>
    <t>s_300750_2022</t>
  </si>
  <si>
    <t>宁德时代新能源科技股份有限公司 2022 年度报告</t>
  </si>
  <si>
    <t>https://static.cninfo.com.cn/finalpage/2023-03-10/1216084559.PDF</t>
  </si>
  <si>
    <t>2023-03-10</t>
  </si>
  <si>
    <t>ac4fa5c3b96956462054986773b0c6129189ba6dcdc257c737f1b398ca7e2a10</t>
  </si>
  <si>
    <t>官方列表日期2023-03-10；保守可用时点2023-03-11T00:00:00+08:00。当前官方文件与官方公告记录对应；无观察到晚生成信号，但未取得当日独立字节快照，不能证明从未替换或穷尽修订。</t>
  </si>
  <si>
    <t>s_300750_2023</t>
  </si>
  <si>
    <t>宁德时代新能源科技股份有限公司 2023 年度报告</t>
  </si>
  <si>
    <t>https://static.cninfo.com.cn/finalpage/2024-03-16/1219313047.PDF</t>
  </si>
  <si>
    <t>2024-03-16</t>
  </si>
  <si>
    <t>6081f0377617dddb82f900569d6458c278a7ab26697b34c87684188eac083471</t>
  </si>
  <si>
    <t>官方列表日期2024-03-16；保守可用时点2024-03-17T00:00:00+08:00。当前官方文件与官方公告记录对应；无观察到晚生成信号，但未取得当日独立字节快照，不能证明从未替换或穷尽修订。</t>
  </si>
  <si>
    <t>s_300750_2024</t>
  </si>
  <si>
    <t>宁德时代新能源科技股份有限公司 2024 年度报告</t>
  </si>
  <si>
    <t>https://static.cninfo.com.cn/finalpage/2025-03-15/1222806982.PDF</t>
  </si>
  <si>
    <t>2025-03-15</t>
  </si>
  <si>
    <t>b4f1713d7b821eb076c102711d177fe942ccc2bc8dd171ae5d7a95799a65b0ad</t>
  </si>
  <si>
    <t>官方列表日期2025-03-15；保守可用时点2025-03-16T00:00:00+08:00。当前官方文件与官方公告记录对应；无观察到晚生成信号，但未取得当日独立字节快照，不能证明从未替换或穷尽修订。</t>
  </si>
  <si>
    <t>s_300750_2025</t>
  </si>
  <si>
    <t>宁德时代新能源科技股份有限公司 2025 年度报告</t>
  </si>
  <si>
    <t>https://static.cninfo.com.cn/finalpage/2026-03-10/1225002214.PDF</t>
  </si>
  <si>
    <t>2026-03-10</t>
  </si>
  <si>
    <t>c15272977147dee7e6935a38ea0e4fd6855370aabb106f54cfe20f7cf6048ec9</t>
  </si>
  <si>
    <t>官方列表日期2026-03-10；保守可用时点2026-03-11T00:00:00+08:00。当前官方文件与官方公告记录对应；无观察到晚生成信号，但未取得当日独立字节快照，不能证明从未替换或穷尽修订。</t>
  </si>
  <si>
    <t>来源</t>
  </si>
  <si>
    <t>定位</t>
  </si>
  <si>
    <t>观察</t>
  </si>
  <si>
    <t>可靠性与限制</t>
  </si>
  <si>
    <t>其中：营业收入：PDF物理页164，2022年度，原单位元；其中：营业成本：PDF物理页164，2022年度，原单位元；资产总计：PDF物理页161，2022年12月31日，原单位元</t>
  </si>
  <si>
    <t>当年合并表本期数及期末余额；收入、营业成本、资产总计分别取证。官方日期证据与已见重列差异见sources.json。</t>
  </si>
  <si>
    <t>现时官方公告列表与已获取全文进行关联；未声称查尽所有历史修订或已证明初始披露字节未被替换。PDF元数据只用于发现矛盾，不能证明历史公开可得时间。历史可用性与跨期经济可比性仍需分别判断。</t>
  </si>
  <si>
    <t>其中：营业收入：PDF物理页122，2023年度，原单位元；其中：营业成本：PDF物理页122，2023年度，原单位元；资产总计：PDF物理页119，2023年12月31日，原单位元</t>
  </si>
  <si>
    <t>其中：营业收入：PDF物理页132，2024年度，原单位元；其中：营业成本：PDF物理页132，2024年度，原单位元；资产总计：PDF物理页128，期末余额，原单位元</t>
  </si>
  <si>
    <t>p_002074_2024</t>
  </si>
  <si>
    <t>PDF物理页[132, 183]，会计政策变更及比较数</t>
  </si>
  <si>
    <t>2024年报告披露保证类质量保证金从销售费用重分类至营业成本，调整363,418,904.40元。保留2023年报告本年列，不回填重分类后的比较数。</t>
  </si>
  <si>
    <t>记录已观察重列；未穷尽其他历史修订或证明业务范围恒定。</t>
  </si>
  <si>
    <t>其中：营业收入：PDF物理页127，2025年度，原单位元；其中：营业成本：PDF物理页127，2025年度，原单位元；资产总计：PDF物理页124，期末余额，原单位元</t>
  </si>
  <si>
    <t>现时官方公告列表与已获取全文进行关联；未声称查尽所有历史修订或已证明初始披露字节未被替换。PDF元数据只用于发现矛盾，不能证明历史公开可得时间。；先前检索到同日候选1225241936.PDF，正常请求返回404；本次官网IR及巨潮列表均指向1225254220.pdf。后者元数据为2026-04-29 16:11:55+08:00，同日版本先后/差异未核实；采用日结束后的保守时点，不称其为唯一初始版本。历史可用性与跨期经济可比性仍需分别判断。</t>
  </si>
  <si>
    <t>其中：营业收入：PDF物理页97，2022年度，原单位元；其中：营业成本：PDF物理页97，2022年度，原单位元；资产总计：PDF物理页93，2022年12月31日，原单位元</t>
  </si>
  <si>
    <t>现时官方公告列表与已获取全文进行关联；未声称查尽所有历史修订或已证明初始披露字节未被替换。PDF元数据只用于发现矛盾，不能证明历史公开可得时间。；当前巨潮PDF与另行取得的深交所PDF的CreationDate/ModDate均为2024-01-10，晚于列表标注的2023-04-18；未查得可证实为2023首次发布的官方全文版本，故available_at留空，不得用于该时点训练或回测。历史可用性与跨期经济可比性仍需分别判断。</t>
  </si>
  <si>
    <t>其中：营业收入：PDF物理页99，2023年度，原单位元；其中：营业成本：PDF物理页99，2023年度，原单位元；资产总计：PDF物理页95，2023年12月31日，原单位元</t>
  </si>
  <si>
    <t>其中：营业收入：PDF物理页97，2024年度，原单位元；其中：营业成本：PDF物理页97，2024年度，原单位元；资产总计：PDF物理页93，期末余额，原单位元</t>
  </si>
  <si>
    <t>p_300014_2024</t>
  </si>
  <si>
    <t>PDF物理页[97, 140]，会计政策变更及比较数</t>
  </si>
  <si>
    <t>2024年报告披露保证类质保费用重分类，将2023年比较营业成本增加190,977,076.26元。保留2023年报告本年列，不回填重分类后的比较数。</t>
  </si>
  <si>
    <t>其中：营业收入：PDF物理页90，2025年度，原单位元；其中：营业成本：PDF物理页90，2025年度，原单位元；资产总计：PDF物理页86，期末余额，原单位元</t>
  </si>
  <si>
    <t>其中：营业收入：PDF物理页138，2022年度，原单位元；其中：营业成本：PDF物理页138，2022年度，原单位元；资产总计：PDF物理页135，2022-12-31期末余额，原单位元</t>
  </si>
  <si>
    <t>本次巨潮年度报告分类公开查询仅观察到这四份全文及对应摘要；未检出另外的修订全文，但未声称穷尽所有历史版本。SHA-256固定本次下载字节，不证明历史时点的文件内容从未被替换。；未取得公告当日的独立历史快照或字节校验值；当前PDF自述时间早于公告日，只能作为一致性信号，不能证明当前字节在公告日已经存在，也不能证明链接从未替换。历史可用性与跨期经济可比性仍需分别判断。</t>
  </si>
  <si>
    <t>其中：营业收入：PDF物理页133，2023年度，原单位元；其中：营业成本：PDF物理页133，2023年度，原单位元；资产总计：PDF物理页129，2023-12-31期末余额，原单位元</t>
  </si>
  <si>
    <t>其中：营业收入：PDF物理页129，2024年度，原单位元；其中：营业成本：PDF物理页129，2024年度，原单位元；资产总计：PDF物理页126，2024-12-31期末余额，原单位元</t>
  </si>
  <si>
    <t>p_300207_2024</t>
  </si>
  <si>
    <t>PDF物理页[172]，会计政策变更及比较数</t>
  </si>
  <si>
    <t>本报告p172自2024-01-01执行解释第18号保证类质量保证规定，并追溯调整2023营业成本和销售费用；当期营业成本已采用新分类。原始2023当期值与2024所列比较值不相同。</t>
  </si>
  <si>
    <t>其中：营业收入：PDF物理页112，2025年度，原单位元；其中：营业成本：PDF物理页112，2025年度，原单位元；资产总计：PDF物理页109，2025-12-31期末余额，原单位元</t>
  </si>
  <si>
    <t>其中：营业收入：PDF物理页105，2022年度，原单位万元；其中：营业成本：PDF物理页105，2022年度，原单位万元；资产总计：PDF物理页101，2022-12-31期末余额，原单位万元</t>
  </si>
  <si>
    <t>当前官方文件与官方公告记录对应；无观察到晚生成信号，但未取得当日独立字节快照，不能证明从未替换或穷尽修订。历史可用性与跨期经济可比性仍需分别判断。</t>
  </si>
  <si>
    <t>其中：营业收入：PDF物理页120，2023年度，原单位万元；其中：营业成本：PDF物理页120，2023年度，原单位万元；资产总计：PDF物理页116，2023-12-31期末余额，原单位万元</t>
  </si>
  <si>
    <t>其中：营业收入：PDF物理页119，2024年度，原单位千元；其中：营业成本：PDF物理页119，2024年度，原单位千元；资产总计：PDF物理页115，2024-12-31期末余额，原单位千元</t>
  </si>
  <si>
    <t>p_300750_2024</t>
  </si>
  <si>
    <t>PDF物理页[114, 119, 162, 163]，会计政策变更及比较数</t>
  </si>
  <si>
    <t>保证类质量保证列报政策：2023营业成本由309070434千元增加14911696千元至323982130千元；销售费用反向重分类。保留2023原报告成本，不以后年比较数回填历史预测。2024政策使当年营业成本增加11842606千元。毛利变化受列报影响，不等于经济利润同比变化。；单位由万元改为千元，2023比较值有显示舍入。2023原始精度保留。</t>
  </si>
  <si>
    <t>其中：营业收入：PDF物理页116，2025年度，原单位千元；其中：营业成本：PDF物理页116，2025年度，原单位千元；资产总计：PDF物理页112，2025-12-31期末余额，原单位千元</t>
  </si>
  <si>
    <t>问题</t>
  </si>
  <si>
    <t>结论</t>
  </si>
  <si>
    <t>机制</t>
  </si>
  <si>
    <t>依据</t>
  </si>
  <si>
    <t>反证</t>
  </si>
  <si>
    <t>其他解释</t>
  </si>
  <si>
    <t>改变结论条件</t>
  </si>
  <si>
    <t>vintage</t>
  </si>
  <si>
    <t>历史文件与公告日能否对应？</t>
  </si>
  <si>
    <t>可用记录按固定截止分割；亿纬2022保留内容但不参与历史模型。日期级官方记录不能证明精确字节的历史可得。</t>
  </si>
  <si>
    <t>后生成文件若沿用早期公告日，会引入未来信息。</t>
  </si>
  <si>
    <t>conditional</t>
  </si>
  <si>
    <t>列报政策、样本选择及业务结构差异不能由一个比率模型消除。</t>
  </si>
  <si>
    <t>取得原始字节版及可验证历史时间后，另立版本重新运行并报告变化。</t>
  </si>
  <si>
    <t>classification</t>
  </si>
  <si>
    <t>毛利变化是否全部来自经营？</t>
  </si>
  <si>
    <t>2024报告中的保证类质量保证列报变化使旧期比较成本重列；模型保留原报告值，估计对象是原始披露毛利率。</t>
  </si>
  <si>
    <t>销售费用转入营业成本可以改变毛利率，而不因此改变利润总额；不能将全部毛利变化解释为经营改善或恶化。</t>
  </si>
  <si>
    <t>p_300750_2024, p_300207_2024, p_002074_2024, p_300014_2024</t>
  </si>
  <si>
    <t>若研究目的改为经济可比趋势，需要另建截至当时可得的调整桥，不能覆盖原版本。</t>
  </si>
  <si>
    <t>holdout</t>
  </si>
  <si>
    <t>固定OLS是否优于沿用上期值？</t>
  </si>
  <si>
    <t>训练、留出及未成熟记录均按预先约定划分，逐公司误差及两项MAE见模型表。本案例不据结果选择模型。</t>
  </si>
  <si>
    <t>三个训练配对只支持代数拟合；产品结构、政策断点及共同周期限制外推。</t>
  </si>
  <si>
    <t>e_300750_2022, e_300207_2022, e_002074_2022</t>
  </si>
  <si>
    <t>需要更多历史可用版本、不同周期和预先独立设定的验证任务，才可评价推广表现。</t>
  </si>
  <si>
    <t>peers</t>
  </si>
  <si>
    <t>同业位置能否直接转成质量评级？</t>
  </si>
  <si>
    <t>毛利/期末资产及百分位仅描述四家公司当前所给样本，不映射健康分数、违约概率或投资评级。</t>
  </si>
  <si>
    <t>电池品类、资产投入阶段、外协比例和合并范围都会影响该指标。</t>
  </si>
  <si>
    <t>002074_2025_gpa, 300014_2025_gpa, 300207_2025_gpa, 300750_2025_gpa</t>
  </si>
  <si>
    <t>取得可比产品和分部信息后才可形成更细的经营解释。</t>
  </si>
  <si>
    <t>事项</t>
  </si>
  <si>
    <t>目的与认定</t>
  </si>
  <si>
    <t>总体</t>
  </si>
  <si>
    <t>选取</t>
  </si>
  <si>
    <t>步骤</t>
  </si>
  <si>
    <t>实际结果</t>
  </si>
  <si>
    <t>执行者日期</t>
  </si>
  <si>
    <t>所需资料</t>
  </si>
  <si>
    <t>影响</t>
  </si>
  <si>
    <t>责任角色</t>
  </si>
  <si>
    <t>关闭条件</t>
  </si>
  <si>
    <t>id</t>
  </si>
  <si>
    <t>entity</t>
  </si>
  <si>
    <t>period_end</t>
  </si>
  <si>
    <t>available_at</t>
  </si>
  <si>
    <t>version</t>
  </si>
  <si>
    <t>industry</t>
  </si>
  <si>
    <t>accounting_basis</t>
  </si>
  <si>
    <t>currency</t>
  </si>
  <si>
    <t>source</t>
  </si>
  <si>
    <t>002074_2022</t>
  </si>
  <si>
    <t>2023-04-29T00:00:00+08:00</t>
  </si>
  <si>
    <t>own-year-report-current-column</t>
  </si>
  <si>
    <t>battery-industrial</t>
  </si>
  <si>
    <t>002074_2023</t>
  </si>
  <si>
    <t>2024-04-21T00:00:00+08:00</t>
  </si>
  <si>
    <t>002074_2024</t>
  </si>
  <si>
    <t>2025-04-26T00:00:00+08:00</t>
  </si>
  <si>
    <t>002074_2025</t>
  </si>
  <si>
    <t>2026-04-30T00:00:00+08:00</t>
  </si>
  <si>
    <t>300014_2023</t>
  </si>
  <si>
    <t>2024-04-20T00:00:00+08:00</t>
  </si>
  <si>
    <t>300014_2024</t>
  </si>
  <si>
    <t>2025-04-19T00:00:00+08:00</t>
  </si>
  <si>
    <t>300014_2025</t>
  </si>
  <si>
    <t>2026-03-29T00:00:00+08:00</t>
  </si>
  <si>
    <t>300207_2022</t>
  </si>
  <si>
    <t>2023-04-28T00:00:00+08:00</t>
  </si>
  <si>
    <t>300207_2023</t>
  </si>
  <si>
    <t>2024-04-12T00:00:00+08:00</t>
  </si>
  <si>
    <t>300207_2024</t>
  </si>
  <si>
    <t>2025-04-23T00:00:00+08:00</t>
  </si>
  <si>
    <t>300207_2025</t>
  </si>
  <si>
    <t>2026-04-25T00:00:00+08:00</t>
  </si>
  <si>
    <t>300750_2022</t>
  </si>
  <si>
    <t>2023-03-11T00:00:00+08:00</t>
  </si>
  <si>
    <t>300750_2023</t>
  </si>
  <si>
    <t>2024-03-17T00:00:00+08:00</t>
  </si>
  <si>
    <t>300750_2024</t>
  </si>
  <si>
    <t>2025-03-16T00:00:00+08:00</t>
  </si>
  <si>
    <t>300750_2025</t>
  </si>
  <si>
    <t>2026-03-11T00:00:00+08:00</t>
  </si>
  <si>
    <t>企业</t>
  </si>
  <si>
    <t>选用记录</t>
  </si>
  <si>
    <t>可用时间</t>
  </si>
  <si>
    <t>毛利率</t>
  </si>
  <si>
    <t>毛利/期末资产</t>
  </si>
  <si>
    <t>样本内百分位</t>
  </si>
  <si>
    <t>有效同业数</t>
  </si>
  <si>
    <t>首次起点记录</t>
  </si>
  <si>
    <t>首次目标记录</t>
  </si>
  <si>
    <t>当前毛利率</t>
  </si>
  <si>
    <t>下一年毛利率</t>
  </si>
  <si>
    <t>字段</t>
  </si>
  <si>
    <t>结果</t>
  </si>
  <si>
    <t>training_n</t>
  </si>
  <si>
    <t>test_n</t>
  </si>
  <si>
    <t>intercept</t>
  </si>
  <si>
    <t>slope</t>
  </si>
  <si>
    <t>test_mae</t>
  </si>
  <si>
    <t>baseline_mae</t>
  </si>
  <si>
    <t>status</t>
  </si>
  <si>
    <t>estimated</t>
  </si>
  <si>
    <t>解释</t>
  </si>
  <si>
    <t>样本/时间/版本改变须重跑panel.py；固定样本数值变化可复算OLS及留出误差。不是PD或显著性证明。</t>
  </si>
  <si>
    <t>起点记录</t>
  </si>
  <si>
    <t>目标记录</t>
  </si>
  <si>
    <t>当前值</t>
  </si>
  <si>
    <t>实际下一期</t>
  </si>
  <si>
    <t>预测</t>
  </si>
  <si>
    <t>预测绝对误差</t>
  </si>
  <si>
    <t>Last-value绝对误差</t>
  </si>
  <si>
    <t>起点可用时间</t>
  </si>
  <si>
    <t>目标可用时间</t>
  </si>
  <si>
    <t>类别</t>
  </si>
  <si>
    <t>记录</t>
  </si>
  <si>
    <t>原因</t>
  </si>
  <si>
    <t>pending</t>
  </si>
  <si>
    <t>next-year outcome is not yet observed by as_of</t>
  </si>
  <si>
    <t>excluded</t>
  </si>
  <si>
    <t>label immature at training cutoff; origin is not out of time</t>
  </si>
  <si>
    <t>field</t>
  </si>
  <si>
    <t>value</t>
  </si>
  <si>
    <t>method</t>
  </si>
  <si>
    <t>pit_margin_persistence_v1</t>
  </si>
  <si>
    <t>as_of</t>
  </si>
  <si>
    <t>input references</t>
  </si>
  <si>
    <t>002074_2022_revenue, 002074_2022_cost_of_sales, 002074_2022_total_assets, 002074_2023_revenue, 002074_2023_cost_of_sales, 002074_2023_total_assets, 002074_2024_revenue, 002074_2024_cost_of_sales, 002074_2024_total_assets, 002074_2025_revenue, 002074_2025_cost_of_sales, 002074_2025_total_assets, 300014_2023_revenue, 300014_2023_cost_of_sales, 300014_2023_total_assets, 300014_2024_revenue, 300014_2024_cost_of_sales, 300014_2024_total_assets, 300014_2025_revenue, 300014_2025_cost_of_sales, 300014_2025_total_assets, 300207_2022_revenue, 300207_2022_cost_of_sales, 300207_2022_total_assets, 300207_2023_revenue, 300207_2023_cost_of_sales, 300207_2023_total_assets, 300207_2024_revenue, 300207_2024_cost_of_sales, 300207_2024_total_assets, 300207_2025_revenue, 300207_2025_cost_of_sales, 300207_2025_total_assets, 300750_2022_revenue, 300750_2022_cost_of_sales, 300750_2022_total_assets, 300750_2023_revenue, 300750_2023_cost_of_sales, 300750_2023_total_assets, 300750_2024_revenue, 300750_2024_cost_of_sales, 300750_2024_total_assets, 300750_2025_revenue, 300750_2025_cost_of_sales, 300750_2025_total_assets</t>
  </si>
  <si>
    <t>assumptions</t>
  </si>
  <si>
    <t>Supplied universe: 事先选定宁德时代、亿纬锂能、国轩高科、欣旺达2022至2025官方合并披露；只取available_at已核对的记录。不是市场总体。
Current peers use the latest version available at as_of, with period-end assets as denominator.
Historical x and y use first-publication gross margins; future restatements never replace them.
One frozen pooled OLS: next-year gross margin = intercept + slope × current gross margin.
Training pairs must have both releases available by 2024-10-02T00:00:00+08:00.</t>
  </si>
  <si>
    <t>limitations</t>
  </si>
  <si>
    <t>Industrial annual statements only; gross profitability is not comparable for banks and insurers.
Ranks describe the supplied universe, not the whole market; no missing or delisted companies are invented.
Missing or non-positive revenue is not zero margin; negative gross profits remain valid observations.
Three observations only establish algebraic identifiability, not empirical reliability or cycle coverage.
Holdout MAE is descriptive; no independence assumption, significance, causality, PD or investment return is claimed.
Model is frozen at one cutoff, not tuned on holdout; observed firms may recur in the holdout.
Unconstrained OLS predictions are not clipped to an economically plausible interval; inspect extrapolation.
仅四家事先选定企业，产品结构和合并范围不同；不是全市场样本或完全同质同业。
公告日期来自官方列表，次日零点仅为日级证据的保守边界；没有证明历史精确字节从未替换。
亿纬2022当前官方PDF的生成时间晚于原公告，历史可用时间为空，不纳入时点模型。
2024年保证类质量保证成本重分类造成列报断点；原报告毛利率不等于跨年同口径经营质量。
研究在2026年事后完成，研究者已知部分后期披露；这是固定方法流程演示，不是前瞻注册实验。
留出误差只描述本次样本，不证明预测优势、统计显著性、因果、收益、违约概率或评级。</t>
  </si>
  <si>
    <t>reproduction</t>
  </si>
  <si>
    <t>See quantitative-panel.json input_snapshot and method version</t>
  </si>
</sst>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%;[Red](0.00%)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3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10.7109375" customWidth="1"/>
  </cols>
  <sheetData>
    <row r="1" spans="1:2" ht="3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20</v>
      </c>
      <c r="B12" s="2" t="s">
        <v>22</v>
      </c>
    </row>
    <row r="13" spans="1:2">
      <c r="A13" s="2" t="s">
        <v>20</v>
      </c>
      <c r="B13" s="2" t="s">
        <v>23</v>
      </c>
    </row>
    <row r="14" spans="1:2">
      <c r="A14" s="2" t="s">
        <v>20</v>
      </c>
      <c r="B14" s="2" t="s">
        <v>24</v>
      </c>
    </row>
    <row r="15" spans="1:2">
      <c r="A15" s="2" t="s">
        <v>20</v>
      </c>
      <c r="B15" s="2" t="s">
        <v>25</v>
      </c>
    </row>
    <row r="16" spans="1:2">
      <c r="A16" s="2" t="s">
        <v>20</v>
      </c>
      <c r="B16" s="2" t="s">
        <v>26</v>
      </c>
    </row>
    <row r="17" spans="1:2">
      <c r="A17" s="2" t="s">
        <v>20</v>
      </c>
      <c r="B17" s="2" t="s">
        <v>27</v>
      </c>
    </row>
  </sheetData>
  <autoFilter ref="A1:B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8" width="28.7109375" customWidth="1"/>
  </cols>
  <sheetData>
    <row r="1" spans="1:18" ht="32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8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10</v>
      </c>
      <c r="P1" s="1" t="s">
        <v>41</v>
      </c>
      <c r="Q1" s="1" t="s">
        <v>42</v>
      </c>
      <c r="R1" s="1" t="s">
        <v>43</v>
      </c>
    </row>
    <row r="2" spans="1:18">
      <c r="A2" s="2" t="s">
        <v>44</v>
      </c>
      <c r="B2" s="2" t="s">
        <v>45</v>
      </c>
      <c r="C2" s="2" t="s">
        <v>46</v>
      </c>
      <c r="D2" s="2">
        <v>23051701484.6</v>
      </c>
      <c r="E2" s="2">
        <v>1</v>
      </c>
      <c r="F2" s="3">
        <f>IF(COUNT(D2,E2)=2,D2*E2,NA())</f>
        <v>23051701484.6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11</v>
      </c>
      <c r="P2" s="2" t="s">
        <v>55</v>
      </c>
      <c r="Q2" s="2" t="s">
        <v>56</v>
      </c>
      <c r="R2" s="2"/>
    </row>
    <row r="3" spans="1:18">
      <c r="A3" s="2" t="s">
        <v>57</v>
      </c>
      <c r="B3" s="2" t="s">
        <v>58</v>
      </c>
      <c r="C3" s="2" t="s">
        <v>46</v>
      </c>
      <c r="D3" s="2">
        <v>18949696156.7</v>
      </c>
      <c r="E3" s="2">
        <v>1</v>
      </c>
      <c r="F3" s="3">
        <f>IF(COUNT(D3,E3)=2,D3*E3,NA())</f>
        <v>18949696156.7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11</v>
      </c>
      <c r="P3" s="2" t="s">
        <v>55</v>
      </c>
      <c r="Q3" s="2" t="s">
        <v>59</v>
      </c>
      <c r="R3" s="2"/>
    </row>
    <row r="4" spans="1:18">
      <c r="A4" s="2" t="s">
        <v>60</v>
      </c>
      <c r="B4" s="2" t="s">
        <v>61</v>
      </c>
      <c r="C4" s="2" t="s">
        <v>46</v>
      </c>
      <c r="D4" s="2">
        <v>72627365266.66</v>
      </c>
      <c r="E4" s="2">
        <v>1</v>
      </c>
      <c r="F4" s="3">
        <f>IF(COUNT(D4,E4)=2,D4*E4,NA())</f>
        <v>72627365266.66</v>
      </c>
      <c r="G4" s="2" t="s">
        <v>47</v>
      </c>
      <c r="H4" s="2" t="s">
        <v>48</v>
      </c>
      <c r="I4" s="2" t="s">
        <v>49</v>
      </c>
      <c r="J4" s="2" t="s">
        <v>50</v>
      </c>
      <c r="K4" s="2"/>
      <c r="L4" s="2" t="s">
        <v>52</v>
      </c>
      <c r="M4" s="2" t="s">
        <v>62</v>
      </c>
      <c r="N4" s="2" t="s">
        <v>54</v>
      </c>
      <c r="O4" s="2" t="s">
        <v>11</v>
      </c>
      <c r="P4" s="2" t="s">
        <v>55</v>
      </c>
      <c r="Q4" s="2" t="s">
        <v>63</v>
      </c>
      <c r="R4" s="2"/>
    </row>
    <row r="5" spans="1:18">
      <c r="A5" s="2" t="s">
        <v>64</v>
      </c>
      <c r="B5" s="2" t="s">
        <v>65</v>
      </c>
      <c r="C5" s="2" t="s">
        <v>66</v>
      </c>
      <c r="D5" s="2">
        <v>31605490020.32</v>
      </c>
      <c r="E5" s="2">
        <v>1</v>
      </c>
      <c r="F5" s="3">
        <f>IF(COUNT(D5,E5)=2,D5*E5,NA())</f>
        <v>31605490020.32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67</v>
      </c>
      <c r="L5" s="2" t="s">
        <v>68</v>
      </c>
      <c r="M5" s="2" t="s">
        <v>53</v>
      </c>
      <c r="N5" s="2" t="s">
        <v>54</v>
      </c>
      <c r="O5" s="2" t="s">
        <v>11</v>
      </c>
      <c r="P5" s="2" t="s">
        <v>55</v>
      </c>
      <c r="Q5" s="2" t="s">
        <v>56</v>
      </c>
      <c r="R5" s="2"/>
    </row>
    <row r="6" spans="1:18">
      <c r="A6" s="2" t="s">
        <v>69</v>
      </c>
      <c r="B6" s="2" t="s">
        <v>70</v>
      </c>
      <c r="C6" s="2" t="s">
        <v>66</v>
      </c>
      <c r="D6" s="2">
        <v>26257211896.71</v>
      </c>
      <c r="E6" s="2">
        <v>1</v>
      </c>
      <c r="F6" s="3">
        <f>IF(COUNT(D6,E6)=2,D6*E6,NA())</f>
        <v>26257211896.71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67</v>
      </c>
      <c r="L6" s="2" t="s">
        <v>68</v>
      </c>
      <c r="M6" s="2" t="s">
        <v>53</v>
      </c>
      <c r="N6" s="2" t="s">
        <v>54</v>
      </c>
      <c r="O6" s="2" t="s">
        <v>11</v>
      </c>
      <c r="P6" s="2" t="s">
        <v>55</v>
      </c>
      <c r="Q6" s="2" t="s">
        <v>59</v>
      </c>
      <c r="R6" s="2"/>
    </row>
    <row r="7" spans="1:18">
      <c r="A7" s="2" t="s">
        <v>71</v>
      </c>
      <c r="B7" s="2" t="s">
        <v>72</v>
      </c>
      <c r="C7" s="2" t="s">
        <v>66</v>
      </c>
      <c r="D7" s="2">
        <v>93592652122.38</v>
      </c>
      <c r="E7" s="2">
        <v>1</v>
      </c>
      <c r="F7" s="3">
        <f>IF(COUNT(D7,E7)=2,D7*E7,NA())</f>
        <v>93592652122.38</v>
      </c>
      <c r="G7" s="2" t="s">
        <v>47</v>
      </c>
      <c r="H7" s="2" t="s">
        <v>48</v>
      </c>
      <c r="I7" s="2" t="s">
        <v>49</v>
      </c>
      <c r="J7" s="2" t="s">
        <v>50</v>
      </c>
      <c r="K7" s="2"/>
      <c r="L7" s="2" t="s">
        <v>68</v>
      </c>
      <c r="M7" s="2" t="s">
        <v>62</v>
      </c>
      <c r="N7" s="2" t="s">
        <v>54</v>
      </c>
      <c r="O7" s="2" t="s">
        <v>11</v>
      </c>
      <c r="P7" s="2" t="s">
        <v>55</v>
      </c>
      <c r="Q7" s="2" t="s">
        <v>63</v>
      </c>
      <c r="R7" s="2"/>
    </row>
    <row r="8" spans="1:18">
      <c r="A8" s="2" t="s">
        <v>73</v>
      </c>
      <c r="B8" s="2" t="s">
        <v>74</v>
      </c>
      <c r="C8" s="2" t="s">
        <v>75</v>
      </c>
      <c r="D8" s="2">
        <v>35391817095.44</v>
      </c>
      <c r="E8" s="2">
        <v>1</v>
      </c>
      <c r="F8" s="3">
        <f>IF(COUNT(D8,E8)=2,D8*E8,NA())</f>
        <v>35391817095.44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76</v>
      </c>
      <c r="L8" s="2" t="s">
        <v>77</v>
      </c>
      <c r="M8" s="2" t="s">
        <v>53</v>
      </c>
      <c r="N8" s="2" t="s">
        <v>54</v>
      </c>
      <c r="O8" s="2" t="s">
        <v>11</v>
      </c>
      <c r="P8" s="2" t="s">
        <v>55</v>
      </c>
      <c r="Q8" s="2" t="s">
        <v>56</v>
      </c>
      <c r="R8" s="2"/>
    </row>
    <row r="9" spans="1:18">
      <c r="A9" s="2" t="s">
        <v>78</v>
      </c>
      <c r="B9" s="2" t="s">
        <v>79</v>
      </c>
      <c r="C9" s="2" t="s">
        <v>75</v>
      </c>
      <c r="D9" s="2">
        <v>29020131352.84</v>
      </c>
      <c r="E9" s="2">
        <v>1</v>
      </c>
      <c r="F9" s="3">
        <f>IF(COUNT(D9,E9)=2,D9*E9,NA())</f>
        <v>29020131352.84</v>
      </c>
      <c r="G9" s="2" t="s">
        <v>47</v>
      </c>
      <c r="H9" s="2" t="s">
        <v>48</v>
      </c>
      <c r="I9" s="2" t="s">
        <v>49</v>
      </c>
      <c r="J9" s="2" t="s">
        <v>50</v>
      </c>
      <c r="K9" s="2" t="s">
        <v>76</v>
      </c>
      <c r="L9" s="2" t="s">
        <v>77</v>
      </c>
      <c r="M9" s="2" t="s">
        <v>53</v>
      </c>
      <c r="N9" s="2" t="s">
        <v>54</v>
      </c>
      <c r="O9" s="2" t="s">
        <v>11</v>
      </c>
      <c r="P9" s="2" t="s">
        <v>55</v>
      </c>
      <c r="Q9" s="2" t="s">
        <v>59</v>
      </c>
      <c r="R9" s="2"/>
    </row>
    <row r="10" spans="1:18">
      <c r="A10" s="2" t="s">
        <v>80</v>
      </c>
      <c r="B10" s="2" t="s">
        <v>81</v>
      </c>
      <c r="C10" s="2" t="s">
        <v>75</v>
      </c>
      <c r="D10" s="2">
        <v>107839685095.13</v>
      </c>
      <c r="E10" s="2">
        <v>1</v>
      </c>
      <c r="F10" s="3">
        <f>IF(COUNT(D10,E10)=2,D10*E10,NA())</f>
        <v>107839685095.13</v>
      </c>
      <c r="G10" s="2" t="s">
        <v>47</v>
      </c>
      <c r="H10" s="2" t="s">
        <v>48</v>
      </c>
      <c r="I10" s="2" t="s">
        <v>49</v>
      </c>
      <c r="J10" s="2" t="s">
        <v>50</v>
      </c>
      <c r="K10" s="2"/>
      <c r="L10" s="2" t="s">
        <v>77</v>
      </c>
      <c r="M10" s="2" t="s">
        <v>62</v>
      </c>
      <c r="N10" s="2" t="s">
        <v>54</v>
      </c>
      <c r="O10" s="2" t="s">
        <v>11</v>
      </c>
      <c r="P10" s="2" t="s">
        <v>55</v>
      </c>
      <c r="Q10" s="2" t="s">
        <v>63</v>
      </c>
      <c r="R10" s="2"/>
    </row>
    <row r="11" spans="1:18">
      <c r="A11" s="2" t="s">
        <v>82</v>
      </c>
      <c r="B11" s="2" t="s">
        <v>83</v>
      </c>
      <c r="C11" s="2" t="s">
        <v>84</v>
      </c>
      <c r="D11" s="2">
        <v>45070461822.87</v>
      </c>
      <c r="E11" s="2">
        <v>1</v>
      </c>
      <c r="F11" s="3">
        <f>IF(COUNT(D11,E11)=2,D11*E11,NA())</f>
        <v>45070461822.87</v>
      </c>
      <c r="G11" s="2" t="s">
        <v>47</v>
      </c>
      <c r="H11" s="2" t="s">
        <v>48</v>
      </c>
      <c r="I11" s="2" t="s">
        <v>49</v>
      </c>
      <c r="J11" s="2" t="s">
        <v>50</v>
      </c>
      <c r="K11" s="2" t="s">
        <v>85</v>
      </c>
      <c r="L11" s="2" t="s">
        <v>86</v>
      </c>
      <c r="M11" s="2" t="s">
        <v>53</v>
      </c>
      <c r="N11" s="2" t="s">
        <v>54</v>
      </c>
      <c r="O11" s="2" t="s">
        <v>11</v>
      </c>
      <c r="P11" s="2" t="s">
        <v>55</v>
      </c>
      <c r="Q11" s="2" t="s">
        <v>56</v>
      </c>
      <c r="R11" s="2"/>
    </row>
    <row r="12" spans="1:18">
      <c r="A12" s="2" t="s">
        <v>87</v>
      </c>
      <c r="B12" s="2" t="s">
        <v>88</v>
      </c>
      <c r="C12" s="2" t="s">
        <v>84</v>
      </c>
      <c r="D12" s="2">
        <v>37780369237.62</v>
      </c>
      <c r="E12" s="2">
        <v>1</v>
      </c>
      <c r="F12" s="3">
        <f>IF(COUNT(D12,E12)=2,D12*E12,NA())</f>
        <v>37780369237.62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85</v>
      </c>
      <c r="L12" s="2" t="s">
        <v>86</v>
      </c>
      <c r="M12" s="2" t="s">
        <v>53</v>
      </c>
      <c r="N12" s="2" t="s">
        <v>54</v>
      </c>
      <c r="O12" s="2" t="s">
        <v>11</v>
      </c>
      <c r="P12" s="2" t="s">
        <v>55</v>
      </c>
      <c r="Q12" s="2" t="s">
        <v>59</v>
      </c>
      <c r="R12" s="2"/>
    </row>
    <row r="13" spans="1:18">
      <c r="A13" s="2" t="s">
        <v>89</v>
      </c>
      <c r="B13" s="2" t="s">
        <v>90</v>
      </c>
      <c r="C13" s="2" t="s">
        <v>84</v>
      </c>
      <c r="D13" s="2">
        <v>127214519738.62</v>
      </c>
      <c r="E13" s="2">
        <v>1</v>
      </c>
      <c r="F13" s="3">
        <f>IF(COUNT(D13,E13)=2,D13*E13,NA())</f>
        <v>127214519738.62</v>
      </c>
      <c r="G13" s="2" t="s">
        <v>47</v>
      </c>
      <c r="H13" s="2" t="s">
        <v>48</v>
      </c>
      <c r="I13" s="2" t="s">
        <v>49</v>
      </c>
      <c r="J13" s="2" t="s">
        <v>50</v>
      </c>
      <c r="K13" s="2"/>
      <c r="L13" s="2" t="s">
        <v>86</v>
      </c>
      <c r="M13" s="2" t="s">
        <v>62</v>
      </c>
      <c r="N13" s="2" t="s">
        <v>54</v>
      </c>
      <c r="O13" s="2" t="s">
        <v>11</v>
      </c>
      <c r="P13" s="2" t="s">
        <v>55</v>
      </c>
      <c r="Q13" s="2" t="s">
        <v>63</v>
      </c>
      <c r="R13" s="2"/>
    </row>
    <row r="14" spans="1:18">
      <c r="A14" s="2" t="s">
        <v>91</v>
      </c>
      <c r="B14" s="2" t="s">
        <v>92</v>
      </c>
      <c r="C14" s="2" t="s">
        <v>93</v>
      </c>
      <c r="D14" s="2">
        <v>36303947808.53</v>
      </c>
      <c r="E14" s="2">
        <v>1</v>
      </c>
      <c r="F14" s="3">
        <f>IF(COUNT(D14,E14)=2,D14*E14,NA())</f>
        <v>36303947808.53</v>
      </c>
      <c r="G14" s="2" t="s">
        <v>47</v>
      </c>
      <c r="H14" s="2" t="s">
        <v>48</v>
      </c>
      <c r="I14" s="2" t="s">
        <v>94</v>
      </c>
      <c r="J14" s="2" t="s">
        <v>50</v>
      </c>
      <c r="K14" s="2" t="s">
        <v>51</v>
      </c>
      <c r="L14" s="2" t="s">
        <v>52</v>
      </c>
      <c r="M14" s="2" t="s">
        <v>53</v>
      </c>
      <c r="N14" s="2" t="s">
        <v>54</v>
      </c>
      <c r="O14" s="2" t="s">
        <v>11</v>
      </c>
      <c r="P14" s="2" t="s">
        <v>95</v>
      </c>
      <c r="Q14" s="2" t="s">
        <v>56</v>
      </c>
      <c r="R14" s="2"/>
    </row>
    <row r="15" spans="1:18">
      <c r="A15" s="2" t="s">
        <v>96</v>
      </c>
      <c r="B15" s="2" t="s">
        <v>97</v>
      </c>
      <c r="C15" s="2" t="s">
        <v>93</v>
      </c>
      <c r="D15" s="2">
        <v>30338440631.84</v>
      </c>
      <c r="E15" s="2">
        <v>1</v>
      </c>
      <c r="F15" s="3">
        <f>IF(COUNT(D15,E15)=2,D15*E15,NA())</f>
        <v>30338440631.84</v>
      </c>
      <c r="G15" s="2" t="s">
        <v>47</v>
      </c>
      <c r="H15" s="2" t="s">
        <v>48</v>
      </c>
      <c r="I15" s="2" t="s">
        <v>94</v>
      </c>
      <c r="J15" s="2" t="s">
        <v>50</v>
      </c>
      <c r="K15" s="2" t="s">
        <v>51</v>
      </c>
      <c r="L15" s="2" t="s">
        <v>52</v>
      </c>
      <c r="M15" s="2" t="s">
        <v>53</v>
      </c>
      <c r="N15" s="2" t="s">
        <v>54</v>
      </c>
      <c r="O15" s="2" t="s">
        <v>11</v>
      </c>
      <c r="P15" s="2" t="s">
        <v>95</v>
      </c>
      <c r="Q15" s="2" t="s">
        <v>59</v>
      </c>
      <c r="R15" s="2"/>
    </row>
    <row r="16" spans="1:18">
      <c r="A16" s="2" t="s">
        <v>98</v>
      </c>
      <c r="B16" s="2" t="s">
        <v>99</v>
      </c>
      <c r="C16" s="2" t="s">
        <v>93</v>
      </c>
      <c r="D16" s="2">
        <v>83637813181.67999</v>
      </c>
      <c r="E16" s="2">
        <v>1</v>
      </c>
      <c r="F16" s="3">
        <f>IF(COUNT(D16,E16)=2,D16*E16,NA())</f>
        <v>83637813181.68</v>
      </c>
      <c r="G16" s="2" t="s">
        <v>47</v>
      </c>
      <c r="H16" s="2" t="s">
        <v>48</v>
      </c>
      <c r="I16" s="2" t="s">
        <v>94</v>
      </c>
      <c r="J16" s="2" t="s">
        <v>50</v>
      </c>
      <c r="K16" s="2"/>
      <c r="L16" s="2" t="s">
        <v>52</v>
      </c>
      <c r="M16" s="2" t="s">
        <v>62</v>
      </c>
      <c r="N16" s="2" t="s">
        <v>54</v>
      </c>
      <c r="O16" s="2" t="s">
        <v>11</v>
      </c>
      <c r="P16" s="2" t="s">
        <v>95</v>
      </c>
      <c r="Q16" s="2" t="s">
        <v>63</v>
      </c>
      <c r="R16" s="2"/>
    </row>
    <row r="17" spans="1:18">
      <c r="A17" s="2" t="s">
        <v>100</v>
      </c>
      <c r="B17" s="2" t="s">
        <v>101</v>
      </c>
      <c r="C17" s="2" t="s">
        <v>102</v>
      </c>
      <c r="D17" s="2">
        <v>48783587175.86</v>
      </c>
      <c r="E17" s="2">
        <v>1</v>
      </c>
      <c r="F17" s="3">
        <f>IF(COUNT(D17,E17)=2,D17*E17,NA())</f>
        <v>48783587175.86</v>
      </c>
      <c r="G17" s="2" t="s">
        <v>47</v>
      </c>
      <c r="H17" s="2" t="s">
        <v>48</v>
      </c>
      <c r="I17" s="2" t="s">
        <v>94</v>
      </c>
      <c r="J17" s="2" t="s">
        <v>50</v>
      </c>
      <c r="K17" s="2" t="s">
        <v>67</v>
      </c>
      <c r="L17" s="2" t="s">
        <v>68</v>
      </c>
      <c r="M17" s="2" t="s">
        <v>53</v>
      </c>
      <c r="N17" s="2" t="s">
        <v>54</v>
      </c>
      <c r="O17" s="2" t="s">
        <v>11</v>
      </c>
      <c r="P17" s="2" t="s">
        <v>55</v>
      </c>
      <c r="Q17" s="2" t="s">
        <v>56</v>
      </c>
      <c r="R17" s="2"/>
    </row>
    <row r="18" spans="1:18">
      <c r="A18" s="2" t="s">
        <v>103</v>
      </c>
      <c r="B18" s="2" t="s">
        <v>104</v>
      </c>
      <c r="C18" s="2" t="s">
        <v>102</v>
      </c>
      <c r="D18" s="2">
        <v>40473296810.6</v>
      </c>
      <c r="E18" s="2">
        <v>1</v>
      </c>
      <c r="F18" s="3">
        <f>IF(COUNT(D18,E18)=2,D18*E18,NA())</f>
        <v>40473296810.6</v>
      </c>
      <c r="G18" s="2" t="s">
        <v>47</v>
      </c>
      <c r="H18" s="2" t="s">
        <v>48</v>
      </c>
      <c r="I18" s="2" t="s">
        <v>94</v>
      </c>
      <c r="J18" s="2" t="s">
        <v>50</v>
      </c>
      <c r="K18" s="2" t="s">
        <v>67</v>
      </c>
      <c r="L18" s="2" t="s">
        <v>68</v>
      </c>
      <c r="M18" s="2" t="s">
        <v>53</v>
      </c>
      <c r="N18" s="2" t="s">
        <v>54</v>
      </c>
      <c r="O18" s="2" t="s">
        <v>11</v>
      </c>
      <c r="P18" s="2" t="s">
        <v>55</v>
      </c>
      <c r="Q18" s="2" t="s">
        <v>59</v>
      </c>
      <c r="R18" s="2"/>
    </row>
    <row r="19" spans="1:18">
      <c r="A19" s="2" t="s">
        <v>105</v>
      </c>
      <c r="B19" s="2" t="s">
        <v>106</v>
      </c>
      <c r="C19" s="2" t="s">
        <v>102</v>
      </c>
      <c r="D19" s="2">
        <v>94355337998.71001</v>
      </c>
      <c r="E19" s="2">
        <v>1</v>
      </c>
      <c r="F19" s="3">
        <f>IF(COUNT(D19,E19)=2,D19*E19,NA())</f>
        <v>94355337998.71</v>
      </c>
      <c r="G19" s="2" t="s">
        <v>47</v>
      </c>
      <c r="H19" s="2" t="s">
        <v>48</v>
      </c>
      <c r="I19" s="2" t="s">
        <v>94</v>
      </c>
      <c r="J19" s="2" t="s">
        <v>50</v>
      </c>
      <c r="K19" s="2"/>
      <c r="L19" s="2" t="s">
        <v>68</v>
      </c>
      <c r="M19" s="2" t="s">
        <v>62</v>
      </c>
      <c r="N19" s="2" t="s">
        <v>54</v>
      </c>
      <c r="O19" s="2" t="s">
        <v>11</v>
      </c>
      <c r="P19" s="2" t="s">
        <v>55</v>
      </c>
      <c r="Q19" s="2" t="s">
        <v>63</v>
      </c>
      <c r="R19" s="2"/>
    </row>
    <row r="20" spans="1:18">
      <c r="A20" s="2" t="s">
        <v>107</v>
      </c>
      <c r="B20" s="2" t="s">
        <v>108</v>
      </c>
      <c r="C20" s="2" t="s">
        <v>109</v>
      </c>
      <c r="D20" s="2">
        <v>48614556525.09</v>
      </c>
      <c r="E20" s="2">
        <v>1</v>
      </c>
      <c r="F20" s="3">
        <f>IF(COUNT(D20,E20)=2,D20*E20,NA())</f>
        <v>48614556525.09</v>
      </c>
      <c r="G20" s="2" t="s">
        <v>47</v>
      </c>
      <c r="H20" s="2" t="s">
        <v>48</v>
      </c>
      <c r="I20" s="2" t="s">
        <v>94</v>
      </c>
      <c r="J20" s="2" t="s">
        <v>50</v>
      </c>
      <c r="K20" s="2" t="s">
        <v>76</v>
      </c>
      <c r="L20" s="2" t="s">
        <v>77</v>
      </c>
      <c r="M20" s="2" t="s">
        <v>53</v>
      </c>
      <c r="N20" s="2" t="s">
        <v>54</v>
      </c>
      <c r="O20" s="2" t="s">
        <v>11</v>
      </c>
      <c r="P20" s="2" t="s">
        <v>55</v>
      </c>
      <c r="Q20" s="2" t="s">
        <v>56</v>
      </c>
      <c r="R20" s="2"/>
    </row>
    <row r="21" spans="1:18">
      <c r="A21" s="2" t="s">
        <v>110</v>
      </c>
      <c r="B21" s="2" t="s">
        <v>111</v>
      </c>
      <c r="C21" s="2" t="s">
        <v>109</v>
      </c>
      <c r="D21" s="2">
        <v>40149208233.59</v>
      </c>
      <c r="E21" s="2">
        <v>1</v>
      </c>
      <c r="F21" s="3">
        <f>IF(COUNT(D21,E21)=2,D21*E21,NA())</f>
        <v>40149208233.59</v>
      </c>
      <c r="G21" s="2" t="s">
        <v>47</v>
      </c>
      <c r="H21" s="2" t="s">
        <v>48</v>
      </c>
      <c r="I21" s="2" t="s">
        <v>94</v>
      </c>
      <c r="J21" s="2" t="s">
        <v>50</v>
      </c>
      <c r="K21" s="2" t="s">
        <v>76</v>
      </c>
      <c r="L21" s="2" t="s">
        <v>77</v>
      </c>
      <c r="M21" s="2" t="s">
        <v>53</v>
      </c>
      <c r="N21" s="2" t="s">
        <v>54</v>
      </c>
      <c r="O21" s="2" t="s">
        <v>11</v>
      </c>
      <c r="P21" s="2" t="s">
        <v>55</v>
      </c>
      <c r="Q21" s="2" t="s">
        <v>59</v>
      </c>
      <c r="R21" s="2"/>
    </row>
    <row r="22" spans="1:18">
      <c r="A22" s="2" t="s">
        <v>112</v>
      </c>
      <c r="B22" s="2" t="s">
        <v>113</v>
      </c>
      <c r="C22" s="2" t="s">
        <v>109</v>
      </c>
      <c r="D22" s="2">
        <v>100890624125.27</v>
      </c>
      <c r="E22" s="2">
        <v>1</v>
      </c>
      <c r="F22" s="3">
        <f>IF(COUNT(D22,E22)=2,D22*E22,NA())</f>
        <v>100890624125.27</v>
      </c>
      <c r="G22" s="2" t="s">
        <v>47</v>
      </c>
      <c r="H22" s="2" t="s">
        <v>48</v>
      </c>
      <c r="I22" s="2" t="s">
        <v>94</v>
      </c>
      <c r="J22" s="2" t="s">
        <v>50</v>
      </c>
      <c r="K22" s="2"/>
      <c r="L22" s="2" t="s">
        <v>77</v>
      </c>
      <c r="M22" s="2" t="s">
        <v>62</v>
      </c>
      <c r="N22" s="2" t="s">
        <v>54</v>
      </c>
      <c r="O22" s="2" t="s">
        <v>11</v>
      </c>
      <c r="P22" s="2" t="s">
        <v>55</v>
      </c>
      <c r="Q22" s="2" t="s">
        <v>63</v>
      </c>
      <c r="R22" s="2"/>
    </row>
    <row r="23" spans="1:18">
      <c r="A23" s="2" t="s">
        <v>114</v>
      </c>
      <c r="B23" s="2" t="s">
        <v>115</v>
      </c>
      <c r="C23" s="2" t="s">
        <v>116</v>
      </c>
      <c r="D23" s="2">
        <v>61469630776.09</v>
      </c>
      <c r="E23" s="2">
        <v>1</v>
      </c>
      <c r="F23" s="3">
        <f>IF(COUNT(D23,E23)=2,D23*E23,NA())</f>
        <v>61469630776.09</v>
      </c>
      <c r="G23" s="2" t="s">
        <v>47</v>
      </c>
      <c r="H23" s="2" t="s">
        <v>48</v>
      </c>
      <c r="I23" s="2" t="s">
        <v>94</v>
      </c>
      <c r="J23" s="2" t="s">
        <v>50</v>
      </c>
      <c r="K23" s="2" t="s">
        <v>85</v>
      </c>
      <c r="L23" s="2" t="s">
        <v>86</v>
      </c>
      <c r="M23" s="2" t="s">
        <v>53</v>
      </c>
      <c r="N23" s="2" t="s">
        <v>54</v>
      </c>
      <c r="O23" s="2" t="s">
        <v>11</v>
      </c>
      <c r="P23" s="2" t="s">
        <v>55</v>
      </c>
      <c r="Q23" s="2" t="s">
        <v>56</v>
      </c>
      <c r="R23" s="2"/>
    </row>
    <row r="24" spans="1:18">
      <c r="A24" s="2" t="s">
        <v>117</v>
      </c>
      <c r="B24" s="2" t="s">
        <v>118</v>
      </c>
      <c r="C24" s="2" t="s">
        <v>116</v>
      </c>
      <c r="D24" s="2">
        <v>51528491525.28</v>
      </c>
      <c r="E24" s="2">
        <v>1</v>
      </c>
      <c r="F24" s="3">
        <f>IF(COUNT(D24,E24)=2,D24*E24,NA())</f>
        <v>51528491525.28</v>
      </c>
      <c r="G24" s="2" t="s">
        <v>47</v>
      </c>
      <c r="H24" s="2" t="s">
        <v>48</v>
      </c>
      <c r="I24" s="2" t="s">
        <v>94</v>
      </c>
      <c r="J24" s="2" t="s">
        <v>50</v>
      </c>
      <c r="K24" s="2" t="s">
        <v>85</v>
      </c>
      <c r="L24" s="2" t="s">
        <v>86</v>
      </c>
      <c r="M24" s="2" t="s">
        <v>53</v>
      </c>
      <c r="N24" s="2" t="s">
        <v>54</v>
      </c>
      <c r="O24" s="2" t="s">
        <v>11</v>
      </c>
      <c r="P24" s="2" t="s">
        <v>55</v>
      </c>
      <c r="Q24" s="2" t="s">
        <v>59</v>
      </c>
      <c r="R24" s="2"/>
    </row>
    <row r="25" spans="1:18">
      <c r="A25" s="2" t="s">
        <v>119</v>
      </c>
      <c r="B25" s="2" t="s">
        <v>120</v>
      </c>
      <c r="C25" s="2" t="s">
        <v>116</v>
      </c>
      <c r="D25" s="2">
        <v>125542296569.58</v>
      </c>
      <c r="E25" s="2">
        <v>1</v>
      </c>
      <c r="F25" s="3">
        <f>IF(COUNT(D25,E25)=2,D25*E25,NA())</f>
        <v>125542296569.58</v>
      </c>
      <c r="G25" s="2" t="s">
        <v>47</v>
      </c>
      <c r="H25" s="2" t="s">
        <v>48</v>
      </c>
      <c r="I25" s="2" t="s">
        <v>94</v>
      </c>
      <c r="J25" s="2" t="s">
        <v>50</v>
      </c>
      <c r="K25" s="2"/>
      <c r="L25" s="2" t="s">
        <v>86</v>
      </c>
      <c r="M25" s="2" t="s">
        <v>62</v>
      </c>
      <c r="N25" s="2" t="s">
        <v>54</v>
      </c>
      <c r="O25" s="2" t="s">
        <v>11</v>
      </c>
      <c r="P25" s="2" t="s">
        <v>55</v>
      </c>
      <c r="Q25" s="2" t="s">
        <v>63</v>
      </c>
      <c r="R25" s="2"/>
    </row>
    <row r="26" spans="1:18">
      <c r="A26" s="2" t="s">
        <v>121</v>
      </c>
      <c r="B26" s="2" t="s">
        <v>122</v>
      </c>
      <c r="C26" s="2" t="s">
        <v>123</v>
      </c>
      <c r="D26" s="2">
        <v>52162269313.89</v>
      </c>
      <c r="E26" s="2">
        <v>1</v>
      </c>
      <c r="F26" s="3">
        <f>IF(COUNT(D26,E26)=2,D26*E26,NA())</f>
        <v>52162269313.89</v>
      </c>
      <c r="G26" s="2" t="s">
        <v>47</v>
      </c>
      <c r="H26" s="2" t="s">
        <v>48</v>
      </c>
      <c r="I26" s="2" t="s">
        <v>124</v>
      </c>
      <c r="J26" s="2" t="s">
        <v>50</v>
      </c>
      <c r="K26" s="2" t="s">
        <v>51</v>
      </c>
      <c r="L26" s="2" t="s">
        <v>52</v>
      </c>
      <c r="M26" s="2" t="s">
        <v>53</v>
      </c>
      <c r="N26" s="2" t="s">
        <v>54</v>
      </c>
      <c r="O26" s="2" t="s">
        <v>11</v>
      </c>
      <c r="P26" s="2" t="s">
        <v>55</v>
      </c>
      <c r="Q26" s="2" t="s">
        <v>56</v>
      </c>
      <c r="R26" s="2"/>
    </row>
    <row r="27" spans="1:18">
      <c r="A27" s="2" t="s">
        <v>125</v>
      </c>
      <c r="B27" s="2" t="s">
        <v>126</v>
      </c>
      <c r="C27" s="2" t="s">
        <v>123</v>
      </c>
      <c r="D27" s="2">
        <v>44942949296.33</v>
      </c>
      <c r="E27" s="2">
        <v>1</v>
      </c>
      <c r="F27" s="3">
        <f>IF(COUNT(D27,E27)=2,D27*E27,NA())</f>
        <v>44942949296.33</v>
      </c>
      <c r="G27" s="2" t="s">
        <v>47</v>
      </c>
      <c r="H27" s="2" t="s">
        <v>48</v>
      </c>
      <c r="I27" s="2" t="s">
        <v>124</v>
      </c>
      <c r="J27" s="2" t="s">
        <v>50</v>
      </c>
      <c r="K27" s="2" t="s">
        <v>51</v>
      </c>
      <c r="L27" s="2" t="s">
        <v>52</v>
      </c>
      <c r="M27" s="2" t="s">
        <v>53</v>
      </c>
      <c r="N27" s="2" t="s">
        <v>54</v>
      </c>
      <c r="O27" s="2" t="s">
        <v>11</v>
      </c>
      <c r="P27" s="2" t="s">
        <v>55</v>
      </c>
      <c r="Q27" s="2" t="s">
        <v>59</v>
      </c>
      <c r="R27" s="2"/>
    </row>
    <row r="28" spans="1:18">
      <c r="A28" s="2" t="s">
        <v>127</v>
      </c>
      <c r="B28" s="2" t="s">
        <v>128</v>
      </c>
      <c r="C28" s="2" t="s">
        <v>123</v>
      </c>
      <c r="D28" s="2">
        <v>74494462459.10001</v>
      </c>
      <c r="E28" s="2">
        <v>1</v>
      </c>
      <c r="F28" s="3">
        <f>IF(COUNT(D28,E28)=2,D28*E28,NA())</f>
        <v>74494462459.1</v>
      </c>
      <c r="G28" s="2" t="s">
        <v>47</v>
      </c>
      <c r="H28" s="2" t="s">
        <v>48</v>
      </c>
      <c r="I28" s="2" t="s">
        <v>124</v>
      </c>
      <c r="J28" s="2" t="s">
        <v>50</v>
      </c>
      <c r="K28" s="2"/>
      <c r="L28" s="2" t="s">
        <v>52</v>
      </c>
      <c r="M28" s="2" t="s">
        <v>62</v>
      </c>
      <c r="N28" s="2" t="s">
        <v>54</v>
      </c>
      <c r="O28" s="2" t="s">
        <v>11</v>
      </c>
      <c r="P28" s="2" t="s">
        <v>55</v>
      </c>
      <c r="Q28" s="2" t="s">
        <v>63</v>
      </c>
      <c r="R28" s="2"/>
    </row>
    <row r="29" spans="1:18">
      <c r="A29" s="2" t="s">
        <v>129</v>
      </c>
      <c r="B29" s="2" t="s">
        <v>130</v>
      </c>
      <c r="C29" s="2" t="s">
        <v>131</v>
      </c>
      <c r="D29" s="2">
        <v>47862226994.24</v>
      </c>
      <c r="E29" s="2">
        <v>1</v>
      </c>
      <c r="F29" s="3">
        <f>IF(COUNT(D29,E29)=2,D29*E29,NA())</f>
        <v>47862226994.24</v>
      </c>
      <c r="G29" s="2" t="s">
        <v>47</v>
      </c>
      <c r="H29" s="2" t="s">
        <v>48</v>
      </c>
      <c r="I29" s="2" t="s">
        <v>124</v>
      </c>
      <c r="J29" s="2" t="s">
        <v>50</v>
      </c>
      <c r="K29" s="2" t="s">
        <v>67</v>
      </c>
      <c r="L29" s="2" t="s">
        <v>68</v>
      </c>
      <c r="M29" s="2" t="s">
        <v>53</v>
      </c>
      <c r="N29" s="2" t="s">
        <v>54</v>
      </c>
      <c r="O29" s="2" t="s">
        <v>11</v>
      </c>
      <c r="P29" s="2" t="s">
        <v>55</v>
      </c>
      <c r="Q29" s="2" t="s">
        <v>56</v>
      </c>
      <c r="R29" s="2"/>
    </row>
    <row r="30" spans="1:18">
      <c r="A30" s="2" t="s">
        <v>132</v>
      </c>
      <c r="B30" s="2" t="s">
        <v>133</v>
      </c>
      <c r="C30" s="2" t="s">
        <v>131</v>
      </c>
      <c r="D30" s="2">
        <v>40876301967.08</v>
      </c>
      <c r="E30" s="2">
        <v>1</v>
      </c>
      <c r="F30" s="3">
        <f>IF(COUNT(D30,E30)=2,D30*E30,NA())</f>
        <v>40876301967.08</v>
      </c>
      <c r="G30" s="2" t="s">
        <v>47</v>
      </c>
      <c r="H30" s="2" t="s">
        <v>48</v>
      </c>
      <c r="I30" s="2" t="s">
        <v>124</v>
      </c>
      <c r="J30" s="2" t="s">
        <v>50</v>
      </c>
      <c r="K30" s="2" t="s">
        <v>67</v>
      </c>
      <c r="L30" s="2" t="s">
        <v>68</v>
      </c>
      <c r="M30" s="2" t="s">
        <v>53</v>
      </c>
      <c r="N30" s="2" t="s">
        <v>54</v>
      </c>
      <c r="O30" s="2" t="s">
        <v>11</v>
      </c>
      <c r="P30" s="2" t="s">
        <v>55</v>
      </c>
      <c r="Q30" s="2" t="s">
        <v>59</v>
      </c>
      <c r="R30" s="2"/>
    </row>
    <row r="31" spans="1:18">
      <c r="A31" s="2" t="s">
        <v>134</v>
      </c>
      <c r="B31" s="2" t="s">
        <v>135</v>
      </c>
      <c r="C31" s="2" t="s">
        <v>131</v>
      </c>
      <c r="D31" s="2">
        <v>79261259472.63</v>
      </c>
      <c r="E31" s="2">
        <v>1</v>
      </c>
      <c r="F31" s="3">
        <f>IF(COUNT(D31,E31)=2,D31*E31,NA())</f>
        <v>79261259472.63</v>
      </c>
      <c r="G31" s="2" t="s">
        <v>47</v>
      </c>
      <c r="H31" s="2" t="s">
        <v>48</v>
      </c>
      <c r="I31" s="2" t="s">
        <v>124</v>
      </c>
      <c r="J31" s="2" t="s">
        <v>50</v>
      </c>
      <c r="K31" s="2"/>
      <c r="L31" s="2" t="s">
        <v>68</v>
      </c>
      <c r="M31" s="2" t="s">
        <v>62</v>
      </c>
      <c r="N31" s="2" t="s">
        <v>54</v>
      </c>
      <c r="O31" s="2" t="s">
        <v>11</v>
      </c>
      <c r="P31" s="2" t="s">
        <v>55</v>
      </c>
      <c r="Q31" s="2" t="s">
        <v>63</v>
      </c>
      <c r="R31" s="2"/>
    </row>
    <row r="32" spans="1:18">
      <c r="A32" s="2" t="s">
        <v>136</v>
      </c>
      <c r="B32" s="2" t="s">
        <v>137</v>
      </c>
      <c r="C32" s="2" t="s">
        <v>138</v>
      </c>
      <c r="D32" s="2">
        <v>56020634117.81</v>
      </c>
      <c r="E32" s="2">
        <v>1</v>
      </c>
      <c r="F32" s="3">
        <f>IF(COUNT(D32,E32)=2,D32*E32,NA())</f>
        <v>56020634117.81</v>
      </c>
      <c r="G32" s="2" t="s">
        <v>47</v>
      </c>
      <c r="H32" s="2" t="s">
        <v>48</v>
      </c>
      <c r="I32" s="2" t="s">
        <v>124</v>
      </c>
      <c r="J32" s="2" t="s">
        <v>50</v>
      </c>
      <c r="K32" s="2" t="s">
        <v>76</v>
      </c>
      <c r="L32" s="2" t="s">
        <v>77</v>
      </c>
      <c r="M32" s="2" t="s">
        <v>53</v>
      </c>
      <c r="N32" s="2" t="s">
        <v>54</v>
      </c>
      <c r="O32" s="2" t="s">
        <v>11</v>
      </c>
      <c r="P32" s="2" t="s">
        <v>55</v>
      </c>
      <c r="Q32" s="2" t="s">
        <v>56</v>
      </c>
      <c r="R32" s="2"/>
    </row>
    <row r="33" spans="1:18">
      <c r="A33" s="2" t="s">
        <v>139</v>
      </c>
      <c r="B33" s="2" t="s">
        <v>140</v>
      </c>
      <c r="C33" s="2" t="s">
        <v>138</v>
      </c>
      <c r="D33" s="2">
        <v>47518996934.9</v>
      </c>
      <c r="E33" s="2">
        <v>1</v>
      </c>
      <c r="F33" s="3">
        <f>IF(COUNT(D33,E33)=2,D33*E33,NA())</f>
        <v>47518996934.9</v>
      </c>
      <c r="G33" s="2" t="s">
        <v>47</v>
      </c>
      <c r="H33" s="2" t="s">
        <v>48</v>
      </c>
      <c r="I33" s="2" t="s">
        <v>124</v>
      </c>
      <c r="J33" s="2" t="s">
        <v>50</v>
      </c>
      <c r="K33" s="2" t="s">
        <v>76</v>
      </c>
      <c r="L33" s="2" t="s">
        <v>77</v>
      </c>
      <c r="M33" s="2" t="s">
        <v>53</v>
      </c>
      <c r="N33" s="2" t="s">
        <v>54</v>
      </c>
      <c r="O33" s="2" t="s">
        <v>11</v>
      </c>
      <c r="P33" s="2" t="s">
        <v>55</v>
      </c>
      <c r="Q33" s="2" t="s">
        <v>59</v>
      </c>
      <c r="R33" s="2"/>
    </row>
    <row r="34" spans="1:18">
      <c r="A34" s="2" t="s">
        <v>141</v>
      </c>
      <c r="B34" s="2" t="s">
        <v>142</v>
      </c>
      <c r="C34" s="2" t="s">
        <v>138</v>
      </c>
      <c r="D34" s="2">
        <v>87322726522.33</v>
      </c>
      <c r="E34" s="2">
        <v>1</v>
      </c>
      <c r="F34" s="3">
        <f>IF(COUNT(D34,E34)=2,D34*E34,NA())</f>
        <v>87322726522.33</v>
      </c>
      <c r="G34" s="2" t="s">
        <v>47</v>
      </c>
      <c r="H34" s="2" t="s">
        <v>48</v>
      </c>
      <c r="I34" s="2" t="s">
        <v>124</v>
      </c>
      <c r="J34" s="2" t="s">
        <v>50</v>
      </c>
      <c r="K34" s="2"/>
      <c r="L34" s="2" t="s">
        <v>77</v>
      </c>
      <c r="M34" s="2" t="s">
        <v>62</v>
      </c>
      <c r="N34" s="2" t="s">
        <v>54</v>
      </c>
      <c r="O34" s="2" t="s">
        <v>11</v>
      </c>
      <c r="P34" s="2" t="s">
        <v>55</v>
      </c>
      <c r="Q34" s="2" t="s">
        <v>63</v>
      </c>
      <c r="R34" s="2"/>
    </row>
    <row r="35" spans="1:18">
      <c r="A35" s="2" t="s">
        <v>143</v>
      </c>
      <c r="B35" s="2" t="s">
        <v>144</v>
      </c>
      <c r="C35" s="2" t="s">
        <v>145</v>
      </c>
      <c r="D35" s="2">
        <v>63246252072.73</v>
      </c>
      <c r="E35" s="2">
        <v>1</v>
      </c>
      <c r="F35" s="3">
        <f>IF(COUNT(D35,E35)=2,D35*E35,NA())</f>
        <v>63246252072.73</v>
      </c>
      <c r="G35" s="2" t="s">
        <v>47</v>
      </c>
      <c r="H35" s="2" t="s">
        <v>48</v>
      </c>
      <c r="I35" s="2" t="s">
        <v>124</v>
      </c>
      <c r="J35" s="2" t="s">
        <v>50</v>
      </c>
      <c r="K35" s="2" t="s">
        <v>85</v>
      </c>
      <c r="L35" s="2" t="s">
        <v>86</v>
      </c>
      <c r="M35" s="2" t="s">
        <v>53</v>
      </c>
      <c r="N35" s="2" t="s">
        <v>54</v>
      </c>
      <c r="O35" s="2" t="s">
        <v>11</v>
      </c>
      <c r="P35" s="2" t="s">
        <v>55</v>
      </c>
      <c r="Q35" s="2" t="s">
        <v>56</v>
      </c>
      <c r="R35" s="2"/>
    </row>
    <row r="36" spans="1:18">
      <c r="A36" s="2" t="s">
        <v>146</v>
      </c>
      <c r="B36" s="2" t="s">
        <v>147</v>
      </c>
      <c r="C36" s="2" t="s">
        <v>145</v>
      </c>
      <c r="D36" s="2">
        <v>54429259848.68</v>
      </c>
      <c r="E36" s="2">
        <v>1</v>
      </c>
      <c r="F36" s="3">
        <f>IF(COUNT(D36,E36)=2,D36*E36,NA())</f>
        <v>54429259848.68</v>
      </c>
      <c r="G36" s="2" t="s">
        <v>47</v>
      </c>
      <c r="H36" s="2" t="s">
        <v>48</v>
      </c>
      <c r="I36" s="2" t="s">
        <v>124</v>
      </c>
      <c r="J36" s="2" t="s">
        <v>50</v>
      </c>
      <c r="K36" s="2" t="s">
        <v>85</v>
      </c>
      <c r="L36" s="2" t="s">
        <v>86</v>
      </c>
      <c r="M36" s="2" t="s">
        <v>53</v>
      </c>
      <c r="N36" s="2" t="s">
        <v>54</v>
      </c>
      <c r="O36" s="2" t="s">
        <v>11</v>
      </c>
      <c r="P36" s="2" t="s">
        <v>55</v>
      </c>
      <c r="Q36" s="2" t="s">
        <v>59</v>
      </c>
      <c r="R36" s="2"/>
    </row>
    <row r="37" spans="1:18">
      <c r="A37" s="2" t="s">
        <v>148</v>
      </c>
      <c r="B37" s="2" t="s">
        <v>149</v>
      </c>
      <c r="C37" s="2" t="s">
        <v>145</v>
      </c>
      <c r="D37" s="2">
        <v>108072225016.49</v>
      </c>
      <c r="E37" s="2">
        <v>1</v>
      </c>
      <c r="F37" s="3">
        <f>IF(COUNT(D37,E37)=2,D37*E37,NA())</f>
        <v>108072225016.49</v>
      </c>
      <c r="G37" s="2" t="s">
        <v>47</v>
      </c>
      <c r="H37" s="2" t="s">
        <v>48</v>
      </c>
      <c r="I37" s="2" t="s">
        <v>124</v>
      </c>
      <c r="J37" s="2" t="s">
        <v>50</v>
      </c>
      <c r="K37" s="2"/>
      <c r="L37" s="2" t="s">
        <v>86</v>
      </c>
      <c r="M37" s="2" t="s">
        <v>62</v>
      </c>
      <c r="N37" s="2" t="s">
        <v>54</v>
      </c>
      <c r="O37" s="2" t="s">
        <v>11</v>
      </c>
      <c r="P37" s="2" t="s">
        <v>55</v>
      </c>
      <c r="Q37" s="2" t="s">
        <v>63</v>
      </c>
      <c r="R37" s="2"/>
    </row>
    <row r="38" spans="1:18">
      <c r="A38" s="2" t="s">
        <v>150</v>
      </c>
      <c r="B38" s="2" t="s">
        <v>151</v>
      </c>
      <c r="C38" s="2" t="s">
        <v>152</v>
      </c>
      <c r="D38" s="2">
        <v>32859398.75</v>
      </c>
      <c r="E38" s="2">
        <v>10000</v>
      </c>
      <c r="F38" s="3">
        <f>IF(COUNT(D38,E38)=2,D38*E38,NA())</f>
        <v>328593987500.0</v>
      </c>
      <c r="G38" s="2" t="s">
        <v>47</v>
      </c>
      <c r="H38" s="2" t="s">
        <v>48</v>
      </c>
      <c r="I38" s="2" t="s">
        <v>153</v>
      </c>
      <c r="J38" s="2" t="s">
        <v>50</v>
      </c>
      <c r="K38" s="2" t="s">
        <v>51</v>
      </c>
      <c r="L38" s="2" t="s">
        <v>52</v>
      </c>
      <c r="M38" s="2" t="s">
        <v>53</v>
      </c>
      <c r="N38" s="2" t="s">
        <v>54</v>
      </c>
      <c r="O38" s="2" t="s">
        <v>11</v>
      </c>
      <c r="P38" s="2" t="s">
        <v>55</v>
      </c>
      <c r="Q38" s="2" t="s">
        <v>56</v>
      </c>
      <c r="R38" s="2"/>
    </row>
    <row r="39" spans="1:18">
      <c r="A39" s="2" t="s">
        <v>154</v>
      </c>
      <c r="B39" s="2" t="s">
        <v>155</v>
      </c>
      <c r="C39" s="2" t="s">
        <v>152</v>
      </c>
      <c r="D39" s="2">
        <v>26204960.92</v>
      </c>
      <c r="E39" s="2">
        <v>10000</v>
      </c>
      <c r="F39" s="3">
        <f>IF(COUNT(D39,E39)=2,D39*E39,NA())</f>
        <v>262049609200.0</v>
      </c>
      <c r="G39" s="2" t="s">
        <v>47</v>
      </c>
      <c r="H39" s="2" t="s">
        <v>48</v>
      </c>
      <c r="I39" s="2" t="s">
        <v>153</v>
      </c>
      <c r="J39" s="2" t="s">
        <v>50</v>
      </c>
      <c r="K39" s="2" t="s">
        <v>51</v>
      </c>
      <c r="L39" s="2" t="s">
        <v>52</v>
      </c>
      <c r="M39" s="2" t="s">
        <v>53</v>
      </c>
      <c r="N39" s="2" t="s">
        <v>54</v>
      </c>
      <c r="O39" s="2" t="s">
        <v>11</v>
      </c>
      <c r="P39" s="2" t="s">
        <v>55</v>
      </c>
      <c r="Q39" s="2" t="s">
        <v>59</v>
      </c>
      <c r="R39" s="2"/>
    </row>
    <row r="40" spans="1:18">
      <c r="A40" s="2" t="s">
        <v>156</v>
      </c>
      <c r="B40" s="2" t="s">
        <v>157</v>
      </c>
      <c r="C40" s="2" t="s">
        <v>152</v>
      </c>
      <c r="D40" s="2">
        <v>60095235.19</v>
      </c>
      <c r="E40" s="2">
        <v>10000</v>
      </c>
      <c r="F40" s="3">
        <f>IF(COUNT(D40,E40)=2,D40*E40,NA())</f>
        <v>600952351900.0</v>
      </c>
      <c r="G40" s="2" t="s">
        <v>47</v>
      </c>
      <c r="H40" s="2" t="s">
        <v>48</v>
      </c>
      <c r="I40" s="2" t="s">
        <v>153</v>
      </c>
      <c r="J40" s="2" t="s">
        <v>50</v>
      </c>
      <c r="K40" s="2"/>
      <c r="L40" s="2" t="s">
        <v>52</v>
      </c>
      <c r="M40" s="2" t="s">
        <v>62</v>
      </c>
      <c r="N40" s="2" t="s">
        <v>54</v>
      </c>
      <c r="O40" s="2" t="s">
        <v>11</v>
      </c>
      <c r="P40" s="2" t="s">
        <v>55</v>
      </c>
      <c r="Q40" s="2" t="s">
        <v>63</v>
      </c>
      <c r="R40" s="2"/>
    </row>
    <row r="41" spans="1:18">
      <c r="A41" s="2" t="s">
        <v>158</v>
      </c>
      <c r="B41" s="2" t="s">
        <v>159</v>
      </c>
      <c r="C41" s="2" t="s">
        <v>160</v>
      </c>
      <c r="D41" s="2">
        <v>40091704.49</v>
      </c>
      <c r="E41" s="2">
        <v>10000</v>
      </c>
      <c r="F41" s="3">
        <f>IF(COUNT(D41,E41)=2,D41*E41,NA())</f>
        <v>400917044900.0</v>
      </c>
      <c r="G41" s="2" t="s">
        <v>47</v>
      </c>
      <c r="H41" s="2" t="s">
        <v>48</v>
      </c>
      <c r="I41" s="2" t="s">
        <v>153</v>
      </c>
      <c r="J41" s="2" t="s">
        <v>50</v>
      </c>
      <c r="K41" s="2" t="s">
        <v>67</v>
      </c>
      <c r="L41" s="2" t="s">
        <v>68</v>
      </c>
      <c r="M41" s="2" t="s">
        <v>53</v>
      </c>
      <c r="N41" s="2" t="s">
        <v>54</v>
      </c>
      <c r="O41" s="2" t="s">
        <v>11</v>
      </c>
      <c r="P41" s="2" t="s">
        <v>55</v>
      </c>
      <c r="Q41" s="2" t="s">
        <v>56</v>
      </c>
      <c r="R41" s="2"/>
    </row>
    <row r="42" spans="1:18">
      <c r="A42" s="2" t="s">
        <v>161</v>
      </c>
      <c r="B42" s="2" t="s">
        <v>162</v>
      </c>
      <c r="C42" s="2" t="s">
        <v>160</v>
      </c>
      <c r="D42" s="2">
        <v>30907043.4</v>
      </c>
      <c r="E42" s="2">
        <v>10000</v>
      </c>
      <c r="F42" s="3">
        <f>IF(COUNT(D42,E42)=2,D42*E42,NA())</f>
        <v>309070434000.0</v>
      </c>
      <c r="G42" s="2" t="s">
        <v>47</v>
      </c>
      <c r="H42" s="2" t="s">
        <v>48</v>
      </c>
      <c r="I42" s="2" t="s">
        <v>153</v>
      </c>
      <c r="J42" s="2" t="s">
        <v>50</v>
      </c>
      <c r="K42" s="2" t="s">
        <v>67</v>
      </c>
      <c r="L42" s="2" t="s">
        <v>68</v>
      </c>
      <c r="M42" s="2" t="s">
        <v>53</v>
      </c>
      <c r="N42" s="2" t="s">
        <v>54</v>
      </c>
      <c r="O42" s="2" t="s">
        <v>11</v>
      </c>
      <c r="P42" s="2" t="s">
        <v>55</v>
      </c>
      <c r="Q42" s="2" t="s">
        <v>59</v>
      </c>
      <c r="R42" s="2"/>
    </row>
    <row r="43" spans="1:18">
      <c r="A43" s="2" t="s">
        <v>163</v>
      </c>
      <c r="B43" s="2" t="s">
        <v>164</v>
      </c>
      <c r="C43" s="2" t="s">
        <v>160</v>
      </c>
      <c r="D43" s="2">
        <v>71716804.11</v>
      </c>
      <c r="E43" s="2">
        <v>10000</v>
      </c>
      <c r="F43" s="3">
        <f>IF(COUNT(D43,E43)=2,D43*E43,NA())</f>
        <v>717168041100.0</v>
      </c>
      <c r="G43" s="2" t="s">
        <v>47</v>
      </c>
      <c r="H43" s="2" t="s">
        <v>48</v>
      </c>
      <c r="I43" s="2" t="s">
        <v>153</v>
      </c>
      <c r="J43" s="2" t="s">
        <v>50</v>
      </c>
      <c r="K43" s="2"/>
      <c r="L43" s="2" t="s">
        <v>68</v>
      </c>
      <c r="M43" s="2" t="s">
        <v>62</v>
      </c>
      <c r="N43" s="2" t="s">
        <v>54</v>
      </c>
      <c r="O43" s="2" t="s">
        <v>11</v>
      </c>
      <c r="P43" s="2" t="s">
        <v>55</v>
      </c>
      <c r="Q43" s="2" t="s">
        <v>63</v>
      </c>
      <c r="R43" s="2"/>
    </row>
    <row r="44" spans="1:18">
      <c r="A44" s="2" t="s">
        <v>165</v>
      </c>
      <c r="B44" s="2" t="s">
        <v>166</v>
      </c>
      <c r="C44" s="2" t="s">
        <v>167</v>
      </c>
      <c r="D44" s="2">
        <v>362012554</v>
      </c>
      <c r="E44" s="2">
        <v>1000</v>
      </c>
      <c r="F44" s="3">
        <f>IF(COUNT(D44,E44)=2,D44*E44,NA())</f>
        <v>362012554000.0</v>
      </c>
      <c r="G44" s="2" t="s">
        <v>47</v>
      </c>
      <c r="H44" s="2" t="s">
        <v>48</v>
      </c>
      <c r="I44" s="2" t="s">
        <v>153</v>
      </c>
      <c r="J44" s="2" t="s">
        <v>50</v>
      </c>
      <c r="K44" s="2" t="s">
        <v>76</v>
      </c>
      <c r="L44" s="2" t="s">
        <v>77</v>
      </c>
      <c r="M44" s="2" t="s">
        <v>53</v>
      </c>
      <c r="N44" s="2" t="s">
        <v>54</v>
      </c>
      <c r="O44" s="2" t="s">
        <v>11</v>
      </c>
      <c r="P44" s="2" t="s">
        <v>55</v>
      </c>
      <c r="Q44" s="2" t="s">
        <v>56</v>
      </c>
      <c r="R44" s="2"/>
    </row>
    <row r="45" spans="1:18">
      <c r="A45" s="2" t="s">
        <v>168</v>
      </c>
      <c r="B45" s="2" t="s">
        <v>169</v>
      </c>
      <c r="C45" s="2" t="s">
        <v>167</v>
      </c>
      <c r="D45" s="2">
        <v>273518959</v>
      </c>
      <c r="E45" s="2">
        <v>1000</v>
      </c>
      <c r="F45" s="3">
        <f>IF(COUNT(D45,E45)=2,D45*E45,NA())</f>
        <v>273518959000.0</v>
      </c>
      <c r="G45" s="2" t="s">
        <v>47</v>
      </c>
      <c r="H45" s="2" t="s">
        <v>48</v>
      </c>
      <c r="I45" s="2" t="s">
        <v>153</v>
      </c>
      <c r="J45" s="2" t="s">
        <v>50</v>
      </c>
      <c r="K45" s="2" t="s">
        <v>76</v>
      </c>
      <c r="L45" s="2" t="s">
        <v>77</v>
      </c>
      <c r="M45" s="2" t="s">
        <v>53</v>
      </c>
      <c r="N45" s="2" t="s">
        <v>54</v>
      </c>
      <c r="O45" s="2" t="s">
        <v>11</v>
      </c>
      <c r="P45" s="2" t="s">
        <v>55</v>
      </c>
      <c r="Q45" s="2" t="s">
        <v>59</v>
      </c>
      <c r="R45" s="2"/>
    </row>
    <row r="46" spans="1:18">
      <c r="A46" s="2" t="s">
        <v>170</v>
      </c>
      <c r="B46" s="2" t="s">
        <v>171</v>
      </c>
      <c r="C46" s="2" t="s">
        <v>167</v>
      </c>
      <c r="D46" s="2">
        <v>786658123</v>
      </c>
      <c r="E46" s="2">
        <v>1000</v>
      </c>
      <c r="F46" s="3">
        <f>IF(COUNT(D46,E46)=2,D46*E46,NA())</f>
        <v>786658123000.0</v>
      </c>
      <c r="G46" s="2" t="s">
        <v>47</v>
      </c>
      <c r="H46" s="2" t="s">
        <v>48</v>
      </c>
      <c r="I46" s="2" t="s">
        <v>153</v>
      </c>
      <c r="J46" s="2" t="s">
        <v>50</v>
      </c>
      <c r="K46" s="2"/>
      <c r="L46" s="2" t="s">
        <v>77</v>
      </c>
      <c r="M46" s="2" t="s">
        <v>62</v>
      </c>
      <c r="N46" s="2" t="s">
        <v>54</v>
      </c>
      <c r="O46" s="2" t="s">
        <v>11</v>
      </c>
      <c r="P46" s="2" t="s">
        <v>55</v>
      </c>
      <c r="Q46" s="2" t="s">
        <v>63</v>
      </c>
      <c r="R46" s="2"/>
    </row>
    <row r="47" spans="1:18">
      <c r="A47" s="2" t="s">
        <v>172</v>
      </c>
      <c r="B47" s="2" t="s">
        <v>173</v>
      </c>
      <c r="C47" s="2" t="s">
        <v>174</v>
      </c>
      <c r="D47" s="2">
        <v>423701834</v>
      </c>
      <c r="E47" s="2">
        <v>1000</v>
      </c>
      <c r="F47" s="3">
        <f>IF(COUNT(D47,E47)=2,D47*E47,NA())</f>
        <v>423701834000.0</v>
      </c>
      <c r="G47" s="2" t="s">
        <v>47</v>
      </c>
      <c r="H47" s="2" t="s">
        <v>48</v>
      </c>
      <c r="I47" s="2" t="s">
        <v>153</v>
      </c>
      <c r="J47" s="2" t="s">
        <v>50</v>
      </c>
      <c r="K47" s="2" t="s">
        <v>85</v>
      </c>
      <c r="L47" s="2" t="s">
        <v>86</v>
      </c>
      <c r="M47" s="2" t="s">
        <v>53</v>
      </c>
      <c r="N47" s="2" t="s">
        <v>54</v>
      </c>
      <c r="O47" s="2" t="s">
        <v>11</v>
      </c>
      <c r="P47" s="2" t="s">
        <v>55</v>
      </c>
      <c r="Q47" s="2" t="s">
        <v>56</v>
      </c>
      <c r="R47" s="2"/>
    </row>
    <row r="48" spans="1:18">
      <c r="A48" s="2" t="s">
        <v>175</v>
      </c>
      <c r="B48" s="2" t="s">
        <v>176</v>
      </c>
      <c r="C48" s="2" t="s">
        <v>174</v>
      </c>
      <c r="D48" s="2">
        <v>312383297</v>
      </c>
      <c r="E48" s="2">
        <v>1000</v>
      </c>
      <c r="F48" s="3">
        <f>IF(COUNT(D48,E48)=2,D48*E48,NA())</f>
        <v>312383297000.0</v>
      </c>
      <c r="G48" s="2" t="s">
        <v>47</v>
      </c>
      <c r="H48" s="2" t="s">
        <v>48</v>
      </c>
      <c r="I48" s="2" t="s">
        <v>153</v>
      </c>
      <c r="J48" s="2" t="s">
        <v>50</v>
      </c>
      <c r="K48" s="2" t="s">
        <v>85</v>
      </c>
      <c r="L48" s="2" t="s">
        <v>86</v>
      </c>
      <c r="M48" s="2" t="s">
        <v>53</v>
      </c>
      <c r="N48" s="2" t="s">
        <v>54</v>
      </c>
      <c r="O48" s="2" t="s">
        <v>11</v>
      </c>
      <c r="P48" s="2" t="s">
        <v>55</v>
      </c>
      <c r="Q48" s="2" t="s">
        <v>59</v>
      </c>
      <c r="R48" s="2"/>
    </row>
    <row r="49" spans="1:18">
      <c r="A49" s="2" t="s">
        <v>177</v>
      </c>
      <c r="B49" s="2" t="s">
        <v>178</v>
      </c>
      <c r="C49" s="2" t="s">
        <v>174</v>
      </c>
      <c r="D49" s="2">
        <v>974827544</v>
      </c>
      <c r="E49" s="2">
        <v>1000</v>
      </c>
      <c r="F49" s="3">
        <f>IF(COUNT(D49,E49)=2,D49*E49,NA())</f>
        <v>974827544000.0</v>
      </c>
      <c r="G49" s="2" t="s">
        <v>47</v>
      </c>
      <c r="H49" s="2" t="s">
        <v>48</v>
      </c>
      <c r="I49" s="2" t="s">
        <v>153</v>
      </c>
      <c r="J49" s="2" t="s">
        <v>50</v>
      </c>
      <c r="K49" s="2"/>
      <c r="L49" s="2" t="s">
        <v>86</v>
      </c>
      <c r="M49" s="2" t="s">
        <v>62</v>
      </c>
      <c r="N49" s="2" t="s">
        <v>54</v>
      </c>
      <c r="O49" s="2" t="s">
        <v>11</v>
      </c>
      <c r="P49" s="2" t="s">
        <v>55</v>
      </c>
      <c r="Q49" s="2" t="s">
        <v>63</v>
      </c>
      <c r="R49" s="2"/>
    </row>
  </sheetData>
  <autoFilter ref="A1:R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5" width="28.7109375" customWidth="1"/>
  </cols>
  <sheetData>
    <row r="1" spans="1:15" ht="32" customHeight="1">
      <c r="A1" s="1" t="s">
        <v>28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40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32</v>
      </c>
      <c r="L1" s="1" t="s">
        <v>36</v>
      </c>
      <c r="M1" s="1" t="s">
        <v>8</v>
      </c>
      <c r="N1" s="1" t="s">
        <v>37</v>
      </c>
      <c r="O1" s="1" t="s">
        <v>38</v>
      </c>
    </row>
    <row r="2" spans="1:15">
      <c r="A2" s="2" t="s">
        <v>187</v>
      </c>
      <c r="B2" s="2" t="s">
        <v>188</v>
      </c>
      <c r="C2" s="2" t="s">
        <v>267</v>
      </c>
      <c r="D2" s="3">
        <f>(('Facts'!F2-'Facts'!F3))*1</f>
        <v>4102005327.9</v>
      </c>
      <c r="E2" s="3">
        <f>D2/K2</f>
        <v>4102005327.9</v>
      </c>
      <c r="F2" s="2" t="str">
        <f>IF(ISNUMBER(D2),"calculated","not_calculated")</f>
        <v>calculated</v>
      </c>
      <c r="G2" s="2">
        <f>IF(ISNUMBER(D2),"","检查缺失值、分母与输入；口径变更须重跑Python")</f>
        <v/>
      </c>
      <c r="H2" s="2" t="s">
        <v>190</v>
      </c>
      <c r="I2" s="2" t="s">
        <v>191</v>
      </c>
      <c r="J2" s="2" t="s">
        <v>48</v>
      </c>
      <c r="K2" s="2">
        <v>1</v>
      </c>
      <c r="L2" s="2" t="s">
        <v>49</v>
      </c>
      <c r="M2" s="2" t="s">
        <v>50</v>
      </c>
      <c r="N2" s="2" t="s">
        <v>51</v>
      </c>
      <c r="O2" s="2" t="s">
        <v>52</v>
      </c>
    </row>
    <row r="3" spans="1:15">
      <c r="A3" s="2" t="s">
        <v>192</v>
      </c>
      <c r="B3" s="2" t="s">
        <v>193</v>
      </c>
      <c r="C3" s="2" t="s">
        <v>268</v>
      </c>
      <c r="D3" s="3">
        <f>IF('Facts'!F2&lt;=0,NA(),(('Calculations'!D2/'Facts'!F2))*1)</f>
        <v>0.1779480499797553</v>
      </c>
      <c r="E3" s="4">
        <f>D3/K3</f>
        <v>0.1779480499797553</v>
      </c>
      <c r="F3" s="2" t="str">
        <f>IF(ISNUMBER(D3),"calculated","not_calculated")</f>
        <v>calculated</v>
      </c>
      <c r="G3" s="2">
        <f>IF(ISNUMBER(D3),"","检查缺失值、分母与输入；口径变更须重跑Python")</f>
        <v/>
      </c>
      <c r="H3" s="2" t="s">
        <v>194</v>
      </c>
      <c r="I3" s="2" t="s">
        <v>195</v>
      </c>
      <c r="J3" s="2" t="s">
        <v>196</v>
      </c>
      <c r="K3" s="2">
        <v>1</v>
      </c>
      <c r="L3" s="2" t="s">
        <v>49</v>
      </c>
      <c r="M3" s="2" t="s">
        <v>50</v>
      </c>
      <c r="N3" s="2" t="s">
        <v>51</v>
      </c>
      <c r="O3" s="2" t="s">
        <v>52</v>
      </c>
    </row>
    <row r="4" spans="1:15">
      <c r="A4" s="2" t="s">
        <v>197</v>
      </c>
      <c r="B4" s="2" t="s">
        <v>198</v>
      </c>
      <c r="C4" s="2" t="s">
        <v>269</v>
      </c>
      <c r="D4" s="3">
        <f>(('Facts'!F5-'Facts'!F6))*1</f>
        <v>5348278123.61</v>
      </c>
      <c r="E4" s="3">
        <f>D4/K4</f>
        <v>5348278123.61</v>
      </c>
      <c r="F4" s="2" t="str">
        <f>IF(ISNUMBER(D4),"calculated","not_calculated")</f>
        <v>calculated</v>
      </c>
      <c r="G4" s="2">
        <f>IF(ISNUMBER(D4),"","检查缺失值、分母与输入；口径变更须重跑Python")</f>
        <v/>
      </c>
      <c r="H4" s="2" t="s">
        <v>190</v>
      </c>
      <c r="I4" s="2" t="s">
        <v>191</v>
      </c>
      <c r="J4" s="2" t="s">
        <v>48</v>
      </c>
      <c r="K4" s="2">
        <v>1</v>
      </c>
      <c r="L4" s="2" t="s">
        <v>49</v>
      </c>
      <c r="M4" s="2" t="s">
        <v>50</v>
      </c>
      <c r="N4" s="2" t="s">
        <v>67</v>
      </c>
      <c r="O4" s="2" t="s">
        <v>68</v>
      </c>
    </row>
    <row r="5" spans="1:15">
      <c r="A5" s="2" t="s">
        <v>199</v>
      </c>
      <c r="B5" s="2" t="s">
        <v>200</v>
      </c>
      <c r="C5" s="2" t="s">
        <v>270</v>
      </c>
      <c r="D5" s="3">
        <f>IF('Facts'!F5&lt;=0,NA(),(('Calculations'!D4/'Facts'!F5))*1)</f>
        <v>0.1692199083188222</v>
      </c>
      <c r="E5" s="4">
        <f>D5/K5</f>
        <v>0.1692199083188222</v>
      </c>
      <c r="F5" s="2" t="str">
        <f>IF(ISNUMBER(D5),"calculated","not_calculated")</f>
        <v>calculated</v>
      </c>
      <c r="G5" s="2">
        <f>IF(ISNUMBER(D5),"","检查缺失值、分母与输入；口径变更须重跑Python")</f>
        <v/>
      </c>
      <c r="H5" s="2" t="s">
        <v>194</v>
      </c>
      <c r="I5" s="2" t="s">
        <v>195</v>
      </c>
      <c r="J5" s="2" t="s">
        <v>196</v>
      </c>
      <c r="K5" s="2">
        <v>1</v>
      </c>
      <c r="L5" s="2" t="s">
        <v>49</v>
      </c>
      <c r="M5" s="2" t="s">
        <v>50</v>
      </c>
      <c r="N5" s="2" t="s">
        <v>67</v>
      </c>
      <c r="O5" s="2" t="s">
        <v>68</v>
      </c>
    </row>
    <row r="6" spans="1:15">
      <c r="A6" s="2" t="s">
        <v>201</v>
      </c>
      <c r="B6" s="2" t="s">
        <v>202</v>
      </c>
      <c r="C6" s="2" t="s">
        <v>271</v>
      </c>
      <c r="D6" s="3">
        <f>(('Facts'!F8-'Facts'!F9))*1</f>
        <v>6371685742.6</v>
      </c>
      <c r="E6" s="3">
        <f>D6/K6</f>
        <v>6371685742.6</v>
      </c>
      <c r="F6" s="2" t="str">
        <f>IF(ISNUMBER(D6),"calculated","not_calculated")</f>
        <v>calculated</v>
      </c>
      <c r="G6" s="2">
        <f>IF(ISNUMBER(D6),"","检查缺失值、分母与输入；口径变更须重跑Python")</f>
        <v/>
      </c>
      <c r="H6" s="2" t="s">
        <v>190</v>
      </c>
      <c r="I6" s="2" t="s">
        <v>191</v>
      </c>
      <c r="J6" s="2" t="s">
        <v>48</v>
      </c>
      <c r="K6" s="2">
        <v>1</v>
      </c>
      <c r="L6" s="2" t="s">
        <v>49</v>
      </c>
      <c r="M6" s="2" t="s">
        <v>50</v>
      </c>
      <c r="N6" s="2" t="s">
        <v>76</v>
      </c>
      <c r="O6" s="2" t="s">
        <v>77</v>
      </c>
    </row>
    <row r="7" spans="1:15">
      <c r="A7" s="2" t="s">
        <v>203</v>
      </c>
      <c r="B7" s="2" t="s">
        <v>204</v>
      </c>
      <c r="C7" s="2" t="s">
        <v>272</v>
      </c>
      <c r="D7" s="3">
        <f>IF('Facts'!F8&lt;=0,NA(),(('Calculations'!D6/'Facts'!F8))*1)</f>
        <v>0.18003273822922614</v>
      </c>
      <c r="E7" s="4">
        <f>D7/K7</f>
        <v>0.18003273822922614</v>
      </c>
      <c r="F7" s="2" t="str">
        <f>IF(ISNUMBER(D7),"calculated","not_calculated")</f>
        <v>calculated</v>
      </c>
      <c r="G7" s="2">
        <f>IF(ISNUMBER(D7),"","检查缺失值、分母与输入；口径变更须重跑Python")</f>
        <v/>
      </c>
      <c r="H7" s="2" t="s">
        <v>194</v>
      </c>
      <c r="I7" s="2" t="s">
        <v>195</v>
      </c>
      <c r="J7" s="2" t="s">
        <v>196</v>
      </c>
      <c r="K7" s="2">
        <v>1</v>
      </c>
      <c r="L7" s="2" t="s">
        <v>49</v>
      </c>
      <c r="M7" s="2" t="s">
        <v>50</v>
      </c>
      <c r="N7" s="2" t="s">
        <v>76</v>
      </c>
      <c r="O7" s="2" t="s">
        <v>77</v>
      </c>
    </row>
    <row r="8" spans="1:15">
      <c r="A8" s="2" t="s">
        <v>205</v>
      </c>
      <c r="B8" s="2" t="s">
        <v>206</v>
      </c>
      <c r="C8" s="2" t="s">
        <v>273</v>
      </c>
      <c r="D8" s="3">
        <f>(('Facts'!F11-'Facts'!F12))*1</f>
        <v>7290092585.25</v>
      </c>
      <c r="E8" s="3">
        <f>D8/K8</f>
        <v>7290092585.25</v>
      </c>
      <c r="F8" s="2" t="str">
        <f>IF(ISNUMBER(D8),"calculated","not_calculated")</f>
        <v>calculated</v>
      </c>
      <c r="G8" s="2">
        <f>IF(ISNUMBER(D8),"","检查缺失值、分母与输入；口径变更须重跑Python")</f>
        <v/>
      </c>
      <c r="H8" s="2" t="s">
        <v>190</v>
      </c>
      <c r="I8" s="2" t="s">
        <v>191</v>
      </c>
      <c r="J8" s="2" t="s">
        <v>48</v>
      </c>
      <c r="K8" s="2">
        <v>1</v>
      </c>
      <c r="L8" s="2" t="s">
        <v>49</v>
      </c>
      <c r="M8" s="2" t="s">
        <v>50</v>
      </c>
      <c r="N8" s="2" t="s">
        <v>85</v>
      </c>
      <c r="O8" s="2" t="s">
        <v>86</v>
      </c>
    </row>
    <row r="9" spans="1:15">
      <c r="A9" s="2" t="s">
        <v>207</v>
      </c>
      <c r="B9" s="2" t="s">
        <v>208</v>
      </c>
      <c r="C9" s="2" t="s">
        <v>274</v>
      </c>
      <c r="D9" s="3">
        <f>IF('Facts'!F11&lt;=0,NA(),(('Calculations'!D8/'Facts'!F11))*1)</f>
        <v>0.16174878823963604</v>
      </c>
      <c r="E9" s="4">
        <f>D9/K9</f>
        <v>0.16174878823963604</v>
      </c>
      <c r="F9" s="2" t="str">
        <f>IF(ISNUMBER(D9),"calculated","not_calculated")</f>
        <v>calculated</v>
      </c>
      <c r="G9" s="2">
        <f>IF(ISNUMBER(D9),"","检查缺失值、分母与输入；口径变更须重跑Python")</f>
        <v/>
      </c>
      <c r="H9" s="2" t="s">
        <v>194</v>
      </c>
      <c r="I9" s="2" t="s">
        <v>195</v>
      </c>
      <c r="J9" s="2" t="s">
        <v>196</v>
      </c>
      <c r="K9" s="2">
        <v>1</v>
      </c>
      <c r="L9" s="2" t="s">
        <v>49</v>
      </c>
      <c r="M9" s="2" t="s">
        <v>50</v>
      </c>
      <c r="N9" s="2" t="s">
        <v>85</v>
      </c>
      <c r="O9" s="2" t="s">
        <v>86</v>
      </c>
    </row>
    <row r="10" spans="1:15">
      <c r="A10" s="2" t="s">
        <v>209</v>
      </c>
      <c r="B10" s="2" t="s">
        <v>210</v>
      </c>
      <c r="C10" s="2" t="s">
        <v>275</v>
      </c>
      <c r="D10" s="3">
        <f>IF('Facts'!F13&lt;=0,NA(),(('Calculations'!D8/'Facts'!F13))*1)</f>
        <v>0.057305507266218615</v>
      </c>
      <c r="E10" s="4">
        <f>D10/K10</f>
        <v>0.057305507266218615</v>
      </c>
      <c r="F10" s="2" t="str">
        <f>IF(ISNUMBER(D10),"calculated","not_calculated")</f>
        <v>calculated</v>
      </c>
      <c r="G10" s="2">
        <f>IF(ISNUMBER(D10),"","检查缺失值、分母与输入；口径变更须重跑Python")</f>
        <v/>
      </c>
      <c r="H10" s="2" t="s">
        <v>211</v>
      </c>
      <c r="I10" s="2" t="s">
        <v>212</v>
      </c>
      <c r="J10" s="2" t="s">
        <v>196</v>
      </c>
      <c r="K10" s="2">
        <v>1</v>
      </c>
      <c r="L10" s="2" t="s">
        <v>49</v>
      </c>
      <c r="M10" s="2" t="s">
        <v>50</v>
      </c>
      <c r="N10" s="2" t="s">
        <v>85</v>
      </c>
      <c r="O10" s="2" t="s">
        <v>86</v>
      </c>
    </row>
    <row r="11" spans="1:15">
      <c r="A11" s="2" t="s">
        <v>213</v>
      </c>
      <c r="B11" s="2" t="s">
        <v>214</v>
      </c>
      <c r="C11" s="2" t="s">
        <v>276</v>
      </c>
      <c r="D11" s="3">
        <f>(('Facts'!F14-'Facts'!F15))*1</f>
        <v>5965507176.69</v>
      </c>
      <c r="E11" s="3">
        <f>D11/K11</f>
        <v>5965507176.69</v>
      </c>
      <c r="F11" s="2" t="str">
        <f>IF(ISNUMBER(D11),"calculated","not_calculated")</f>
        <v>calculated</v>
      </c>
      <c r="G11" s="2">
        <f>IF(ISNUMBER(D11),"","检查缺失值、分母与输入；口径变更须重跑Python")</f>
        <v/>
      </c>
      <c r="H11" s="2" t="s">
        <v>190</v>
      </c>
      <c r="I11" s="2" t="s">
        <v>191</v>
      </c>
      <c r="J11" s="2" t="s">
        <v>48</v>
      </c>
      <c r="K11" s="2">
        <v>1</v>
      </c>
      <c r="L11" s="2" t="s">
        <v>94</v>
      </c>
      <c r="M11" s="2" t="s">
        <v>50</v>
      </c>
      <c r="N11" s="2" t="s">
        <v>51</v>
      </c>
      <c r="O11" s="2" t="s">
        <v>52</v>
      </c>
    </row>
    <row r="12" spans="1:15">
      <c r="A12" s="2" t="s">
        <v>215</v>
      </c>
      <c r="B12" s="2" t="s">
        <v>216</v>
      </c>
      <c r="C12" s="2" t="s">
        <v>277</v>
      </c>
      <c r="D12" s="3">
        <f>IF('Facts'!F14&lt;=0,NA(),(('Calculations'!D11/'Facts'!F14))*1)</f>
        <v>0.1643211699221411</v>
      </c>
      <c r="E12" s="4">
        <f>D12/K12</f>
        <v>0.1643211699221411</v>
      </c>
      <c r="F12" s="2" t="str">
        <f>IF(ISNUMBER(D12),"calculated","not_calculated")</f>
        <v>calculated</v>
      </c>
      <c r="G12" s="2">
        <f>IF(ISNUMBER(D12),"","检查缺失值、分母与输入；口径变更须重跑Python")</f>
        <v/>
      </c>
      <c r="H12" s="2" t="s">
        <v>194</v>
      </c>
      <c r="I12" s="2" t="s">
        <v>195</v>
      </c>
      <c r="J12" s="2" t="s">
        <v>196</v>
      </c>
      <c r="K12" s="2">
        <v>1</v>
      </c>
      <c r="L12" s="2" t="s">
        <v>94</v>
      </c>
      <c r="M12" s="2" t="s">
        <v>50</v>
      </c>
      <c r="N12" s="2" t="s">
        <v>51</v>
      </c>
      <c r="O12" s="2" t="s">
        <v>52</v>
      </c>
    </row>
    <row r="13" spans="1:15">
      <c r="A13" s="2" t="s">
        <v>217</v>
      </c>
      <c r="B13" s="2" t="s">
        <v>218</v>
      </c>
      <c r="C13" s="2" t="s">
        <v>278</v>
      </c>
      <c r="D13" s="3">
        <f>(('Facts'!F17-'Facts'!F18))*1</f>
        <v>8310290365.26</v>
      </c>
      <c r="E13" s="3">
        <f>D13/K13</f>
        <v>8310290365.26</v>
      </c>
      <c r="F13" s="2" t="str">
        <f>IF(ISNUMBER(D13),"calculated","not_calculated")</f>
        <v>calculated</v>
      </c>
      <c r="G13" s="2">
        <f>IF(ISNUMBER(D13),"","检查缺失值、分母与输入；口径变更须重跑Python")</f>
        <v/>
      </c>
      <c r="H13" s="2" t="s">
        <v>190</v>
      </c>
      <c r="I13" s="2" t="s">
        <v>191</v>
      </c>
      <c r="J13" s="2" t="s">
        <v>48</v>
      </c>
      <c r="K13" s="2">
        <v>1</v>
      </c>
      <c r="L13" s="2" t="s">
        <v>94</v>
      </c>
      <c r="M13" s="2" t="s">
        <v>50</v>
      </c>
      <c r="N13" s="2" t="s">
        <v>67</v>
      </c>
      <c r="O13" s="2" t="s">
        <v>68</v>
      </c>
    </row>
    <row r="14" spans="1:15">
      <c r="A14" s="2" t="s">
        <v>219</v>
      </c>
      <c r="B14" s="2" t="s">
        <v>220</v>
      </c>
      <c r="C14" s="2" t="s">
        <v>279</v>
      </c>
      <c r="D14" s="3">
        <f>IF('Facts'!F17&lt;=0,NA(),(('Calculations'!D13/'Facts'!F17))*1)</f>
        <v>0.17035012893377902</v>
      </c>
      <c r="E14" s="4">
        <f>D14/K14</f>
        <v>0.17035012893377902</v>
      </c>
      <c r="F14" s="2" t="str">
        <f>IF(ISNUMBER(D14),"calculated","not_calculated")</f>
        <v>calculated</v>
      </c>
      <c r="G14" s="2">
        <f>IF(ISNUMBER(D14),"","检查缺失值、分母与输入；口径变更须重跑Python")</f>
        <v/>
      </c>
      <c r="H14" s="2" t="s">
        <v>194</v>
      </c>
      <c r="I14" s="2" t="s">
        <v>195</v>
      </c>
      <c r="J14" s="2" t="s">
        <v>196</v>
      </c>
      <c r="K14" s="2">
        <v>1</v>
      </c>
      <c r="L14" s="2" t="s">
        <v>94</v>
      </c>
      <c r="M14" s="2" t="s">
        <v>50</v>
      </c>
      <c r="N14" s="2" t="s">
        <v>67</v>
      </c>
      <c r="O14" s="2" t="s">
        <v>68</v>
      </c>
    </row>
    <row r="15" spans="1:15">
      <c r="A15" s="2" t="s">
        <v>221</v>
      </c>
      <c r="B15" s="2" t="s">
        <v>222</v>
      </c>
      <c r="C15" s="2" t="s">
        <v>280</v>
      </c>
      <c r="D15" s="3">
        <f>(('Facts'!F20-'Facts'!F21))*1</f>
        <v>8465348291.5</v>
      </c>
      <c r="E15" s="3">
        <f>D15/K15</f>
        <v>8465348291.5</v>
      </c>
      <c r="F15" s="2" t="str">
        <f>IF(ISNUMBER(D15),"calculated","not_calculated")</f>
        <v>calculated</v>
      </c>
      <c r="G15" s="2">
        <f>IF(ISNUMBER(D15),"","检查缺失值、分母与输入；口径变更须重跑Python")</f>
        <v/>
      </c>
      <c r="H15" s="2" t="s">
        <v>190</v>
      </c>
      <c r="I15" s="2" t="s">
        <v>191</v>
      </c>
      <c r="J15" s="2" t="s">
        <v>48</v>
      </c>
      <c r="K15" s="2">
        <v>1</v>
      </c>
      <c r="L15" s="2" t="s">
        <v>94</v>
      </c>
      <c r="M15" s="2" t="s">
        <v>50</v>
      </c>
      <c r="N15" s="2" t="s">
        <v>76</v>
      </c>
      <c r="O15" s="2" t="s">
        <v>77</v>
      </c>
    </row>
    <row r="16" spans="1:15">
      <c r="A16" s="2" t="s">
        <v>223</v>
      </c>
      <c r="B16" s="2" t="s">
        <v>224</v>
      </c>
      <c r="C16" s="2" t="s">
        <v>281</v>
      </c>
      <c r="D16" s="3">
        <f>IF('Facts'!F20&lt;=0,NA(),(('Calculations'!D15/'Facts'!F20))*1)</f>
        <v>0.1741319657442731</v>
      </c>
      <c r="E16" s="4">
        <f>D16/K16</f>
        <v>0.1741319657442731</v>
      </c>
      <c r="F16" s="2" t="str">
        <f>IF(ISNUMBER(D16),"calculated","not_calculated")</f>
        <v>calculated</v>
      </c>
      <c r="G16" s="2">
        <f>IF(ISNUMBER(D16),"","检查缺失值、分母与输入；口径变更须重跑Python")</f>
        <v/>
      </c>
      <c r="H16" s="2" t="s">
        <v>194</v>
      </c>
      <c r="I16" s="2" t="s">
        <v>195</v>
      </c>
      <c r="J16" s="2" t="s">
        <v>196</v>
      </c>
      <c r="K16" s="2">
        <v>1</v>
      </c>
      <c r="L16" s="2" t="s">
        <v>94</v>
      </c>
      <c r="M16" s="2" t="s">
        <v>50</v>
      </c>
      <c r="N16" s="2" t="s">
        <v>76</v>
      </c>
      <c r="O16" s="2" t="s">
        <v>77</v>
      </c>
    </row>
    <row r="17" spans="1:15">
      <c r="A17" s="2" t="s">
        <v>225</v>
      </c>
      <c r="B17" s="2" t="s">
        <v>226</v>
      </c>
      <c r="C17" s="2" t="s">
        <v>282</v>
      </c>
      <c r="D17" s="3">
        <f>(('Facts'!F23-'Facts'!F24))*1</f>
        <v>9941139250.81</v>
      </c>
      <c r="E17" s="3">
        <f>D17/K17</f>
        <v>9941139250.81</v>
      </c>
      <c r="F17" s="2" t="str">
        <f>IF(ISNUMBER(D17),"calculated","not_calculated")</f>
        <v>calculated</v>
      </c>
      <c r="G17" s="2">
        <f>IF(ISNUMBER(D17),"","检查缺失值、分母与输入；口径变更须重跑Python")</f>
        <v/>
      </c>
      <c r="H17" s="2" t="s">
        <v>190</v>
      </c>
      <c r="I17" s="2" t="s">
        <v>191</v>
      </c>
      <c r="J17" s="2" t="s">
        <v>48</v>
      </c>
      <c r="K17" s="2">
        <v>1</v>
      </c>
      <c r="L17" s="2" t="s">
        <v>94</v>
      </c>
      <c r="M17" s="2" t="s">
        <v>50</v>
      </c>
      <c r="N17" s="2" t="s">
        <v>85</v>
      </c>
      <c r="O17" s="2" t="s">
        <v>86</v>
      </c>
    </row>
    <row r="18" spans="1:15">
      <c r="A18" s="2" t="s">
        <v>227</v>
      </c>
      <c r="B18" s="2" t="s">
        <v>228</v>
      </c>
      <c r="C18" s="2" t="s">
        <v>283</v>
      </c>
      <c r="D18" s="3">
        <f>IF('Facts'!F23&lt;=0,NA(),(('Calculations'!D17/'Facts'!F23))*1)</f>
        <v>0.16172440155077084</v>
      </c>
      <c r="E18" s="4">
        <f>D18/K18</f>
        <v>0.16172440155077084</v>
      </c>
      <c r="F18" s="2" t="str">
        <f>IF(ISNUMBER(D18),"calculated","not_calculated")</f>
        <v>calculated</v>
      </c>
      <c r="G18" s="2">
        <f>IF(ISNUMBER(D18),"","检查缺失值、分母与输入；口径变更须重跑Python")</f>
        <v/>
      </c>
      <c r="H18" s="2" t="s">
        <v>194</v>
      </c>
      <c r="I18" s="2" t="s">
        <v>195</v>
      </c>
      <c r="J18" s="2" t="s">
        <v>196</v>
      </c>
      <c r="K18" s="2">
        <v>1</v>
      </c>
      <c r="L18" s="2" t="s">
        <v>94</v>
      </c>
      <c r="M18" s="2" t="s">
        <v>50</v>
      </c>
      <c r="N18" s="2" t="s">
        <v>85</v>
      </c>
      <c r="O18" s="2" t="s">
        <v>86</v>
      </c>
    </row>
    <row r="19" spans="1:15">
      <c r="A19" s="2" t="s">
        <v>229</v>
      </c>
      <c r="B19" s="2" t="s">
        <v>230</v>
      </c>
      <c r="C19" s="2" t="s">
        <v>284</v>
      </c>
      <c r="D19" s="3">
        <f>IF('Facts'!F25&lt;=0,NA(),(('Calculations'!D17/'Facts'!F25))*1)</f>
        <v>0.07918557747030115</v>
      </c>
      <c r="E19" s="4">
        <f>D19/K19</f>
        <v>0.07918557747030115</v>
      </c>
      <c r="F19" s="2" t="str">
        <f>IF(ISNUMBER(D19),"calculated","not_calculated")</f>
        <v>calculated</v>
      </c>
      <c r="G19" s="2">
        <f>IF(ISNUMBER(D19),"","检查缺失值、分母与输入；口径变更须重跑Python")</f>
        <v/>
      </c>
      <c r="H19" s="2" t="s">
        <v>211</v>
      </c>
      <c r="I19" s="2" t="s">
        <v>212</v>
      </c>
      <c r="J19" s="2" t="s">
        <v>196</v>
      </c>
      <c r="K19" s="2">
        <v>1</v>
      </c>
      <c r="L19" s="2" t="s">
        <v>94</v>
      </c>
      <c r="M19" s="2" t="s">
        <v>50</v>
      </c>
      <c r="N19" s="2" t="s">
        <v>85</v>
      </c>
      <c r="O19" s="2" t="s">
        <v>86</v>
      </c>
    </row>
    <row r="20" spans="1:15">
      <c r="A20" s="2" t="s">
        <v>231</v>
      </c>
      <c r="B20" s="2" t="s">
        <v>232</v>
      </c>
      <c r="C20" s="2" t="s">
        <v>285</v>
      </c>
      <c r="D20" s="3">
        <f>(('Facts'!F26-'Facts'!F27))*1</f>
        <v>7219320017.56</v>
      </c>
      <c r="E20" s="3">
        <f>D20/K20</f>
        <v>7219320017.56</v>
      </c>
      <c r="F20" s="2" t="str">
        <f>IF(ISNUMBER(D20),"calculated","not_calculated")</f>
        <v>calculated</v>
      </c>
      <c r="G20" s="2">
        <f>IF(ISNUMBER(D20),"","检查缺失值、分母与输入；口径变更须重跑Python")</f>
        <v/>
      </c>
      <c r="H20" s="2" t="s">
        <v>190</v>
      </c>
      <c r="I20" s="2" t="s">
        <v>191</v>
      </c>
      <c r="J20" s="2" t="s">
        <v>48</v>
      </c>
      <c r="K20" s="2">
        <v>1</v>
      </c>
      <c r="L20" s="2" t="s">
        <v>124</v>
      </c>
      <c r="M20" s="2" t="s">
        <v>50</v>
      </c>
      <c r="N20" s="2" t="s">
        <v>51</v>
      </c>
      <c r="O20" s="2" t="s">
        <v>52</v>
      </c>
    </row>
    <row r="21" spans="1:15">
      <c r="A21" s="2" t="s">
        <v>233</v>
      </c>
      <c r="B21" s="2" t="s">
        <v>234</v>
      </c>
      <c r="C21" s="2" t="s">
        <v>286</v>
      </c>
      <c r="D21" s="3">
        <f>IF('Facts'!F26&lt;=0,NA(),(('Calculations'!D20/'Facts'!F26))*1)</f>
        <v>0.13840118753494507</v>
      </c>
      <c r="E21" s="4">
        <f>D21/K21</f>
        <v>0.13840118753494507</v>
      </c>
      <c r="F21" s="2" t="str">
        <f>IF(ISNUMBER(D21),"calculated","not_calculated")</f>
        <v>calculated</v>
      </c>
      <c r="G21" s="2">
        <f>IF(ISNUMBER(D21),"","检查缺失值、分母与输入；口径变更须重跑Python")</f>
        <v/>
      </c>
      <c r="H21" s="2" t="s">
        <v>194</v>
      </c>
      <c r="I21" s="2" t="s">
        <v>195</v>
      </c>
      <c r="J21" s="2" t="s">
        <v>196</v>
      </c>
      <c r="K21" s="2">
        <v>1</v>
      </c>
      <c r="L21" s="2" t="s">
        <v>124</v>
      </c>
      <c r="M21" s="2" t="s">
        <v>50</v>
      </c>
      <c r="N21" s="2" t="s">
        <v>51</v>
      </c>
      <c r="O21" s="2" t="s">
        <v>52</v>
      </c>
    </row>
    <row r="22" spans="1:15">
      <c r="A22" s="2" t="s">
        <v>235</v>
      </c>
      <c r="B22" s="2" t="s">
        <v>236</v>
      </c>
      <c r="C22" s="2" t="s">
        <v>287</v>
      </c>
      <c r="D22" s="3">
        <f>(('Facts'!F29-'Facts'!F30))*1</f>
        <v>6985925027.16</v>
      </c>
      <c r="E22" s="3">
        <f>D22/K22</f>
        <v>6985925027.16</v>
      </c>
      <c r="F22" s="2" t="str">
        <f>IF(ISNUMBER(D22),"calculated","not_calculated")</f>
        <v>calculated</v>
      </c>
      <c r="G22" s="2">
        <f>IF(ISNUMBER(D22),"","检查缺失值、分母与输入；口径变更须重跑Python")</f>
        <v/>
      </c>
      <c r="H22" s="2" t="s">
        <v>190</v>
      </c>
      <c r="I22" s="2" t="s">
        <v>191</v>
      </c>
      <c r="J22" s="2" t="s">
        <v>48</v>
      </c>
      <c r="K22" s="2">
        <v>1</v>
      </c>
      <c r="L22" s="2" t="s">
        <v>124</v>
      </c>
      <c r="M22" s="2" t="s">
        <v>50</v>
      </c>
      <c r="N22" s="2" t="s">
        <v>67</v>
      </c>
      <c r="O22" s="2" t="s">
        <v>68</v>
      </c>
    </row>
    <row r="23" spans="1:15">
      <c r="A23" s="2" t="s">
        <v>237</v>
      </c>
      <c r="B23" s="2" t="s">
        <v>238</v>
      </c>
      <c r="C23" s="2" t="s">
        <v>288</v>
      </c>
      <c r="D23" s="3">
        <f>IF('Facts'!F29&lt;=0,NA(),(('Calculations'!D22/'Facts'!F29))*1)</f>
        <v>0.14595904674474766</v>
      </c>
      <c r="E23" s="4">
        <f>D23/K23</f>
        <v>0.14595904674474766</v>
      </c>
      <c r="F23" s="2" t="str">
        <f>IF(ISNUMBER(D23),"calculated","not_calculated")</f>
        <v>calculated</v>
      </c>
      <c r="G23" s="2">
        <f>IF(ISNUMBER(D23),"","检查缺失值、分母与输入；口径变更须重跑Python")</f>
        <v/>
      </c>
      <c r="H23" s="2" t="s">
        <v>194</v>
      </c>
      <c r="I23" s="2" t="s">
        <v>195</v>
      </c>
      <c r="J23" s="2" t="s">
        <v>196</v>
      </c>
      <c r="K23" s="2">
        <v>1</v>
      </c>
      <c r="L23" s="2" t="s">
        <v>124</v>
      </c>
      <c r="M23" s="2" t="s">
        <v>50</v>
      </c>
      <c r="N23" s="2" t="s">
        <v>67</v>
      </c>
      <c r="O23" s="2" t="s">
        <v>68</v>
      </c>
    </row>
    <row r="24" spans="1:15">
      <c r="A24" s="2" t="s">
        <v>239</v>
      </c>
      <c r="B24" s="2" t="s">
        <v>240</v>
      </c>
      <c r="C24" s="2" t="s">
        <v>289</v>
      </c>
      <c r="D24" s="3">
        <f>(('Facts'!F32-'Facts'!F33))*1</f>
        <v>8501637182.91</v>
      </c>
      <c r="E24" s="3">
        <f>D24/K24</f>
        <v>8501637182.91</v>
      </c>
      <c r="F24" s="2" t="str">
        <f>IF(ISNUMBER(D24),"calculated","not_calculated")</f>
        <v>calculated</v>
      </c>
      <c r="G24" s="2">
        <f>IF(ISNUMBER(D24),"","检查缺失值、分母与输入；口径变更须重跑Python")</f>
        <v/>
      </c>
      <c r="H24" s="2" t="s">
        <v>190</v>
      </c>
      <c r="I24" s="2" t="s">
        <v>191</v>
      </c>
      <c r="J24" s="2" t="s">
        <v>48</v>
      </c>
      <c r="K24" s="2">
        <v>1</v>
      </c>
      <c r="L24" s="2" t="s">
        <v>124</v>
      </c>
      <c r="M24" s="2" t="s">
        <v>50</v>
      </c>
      <c r="N24" s="2" t="s">
        <v>76</v>
      </c>
      <c r="O24" s="2" t="s">
        <v>77</v>
      </c>
    </row>
    <row r="25" spans="1:15">
      <c r="A25" s="2" t="s">
        <v>241</v>
      </c>
      <c r="B25" s="2" t="s">
        <v>242</v>
      </c>
      <c r="C25" s="2" t="s">
        <v>290</v>
      </c>
      <c r="D25" s="3">
        <f>IF('Facts'!F32&lt;=0,NA(),(('Calculations'!D24/'Facts'!F32))*1)</f>
        <v>0.151759031592382</v>
      </c>
      <c r="E25" s="4">
        <f>D25/K25</f>
        <v>0.151759031592382</v>
      </c>
      <c r="F25" s="2" t="str">
        <f>IF(ISNUMBER(D25),"calculated","not_calculated")</f>
        <v>calculated</v>
      </c>
      <c r="G25" s="2">
        <f>IF(ISNUMBER(D25),"","检查缺失值、分母与输入；口径变更须重跑Python")</f>
        <v/>
      </c>
      <c r="H25" s="2" t="s">
        <v>194</v>
      </c>
      <c r="I25" s="2" t="s">
        <v>195</v>
      </c>
      <c r="J25" s="2" t="s">
        <v>196</v>
      </c>
      <c r="K25" s="2">
        <v>1</v>
      </c>
      <c r="L25" s="2" t="s">
        <v>124</v>
      </c>
      <c r="M25" s="2" t="s">
        <v>50</v>
      </c>
      <c r="N25" s="2" t="s">
        <v>76</v>
      </c>
      <c r="O25" s="2" t="s">
        <v>77</v>
      </c>
    </row>
    <row r="26" spans="1:15">
      <c r="A26" s="2" t="s">
        <v>243</v>
      </c>
      <c r="B26" s="2" t="s">
        <v>244</v>
      </c>
      <c r="C26" s="2" t="s">
        <v>291</v>
      </c>
      <c r="D26" s="3">
        <f>(('Facts'!F35-'Facts'!F36))*1</f>
        <v>8816992224.05</v>
      </c>
      <c r="E26" s="3">
        <f>D26/K26</f>
        <v>8816992224.05</v>
      </c>
      <c r="F26" s="2" t="str">
        <f>IF(ISNUMBER(D26),"calculated","not_calculated")</f>
        <v>calculated</v>
      </c>
      <c r="G26" s="2">
        <f>IF(ISNUMBER(D26),"","检查缺失值、分母与输入；口径变更须重跑Python")</f>
        <v/>
      </c>
      <c r="H26" s="2" t="s">
        <v>190</v>
      </c>
      <c r="I26" s="2" t="s">
        <v>191</v>
      </c>
      <c r="J26" s="2" t="s">
        <v>48</v>
      </c>
      <c r="K26" s="2">
        <v>1</v>
      </c>
      <c r="L26" s="2" t="s">
        <v>124</v>
      </c>
      <c r="M26" s="2" t="s">
        <v>50</v>
      </c>
      <c r="N26" s="2" t="s">
        <v>85</v>
      </c>
      <c r="O26" s="2" t="s">
        <v>86</v>
      </c>
    </row>
    <row r="27" spans="1:15">
      <c r="A27" s="2" t="s">
        <v>245</v>
      </c>
      <c r="B27" s="2" t="s">
        <v>246</v>
      </c>
      <c r="C27" s="2" t="s">
        <v>292</v>
      </c>
      <c r="D27" s="3">
        <f>IF('Facts'!F35&lt;=0,NA(),(('Calculations'!D26/'Facts'!F35))*1)</f>
        <v>0.13940734723554693</v>
      </c>
      <c r="E27" s="4">
        <f>D27/K27</f>
        <v>0.13940734723554693</v>
      </c>
      <c r="F27" s="2" t="str">
        <f>IF(ISNUMBER(D27),"calculated","not_calculated")</f>
        <v>calculated</v>
      </c>
      <c r="G27" s="2">
        <f>IF(ISNUMBER(D27),"","检查缺失值、分母与输入；口径变更须重跑Python")</f>
        <v/>
      </c>
      <c r="H27" s="2" t="s">
        <v>194</v>
      </c>
      <c r="I27" s="2" t="s">
        <v>195</v>
      </c>
      <c r="J27" s="2" t="s">
        <v>196</v>
      </c>
      <c r="K27" s="2">
        <v>1</v>
      </c>
      <c r="L27" s="2" t="s">
        <v>124</v>
      </c>
      <c r="M27" s="2" t="s">
        <v>50</v>
      </c>
      <c r="N27" s="2" t="s">
        <v>85</v>
      </c>
      <c r="O27" s="2" t="s">
        <v>86</v>
      </c>
    </row>
    <row r="28" spans="1:15">
      <c r="A28" s="2" t="s">
        <v>247</v>
      </c>
      <c r="B28" s="2" t="s">
        <v>248</v>
      </c>
      <c r="C28" s="2" t="s">
        <v>293</v>
      </c>
      <c r="D28" s="3">
        <f>IF('Facts'!F37&lt;=0,NA(),(('Calculations'!D26/'Facts'!F37))*1)</f>
        <v>0.08158425740475571</v>
      </c>
      <c r="E28" s="4">
        <f>D28/K28</f>
        <v>0.08158425740475571</v>
      </c>
      <c r="F28" s="2" t="str">
        <f>IF(ISNUMBER(D28),"calculated","not_calculated")</f>
        <v>calculated</v>
      </c>
      <c r="G28" s="2">
        <f>IF(ISNUMBER(D28),"","检查缺失值、分母与输入；口径变更须重跑Python")</f>
        <v/>
      </c>
      <c r="H28" s="2" t="s">
        <v>211</v>
      </c>
      <c r="I28" s="2" t="s">
        <v>212</v>
      </c>
      <c r="J28" s="2" t="s">
        <v>196</v>
      </c>
      <c r="K28" s="2">
        <v>1</v>
      </c>
      <c r="L28" s="2" t="s">
        <v>124</v>
      </c>
      <c r="M28" s="2" t="s">
        <v>50</v>
      </c>
      <c r="N28" s="2" t="s">
        <v>85</v>
      </c>
      <c r="O28" s="2" t="s">
        <v>86</v>
      </c>
    </row>
    <row r="29" spans="1:15">
      <c r="A29" s="2" t="s">
        <v>249</v>
      </c>
      <c r="B29" s="2" t="s">
        <v>250</v>
      </c>
      <c r="C29" s="2" t="s">
        <v>294</v>
      </c>
      <c r="D29" s="3">
        <f>(('Facts'!F38-'Facts'!F39))*1</f>
        <v>66544378300.0</v>
      </c>
      <c r="E29" s="3">
        <f>D29/K29</f>
        <v>66544378300.0</v>
      </c>
      <c r="F29" s="2" t="str">
        <f>IF(ISNUMBER(D29),"calculated","not_calculated")</f>
        <v>calculated</v>
      </c>
      <c r="G29" s="2">
        <f>IF(ISNUMBER(D29),"","检查缺失值、分母与输入；口径变更须重跑Python")</f>
        <v/>
      </c>
      <c r="H29" s="2" t="s">
        <v>190</v>
      </c>
      <c r="I29" s="2" t="s">
        <v>191</v>
      </c>
      <c r="J29" s="2" t="s">
        <v>48</v>
      </c>
      <c r="K29" s="2">
        <v>1</v>
      </c>
      <c r="L29" s="2" t="s">
        <v>153</v>
      </c>
      <c r="M29" s="2" t="s">
        <v>50</v>
      </c>
      <c r="N29" s="2" t="s">
        <v>51</v>
      </c>
      <c r="O29" s="2" t="s">
        <v>52</v>
      </c>
    </row>
    <row r="30" spans="1:15">
      <c r="A30" s="2" t="s">
        <v>251</v>
      </c>
      <c r="B30" s="2" t="s">
        <v>252</v>
      </c>
      <c r="C30" s="2" t="s">
        <v>295</v>
      </c>
      <c r="D30" s="3">
        <f>IF('Facts'!F38&lt;=0,NA(),(('Calculations'!D29/'Facts'!F38))*1)</f>
        <v>0.20251246471757187</v>
      </c>
      <c r="E30" s="4">
        <f>D30/K30</f>
        <v>0.20251246471757187</v>
      </c>
      <c r="F30" s="2" t="str">
        <f>IF(ISNUMBER(D30),"calculated","not_calculated")</f>
        <v>calculated</v>
      </c>
      <c r="G30" s="2">
        <f>IF(ISNUMBER(D30),"","检查缺失值、分母与输入；口径变更须重跑Python")</f>
        <v/>
      </c>
      <c r="H30" s="2" t="s">
        <v>194</v>
      </c>
      <c r="I30" s="2" t="s">
        <v>195</v>
      </c>
      <c r="J30" s="2" t="s">
        <v>196</v>
      </c>
      <c r="K30" s="2">
        <v>1</v>
      </c>
      <c r="L30" s="2" t="s">
        <v>153</v>
      </c>
      <c r="M30" s="2" t="s">
        <v>50</v>
      </c>
      <c r="N30" s="2" t="s">
        <v>51</v>
      </c>
      <c r="O30" s="2" t="s">
        <v>52</v>
      </c>
    </row>
    <row r="31" spans="1:15">
      <c r="A31" s="2" t="s">
        <v>253</v>
      </c>
      <c r="B31" s="2" t="s">
        <v>254</v>
      </c>
      <c r="C31" s="2" t="s">
        <v>296</v>
      </c>
      <c r="D31" s="3">
        <f>(('Facts'!F41-'Facts'!F42))*1</f>
        <v>91846610900.0</v>
      </c>
      <c r="E31" s="3">
        <f>D31/K31</f>
        <v>91846610900.0</v>
      </c>
      <c r="F31" s="2" t="str">
        <f>IF(ISNUMBER(D31),"calculated","not_calculated")</f>
        <v>calculated</v>
      </c>
      <c r="G31" s="2">
        <f>IF(ISNUMBER(D31),"","检查缺失值、分母与输入；口径变更须重跑Python")</f>
        <v/>
      </c>
      <c r="H31" s="2" t="s">
        <v>190</v>
      </c>
      <c r="I31" s="2" t="s">
        <v>191</v>
      </c>
      <c r="J31" s="2" t="s">
        <v>48</v>
      </c>
      <c r="K31" s="2">
        <v>1</v>
      </c>
      <c r="L31" s="2" t="s">
        <v>153</v>
      </c>
      <c r="M31" s="2" t="s">
        <v>50</v>
      </c>
      <c r="N31" s="2" t="s">
        <v>67</v>
      </c>
      <c r="O31" s="2" t="s">
        <v>68</v>
      </c>
    </row>
    <row r="32" spans="1:15">
      <c r="A32" s="2" t="s">
        <v>255</v>
      </c>
      <c r="B32" s="2" t="s">
        <v>256</v>
      </c>
      <c r="C32" s="2" t="s">
        <v>297</v>
      </c>
      <c r="D32" s="3">
        <f>IF('Facts'!F41&lt;=0,NA(),(('Calculations'!D31/'Facts'!F41))*1)</f>
        <v>0.2290913097069972</v>
      </c>
      <c r="E32" s="4">
        <f>D32/K32</f>
        <v>0.2290913097069972</v>
      </c>
      <c r="F32" s="2" t="str">
        <f>IF(ISNUMBER(D32),"calculated","not_calculated")</f>
        <v>calculated</v>
      </c>
      <c r="G32" s="2">
        <f>IF(ISNUMBER(D32),"","检查缺失值、分母与输入；口径变更须重跑Python")</f>
        <v/>
      </c>
      <c r="H32" s="2" t="s">
        <v>194</v>
      </c>
      <c r="I32" s="2" t="s">
        <v>195</v>
      </c>
      <c r="J32" s="2" t="s">
        <v>196</v>
      </c>
      <c r="K32" s="2">
        <v>1</v>
      </c>
      <c r="L32" s="2" t="s">
        <v>153</v>
      </c>
      <c r="M32" s="2" t="s">
        <v>50</v>
      </c>
      <c r="N32" s="2" t="s">
        <v>67</v>
      </c>
      <c r="O32" s="2" t="s">
        <v>68</v>
      </c>
    </row>
    <row r="33" spans="1:15">
      <c r="A33" s="2" t="s">
        <v>257</v>
      </c>
      <c r="B33" s="2" t="s">
        <v>258</v>
      </c>
      <c r="C33" s="2" t="s">
        <v>298</v>
      </c>
      <c r="D33" s="3">
        <f>(('Facts'!F44-'Facts'!F45))*1</f>
        <v>88493595000.0</v>
      </c>
      <c r="E33" s="3">
        <f>D33/K33</f>
        <v>88493595000.0</v>
      </c>
      <c r="F33" s="2" t="str">
        <f>IF(ISNUMBER(D33),"calculated","not_calculated")</f>
        <v>calculated</v>
      </c>
      <c r="G33" s="2">
        <f>IF(ISNUMBER(D33),"","检查缺失值、分母与输入；口径变更须重跑Python")</f>
        <v/>
      </c>
      <c r="H33" s="2" t="s">
        <v>190</v>
      </c>
      <c r="I33" s="2" t="s">
        <v>191</v>
      </c>
      <c r="J33" s="2" t="s">
        <v>48</v>
      </c>
      <c r="K33" s="2">
        <v>1</v>
      </c>
      <c r="L33" s="2" t="s">
        <v>153</v>
      </c>
      <c r="M33" s="2" t="s">
        <v>50</v>
      </c>
      <c r="N33" s="2" t="s">
        <v>76</v>
      </c>
      <c r="O33" s="2" t="s">
        <v>77</v>
      </c>
    </row>
    <row r="34" spans="1:15">
      <c r="A34" s="2" t="s">
        <v>259</v>
      </c>
      <c r="B34" s="2" t="s">
        <v>260</v>
      </c>
      <c r="C34" s="2" t="s">
        <v>299</v>
      </c>
      <c r="D34" s="3">
        <f>IF('Facts'!F44&lt;=0,NA(),(('Calculations'!D33/'Facts'!F44))*1)</f>
        <v>0.2444489673692366</v>
      </c>
      <c r="E34" s="4">
        <f>D34/K34</f>
        <v>0.2444489673692366</v>
      </c>
      <c r="F34" s="2" t="str">
        <f>IF(ISNUMBER(D34),"calculated","not_calculated")</f>
        <v>calculated</v>
      </c>
      <c r="G34" s="2">
        <f>IF(ISNUMBER(D34),"","检查缺失值、分母与输入；口径变更须重跑Python")</f>
        <v/>
      </c>
      <c r="H34" s="2" t="s">
        <v>194</v>
      </c>
      <c r="I34" s="2" t="s">
        <v>195</v>
      </c>
      <c r="J34" s="2" t="s">
        <v>196</v>
      </c>
      <c r="K34" s="2">
        <v>1</v>
      </c>
      <c r="L34" s="2" t="s">
        <v>153</v>
      </c>
      <c r="M34" s="2" t="s">
        <v>50</v>
      </c>
      <c r="N34" s="2" t="s">
        <v>76</v>
      </c>
      <c r="O34" s="2" t="s">
        <v>77</v>
      </c>
    </row>
    <row r="35" spans="1:15">
      <c r="A35" s="2" t="s">
        <v>261</v>
      </c>
      <c r="B35" s="2" t="s">
        <v>262</v>
      </c>
      <c r="C35" s="2" t="s">
        <v>300</v>
      </c>
      <c r="D35" s="3">
        <f>(('Facts'!F47-'Facts'!F48))*1</f>
        <v>111318537000.0</v>
      </c>
      <c r="E35" s="3">
        <f>D35/K35</f>
        <v>111318537000.0</v>
      </c>
      <c r="F35" s="2" t="str">
        <f>IF(ISNUMBER(D35),"calculated","not_calculated")</f>
        <v>calculated</v>
      </c>
      <c r="G35" s="2">
        <f>IF(ISNUMBER(D35),"","检查缺失值、分母与输入；口径变更须重跑Python")</f>
        <v/>
      </c>
      <c r="H35" s="2" t="s">
        <v>190</v>
      </c>
      <c r="I35" s="2" t="s">
        <v>191</v>
      </c>
      <c r="J35" s="2" t="s">
        <v>48</v>
      </c>
      <c r="K35" s="2">
        <v>1</v>
      </c>
      <c r="L35" s="2" t="s">
        <v>153</v>
      </c>
      <c r="M35" s="2" t="s">
        <v>50</v>
      </c>
      <c r="N35" s="2" t="s">
        <v>85</v>
      </c>
      <c r="O35" s="2" t="s">
        <v>86</v>
      </c>
    </row>
    <row r="36" spans="1:15">
      <c r="A36" s="2" t="s">
        <v>263</v>
      </c>
      <c r="B36" s="2" t="s">
        <v>264</v>
      </c>
      <c r="C36" s="2" t="s">
        <v>301</v>
      </c>
      <c r="D36" s="3">
        <f>IF('Facts'!F47&lt;=0,NA(),(('Calculations'!D35/'Facts'!F47))*1)</f>
        <v>0.26272847570445024</v>
      </c>
      <c r="E36" s="4">
        <f>D36/K36</f>
        <v>0.26272847570445024</v>
      </c>
      <c r="F36" s="2" t="str">
        <f>IF(ISNUMBER(D36),"calculated","not_calculated")</f>
        <v>calculated</v>
      </c>
      <c r="G36" s="2">
        <f>IF(ISNUMBER(D36),"","检查缺失值、分母与输入；口径变更须重跑Python")</f>
        <v/>
      </c>
      <c r="H36" s="2" t="s">
        <v>194</v>
      </c>
      <c r="I36" s="2" t="s">
        <v>195</v>
      </c>
      <c r="J36" s="2" t="s">
        <v>196</v>
      </c>
      <c r="K36" s="2">
        <v>1</v>
      </c>
      <c r="L36" s="2" t="s">
        <v>153</v>
      </c>
      <c r="M36" s="2" t="s">
        <v>50</v>
      </c>
      <c r="N36" s="2" t="s">
        <v>85</v>
      </c>
      <c r="O36" s="2" t="s">
        <v>86</v>
      </c>
    </row>
    <row r="37" spans="1:15">
      <c r="A37" s="2" t="s">
        <v>265</v>
      </c>
      <c r="B37" s="2" t="s">
        <v>266</v>
      </c>
      <c r="C37" s="2" t="s">
        <v>302</v>
      </c>
      <c r="D37" s="3">
        <f>IF('Facts'!F49&lt;=0,NA(),(('Calculations'!D35/'Facts'!F49))*1)</f>
        <v>0.11419305669516454</v>
      </c>
      <c r="E37" s="4">
        <f>D37/K37</f>
        <v>0.11419305669516454</v>
      </c>
      <c r="F37" s="2" t="str">
        <f>IF(ISNUMBER(D37),"calculated","not_calculated")</f>
        <v>calculated</v>
      </c>
      <c r="G37" s="2">
        <f>IF(ISNUMBER(D37),"","检查缺失值、分母与输入；口径变更须重跑Python")</f>
        <v/>
      </c>
      <c r="H37" s="2" t="s">
        <v>211</v>
      </c>
      <c r="I37" s="2" t="s">
        <v>212</v>
      </c>
      <c r="J37" s="2" t="s">
        <v>196</v>
      </c>
      <c r="K37" s="2">
        <v>1</v>
      </c>
      <c r="L37" s="2" t="s">
        <v>153</v>
      </c>
      <c r="M37" s="2" t="s">
        <v>50</v>
      </c>
      <c r="N37" s="2" t="s">
        <v>85</v>
      </c>
      <c r="O37" s="2" t="s">
        <v>86</v>
      </c>
    </row>
  </sheetData>
  <autoFilter ref="A1:O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8.7109375" customWidth="1"/>
  </cols>
  <sheetData>
    <row r="1" spans="1:10" ht="32" customHeight="1">
      <c r="A1" s="1" t="s">
        <v>28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40</v>
      </c>
      <c r="H1" s="1" t="s">
        <v>308</v>
      </c>
      <c r="I1" s="1" t="s">
        <v>309</v>
      </c>
      <c r="J1" s="1" t="s">
        <v>310</v>
      </c>
    </row>
  </sheetData>
  <autoFilter ref="A1:J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60.7109375" customWidth="1"/>
    <col min="3" max="3" width="100.7109375" customWidth="1"/>
    <col min="4" max="4" width="20.7109375" customWidth="1"/>
    <col min="5" max="6" width="70.7109375" customWidth="1"/>
  </cols>
  <sheetData>
    <row r="1" spans="1:6" ht="32" customHeight="1">
      <c r="A1" s="1" t="s">
        <v>28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</row>
    <row r="2" spans="1:6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320</v>
      </c>
      <c r="F2" s="2" t="s">
        <v>321</v>
      </c>
    </row>
    <row r="3" spans="1:6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s">
        <v>327</v>
      </c>
    </row>
    <row r="4" spans="1:6">
      <c r="A4" s="2" t="s">
        <v>328</v>
      </c>
      <c r="B4" s="2" t="s">
        <v>329</v>
      </c>
      <c r="C4" s="2" t="s">
        <v>330</v>
      </c>
      <c r="D4" s="2" t="s">
        <v>331</v>
      </c>
      <c r="E4" s="2" t="s">
        <v>332</v>
      </c>
      <c r="F4" s="2" t="s">
        <v>333</v>
      </c>
    </row>
    <row r="5" spans="1:6">
      <c r="A5" s="2" t="s">
        <v>334</v>
      </c>
      <c r="B5" s="2" t="s">
        <v>335</v>
      </c>
      <c r="C5" s="2" t="s">
        <v>336</v>
      </c>
      <c r="D5" s="2" t="s">
        <v>337</v>
      </c>
      <c r="E5" s="2" t="s">
        <v>338</v>
      </c>
      <c r="F5" s="2" t="s">
        <v>339</v>
      </c>
    </row>
    <row r="6" spans="1:6">
      <c r="A6" s="2" t="s">
        <v>340</v>
      </c>
      <c r="B6" s="2" t="s">
        <v>341</v>
      </c>
      <c r="C6" s="2" t="s">
        <v>342</v>
      </c>
      <c r="D6" s="2" t="s">
        <v>343</v>
      </c>
      <c r="E6" s="2" t="s">
        <v>344</v>
      </c>
      <c r="F6" s="2" t="s">
        <v>345</v>
      </c>
    </row>
    <row r="7" spans="1:6">
      <c r="A7" s="2" t="s">
        <v>346</v>
      </c>
      <c r="B7" s="2" t="s">
        <v>347</v>
      </c>
      <c r="C7" s="2" t="s">
        <v>348</v>
      </c>
      <c r="D7" s="2" t="s">
        <v>349</v>
      </c>
      <c r="E7" s="2" t="s">
        <v>350</v>
      </c>
      <c r="F7" s="2" t="s">
        <v>351</v>
      </c>
    </row>
    <row r="8" spans="1:6">
      <c r="A8" s="2" t="s">
        <v>352</v>
      </c>
      <c r="B8" s="2" t="s">
        <v>353</v>
      </c>
      <c r="C8" s="2" t="s">
        <v>354</v>
      </c>
      <c r="D8" s="2" t="s">
        <v>355</v>
      </c>
      <c r="E8" s="2" t="s">
        <v>356</v>
      </c>
      <c r="F8" s="2" t="s">
        <v>357</v>
      </c>
    </row>
    <row r="9" spans="1:6">
      <c r="A9" s="2" t="s">
        <v>358</v>
      </c>
      <c r="B9" s="2" t="s">
        <v>359</v>
      </c>
      <c r="C9" s="2" t="s">
        <v>360</v>
      </c>
      <c r="D9" s="2" t="s">
        <v>361</v>
      </c>
      <c r="E9" s="2" t="s">
        <v>362</v>
      </c>
      <c r="F9" s="2" t="s">
        <v>363</v>
      </c>
    </row>
    <row r="10" spans="1:6">
      <c r="A10" s="2" t="s">
        <v>364</v>
      </c>
      <c r="B10" s="2" t="s">
        <v>365</v>
      </c>
      <c r="C10" s="2" t="s">
        <v>366</v>
      </c>
      <c r="D10" s="2" t="s">
        <v>367</v>
      </c>
      <c r="E10" s="2" t="s">
        <v>368</v>
      </c>
      <c r="F10" s="2" t="s">
        <v>369</v>
      </c>
    </row>
    <row r="11" spans="1:6">
      <c r="A11" s="2" t="s">
        <v>370</v>
      </c>
      <c r="B11" s="2" t="s">
        <v>371</v>
      </c>
      <c r="C11" s="2" t="s">
        <v>372</v>
      </c>
      <c r="D11" s="2" t="s">
        <v>373</v>
      </c>
      <c r="E11" s="2" t="s">
        <v>374</v>
      </c>
      <c r="F11" s="2" t="s">
        <v>375</v>
      </c>
    </row>
    <row r="12" spans="1:6">
      <c r="A12" s="2" t="s">
        <v>376</v>
      </c>
      <c r="B12" s="2" t="s">
        <v>377</v>
      </c>
      <c r="C12" s="2" t="s">
        <v>378</v>
      </c>
      <c r="D12" s="2" t="s">
        <v>379</v>
      </c>
      <c r="E12" s="2" t="s">
        <v>380</v>
      </c>
      <c r="F12" s="2" t="s">
        <v>381</v>
      </c>
    </row>
    <row r="13" spans="1:6">
      <c r="A13" s="2" t="s">
        <v>382</v>
      </c>
      <c r="B13" s="2" t="s">
        <v>383</v>
      </c>
      <c r="C13" s="2" t="s">
        <v>384</v>
      </c>
      <c r="D13" s="2" t="s">
        <v>385</v>
      </c>
      <c r="E13" s="2" t="s">
        <v>386</v>
      </c>
      <c r="F13" s="2" t="s">
        <v>387</v>
      </c>
    </row>
    <row r="14" spans="1:6">
      <c r="A14" s="2" t="s">
        <v>388</v>
      </c>
      <c r="B14" s="2" t="s">
        <v>389</v>
      </c>
      <c r="C14" s="2" t="s">
        <v>390</v>
      </c>
      <c r="D14" s="2" t="s">
        <v>391</v>
      </c>
      <c r="E14" s="2" t="s">
        <v>392</v>
      </c>
      <c r="F14" s="2" t="s">
        <v>393</v>
      </c>
    </row>
    <row r="15" spans="1:6">
      <c r="A15" s="2" t="s">
        <v>394</v>
      </c>
      <c r="B15" s="2" t="s">
        <v>395</v>
      </c>
      <c r="C15" s="2" t="s">
        <v>396</v>
      </c>
      <c r="D15" s="2" t="s">
        <v>397</v>
      </c>
      <c r="E15" s="2" t="s">
        <v>398</v>
      </c>
      <c r="F15" s="2" t="s">
        <v>399</v>
      </c>
    </row>
    <row r="16" spans="1:6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</row>
    <row r="17" spans="1:6">
      <c r="A17" s="2" t="s">
        <v>406</v>
      </c>
      <c r="B17" s="2" t="s">
        <v>407</v>
      </c>
      <c r="C17" s="2" t="s">
        <v>408</v>
      </c>
      <c r="D17" s="2" t="s">
        <v>409</v>
      </c>
      <c r="E17" s="2" t="s">
        <v>410</v>
      </c>
      <c r="F17" s="2" t="s">
        <v>411</v>
      </c>
    </row>
  </sheetData>
  <autoFilter ref="A1:F1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45.7109375" customWidth="1"/>
    <col min="4" max="4" width="90.7109375" customWidth="1"/>
    <col min="5" max="5" width="65.7109375" customWidth="1"/>
  </cols>
  <sheetData>
    <row r="1" spans="1:5" ht="32" customHeight="1">
      <c r="A1" s="1" t="s">
        <v>28</v>
      </c>
      <c r="B1" s="1" t="s">
        <v>412</v>
      </c>
      <c r="C1" s="1" t="s">
        <v>413</v>
      </c>
      <c r="D1" s="1" t="s">
        <v>414</v>
      </c>
      <c r="E1" s="1" t="s">
        <v>415</v>
      </c>
    </row>
    <row r="2" spans="1:5">
      <c r="A2" s="2" t="s">
        <v>46</v>
      </c>
      <c r="B2" s="2" t="s">
        <v>316</v>
      </c>
      <c r="C2" s="2" t="s">
        <v>416</v>
      </c>
      <c r="D2" s="2" t="s">
        <v>417</v>
      </c>
      <c r="E2" s="2" t="s">
        <v>418</v>
      </c>
    </row>
    <row r="3" spans="1:5">
      <c r="A3" s="2" t="s">
        <v>66</v>
      </c>
      <c r="B3" s="2" t="s">
        <v>322</v>
      </c>
      <c r="C3" s="2" t="s">
        <v>419</v>
      </c>
      <c r="D3" s="2" t="s">
        <v>417</v>
      </c>
      <c r="E3" s="2" t="s">
        <v>418</v>
      </c>
    </row>
    <row r="4" spans="1:5">
      <c r="A4" s="2" t="s">
        <v>75</v>
      </c>
      <c r="B4" s="2" t="s">
        <v>328</v>
      </c>
      <c r="C4" s="2" t="s">
        <v>420</v>
      </c>
      <c r="D4" s="2" t="s">
        <v>417</v>
      </c>
      <c r="E4" s="2" t="s">
        <v>418</v>
      </c>
    </row>
    <row r="5" spans="1:5">
      <c r="A5" s="2" t="s">
        <v>421</v>
      </c>
      <c r="B5" s="2" t="s">
        <v>328</v>
      </c>
      <c r="C5" s="2" t="s">
        <v>422</v>
      </c>
      <c r="D5" s="2" t="s">
        <v>423</v>
      </c>
      <c r="E5" s="2" t="s">
        <v>424</v>
      </c>
    </row>
    <row r="6" spans="1:5">
      <c r="A6" s="2" t="s">
        <v>84</v>
      </c>
      <c r="B6" s="2" t="s">
        <v>334</v>
      </c>
      <c r="C6" s="2" t="s">
        <v>425</v>
      </c>
      <c r="D6" s="2" t="s">
        <v>417</v>
      </c>
      <c r="E6" s="2" t="s">
        <v>426</v>
      </c>
    </row>
    <row r="7" spans="1:5">
      <c r="A7" s="2" t="s">
        <v>93</v>
      </c>
      <c r="B7" s="2" t="s">
        <v>340</v>
      </c>
      <c r="C7" s="2" t="s">
        <v>427</v>
      </c>
      <c r="D7" s="2" t="s">
        <v>417</v>
      </c>
      <c r="E7" s="2" t="s">
        <v>428</v>
      </c>
    </row>
    <row r="8" spans="1:5">
      <c r="A8" s="2" t="s">
        <v>102</v>
      </c>
      <c r="B8" s="2" t="s">
        <v>346</v>
      </c>
      <c r="C8" s="2" t="s">
        <v>429</v>
      </c>
      <c r="D8" s="2" t="s">
        <v>417</v>
      </c>
      <c r="E8" s="2" t="s">
        <v>418</v>
      </c>
    </row>
    <row r="9" spans="1:5">
      <c r="A9" s="2" t="s">
        <v>109</v>
      </c>
      <c r="B9" s="2" t="s">
        <v>352</v>
      </c>
      <c r="C9" s="2" t="s">
        <v>430</v>
      </c>
      <c r="D9" s="2" t="s">
        <v>417</v>
      </c>
      <c r="E9" s="2" t="s">
        <v>418</v>
      </c>
    </row>
    <row r="10" spans="1:5">
      <c r="A10" s="2" t="s">
        <v>431</v>
      </c>
      <c r="B10" s="2" t="s">
        <v>352</v>
      </c>
      <c r="C10" s="2" t="s">
        <v>432</v>
      </c>
      <c r="D10" s="2" t="s">
        <v>433</v>
      </c>
      <c r="E10" s="2" t="s">
        <v>424</v>
      </c>
    </row>
    <row r="11" spans="1:5">
      <c r="A11" s="2" t="s">
        <v>116</v>
      </c>
      <c r="B11" s="2" t="s">
        <v>358</v>
      </c>
      <c r="C11" s="2" t="s">
        <v>434</v>
      </c>
      <c r="D11" s="2" t="s">
        <v>417</v>
      </c>
      <c r="E11" s="2" t="s">
        <v>418</v>
      </c>
    </row>
    <row r="12" spans="1:5">
      <c r="A12" s="2" t="s">
        <v>123</v>
      </c>
      <c r="B12" s="2" t="s">
        <v>364</v>
      </c>
      <c r="C12" s="2" t="s">
        <v>435</v>
      </c>
      <c r="D12" s="2" t="s">
        <v>417</v>
      </c>
      <c r="E12" s="2" t="s">
        <v>436</v>
      </c>
    </row>
    <row r="13" spans="1:5">
      <c r="A13" s="2" t="s">
        <v>131</v>
      </c>
      <c r="B13" s="2" t="s">
        <v>370</v>
      </c>
      <c r="C13" s="2" t="s">
        <v>437</v>
      </c>
      <c r="D13" s="2" t="s">
        <v>417</v>
      </c>
      <c r="E13" s="2" t="s">
        <v>436</v>
      </c>
    </row>
    <row r="14" spans="1:5">
      <c r="A14" s="2" t="s">
        <v>138</v>
      </c>
      <c r="B14" s="2" t="s">
        <v>376</v>
      </c>
      <c r="C14" s="2" t="s">
        <v>438</v>
      </c>
      <c r="D14" s="2" t="s">
        <v>417</v>
      </c>
      <c r="E14" s="2" t="s">
        <v>436</v>
      </c>
    </row>
    <row r="15" spans="1:5">
      <c r="A15" s="2" t="s">
        <v>439</v>
      </c>
      <c r="B15" s="2" t="s">
        <v>376</v>
      </c>
      <c r="C15" s="2" t="s">
        <v>440</v>
      </c>
      <c r="D15" s="2" t="s">
        <v>441</v>
      </c>
      <c r="E15" s="2" t="s">
        <v>424</v>
      </c>
    </row>
    <row r="16" spans="1:5">
      <c r="A16" s="2" t="s">
        <v>145</v>
      </c>
      <c r="B16" s="2" t="s">
        <v>382</v>
      </c>
      <c r="C16" s="2" t="s">
        <v>442</v>
      </c>
      <c r="D16" s="2" t="s">
        <v>417</v>
      </c>
      <c r="E16" s="2" t="s">
        <v>436</v>
      </c>
    </row>
    <row r="17" spans="1:5">
      <c r="A17" s="2" t="s">
        <v>152</v>
      </c>
      <c r="B17" s="2" t="s">
        <v>388</v>
      </c>
      <c r="C17" s="2" t="s">
        <v>443</v>
      </c>
      <c r="D17" s="2" t="s">
        <v>417</v>
      </c>
      <c r="E17" s="2" t="s">
        <v>444</v>
      </c>
    </row>
    <row r="18" spans="1:5">
      <c r="A18" s="2" t="s">
        <v>160</v>
      </c>
      <c r="B18" s="2" t="s">
        <v>394</v>
      </c>
      <c r="C18" s="2" t="s">
        <v>445</v>
      </c>
      <c r="D18" s="2" t="s">
        <v>417</v>
      </c>
      <c r="E18" s="2" t="s">
        <v>444</v>
      </c>
    </row>
    <row r="19" spans="1:5">
      <c r="A19" s="2" t="s">
        <v>167</v>
      </c>
      <c r="B19" s="2" t="s">
        <v>400</v>
      </c>
      <c r="C19" s="2" t="s">
        <v>446</v>
      </c>
      <c r="D19" s="2" t="s">
        <v>417</v>
      </c>
      <c r="E19" s="2" t="s">
        <v>444</v>
      </c>
    </row>
    <row r="20" spans="1:5">
      <c r="A20" s="2" t="s">
        <v>447</v>
      </c>
      <c r="B20" s="2" t="s">
        <v>400</v>
      </c>
      <c r="C20" s="2" t="s">
        <v>448</v>
      </c>
      <c r="D20" s="2" t="s">
        <v>449</v>
      </c>
      <c r="E20" s="2" t="s">
        <v>424</v>
      </c>
    </row>
    <row r="21" spans="1:5">
      <c r="A21" s="2" t="s">
        <v>174</v>
      </c>
      <c r="B21" s="2" t="s">
        <v>406</v>
      </c>
      <c r="C21" s="2" t="s">
        <v>450</v>
      </c>
      <c r="D21" s="2" t="s">
        <v>417</v>
      </c>
      <c r="E21" s="2" t="s">
        <v>444</v>
      </c>
    </row>
  </sheetData>
  <autoFilter ref="A1:E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45.7109375" customWidth="1"/>
    <col min="3" max="3" width="85.7109375" customWidth="1"/>
    <col min="4" max="4" width="75.7109375" customWidth="1"/>
    <col min="5" max="5" width="18.7109375" customWidth="1"/>
    <col min="6" max="7" width="35.7109375" customWidth="1"/>
    <col min="8" max="9" width="75.7109375" customWidth="1"/>
  </cols>
  <sheetData>
    <row r="1" spans="1:9" ht="32" customHeight="1">
      <c r="A1" s="1" t="s">
        <v>28</v>
      </c>
      <c r="B1" s="1" t="s">
        <v>451</v>
      </c>
      <c r="C1" s="1" t="s">
        <v>452</v>
      </c>
      <c r="D1" s="1" t="s">
        <v>453</v>
      </c>
      <c r="E1" s="1" t="s">
        <v>40</v>
      </c>
      <c r="F1" s="1" t="s">
        <v>454</v>
      </c>
      <c r="G1" s="1" t="s">
        <v>455</v>
      </c>
      <c r="H1" s="1" t="s">
        <v>456</v>
      </c>
      <c r="I1" s="1" t="s">
        <v>457</v>
      </c>
    </row>
    <row r="2" spans="1:9">
      <c r="A2" s="2" t="s">
        <v>458</v>
      </c>
      <c r="B2" s="2" t="s">
        <v>459</v>
      </c>
      <c r="C2" s="2" t="s">
        <v>460</v>
      </c>
      <c r="D2" s="2" t="s">
        <v>461</v>
      </c>
      <c r="E2" s="2" t="s">
        <v>462</v>
      </c>
      <c r="F2" s="2" t="s">
        <v>93</v>
      </c>
      <c r="G2" s="2"/>
      <c r="H2" s="2" t="s">
        <v>463</v>
      </c>
      <c r="I2" s="2" t="s">
        <v>464</v>
      </c>
    </row>
    <row r="3" spans="1:9">
      <c r="A3" s="2" t="s">
        <v>465</v>
      </c>
      <c r="B3" s="2" t="s">
        <v>466</v>
      </c>
      <c r="C3" s="2" t="s">
        <v>467</v>
      </c>
      <c r="D3" s="2" t="s">
        <v>468</v>
      </c>
      <c r="E3" s="2" t="s">
        <v>462</v>
      </c>
      <c r="F3" s="2" t="s">
        <v>469</v>
      </c>
      <c r="G3" s="2"/>
      <c r="H3" s="2" t="s">
        <v>463</v>
      </c>
      <c r="I3" s="2" t="s">
        <v>470</v>
      </c>
    </row>
    <row r="4" spans="1:9">
      <c r="A4" s="2" t="s">
        <v>471</v>
      </c>
      <c r="B4" s="2" t="s">
        <v>472</v>
      </c>
      <c r="C4" s="2" t="s">
        <v>473</v>
      </c>
      <c r="D4" s="2" t="s">
        <v>474</v>
      </c>
      <c r="E4" s="2" t="s">
        <v>462</v>
      </c>
      <c r="F4" s="2" t="s">
        <v>475</v>
      </c>
      <c r="G4" s="2"/>
      <c r="H4" s="2" t="s">
        <v>463</v>
      </c>
      <c r="I4" s="2" t="s">
        <v>476</v>
      </c>
    </row>
    <row r="5" spans="1:9">
      <c r="A5" s="2" t="s">
        <v>477</v>
      </c>
      <c r="B5" s="2" t="s">
        <v>478</v>
      </c>
      <c r="C5" s="2" t="s">
        <v>479</v>
      </c>
      <c r="D5" s="2" t="s">
        <v>480</v>
      </c>
      <c r="E5" s="2" t="s">
        <v>462</v>
      </c>
      <c r="F5" s="2" t="s">
        <v>481</v>
      </c>
      <c r="G5" s="2"/>
      <c r="H5" s="2" t="s">
        <v>463</v>
      </c>
      <c r="I5" s="2" t="s">
        <v>482</v>
      </c>
    </row>
  </sheetData>
  <autoFilter ref="A1:I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8.7109375" customWidth="1"/>
  </cols>
  <sheetData>
    <row r="1" spans="1:10" ht="32" customHeight="1">
      <c r="A1" s="1" t="s">
        <v>28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40</v>
      </c>
      <c r="H1" s="1" t="s">
        <v>488</v>
      </c>
      <c r="I1" s="1" t="s">
        <v>30</v>
      </c>
      <c r="J1" s="1" t="s">
        <v>489</v>
      </c>
    </row>
  </sheetData>
  <autoFilter ref="A1:J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  <col min="3" max="3" width="75.7109375" customWidth="1"/>
    <col min="4" max="4" width="70.7109375" customWidth="1"/>
    <col min="5" max="5" width="30.7109375" customWidth="1"/>
    <col min="6" max="6" width="75.7109375" customWidth="1"/>
  </cols>
  <sheetData>
    <row r="1" spans="1:6" ht="32" customHeight="1">
      <c r="A1" s="1" t="s">
        <v>28</v>
      </c>
      <c r="B1" s="1" t="s">
        <v>483</v>
      </c>
      <c r="C1" s="1" t="s">
        <v>490</v>
      </c>
      <c r="D1" s="1" t="s">
        <v>491</v>
      </c>
      <c r="E1" s="1" t="s">
        <v>492</v>
      </c>
      <c r="F1" s="1" t="s">
        <v>493</v>
      </c>
    </row>
  </sheetData>
  <autoFilter ref="A1:F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2" width="28.7109375" customWidth="1"/>
  </cols>
  <sheetData>
    <row r="1" spans="1:12" ht="32" customHeight="1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56</v>
      </c>
      <c r="G1" s="1" t="s">
        <v>59</v>
      </c>
      <c r="H1" s="1" t="s">
        <v>63</v>
      </c>
      <c r="I1" s="1" t="s">
        <v>499</v>
      </c>
      <c r="J1" s="1" t="s">
        <v>500</v>
      </c>
      <c r="K1" s="1" t="s">
        <v>501</v>
      </c>
      <c r="L1" s="1" t="s">
        <v>502</v>
      </c>
    </row>
    <row r="2" spans="1:12">
      <c r="A2" s="2" t="s">
        <v>503</v>
      </c>
      <c r="B2" s="2" t="s">
        <v>49</v>
      </c>
      <c r="C2" s="2" t="s">
        <v>52</v>
      </c>
      <c r="D2" s="2" t="s">
        <v>504</v>
      </c>
      <c r="E2" s="2" t="s">
        <v>505</v>
      </c>
      <c r="F2" s="2">
        <v>23051701484.6</v>
      </c>
      <c r="G2" s="2">
        <v>18949696156.7</v>
      </c>
      <c r="H2" s="2">
        <v>72627365266.66</v>
      </c>
      <c r="I2" s="2" t="s">
        <v>506</v>
      </c>
      <c r="J2" s="2" t="s">
        <v>11</v>
      </c>
      <c r="K2" s="2" t="s">
        <v>48</v>
      </c>
      <c r="L2" s="2" t="s">
        <v>318</v>
      </c>
    </row>
    <row r="3" spans="1:12">
      <c r="A3" s="2" t="s">
        <v>507</v>
      </c>
      <c r="B3" s="2" t="s">
        <v>49</v>
      </c>
      <c r="C3" s="2" t="s">
        <v>68</v>
      </c>
      <c r="D3" s="2" t="s">
        <v>508</v>
      </c>
      <c r="E3" s="2" t="s">
        <v>505</v>
      </c>
      <c r="F3" s="2">
        <v>31605490020.32</v>
      </c>
      <c r="G3" s="2">
        <v>26257211896.71</v>
      </c>
      <c r="H3" s="2">
        <v>93592652122.38</v>
      </c>
      <c r="I3" s="2" t="s">
        <v>506</v>
      </c>
      <c r="J3" s="2" t="s">
        <v>11</v>
      </c>
      <c r="K3" s="2" t="s">
        <v>48</v>
      </c>
      <c r="L3" s="2" t="s">
        <v>324</v>
      </c>
    </row>
    <row r="4" spans="1:12">
      <c r="A4" s="2" t="s">
        <v>509</v>
      </c>
      <c r="B4" s="2" t="s">
        <v>49</v>
      </c>
      <c r="C4" s="2" t="s">
        <v>77</v>
      </c>
      <c r="D4" s="2" t="s">
        <v>510</v>
      </c>
      <c r="E4" s="2" t="s">
        <v>505</v>
      </c>
      <c r="F4" s="2">
        <v>35391817095.44</v>
      </c>
      <c r="G4" s="2">
        <v>29020131352.84</v>
      </c>
      <c r="H4" s="2">
        <v>107839685095.13</v>
      </c>
      <c r="I4" s="2" t="s">
        <v>506</v>
      </c>
      <c r="J4" s="2" t="s">
        <v>11</v>
      </c>
      <c r="K4" s="2" t="s">
        <v>48</v>
      </c>
      <c r="L4" s="2" t="s">
        <v>330</v>
      </c>
    </row>
    <row r="5" spans="1:12">
      <c r="A5" s="2" t="s">
        <v>511</v>
      </c>
      <c r="B5" s="2" t="s">
        <v>49</v>
      </c>
      <c r="C5" s="2" t="s">
        <v>86</v>
      </c>
      <c r="D5" s="2" t="s">
        <v>512</v>
      </c>
      <c r="E5" s="2" t="s">
        <v>505</v>
      </c>
      <c r="F5" s="2">
        <v>45070461822.87</v>
      </c>
      <c r="G5" s="2">
        <v>37780369237.62</v>
      </c>
      <c r="H5" s="2">
        <v>127214519738.62</v>
      </c>
      <c r="I5" s="2" t="s">
        <v>506</v>
      </c>
      <c r="J5" s="2" t="s">
        <v>11</v>
      </c>
      <c r="K5" s="2" t="s">
        <v>48</v>
      </c>
      <c r="L5" s="2" t="s">
        <v>336</v>
      </c>
    </row>
    <row r="6" spans="1:12">
      <c r="A6" s="2" t="s">
        <v>513</v>
      </c>
      <c r="B6" s="2" t="s">
        <v>94</v>
      </c>
      <c r="C6" s="2" t="s">
        <v>68</v>
      </c>
      <c r="D6" s="2" t="s">
        <v>514</v>
      </c>
      <c r="E6" s="2" t="s">
        <v>505</v>
      </c>
      <c r="F6" s="2">
        <v>48783587175.86</v>
      </c>
      <c r="G6" s="2">
        <v>40473296810.6</v>
      </c>
      <c r="H6" s="2">
        <v>94355337998.71001</v>
      </c>
      <c r="I6" s="2" t="s">
        <v>506</v>
      </c>
      <c r="J6" s="2" t="s">
        <v>11</v>
      </c>
      <c r="K6" s="2" t="s">
        <v>48</v>
      </c>
      <c r="L6" s="2" t="s">
        <v>348</v>
      </c>
    </row>
    <row r="7" spans="1:12">
      <c r="A7" s="2" t="s">
        <v>515</v>
      </c>
      <c r="B7" s="2" t="s">
        <v>94</v>
      </c>
      <c r="C7" s="2" t="s">
        <v>77</v>
      </c>
      <c r="D7" s="2" t="s">
        <v>516</v>
      </c>
      <c r="E7" s="2" t="s">
        <v>505</v>
      </c>
      <c r="F7" s="2">
        <v>48614556525.09</v>
      </c>
      <c r="G7" s="2">
        <v>40149208233.59</v>
      </c>
      <c r="H7" s="2">
        <v>100890624125.27</v>
      </c>
      <c r="I7" s="2" t="s">
        <v>506</v>
      </c>
      <c r="J7" s="2" t="s">
        <v>11</v>
      </c>
      <c r="K7" s="2" t="s">
        <v>48</v>
      </c>
      <c r="L7" s="2" t="s">
        <v>354</v>
      </c>
    </row>
    <row r="8" spans="1:12">
      <c r="A8" s="2" t="s">
        <v>517</v>
      </c>
      <c r="B8" s="2" t="s">
        <v>94</v>
      </c>
      <c r="C8" s="2" t="s">
        <v>86</v>
      </c>
      <c r="D8" s="2" t="s">
        <v>518</v>
      </c>
      <c r="E8" s="2" t="s">
        <v>505</v>
      </c>
      <c r="F8" s="2">
        <v>61469630776.09</v>
      </c>
      <c r="G8" s="2">
        <v>51528491525.28</v>
      </c>
      <c r="H8" s="2">
        <v>125542296569.58</v>
      </c>
      <c r="I8" s="2" t="s">
        <v>506</v>
      </c>
      <c r="J8" s="2" t="s">
        <v>11</v>
      </c>
      <c r="K8" s="2" t="s">
        <v>48</v>
      </c>
      <c r="L8" s="2" t="s">
        <v>360</v>
      </c>
    </row>
    <row r="9" spans="1:12">
      <c r="A9" s="2" t="s">
        <v>519</v>
      </c>
      <c r="B9" s="2" t="s">
        <v>124</v>
      </c>
      <c r="C9" s="2" t="s">
        <v>52</v>
      </c>
      <c r="D9" s="2" t="s">
        <v>520</v>
      </c>
      <c r="E9" s="2" t="s">
        <v>505</v>
      </c>
      <c r="F9" s="2">
        <v>52162269313.89</v>
      </c>
      <c r="G9" s="2">
        <v>44942949296.33</v>
      </c>
      <c r="H9" s="2">
        <v>74494462459.10001</v>
      </c>
      <c r="I9" s="2" t="s">
        <v>506</v>
      </c>
      <c r="J9" s="2" t="s">
        <v>11</v>
      </c>
      <c r="K9" s="2" t="s">
        <v>48</v>
      </c>
      <c r="L9" s="2" t="s">
        <v>366</v>
      </c>
    </row>
    <row r="10" spans="1:12">
      <c r="A10" s="2" t="s">
        <v>521</v>
      </c>
      <c r="B10" s="2" t="s">
        <v>124</v>
      </c>
      <c r="C10" s="2" t="s">
        <v>68</v>
      </c>
      <c r="D10" s="2" t="s">
        <v>522</v>
      </c>
      <c r="E10" s="2" t="s">
        <v>505</v>
      </c>
      <c r="F10" s="2">
        <v>47862226994.24</v>
      </c>
      <c r="G10" s="2">
        <v>40876301967.08</v>
      </c>
      <c r="H10" s="2">
        <v>79261259472.63</v>
      </c>
      <c r="I10" s="2" t="s">
        <v>506</v>
      </c>
      <c r="J10" s="2" t="s">
        <v>11</v>
      </c>
      <c r="K10" s="2" t="s">
        <v>48</v>
      </c>
      <c r="L10" s="2" t="s">
        <v>372</v>
      </c>
    </row>
    <row r="11" spans="1:12">
      <c r="A11" s="2" t="s">
        <v>523</v>
      </c>
      <c r="B11" s="2" t="s">
        <v>124</v>
      </c>
      <c r="C11" s="2" t="s">
        <v>77</v>
      </c>
      <c r="D11" s="2" t="s">
        <v>524</v>
      </c>
      <c r="E11" s="2" t="s">
        <v>505</v>
      </c>
      <c r="F11" s="2">
        <v>56020634117.81</v>
      </c>
      <c r="G11" s="2">
        <v>47518996934.9</v>
      </c>
      <c r="H11" s="2">
        <v>87322726522.33</v>
      </c>
      <c r="I11" s="2" t="s">
        <v>506</v>
      </c>
      <c r="J11" s="2" t="s">
        <v>11</v>
      </c>
      <c r="K11" s="2" t="s">
        <v>48</v>
      </c>
      <c r="L11" s="2" t="s">
        <v>378</v>
      </c>
    </row>
    <row r="12" spans="1:12">
      <c r="A12" s="2" t="s">
        <v>525</v>
      </c>
      <c r="B12" s="2" t="s">
        <v>124</v>
      </c>
      <c r="C12" s="2" t="s">
        <v>86</v>
      </c>
      <c r="D12" s="2" t="s">
        <v>526</v>
      </c>
      <c r="E12" s="2" t="s">
        <v>505</v>
      </c>
      <c r="F12" s="2">
        <v>63246252072.73</v>
      </c>
      <c r="G12" s="2">
        <v>54429259848.68</v>
      </c>
      <c r="H12" s="2">
        <v>108072225016.49</v>
      </c>
      <c r="I12" s="2" t="s">
        <v>506</v>
      </c>
      <c r="J12" s="2" t="s">
        <v>11</v>
      </c>
      <c r="K12" s="2" t="s">
        <v>48</v>
      </c>
      <c r="L12" s="2" t="s">
        <v>384</v>
      </c>
    </row>
    <row r="13" spans="1:12">
      <c r="A13" s="2" t="s">
        <v>527</v>
      </c>
      <c r="B13" s="2" t="s">
        <v>153</v>
      </c>
      <c r="C13" s="2" t="s">
        <v>52</v>
      </c>
      <c r="D13" s="2" t="s">
        <v>528</v>
      </c>
      <c r="E13" s="2" t="s">
        <v>505</v>
      </c>
      <c r="F13" s="2">
        <v>328593987500</v>
      </c>
      <c r="G13" s="2">
        <v>262049609200</v>
      </c>
      <c r="H13" s="2">
        <v>600952351900</v>
      </c>
      <c r="I13" s="2" t="s">
        <v>506</v>
      </c>
      <c r="J13" s="2" t="s">
        <v>11</v>
      </c>
      <c r="K13" s="2" t="s">
        <v>48</v>
      </c>
      <c r="L13" s="2" t="s">
        <v>390</v>
      </c>
    </row>
    <row r="14" spans="1:12">
      <c r="A14" s="2" t="s">
        <v>529</v>
      </c>
      <c r="B14" s="2" t="s">
        <v>153</v>
      </c>
      <c r="C14" s="2" t="s">
        <v>68</v>
      </c>
      <c r="D14" s="2" t="s">
        <v>530</v>
      </c>
      <c r="E14" s="2" t="s">
        <v>505</v>
      </c>
      <c r="F14" s="2">
        <v>400917044900</v>
      </c>
      <c r="G14" s="2">
        <v>309070434000</v>
      </c>
      <c r="H14" s="2">
        <v>717168041100</v>
      </c>
      <c r="I14" s="2" t="s">
        <v>506</v>
      </c>
      <c r="J14" s="2" t="s">
        <v>11</v>
      </c>
      <c r="K14" s="2" t="s">
        <v>48</v>
      </c>
      <c r="L14" s="2" t="s">
        <v>396</v>
      </c>
    </row>
    <row r="15" spans="1:12">
      <c r="A15" s="2" t="s">
        <v>531</v>
      </c>
      <c r="B15" s="2" t="s">
        <v>153</v>
      </c>
      <c r="C15" s="2" t="s">
        <v>77</v>
      </c>
      <c r="D15" s="2" t="s">
        <v>532</v>
      </c>
      <c r="E15" s="2" t="s">
        <v>505</v>
      </c>
      <c r="F15" s="2">
        <v>362012554000</v>
      </c>
      <c r="G15" s="2">
        <v>273518959000</v>
      </c>
      <c r="H15" s="2">
        <v>786658123000</v>
      </c>
      <c r="I15" s="2" t="s">
        <v>506</v>
      </c>
      <c r="J15" s="2" t="s">
        <v>11</v>
      </c>
      <c r="K15" s="2" t="s">
        <v>48</v>
      </c>
      <c r="L15" s="2" t="s">
        <v>402</v>
      </c>
    </row>
    <row r="16" spans="1:12">
      <c r="A16" s="2" t="s">
        <v>533</v>
      </c>
      <c r="B16" s="2" t="s">
        <v>153</v>
      </c>
      <c r="C16" s="2" t="s">
        <v>86</v>
      </c>
      <c r="D16" s="2" t="s">
        <v>534</v>
      </c>
      <c r="E16" s="2" t="s">
        <v>505</v>
      </c>
      <c r="F16" s="2">
        <v>423701834000</v>
      </c>
      <c r="G16" s="2">
        <v>312383297000</v>
      </c>
      <c r="H16" s="2">
        <v>974827544000</v>
      </c>
      <c r="I16" s="2" t="s">
        <v>506</v>
      </c>
      <c r="J16" s="2" t="s">
        <v>11</v>
      </c>
      <c r="K16" s="2" t="s">
        <v>48</v>
      </c>
      <c r="L16" s="2" t="s">
        <v>408</v>
      </c>
    </row>
  </sheetData>
  <autoFilter ref="A1:L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8" width="28.7109375" customWidth="1"/>
  </cols>
  <sheetData>
    <row r="1" spans="1:8" ht="32" customHeight="1">
      <c r="A1" s="1" t="s">
        <v>535</v>
      </c>
      <c r="B1" s="1" t="s">
        <v>536</v>
      </c>
      <c r="C1" s="1" t="s">
        <v>537</v>
      </c>
      <c r="D1" s="1" t="s">
        <v>4</v>
      </c>
      <c r="E1" s="1" t="s">
        <v>538</v>
      </c>
      <c r="F1" s="1" t="s">
        <v>539</v>
      </c>
      <c r="G1" s="1" t="s">
        <v>540</v>
      </c>
      <c r="H1" s="1" t="s">
        <v>541</v>
      </c>
    </row>
    <row r="2" spans="1:8">
      <c r="A2" s="2" t="s">
        <v>153</v>
      </c>
      <c r="B2" s="2" t="s">
        <v>533</v>
      </c>
      <c r="C2" s="2" t="s">
        <v>534</v>
      </c>
      <c r="D2" s="2" t="s">
        <v>505</v>
      </c>
      <c r="E2" s="4">
        <f>IFERROR(IF(AND(COUNT('Q1Records'!F16:G16)=2,'Q1Records'!F16&gt;0),('Q1Records'!F16-'Q1Records'!G16)/'Q1Records'!F16,NA()),NA())</f>
        <v>0.26272847570445024</v>
      </c>
      <c r="F2" s="4">
        <f>IF(AND(COUNT('Q1Records'!F16:H16)=3,'Q1Records'!H16&gt;0),('Q1Records'!F16-'Q1Records'!G16)/'Q1Records'!H16,NA())</f>
        <v>0.11419305669516454</v>
      </c>
      <c r="G2" s="4">
        <f>IF(ISNUMBER(F2),IFERROR((COUNTIF(F$2:F$5,"&lt;"&amp;F2)+(COUNTIF(F$2:F$5,F2)+1)/2)/COUNT(F$2:F$5),NA()),NA())</f>
        <v>1.0</v>
      </c>
      <c r="H2" s="3">
        <f>COUNT(F$2:F$5)</f>
        <v>4</v>
      </c>
    </row>
    <row r="3" spans="1:8">
      <c r="A3" s="2" t="s">
        <v>94</v>
      </c>
      <c r="B3" s="2" t="s">
        <v>517</v>
      </c>
      <c r="C3" s="2" t="s">
        <v>518</v>
      </c>
      <c r="D3" s="2" t="s">
        <v>505</v>
      </c>
      <c r="E3" s="4">
        <f>IFERROR(IF(AND(COUNT('Q1Records'!F8:G8)=2,'Q1Records'!F8&gt;0),('Q1Records'!F8-'Q1Records'!G8)/'Q1Records'!F8,NA()),NA())</f>
        <v>0.1617244015507708</v>
      </c>
      <c r="F3" s="4">
        <f>IF(AND(COUNT('Q1Records'!F8:H8)=3,'Q1Records'!H8&gt;0),('Q1Records'!F8-'Q1Records'!G8)/'Q1Records'!H8,NA())</f>
        <v>0.07918557747030114</v>
      </c>
      <c r="G3" s="4">
        <f>IF(ISNUMBER(F3),IFERROR((COUNTIF(F$2:F$5,"&lt;"&amp;F3)+(COUNTIF(F$2:F$5,F3)+1)/2)/COUNT(F$2:F$5),NA()),NA())</f>
        <v>0.5</v>
      </c>
      <c r="H3" s="3">
        <f>COUNT(F$2:F$5)</f>
        <v>4</v>
      </c>
    </row>
    <row r="4" spans="1:8">
      <c r="A4" s="2" t="s">
        <v>124</v>
      </c>
      <c r="B4" s="2" t="s">
        <v>525</v>
      </c>
      <c r="C4" s="2" t="s">
        <v>526</v>
      </c>
      <c r="D4" s="2" t="s">
        <v>505</v>
      </c>
      <c r="E4" s="4">
        <f>IFERROR(IF(AND(COUNT('Q1Records'!F12:G12)=2,'Q1Records'!F12&gt;0),('Q1Records'!F12-'Q1Records'!G12)/'Q1Records'!F12,NA()),NA())</f>
        <v>0.13940734723554696</v>
      </c>
      <c r="F4" s="4">
        <f>IF(AND(COUNT('Q1Records'!F12:H12)=3,'Q1Records'!H12&gt;0),('Q1Records'!F12-'Q1Records'!G12)/'Q1Records'!H12,NA())</f>
        <v>0.08158425740475574</v>
      </c>
      <c r="G4" s="4">
        <f>IF(ISNUMBER(F4),IFERROR((COUNTIF(F$2:F$5,"&lt;"&amp;F4)+(COUNTIF(F$2:F$5,F4)+1)/2)/COUNT(F$2:F$5),NA()),NA())</f>
        <v>0.75</v>
      </c>
      <c r="H4" s="3">
        <f>COUNT(F$2:F$5)</f>
        <v>4</v>
      </c>
    </row>
    <row r="5" spans="1:8">
      <c r="A5" s="2" t="s">
        <v>49</v>
      </c>
      <c r="B5" s="2" t="s">
        <v>511</v>
      </c>
      <c r="C5" s="2" t="s">
        <v>512</v>
      </c>
      <c r="D5" s="2" t="s">
        <v>505</v>
      </c>
      <c r="E5" s="4">
        <f>IFERROR(IF(AND(COUNT('Q1Records'!F5:G5)=2,'Q1Records'!F5&gt;0),('Q1Records'!F5-'Q1Records'!G5)/'Q1Records'!F5,NA()),NA())</f>
        <v>0.16174878823963604</v>
      </c>
      <c r="F5" s="4">
        <f>IF(AND(COUNT('Q1Records'!F5:H5)=3,'Q1Records'!H5&gt;0),('Q1Records'!F5-'Q1Records'!G5)/'Q1Records'!H5,NA())</f>
        <v>0.057305507266218615</v>
      </c>
      <c r="G5" s="4">
        <f>IF(ISNUMBER(F5),IFERROR((COUNTIF(F$2:F$5,"&lt;"&amp;F5)+(COUNTIF(F$2:F$5,F5)+1)/2)/COUNT(F$2:F$5),NA()),NA())</f>
        <v>0.25</v>
      </c>
      <c r="H5" s="3">
        <f>COUNT(F$2:F$5)</f>
        <v>4</v>
      </c>
    </row>
  </sheetData>
  <autoFilter ref="A1:H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5" width="28.7109375" customWidth="1"/>
  </cols>
  <sheetData>
    <row r="1" spans="1:5" ht="32" customHeight="1">
      <c r="A1" s="1" t="s">
        <v>535</v>
      </c>
      <c r="B1" s="1" t="s">
        <v>542</v>
      </c>
      <c r="C1" s="1" t="s">
        <v>543</v>
      </c>
      <c r="D1" s="1" t="s">
        <v>544</v>
      </c>
      <c r="E1" s="1" t="s">
        <v>545</v>
      </c>
    </row>
    <row r="2" spans="1:5">
      <c r="A2" s="2" t="s">
        <v>153</v>
      </c>
      <c r="B2" s="2" t="s">
        <v>527</v>
      </c>
      <c r="C2" s="2" t="s">
        <v>529</v>
      </c>
      <c r="D2" s="4">
        <f>IF(AND(COUNT('Q1Records'!F13:G13)=2,'Q1Records'!F13&gt;0),('Q1Records'!F13-'Q1Records'!G13)/'Q1Records'!F13,NA())</f>
        <v>0.20251246471757187</v>
      </c>
      <c r="E2" s="4">
        <f>IF(AND(COUNT('Q1Records'!F14:G14)=2,'Q1Records'!F14&gt;0),('Q1Records'!F14-'Q1Records'!G14)/'Q1Records'!F14,NA())</f>
        <v>0.2290913097069972</v>
      </c>
    </row>
    <row r="3" spans="1:5">
      <c r="A3" s="2" t="s">
        <v>124</v>
      </c>
      <c r="B3" s="2" t="s">
        <v>519</v>
      </c>
      <c r="C3" s="2" t="s">
        <v>521</v>
      </c>
      <c r="D3" s="4">
        <f>IF(AND(COUNT('Q1Records'!F9:G9)=2,'Q1Records'!F9&gt;0),('Q1Records'!F9-'Q1Records'!G9)/'Q1Records'!F9,NA())</f>
        <v>0.138401187534945</v>
      </c>
      <c r="E3" s="4">
        <f>IF(AND(COUNT('Q1Records'!F10:G10)=2,'Q1Records'!F10&gt;0),('Q1Records'!F10-'Q1Records'!G10)/'Q1Records'!F10,NA())</f>
        <v>0.1459590467447476</v>
      </c>
    </row>
    <row r="4" spans="1:5">
      <c r="A4" s="2" t="s">
        <v>49</v>
      </c>
      <c r="B4" s="2" t="s">
        <v>503</v>
      </c>
      <c r="C4" s="2" t="s">
        <v>507</v>
      </c>
      <c r="D4" s="4">
        <f>IF(AND(COUNT('Q1Records'!F2:G2)=2,'Q1Records'!F2&gt;0),('Q1Records'!F2-'Q1Records'!G2)/'Q1Records'!F2,NA())</f>
        <v>0.1779480499797552</v>
      </c>
      <c r="E4" s="4">
        <f>IF(AND(COUNT('Q1Records'!F3:G3)=2,'Q1Records'!F3&gt;0),('Q1Records'!F3-'Q1Records'!G3)/'Q1Records'!F3,NA())</f>
        <v>0.16921990831882222</v>
      </c>
    </row>
  </sheetData>
  <autoFilter ref="A1:E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2.7109375" customWidth="1"/>
    <col min="2" max="2" width="110.7109375" customWidth="1"/>
  </cols>
  <sheetData>
    <row r="1" spans="1:2" ht="32" customHeight="1">
      <c r="A1" s="1" t="s">
        <v>546</v>
      </c>
      <c r="B1" s="1" t="s">
        <v>547</v>
      </c>
    </row>
    <row r="2" spans="1:2">
      <c r="A2" s="2" t="s">
        <v>548</v>
      </c>
      <c r="B2" s="2">
        <v>3</v>
      </c>
    </row>
    <row r="3" spans="1:2">
      <c r="A3" s="2" t="s">
        <v>549</v>
      </c>
      <c r="B3" s="2">
        <v>4</v>
      </c>
    </row>
    <row r="4" spans="1:2">
      <c r="A4" s="2" t="s">
        <v>550</v>
      </c>
      <c r="B4" s="3">
        <f>IFERROR(INTERCEPT('Q1Train'!E2:E4,'Q1Train'!D2:D4),NA())</f>
        <v>-0.03127797699868451</v>
      </c>
    </row>
    <row r="5" spans="1:2">
      <c r="A5" s="2" t="s">
        <v>551</v>
      </c>
      <c r="B5" s="3">
        <f>IFERROR(SLOPE('Q1Train'!E2:E4,'Q1Train'!D2:D4),NA())</f>
        <v>1.2298155616830793</v>
      </c>
    </row>
    <row r="6" spans="1:2">
      <c r="A6" s="2" t="s">
        <v>552</v>
      </c>
      <c r="B6" s="4">
        <f>AVERAGE('Q1Test'!G2:G5)</f>
        <v>0.018024776601665057</v>
      </c>
    </row>
    <row r="7" spans="1:2">
      <c r="A7" s="2" t="s">
        <v>553</v>
      </c>
      <c r="B7" s="4">
        <f>AVERAGE('Q1Test'!H2:H5)</f>
        <v>0.015330676718785262</v>
      </c>
    </row>
    <row r="8" spans="1:2">
      <c r="A8" s="2" t="s">
        <v>554</v>
      </c>
      <c r="B8" s="2" t="s">
        <v>555</v>
      </c>
    </row>
    <row r="9" spans="1:2">
      <c r="A9" s="2" t="s">
        <v>556</v>
      </c>
      <c r="B9" s="2" t="s">
        <v>557</v>
      </c>
    </row>
  </sheetData>
  <autoFilter ref="A1:B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8.7109375" customWidth="1"/>
  </cols>
  <sheetData>
    <row r="1" spans="1:10" ht="32" customHeight="1">
      <c r="A1" s="1" t="s">
        <v>535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</row>
    <row r="2" spans="1:10">
      <c r="A2" s="2" t="s">
        <v>153</v>
      </c>
      <c r="B2" s="2" t="s">
        <v>531</v>
      </c>
      <c r="C2" s="2" t="s">
        <v>533</v>
      </c>
      <c r="D2" s="4">
        <f>IF(AND(COUNT('Q1Records'!F15:G15)=2,'Q1Records'!F15&gt;0),('Q1Records'!F15-'Q1Records'!G15)/'Q1Records'!F15,NA())</f>
        <v>0.2444489673692366</v>
      </c>
      <c r="E2" s="4">
        <f>IF(AND(COUNT('Q1Records'!F16:G16)=2,'Q1Records'!F16&gt;0),('Q1Records'!F16-'Q1Records'!G16)/'Q1Records'!F16,NA())</f>
        <v>0.26272847570445024</v>
      </c>
      <c r="F2" s="4">
        <f>'Q1Model'!B4+'Q1Model'!B5*D2</f>
        <v>0.2693491671093619</v>
      </c>
      <c r="G2" s="4">
        <f>ABS(F2-E2)</f>
        <v>0.006620691404911672</v>
      </c>
      <c r="H2" s="4">
        <f>ABS(D2-E2)</f>
        <v>0.018279508335213634</v>
      </c>
      <c r="I2" s="2" t="s">
        <v>532</v>
      </c>
      <c r="J2" s="2" t="s">
        <v>534</v>
      </c>
    </row>
    <row r="3" spans="1:10">
      <c r="A3" s="2" t="s">
        <v>94</v>
      </c>
      <c r="B3" s="2" t="s">
        <v>515</v>
      </c>
      <c r="C3" s="2" t="s">
        <v>517</v>
      </c>
      <c r="D3" s="4">
        <f>IF(AND(COUNT('Q1Records'!F7:G7)=2,'Q1Records'!F7&gt;0),('Q1Records'!F7-'Q1Records'!G7)/'Q1Records'!F7,NA())</f>
        <v>0.17413196574427312</v>
      </c>
      <c r="E3" s="4">
        <f>IF(AND(COUNT('Q1Records'!F8:G8)=2,'Q1Records'!F8&gt;0),('Q1Records'!F8-'Q1Records'!G8)/'Q1Records'!F8,NA())</f>
        <v>0.1617244015507708</v>
      </c>
      <c r="F3" s="4">
        <f>'Q1Model'!B4+'Q1Model'!B5*D3</f>
        <v>0.18287222426008745</v>
      </c>
      <c r="G3" s="4">
        <f>ABS(F3-E3)</f>
        <v>0.021147822709316644</v>
      </c>
      <c r="H3" s="4">
        <f>ABS(D3-E3)</f>
        <v>0.012407564193502307</v>
      </c>
      <c r="I3" s="2" t="s">
        <v>516</v>
      </c>
      <c r="J3" s="2" t="s">
        <v>518</v>
      </c>
    </row>
    <row r="4" spans="1:10">
      <c r="A4" s="2" t="s">
        <v>124</v>
      </c>
      <c r="B4" s="2" t="s">
        <v>523</v>
      </c>
      <c r="C4" s="2" t="s">
        <v>525</v>
      </c>
      <c r="D4" s="4">
        <f>IF(AND(COUNT('Q1Records'!F11:G11)=2,'Q1Records'!F11&gt;0),('Q1Records'!F11-'Q1Records'!G11)/'Q1Records'!F11,NA())</f>
        <v>0.1517590315923819</v>
      </c>
      <c r="E4" s="4">
        <f>IF(AND(COUNT('Q1Records'!F12:G12)=2,'Q1Records'!F12&gt;0),('Q1Records'!F12-'Q1Records'!G12)/'Q1Records'!F12,NA())</f>
        <v>0.13940734723554696</v>
      </c>
      <c r="F4" s="4">
        <f>'Q1Model'!B4+'Q1Model'!B5*D4</f>
        <v>0.15535764167958083</v>
      </c>
      <c r="G4" s="4">
        <f>ABS(F4-E4)</f>
        <v>0.01595029444403387</v>
      </c>
      <c r="H4" s="4">
        <f>ABS(D4-E4)</f>
        <v>0.012351684356834952</v>
      </c>
      <c r="I4" s="2" t="s">
        <v>524</v>
      </c>
      <c r="J4" s="2" t="s">
        <v>526</v>
      </c>
    </row>
    <row r="5" spans="1:10">
      <c r="A5" s="2" t="s">
        <v>49</v>
      </c>
      <c r="B5" s="2" t="s">
        <v>509</v>
      </c>
      <c r="C5" s="2" t="s">
        <v>511</v>
      </c>
      <c r="D5" s="4">
        <f>IF(AND(COUNT('Q1Records'!F4:G4)=2,'Q1Records'!F4&gt;0),('Q1Records'!F4-'Q1Records'!G4)/'Q1Records'!F4,NA())</f>
        <v>0.1800327382292262</v>
      </c>
      <c r="E5" s="4">
        <f>IF(AND(COUNT('Q1Records'!F5:G5)=2,'Q1Records'!F5&gt;0),('Q1Records'!F5-'Q1Records'!G5)/'Q1Records'!F5,NA())</f>
        <v>0.16174878823963604</v>
      </c>
      <c r="F5" s="4">
        <f>'Q1Model'!B4+'Q1Model'!B5*D5</f>
        <v>0.19012908608803408</v>
      </c>
      <c r="G5" s="4">
        <f>ABS(F5-E5)</f>
        <v>0.028380297848398045</v>
      </c>
      <c r="H5" s="4">
        <f>ABS(D5-E5)</f>
        <v>0.018283949989590154</v>
      </c>
      <c r="I5" s="2" t="s">
        <v>510</v>
      </c>
      <c r="J5" s="2" t="s">
        <v>512</v>
      </c>
    </row>
  </sheetData>
  <autoFilter ref="A1:J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45.7109375" customWidth="1"/>
    <col min="3" max="3" width="100.7109375" customWidth="1"/>
  </cols>
  <sheetData>
    <row r="1" spans="1:3" ht="32" customHeight="1">
      <c r="A1" s="1" t="s">
        <v>567</v>
      </c>
      <c r="B1" s="1" t="s">
        <v>568</v>
      </c>
      <c r="C1" s="1" t="s">
        <v>569</v>
      </c>
    </row>
    <row r="2" spans="1:3">
      <c r="A2" s="2" t="s">
        <v>570</v>
      </c>
      <c r="B2" s="2" t="s">
        <v>533</v>
      </c>
      <c r="C2" s="2" t="s">
        <v>571</v>
      </c>
    </row>
    <row r="3" spans="1:3">
      <c r="A3" s="2" t="s">
        <v>570</v>
      </c>
      <c r="B3" s="2" t="s">
        <v>517</v>
      </c>
      <c r="C3" s="2" t="s">
        <v>571</v>
      </c>
    </row>
    <row r="4" spans="1:3">
      <c r="A4" s="2" t="s">
        <v>570</v>
      </c>
      <c r="B4" s="2" t="s">
        <v>525</v>
      </c>
      <c r="C4" s="2" t="s">
        <v>571</v>
      </c>
    </row>
    <row r="5" spans="1:3">
      <c r="A5" s="2" t="s">
        <v>570</v>
      </c>
      <c r="B5" s="2" t="s">
        <v>511</v>
      </c>
      <c r="C5" s="2" t="s">
        <v>571</v>
      </c>
    </row>
    <row r="6" spans="1:3">
      <c r="A6" s="2" t="s">
        <v>572</v>
      </c>
      <c r="B6" s="2" t="s">
        <v>529</v>
      </c>
      <c r="C6" s="2" t="s">
        <v>573</v>
      </c>
    </row>
    <row r="7" spans="1:3">
      <c r="A7" s="2" t="s">
        <v>572</v>
      </c>
      <c r="B7" s="2" t="s">
        <v>521</v>
      </c>
      <c r="C7" s="2" t="s">
        <v>573</v>
      </c>
    </row>
    <row r="8" spans="1:3">
      <c r="A8" s="2" t="s">
        <v>572</v>
      </c>
      <c r="B8" s="2" t="s">
        <v>513</v>
      </c>
      <c r="C8" s="2" t="s">
        <v>573</v>
      </c>
    </row>
    <row r="9" spans="1:3">
      <c r="A9" s="2" t="s">
        <v>572</v>
      </c>
      <c r="B9" s="2" t="s">
        <v>507</v>
      </c>
      <c r="C9" s="2" t="s">
        <v>573</v>
      </c>
    </row>
  </sheetData>
  <autoFilter ref="A1:C9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10.7109375" customWidth="1"/>
  </cols>
  <sheetData>
    <row r="1" spans="1:2" ht="32" customHeight="1">
      <c r="A1" s="1" t="s">
        <v>574</v>
      </c>
      <c r="B1" s="1" t="s">
        <v>575</v>
      </c>
    </row>
    <row r="2" spans="1:2">
      <c r="A2" s="2" t="s">
        <v>576</v>
      </c>
      <c r="B2" s="2" t="s">
        <v>577</v>
      </c>
    </row>
    <row r="3" spans="1:2">
      <c r="A3" s="2" t="s">
        <v>578</v>
      </c>
      <c r="B3" s="2" t="s">
        <v>7</v>
      </c>
    </row>
    <row r="4" spans="1:2">
      <c r="A4" s="2" t="s">
        <v>579</v>
      </c>
      <c r="B4" s="2" t="s">
        <v>580</v>
      </c>
    </row>
    <row r="5" spans="1:2">
      <c r="A5" s="2" t="s">
        <v>581</v>
      </c>
      <c r="B5" s="2" t="s">
        <v>582</v>
      </c>
    </row>
    <row r="6" spans="1:2">
      <c r="A6" s="2" t="s">
        <v>583</v>
      </c>
      <c r="B6" s="2" t="s">
        <v>584</v>
      </c>
    </row>
    <row r="7" spans="1:2">
      <c r="A7" s="2" t="s">
        <v>585</v>
      </c>
      <c r="B7" s="2" t="s">
        <v>586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Facts</vt:lpstr>
      <vt:lpstr>Calculations</vt:lpstr>
      <vt:lpstr>Reconciliations</vt:lpstr>
      <vt:lpstr>Sources</vt:lpstr>
      <vt:lpstr>Evidence</vt:lpstr>
      <vt:lpstr>Findings</vt:lpstr>
      <vt:lpstr>Procedures</vt:lpstr>
      <vt:lpstr>Requests</vt:lpstr>
      <vt:lpstr>Q1Records</vt:lpstr>
      <vt:lpstr>Q1Peers</vt:lpstr>
      <vt:lpstr>Q1Train</vt:lpstr>
      <vt:lpstr>Q1Model</vt:lpstr>
      <vt:lpstr>Q1Test</vt:lpstr>
      <vt:lpstr>Q1Selection</vt:lpstr>
      <vt:lpstr>Quant1Notes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A股电池企业：原始披露与历史时点验证</dc:title>
  <dc:creator/>
  <dc:description>Workpaper real-disclosure-example-v1</dc:description>
  <cp:lastModifiedBy/>
  <dcterms:created xsi:type="dcterms:W3CDTF">2026-10-02T22:45:11Z</dcterms:created>
  <dcterms:modified xsi:type="dcterms:W3CDTF">2026-10-02T22:45:11Z</dcterms:modified>
</cp:coreProperties>
</file>