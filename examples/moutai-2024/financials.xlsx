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Raw" sheetId="2" r:id="rId2"/>
    <sheet name="Normalized" sheetId="3" r:id="rId3"/>
    <sheet name="Calculations" sheetId="4" r:id="rId4"/>
    <sheet name="Checks" sheetId="5" r:id="rId5"/>
    <sheet name="Sources" sheetId="6" r:id="rId6"/>
    <sheet name="Coverage" sheetId="7" r:id="rId7"/>
  </sheets>
  <calcPr calcId="124519" fullCalcOnLoad="1"/>
</workbook>
</file>

<file path=xl/sharedStrings.xml><?xml version="1.0" encoding="utf-8"?>
<sst xmlns="http://schemas.openxmlformats.org/spreadsheetml/2006/main" count="1505" uniqueCount="470">
  <si>
    <t>项目</t>
  </si>
  <si>
    <t>内容</t>
  </si>
  <si>
    <t>证据</t>
  </si>
  <si>
    <t>贵州茅台酒股份有限公司</t>
  </si>
  <si>
    <t>600519.SH | A-share | CAS | consolidated | 2024-12-31 | CNY | 亿元</t>
  </si>
  <si>
    <t>数值精度</t>
  </si>
  <si>
    <t>Excel数值使用浮点数；原始十进制文本保存在Raw中。货币计算列保留基础单位，Display列使用展示单位。</t>
  </si>
  <si>
    <t>主要发现</t>
  </si>
  <si>
    <t>披露事实 2024年营业收入1708.99亿元、归母净利润862.28亿元，均高于2023年。营业收入与包含利息收入的营业总收入1741.44亿元是不同口径。</t>
  </si>
  <si>
    <t>revenue_2024 [ar2024] PDF p. 63 / 印刷页 63，合并报表，2024年列，营业收入; revenue_2023 [ar2024] PDF p. 63 / 印刷页 63，合并报表，2023年列，营业收入; parent_net_income_2024 [ar2024] PDF p. 64 / 印刷页 64，合并报表，2024年列，归属于母公司股东的净利润; parent_net_income_2023 [ar2024] PDF p. 64 / 印刷页 64，合并报表，2023年列，归属于母公司股东的净利润; [business] 贵州茅台2024年年度报告：业务与经营变动 PDF p. 7-9 / 印刷页 7-9，管理层讨论与分析</t>
  </si>
  <si>
    <t>分析判断 经营现金流超过合并净利润，但现金增长包含财务公司归集成员单位资金的影响，不能据此独立认定酒业利润全部实现了现金回收。</t>
  </si>
  <si>
    <t>cfo_2024 [ar2024] PDF p. 67 / 印刷页 67，合并报表，2024年列，经营活动产生的现金流量净额; net_income_2024 [ar2024] PDF p. 64 / 印刷页 64，合并报表，2024年列，合并净利润; [business] 贵州茅台2024年年度报告：业务与经营变动 PDF p. 7-9 / 印刷页 7-9，管理层讨论与分析; [cashnote] 贵州茅台2024年年度报告：现金流量补充资料与现金构成 PDF p. 116-117 / 印刷页 116-117，附注七57; [related] 贵州茅台2024年年度报告：财务公司关联金融业务 PDF p. 131-132 / 印刷页 131-132，附注十四4(8)</t>
  </si>
  <si>
    <t>披露事实 无保留审计意见；收入确认、关联方及交易为关键审计事项。关键审计事项表示审计关注，并非造假结论。</t>
  </si>
  <si>
    <t>[audit] 贵州茅台2024年年度报告：审计报告 PDF p. 55-58 / 印刷页 55-58，天健审〔2025〕8-171号，2025-04-01</t>
  </si>
  <si>
    <t>业务与收入变化</t>
  </si>
  <si>
    <t>管理层表述 公司主营茅台酒及系列酒，使用批发代理和直销渠道；管理层将收入增长归因于销量增长及茅台酒主要产品价格调整。</t>
  </si>
  <si>
    <t>[business] 贵州茅台2024年年度报告：业务与经营变动 PDF p. 7-9 / 印刷页 7-9，管理层讨论与分析</t>
  </si>
  <si>
    <t>披露事实 2024年其他系列酒主营收入同比增长19.65%，茅台酒增长15.28%；直销增长11.32%，批发代理增长19.73%。这些为年报披露口径，不应替换合并营业收入增长率。</t>
  </si>
  <si>
    <t>现金、利润与资本支出</t>
  </si>
  <si>
    <t>披露事实 合并现金流量补充资料将净利润调节至经营现金流；其中存货增加调减79.08亿元，经营性应付项目增加调增80.66亿元。</t>
  </si>
  <si>
    <t>[cashnote] 贵州茅台2024年年度报告：现金流量补充资料与现金构成 PDF p. 116-117 / 印刷页 116-117，附注七57</t>
  </si>
  <si>
    <t>分析判断 CFO减资本支出可作为本例的简单现金余量指标，但包含财务公司业务现金流，也未扣除所有资本配置需求，不能直接称为可分配给股东的现金。</t>
  </si>
  <si>
    <t>cfo_2024 [ar2024] PDF p. 67 / 印刷页 67，合并报表，2024年列，经营活动产生的现金流量净额; capex_2024 [ar2024] PDF p. 67 / 印刷页 67，合并报表，2024年列，购建固定资产、无形资产和其他长期资产支付的现金; [related] 贵州茅台2024年年度报告：财务公司关联金融业务 PDF p. 131-132 / 印刷页 131-132，附注十四4(8); [commitments] 贵州茅台2024年年度报告：资本承诺与期后事项 PDF p. 135-136 / 印刷页 135-136，附注十五至十七</t>
  </si>
  <si>
    <t>披露事实 2024年期末现金及现金等价物1699.70亿元包含存放同业款项和买入返售金融资产；法定存款准备金74.04亿元未计入现金及现金等价物。</t>
  </si>
  <si>
    <t>资产、负债与附注观察</t>
  </si>
  <si>
    <t>分析判断 存货由464.35亿元增至543.43亿元；合同负债从141.26亿元降至95.92亿元。长期贮存工艺与渠道预收共同影响营运资金，单一存货天数或合同负债变化不能证明需求恶化。</t>
  </si>
  <si>
    <t>inventory_2024 [ar2024] PDF p. 59 / 印刷页 59，合并报表，2024年列，存货; inventory_2023 [ar2024] PDF p. 59 / 印刷页 59，合并报表，2023年列，存货; [outlook] 贵州茅台2024年年度报告：管理层未来发展与目标 PDF p. 20-21 / 印刷页 20-21; [business] 贵州茅台2024年年度报告：业务与经营变动 PDF p. 7-9 / 印刷页 7-9，管理层讨论与分析; [cashnote] 贵州茅台2024年年度报告：现金流量补充资料与现金构成 PDF p. 116-117 / 印刷页 116-117，附注七57; [balance] 贵州茅台2024年年度报告：合并资产负债表 PDF p. 58-61 / 印刷页 58-61；合同负债见第60页</t>
  </si>
  <si>
    <t>披露事实 财务公司存放同业款项中100亿元不能随时支取；公司对两只产业基金尚未履行的认缴出资余额各30亿元。</t>
  </si>
  <si>
    <t>[restricted] 贵州茅台2024年年度报告：货币资金与拆出资金附注 PDF p. 86 / 印刷页 86，附注七1-2; [commitments] 贵州茅台2024年年度报告：资本承诺与期后事项 PDF p. 135-136 / 印刷页 135-136，附注十五至十七</t>
  </si>
  <si>
    <t>审计、会计口径与扣非</t>
  </si>
  <si>
    <t>披露事实 天健审〔2025〕8-171号审计报告日期为2025年4月1日；财务报表采用中国企业会计准则和持续经营基础。</t>
  </si>
  <si>
    <t>[audit] 贵州茅台2024年年度报告：审计报告 PDF p. 55-58 / 印刷页 55-58，天健审〔2025〕8-171号，2025-04-01; [policy] 贵州茅台2024年年度报告：编制基础与会计政策变更 PDF p. 74-75、85 / 印刷页 74-75、85</t>
  </si>
  <si>
    <t>披露事实 年报披露2024年重要会计政策、会计估计变更及首次执行准则涉及年初调整均不适用。本底稿使用本报告的2023年比较数；2023年权益变动表内仍列示更早的期初会计政策调整，不能据此称历史上从无调整。</t>
  </si>
  <si>
    <t>[policy] 贵州茅台2024年年度报告：编制基础与会计政策变更 PDF p. 74-75、85 / 印刷页 74-75、85; [equitynote] 贵州茅台2024年年度报告：合并所有者权益变动表 PDF p. 70-72 / 印刷页 70-72</t>
  </si>
  <si>
    <t>披露事实 2024年归母扣非净利润862.41亿元，非经常性损益合计为负1275.96万元，已包含所得税及少数股东影响。保留公司扣非口径，不自行把全部投资收益删除。</t>
  </si>
  <si>
    <t>[nonrecurring] 贵州茅台2024年年度报告：主要指标及非经常性损益 PDF p. 5-7 / 印刷页 5-7</t>
  </si>
  <si>
    <t>治理与关联交易</t>
  </si>
  <si>
    <t>披露事实 年报列示审计委员会2024年召开六次会议，审议定期报告、审计机构聘任及财务公司日常关联交易等事项。</t>
  </si>
  <si>
    <t>[governance] 贵州茅台2024年年度报告：审计委员会与董事履职 PDF p. 31-32 / 印刷页 31-32</t>
  </si>
  <si>
    <t>分析判断 财务公司期末吸收关联方存款及同业存放231.03亿元，涉及控股股东等成员单位。需要结合存贷款定价、期限和资金使用限制评价，会议次数不能证明治理有效性。</t>
  </si>
  <si>
    <t>[related] 贵州茅台2024年年度报告：财务公司关联金融业务 PDF p. 131-132 / 印刷页 131-132，附注十四4(8); [governance] 贵州茅台2024年年度报告：审计委员会与董事履职 PDF p. 31-32 / 印刷页 31-32</t>
  </si>
  <si>
    <t>未来计划与后续跟踪</t>
  </si>
  <si>
    <t>管理层表述 管理层给出的2025年目标为营业总收入增长约9%、固定资产投资47.11亿元；这是当时披露的计划，不是本报告对未来结果的预测。</t>
  </si>
  <si>
    <t>[outlook] 贵州茅台2024年年度报告：管理层未来发展与目标 PDF p. 20-21 / 印刷页 20-21</t>
  </si>
  <si>
    <t>披露事实 资产负债表日后披露拟分配利润346.71亿元及股份回购安排；未将拟分红直接记入2024年现金支出。</t>
  </si>
  <si>
    <t>[commitments] 贵州茅台2024年年度报告：资本承诺与期后事项 PDF p. 135-136 / 印刷页 135-136，附注十五至十七</t>
  </si>
  <si>
    <t>待核问题</t>
  </si>
  <si>
    <t xml:space="preserve"> 剔除财务公司存贷款及同业业务现金流后，酒业自身现金转化的可比变化是多少？本次未构造未披露的剔除后CFO。</t>
  </si>
  <si>
    <t>[business] 贵州茅台2024年年度报告：业务与经营变动 PDF p. 7-9 / 印刷页 7-9，管理层讨论与分析; [related] 贵州茅台2024年年度报告：财务公司关联金融业务 PDF p. 131-132 / 印刷页 131-132，附注十四4(8); [cashnote] 贵州茅台2024年年度报告：现金流量补充资料与现金构成 PDF p. 116-117 / 印刷页 116-117，附注七57</t>
  </si>
  <si>
    <t xml:space="preserve"> 直销与批发渠道增速差异及合同负债下降，在后续季度是否持续？需要新增披露，不能由单一年报定论。</t>
  </si>
  <si>
    <t>[business] 贵州茅台2024年年度报告：业务与经营变动 PDF p. 7-9 / 印刷页 7-9，管理层讨论与分析; revenue_2024 [ar2024] PDF p. 63 / 印刷页 63，合并报表，2024年列，营业收入; [balance] 贵州茅台2024年年度报告：合并资产负债表 PDF p. 58-61 / 印刷页 58-61；合同负债见第60页</t>
  </si>
  <si>
    <t xml:space="preserve"> 两只产业基金剩余认缴及后续回购、分红安排将如何影响可用资金？需结合后续公告逐项跟踪。</t>
  </si>
  <si>
    <t>局限</t>
  </si>
  <si>
    <t>仅对底稿coverage注明的报表和指定章节核验，未声称通读全部143页；未取得审计工作底稿、经营合同或独立函证。</t>
  </si>
  <si>
    <t>样例固定于2024年年报及其中比较信息，不是截至2026年10月2日的最新投资分析；未核验2025年目标完成情况和后来公告。</t>
  </si>
  <si>
    <t>主体主营非金融业务但合并财务公司，通用利润率、CFO/利润、流动比率及营运资金指标存在混合业务口径限制，不用于跨行业机械排序。</t>
  </si>
  <si>
    <t>本例ROE使用期初期末平均归母权益的分析口径时，不等于年报披露的加权平均净资产收益率36.02%。</t>
  </si>
  <si>
    <t>2023年所有者交易净额未录入，未用期末权益倒算；缺少2022年完整资产、存货、应收账款等期初数的指标应显示不可得。</t>
  </si>
  <si>
    <t>资本支出采用披露的固定资产、无形资产和其他长期资产购建现金支出，不区分维持性及扩张性支出；未包括产业基金投资。</t>
  </si>
  <si>
    <t>金额先换算为同一币种基本单位；不自动换汇。指标为分析定义，非会计准则结论。平均余额使用期初期末均值。</t>
  </si>
  <si>
    <t>ID</t>
  </si>
  <si>
    <t>Label</t>
  </si>
  <si>
    <t>Raw text</t>
  </si>
  <si>
    <t>Value exact text</t>
  </si>
  <si>
    <t>Value numeric</t>
  </si>
  <si>
    <t>Multiplier</t>
  </si>
  <si>
    <t>Currency</t>
  </si>
  <si>
    <t>Start</t>
  </si>
  <si>
    <t>End</t>
  </si>
  <si>
    <t>Scope</t>
  </si>
  <si>
    <t>Standard</t>
  </si>
  <si>
    <t>Basis</t>
  </si>
  <si>
    <t>Restated</t>
  </si>
  <si>
    <t>Use for analysis</t>
  </si>
  <si>
    <t>Source</t>
  </si>
  <si>
    <t>Locator</t>
  </si>
  <si>
    <t>Note</t>
  </si>
  <si>
    <t>Base currency value</t>
  </si>
  <si>
    <t>Period end</t>
  </si>
  <si>
    <t>Status</t>
  </si>
  <si>
    <t>revenue_2024</t>
  </si>
  <si>
    <t>营业收入</t>
  </si>
  <si>
    <t>170,899,152,276.34</t>
  </si>
  <si>
    <t>170899152276.34</t>
  </si>
  <si>
    <t/>
  </si>
  <si>
    <t>CNY</t>
  </si>
  <si>
    <t>2024-01-01</t>
  </si>
  <si>
    <t>2024-12-31</t>
  </si>
  <si>
    <t>consolidated</t>
  </si>
  <si>
    <t>CAS</t>
  </si>
  <si>
    <t>reported</t>
  </si>
  <si>
    <t>False</t>
  </si>
  <si>
    <t>True</t>
  </si>
  <si>
    <t>ar2024</t>
  </si>
  <si>
    <t>PDF p. 63 / 印刷页 63，合并报表，2024年列，营业收入</t>
  </si>
  <si>
    <t>采用营业收入，未使用含财务公司利息收入的营业总收入；2024年营业总收入为174,144,069,958.25元。</t>
  </si>
  <si>
    <t>revenue_2023</t>
  </si>
  <si>
    <t>147,693,604,994.14</t>
  </si>
  <si>
    <t>147693604994.14</t>
  </si>
  <si>
    <t>2023-01-01</t>
  </si>
  <si>
    <t>2023-12-31</t>
  </si>
  <si>
    <t>PDF p. 63 / 印刷页 63，合并报表，2023年列，营业收入</t>
  </si>
  <si>
    <t>cost_of_sales_2024</t>
  </si>
  <si>
    <t>营业成本</t>
  </si>
  <si>
    <t>13,789,482,367.98</t>
  </si>
  <si>
    <t>13789482367.98</t>
  </si>
  <si>
    <t>PDF p. 63 / 印刷页 63，合并报表，2024年列，营业成本</t>
  </si>
  <si>
    <t>cost_of_sales_2023</t>
  </si>
  <si>
    <t>11,867,273,851.78</t>
  </si>
  <si>
    <t>11867273851.78</t>
  </si>
  <si>
    <t>PDF p. 63 / 印刷页 63，合并报表，2023年列，营业成本</t>
  </si>
  <si>
    <t>net_income_2024</t>
  </si>
  <si>
    <t>合并净利润</t>
  </si>
  <si>
    <t>89,334,728,025.90</t>
  </si>
  <si>
    <t>89334728025.90</t>
  </si>
  <si>
    <t>PDF p. 64 / 印刷页 64，合并报表，2024年列，合并净利润</t>
  </si>
  <si>
    <t>net_income_2023</t>
  </si>
  <si>
    <t>77,521,476,277.80</t>
  </si>
  <si>
    <t>77521476277.80</t>
  </si>
  <si>
    <t>PDF p. 64 / 印刷页 64，合并报表，2023年列，合并净利润</t>
  </si>
  <si>
    <t>parent_net_income_2024</t>
  </si>
  <si>
    <t>归属于母公司股东的净利润</t>
  </si>
  <si>
    <t>86,228,146,421.62</t>
  </si>
  <si>
    <t>86228146421.62</t>
  </si>
  <si>
    <t>PDF p. 64 / 印刷页 64，合并报表，2024年列，归属于母公司股东的净利润</t>
  </si>
  <si>
    <t>parent_net_income_2023</t>
  </si>
  <si>
    <t>74,734,071,550.75</t>
  </si>
  <si>
    <t>74734071550.75</t>
  </si>
  <si>
    <t>PDF p. 64 / 印刷页 64，合并报表，2023年列，归属于母公司股东的净利润</t>
  </si>
  <si>
    <t>minority_net_income_2024</t>
  </si>
  <si>
    <t>少数股东损益</t>
  </si>
  <si>
    <t>3,106,581,604.28</t>
  </si>
  <si>
    <t>3106581604.28</t>
  </si>
  <si>
    <t>PDF p. 64 / 印刷页 64，合并报表，2024年列，少数股东损益</t>
  </si>
  <si>
    <t>minority_net_income_2023</t>
  </si>
  <si>
    <t>2,787,404,727.05</t>
  </si>
  <si>
    <t>2787404727.05</t>
  </si>
  <si>
    <t>PDF p. 64 / 印刷页 64，合并报表，2023年列，少数股东损益</t>
  </si>
  <si>
    <t>assets_2024</t>
  </si>
  <si>
    <t>资产总计</t>
  </si>
  <si>
    <t>298,944,579,918.70</t>
  </si>
  <si>
    <t>298944579918.70</t>
  </si>
  <si>
    <t>PDF p. 59 / 印刷页 59，合并报表，2024年列，资产总计</t>
  </si>
  <si>
    <t>assets_2023</t>
  </si>
  <si>
    <t>272,699,660,092.25</t>
  </si>
  <si>
    <t>272699660092.25</t>
  </si>
  <si>
    <t>PDF p. 59 / 印刷页 59，合并报表，2023年列，资产总计</t>
  </si>
  <si>
    <t>liabilities_2024</t>
  </si>
  <si>
    <t>负债合计</t>
  </si>
  <si>
    <t>56,933,264,798.10</t>
  </si>
  <si>
    <t>56933264798.10</t>
  </si>
  <si>
    <t>PDF p. 60 / 印刷页 60，合并报表，2024年列，负债合计</t>
  </si>
  <si>
    <t>liabilities_2023</t>
  </si>
  <si>
    <t>49,043,190,797.43</t>
  </si>
  <si>
    <t>49043190797.43</t>
  </si>
  <si>
    <t>PDF p. 60 / 印刷页 60，合并报表，2023年列，负债合计</t>
  </si>
  <si>
    <t>equity_2024</t>
  </si>
  <si>
    <t>所有者权益合计</t>
  </si>
  <si>
    <t>242,011,315,120.60</t>
  </si>
  <si>
    <t>242011315120.60</t>
  </si>
  <si>
    <t>PDF p. 61 / 印刷页 61，合并报表，2024年列，所有者权益合计</t>
  </si>
  <si>
    <t>equity_2023</t>
  </si>
  <si>
    <t>223,656,469,294.82</t>
  </si>
  <si>
    <t>223656469294.82</t>
  </si>
  <si>
    <t>PDF p. 61 / 印刷页 61，合并报表，2023年列，所有者权益合计</t>
  </si>
  <si>
    <t>parent_equity_2024</t>
  </si>
  <si>
    <t>归属于母公司所有者权益合计</t>
  </si>
  <si>
    <t>233,105,984,399.47</t>
  </si>
  <si>
    <t>233105984399.47</t>
  </si>
  <si>
    <t>PDF p. 61 / 印刷页 61，合并报表，2024年列，归属于母公司所有者权益合计</t>
  </si>
  <si>
    <t>parent_equity_2023</t>
  </si>
  <si>
    <t>215,668,571,607.43</t>
  </si>
  <si>
    <t>215668571607.43</t>
  </si>
  <si>
    <t>PDF p. 61 / 印刷页 61，合并报表，2023年列，归属于母公司所有者权益合计</t>
  </si>
  <si>
    <t>current_assets_2024</t>
  </si>
  <si>
    <t>流动资产合计</t>
  </si>
  <si>
    <t>251,726,674,636.66</t>
  </si>
  <si>
    <t>251726674636.66</t>
  </si>
  <si>
    <t>PDF p. 59 / 印刷页 59，合并报表，2024年列，流动资产合计</t>
  </si>
  <si>
    <t>current_assets_2023</t>
  </si>
  <si>
    <t>225,172,517,821.28</t>
  </si>
  <si>
    <t>225172517821.28</t>
  </si>
  <si>
    <t>PDF p. 59 / 印刷页 59，合并报表，2023年列，流动资产合计</t>
  </si>
  <si>
    <t>current_liabilities_2024</t>
  </si>
  <si>
    <t>流动负债合计</t>
  </si>
  <si>
    <t>56,515,990,618.96</t>
  </si>
  <si>
    <t>56515990618.96</t>
  </si>
  <si>
    <t>PDF p. 60 / 印刷页 60，合并报表，2024年列，流动负债合计</t>
  </si>
  <si>
    <t>current_liabilities_2023</t>
  </si>
  <si>
    <t>48,697,611,501.20</t>
  </si>
  <si>
    <t>48697611501.20</t>
  </si>
  <si>
    <t>PDF p. 60 / 印刷页 60，合并报表，2023年列，流动负债合计</t>
  </si>
  <si>
    <t>inventory_2024</t>
  </si>
  <si>
    <t>存货</t>
  </si>
  <si>
    <t>54,343,285,157.47</t>
  </si>
  <si>
    <t>54343285157.47</t>
  </si>
  <si>
    <t>PDF p. 59 / 印刷页 59，合并报表，2024年列，存货</t>
  </si>
  <si>
    <t>inventory_2023</t>
  </si>
  <si>
    <t>46,435,185,061.53</t>
  </si>
  <si>
    <t>46435185061.53</t>
  </si>
  <si>
    <t>PDF p. 59 / 印刷页 59，合并报表，2023年列，存货</t>
  </si>
  <si>
    <t>receivables_2024</t>
  </si>
  <si>
    <t>应收账款</t>
  </si>
  <si>
    <t>18,974,192.75</t>
  </si>
  <si>
    <t>18974192.75</t>
  </si>
  <si>
    <t>PDF p. 59 / 印刷页 59，合并报表，2024年列，应收账款</t>
  </si>
  <si>
    <t>应收账款净额，不含应收票据及其他应收款；周转指标只能解释此限定口径。</t>
  </si>
  <si>
    <t>receivables_2023</t>
  </si>
  <si>
    <t>60,373,410.41</t>
  </si>
  <si>
    <t>60373410.41</t>
  </si>
  <si>
    <t>PDF p. 59 / 印刷页 59，合并报表，2023年列，应收账款</t>
  </si>
  <si>
    <t>cfo_2024</t>
  </si>
  <si>
    <t>经营活动产生的现金流量净额</t>
  </si>
  <si>
    <t>92,463,692,168.43</t>
  </si>
  <si>
    <t>92463692168.43</t>
  </si>
  <si>
    <t>PDF p. 67 / 印刷页 67，合并报表，2024年列，经营活动产生的现金流量净额</t>
  </si>
  <si>
    <t>合并范围包括财务公司；含成员单位存款、同业及贷款相关现金变动，不能等同酒业经营回款。</t>
  </si>
  <si>
    <t>cfo_2023</t>
  </si>
  <si>
    <t>66,593,247,721.09</t>
  </si>
  <si>
    <t>66593247721.09</t>
  </si>
  <si>
    <t>PDF p. 67 / 印刷页 67，合并报表，2023年列，经营活动产生的现金流量净额</t>
  </si>
  <si>
    <t>cfi_2024</t>
  </si>
  <si>
    <t>投资活动产生的现金流量净额</t>
  </si>
  <si>
    <t>-1,785,202,630.71</t>
  </si>
  <si>
    <t>-1785202630.71</t>
  </si>
  <si>
    <t>PDF p. 67 / 印刷页 67，合并报表，2024年列，投资活动产生的现金流量净额</t>
  </si>
  <si>
    <t>cfi_2023</t>
  </si>
  <si>
    <t>-9,724,414,015.16</t>
  </si>
  <si>
    <t>-9724414015.16</t>
  </si>
  <si>
    <t>PDF p. 67 / 印刷页 67，合并报表，2023年列，投资活动产生的现金流量净额</t>
  </si>
  <si>
    <t>cff_2024</t>
  </si>
  <si>
    <t>筹资活动产生的现金流量净额</t>
  </si>
  <si>
    <t>-71,067,506,484.81</t>
  </si>
  <si>
    <t>-71067506484.81</t>
  </si>
  <si>
    <t>PDF p. 67 / 印刷页 67，合并报表，2024年列，筹资活动产生的现金流量净额</t>
  </si>
  <si>
    <t>cff_2023</t>
  </si>
  <si>
    <t>-58,889,101,991.94</t>
  </si>
  <si>
    <t>-58889101991.94</t>
  </si>
  <si>
    <t>PDF p. 67 / 印刷页 67，合并报表，2023年列，筹资活动产生的现金流量净额</t>
  </si>
  <si>
    <t>fx_effect_2024</t>
  </si>
  <si>
    <t>汇率变动对现金及现金等价物的影响</t>
  </si>
  <si>
    <t>-1,082,747.55</t>
  </si>
  <si>
    <t>-1082747.55</t>
  </si>
  <si>
    <t>PDF p. 68 / 印刷页 68，合并报表，2024年列，汇率变动对现金及现金等价物的影响</t>
  </si>
  <si>
    <t>fx_effect_2023</t>
  </si>
  <si>
    <t>1,718,255.65</t>
  </si>
  <si>
    <t>1718255.65</t>
  </si>
  <si>
    <t>PDF p. 68 / 印刷页 68，合并报表，2023年列，汇率变动对现金及现金等价物的影响</t>
  </si>
  <si>
    <t>cash_equivalents_2024</t>
  </si>
  <si>
    <t>现金及现金等价物期末余额</t>
  </si>
  <si>
    <t>169,970,089,257.83</t>
  </si>
  <si>
    <t>169970089257.83</t>
  </si>
  <si>
    <t>PDF p. 68 / 印刷页 68，合并报表，2024年列，现金及现金等价物期末余额</t>
  </si>
  <si>
    <t>cash_equivalents_2023</t>
  </si>
  <si>
    <t>150,360,188,952.47</t>
  </si>
  <si>
    <t>150360188952.47</t>
  </si>
  <si>
    <t>PDF p. 68 / 印刷页 68，合并报表，2023年列，现金及现金等价物期末余额</t>
  </si>
  <si>
    <t>capex_2024</t>
  </si>
  <si>
    <t>购建固定资产、无形资产和其他长期资产支付的现金</t>
  </si>
  <si>
    <t>4,678,712,053.56</t>
  </si>
  <si>
    <t>4678712053.56</t>
  </si>
  <si>
    <t>PDF p. 67 / 印刷页 67，合并报表，2024年列，购建固定资产、无形资产和其他长期资产支付的现金</t>
  </si>
  <si>
    <t>采用报表披露的购建固定资产、无形资产和其他长期资产现金支出；不含投资支付的现金和企业收购，未进一步拆分维持性/扩张性支出。</t>
  </si>
  <si>
    <t>capex_2023</t>
  </si>
  <si>
    <t>2,619,755,888.79</t>
  </si>
  <si>
    <t>2619755888.79</t>
  </si>
  <si>
    <t>PDF p. 67 / 印刷页 67，合并报表，2023年列，购建固定资产、无形资产和其他长期资产支付的现金</t>
  </si>
  <si>
    <t>comprehensive_income_2024</t>
  </si>
  <si>
    <t>综合收益总额</t>
  </si>
  <si>
    <t>89,330,873,528.72</t>
  </si>
  <si>
    <t>89330873528.72</t>
  </si>
  <si>
    <t>PDF p. 65 / 印刷页 65，合并报表，2024年列，综合收益总额</t>
  </si>
  <si>
    <t>comprehensive_income_2023</t>
  </si>
  <si>
    <t>77,526,191,457.62</t>
  </si>
  <si>
    <t>77526191457.62</t>
  </si>
  <si>
    <t>PDF p. 65 / 印刷页 65，合并报表，2023年列，综合收益总额</t>
  </si>
  <si>
    <t>cash_equivalents_2022</t>
  </si>
  <si>
    <t>152,378,738,982.83</t>
  </si>
  <si>
    <t>152378738982.83</t>
  </si>
  <si>
    <t>2022-12-31</t>
  </si>
  <si>
    <t>PDF p. 68 / 印刷页 68，合并现金流量表2023年列：期初现金及现金等价物余额</t>
  </si>
  <si>
    <t>作为2023年现金变动勾稽的期初余额。</t>
  </si>
  <si>
    <t>owner_transactions_2024</t>
  </si>
  <si>
    <t>所有者交易净额（对所有者的分配）</t>
  </si>
  <si>
    <t>-70,976,027,702.94</t>
  </si>
  <si>
    <t>-70976027702.94</t>
  </si>
  <si>
    <t>PDF p. 70-71 / 印刷页 70-71，2024年合并权益变动表：对所有者（或股东）的分配，所有者权益合计列</t>
  </si>
  <si>
    <t>2024年所有者交易仅列示利润分配；采用权益变动表确认金额，不以现金支付股利金额替代，也不是倒算平衡项。</t>
  </si>
  <si>
    <t>Value (base units)</t>
  </si>
  <si>
    <t>Display</t>
  </si>
  <si>
    <t>Unit</t>
  </si>
  <si>
    <t>Expression</t>
  </si>
  <si>
    <t>Inputs</t>
  </si>
  <si>
    <t>Status / Reason</t>
  </si>
  <si>
    <t>Tolerance (base units)</t>
  </si>
  <si>
    <t>Evidence</t>
  </si>
  <si>
    <t>revenue_change</t>
  </si>
  <si>
    <t>营业收入变动额</t>
  </si>
  <si>
    <t>亿元</t>
  </si>
  <si>
    <t>{revenue_2024}-{revenue_2023}</t>
  </si>
  <si>
    <t>revenue_2024, revenue_2023</t>
  </si>
  <si>
    <t>revenue_2024 [ar2024] PDF p. 63 / 印刷页 63，合并报表，2024年列，营业收入; revenue_2023 [ar2024] PDF p. 63 / 印刷页 63，合并报表，2023年列，营业收入</t>
  </si>
  <si>
    <t>revenue_growth</t>
  </si>
  <si>
    <t>营业收入同比</t>
  </si>
  <si>
    <t>percent</t>
  </si>
  <si>
    <t>({revenue_2024}-{revenue_2023})/{revenue_2023}</t>
  </si>
  <si>
    <t>net_income_change</t>
  </si>
  <si>
    <t>净利润变动额</t>
  </si>
  <si>
    <t>{net_income_2024}-{net_income_2023}</t>
  </si>
  <si>
    <t>net_income_2024, net_income_2023</t>
  </si>
  <si>
    <t>net_income_2024 [ar2024] PDF p. 64 / 印刷页 64，合并报表，2024年列，合并净利润; net_income_2023 [ar2024] PDF p. 64 / 印刷页 64，合并报表，2023年列，合并净利润</t>
  </si>
  <si>
    <t>net_income_growth</t>
  </si>
  <si>
    <t>净利润同比</t>
  </si>
  <si>
    <t>({net_income_2024}-{net_income_2023})/{net_income_2023}</t>
  </si>
  <si>
    <t>gross_margin</t>
  </si>
  <si>
    <t>毛利率</t>
  </si>
  <si>
    <t>({revenue_2024}-{cost_of_sales_2024})/{revenue_2024}</t>
  </si>
  <si>
    <t>cost_of_sales_2024, revenue_2024</t>
  </si>
  <si>
    <t>cost_of_sales_2024 [ar2024] PDF p. 63 / 印刷页 63，合并报表，2024年列，营业成本; revenue_2024 [ar2024] PDF p. 63 / 印刷页 63，合并报表，2024年列，营业收入</t>
  </si>
  <si>
    <t>net_margin</t>
  </si>
  <si>
    <t>净利率</t>
  </si>
  <si>
    <t>{net_income_2024}/{revenue_2024}</t>
  </si>
  <si>
    <t>net_income_2024, revenue_2024</t>
  </si>
  <si>
    <t>net_income_2024 [ar2024] PDF p. 64 / 印刷页 64，合并报表，2024年列，合并净利润; revenue_2024 [ar2024] PDF p. 63 / 印刷页 63，合并报表，2024年列，营业收入</t>
  </si>
  <si>
    <t>cash_profit_ratio</t>
  </si>
  <si>
    <t>经营现金流与净利润比</t>
  </si>
  <si>
    <t>ratio</t>
  </si>
  <si>
    <t>{cfo_2024}/{net_income_2024}</t>
  </si>
  <si>
    <t>cfo_2024, net_income_2024</t>
  </si>
  <si>
    <t>cfo_2024 [ar2024] PDF p. 67 / 印刷页 67，合并报表，2024年列，经营活动产生的现金流量净额; net_income_2024 [ar2024] PDF p. 64 / 印刷页 64，合并报表，2024年列，合并净利润</t>
  </si>
  <si>
    <t>current_ratio</t>
  </si>
  <si>
    <t>流动比率</t>
  </si>
  <si>
    <t>{current_assets_2024}/{current_liabilities_2024}</t>
  </si>
  <si>
    <t>current_assets_2024, current_liabilities_2024</t>
  </si>
  <si>
    <t>current_assets_2024 [ar2024] PDF p. 59 / 印刷页 59，合并报表，2024年列，流动资产合计; current_liabilities_2024 [ar2024] PDF p. 60 / 印刷页 60，合并报表，2024年列，流动负债合计</t>
  </si>
  <si>
    <t>liabilities_assets</t>
  </si>
  <si>
    <t>资产负债率</t>
  </si>
  <si>
    <t>{liabilities_2024}/{assets_2024}</t>
  </si>
  <si>
    <t>liabilities_2024, assets_2024</t>
  </si>
  <si>
    <t>liabilities_2024 [ar2024] PDF p. 60 / 印刷页 60，合并报表，2024年列，负债合计; assets_2024 [ar2024] PDF p. 59 / 印刷页 59，合并报表，2024年列，资产总计</t>
  </si>
  <si>
    <t>roe</t>
  </si>
  <si>
    <t>简化归母ROE</t>
  </si>
  <si>
    <t>{parent_net_income_2024}/(({parent_equity_2023}+{parent_equity_2024})/2)</t>
  </si>
  <si>
    <t>parent_net_income_2024, parent_equity_2023, parent_equity_2024</t>
  </si>
  <si>
    <t>parent_net_income_2024 [ar2024] PDF p. 64 / 印刷页 64，合并报表，2024年列，归属于母公司股东的净利润; parent_equity_2023 [ar2024] PDF p. 61 / 印刷页 61，合并报表，2023年列，归属于母公司所有者权益合计; parent_equity_2024 [ar2024] PDF p. 61 / 印刷页 61，合并报表，2024年列，归属于母公司所有者权益合计</t>
  </si>
  <si>
    <t>roa</t>
  </si>
  <si>
    <t>ROA 净利润口径</t>
  </si>
  <si>
    <t>{net_income_2024}/(({assets_2023}+{assets_2024})/2)</t>
  </si>
  <si>
    <t>net_income_2024, assets_2023, assets_2024</t>
  </si>
  <si>
    <t>net_income_2024 [ar2024] PDF p. 64 / 印刷页 64，合并报表，2024年列，合并净利润; assets_2023 [ar2024] PDF p. 59 / 印刷页 59，合并报表，2023年列，资产总计; assets_2024 [ar2024] PDF p. 59 / 印刷页 59，合并报表，2024年列，资产总计</t>
  </si>
  <si>
    <t>inventory_days</t>
  </si>
  <si>
    <t>存货周转天数</t>
  </si>
  <si>
    <t>days</t>
  </si>
  <si>
    <t>({inventory_2023}+{inventory_2024})/2/{cost_of_sales_2024}*366</t>
  </si>
  <si>
    <t>inventory_2023, inventory_2024, cost_of_sales_2024</t>
  </si>
  <si>
    <t>inventory_2023 [ar2024] PDF p. 59 / 印刷页 59，合并报表，2023年列，存货; inventory_2024 [ar2024] PDF p. 59 / 印刷页 59，合并报表，2024年列，存货; cost_of_sales_2024 [ar2024] PDF p. 63 / 印刷页 63，合并报表，2024年列，营业成本</t>
  </si>
  <si>
    <t>receivable_days</t>
  </si>
  <si>
    <t>应收账款周转天数</t>
  </si>
  <si>
    <t>({receivables_2023}+{receivables_2024})/2/{revenue_2024}*366</t>
  </si>
  <si>
    <t>receivables_2023, receivables_2024, revenue_2024</t>
  </si>
  <si>
    <t>receivables_2023 [ar2024] PDF p. 59 / 印刷页 59，合并报表，2023年列，应收账款; receivables_2024 [ar2024] PDF p. 59 / 印刷页 59，合并报表，2024年列，应收账款; revenue_2024 [ar2024] PDF p. 63 / 印刷页 63，合并报表，2024年列，营业收入</t>
  </si>
  <si>
    <t>free_cash_flow</t>
  </si>
  <si>
    <t>自由现金流 CFO减资本开支</t>
  </si>
  <si>
    <t>{cfo_2024}-{capex_2024}</t>
  </si>
  <si>
    <t>cfo_2024, capex_2024</t>
  </si>
  <si>
    <t>cfo_2024 [ar2024] PDF p. 67 / 印刷页 67，合并报表，2024年列，经营活动产生的现金流量净额; capex_2024 [ar2024] PDF p. 67 / 印刷页 67，合并报表，2024年列，购建固定资产、无形资产和其他长期资产支付的现金</t>
  </si>
  <si>
    <t>balance_sheet</t>
  </si>
  <si>
    <t>资产减负债减权益</t>
  </si>
  <si>
    <t>{assets_2024}-{liabilities_2024}-{equity_2024}</t>
  </si>
  <si>
    <t>assets_2024, liabilities_2024, equity_2024</t>
  </si>
  <si>
    <t>matched</t>
  </si>
  <si>
    <t>assets_2024 [ar2024] PDF p. 59 / 印刷页 59，合并报表，2024年列，资产总计; liabilities_2024 [ar2024] PDF p. 60 / 印刷页 60，合并报表，2024年列，负债合计; equity_2024 [ar2024] PDF p. 61 / 印刷页 61，合并报表，2024年列，所有者权益合计</t>
  </si>
  <si>
    <t>profit_attribution</t>
  </si>
  <si>
    <t>净利润归属勾稽</t>
  </si>
  <si>
    <t>{net_income_2024}-{parent_net_income_2024}-{minority_net_income_2024}</t>
  </si>
  <si>
    <t>net_income_2024, parent_net_income_2024, minority_net_income_2024</t>
  </si>
  <si>
    <t>net_income_2024 [ar2024] PDF p. 64 / 印刷页 64，合并报表，2024年列，合并净利润; parent_net_income_2024 [ar2024] PDF p. 64 / 印刷页 64，合并报表，2024年列，归属于母公司股东的净利润; minority_net_income_2024 [ar2024] PDF p. 64 / 印刷页 64，合并报表，2024年列，少数股东损益</t>
  </si>
  <si>
    <t>cash_rollforward</t>
  </si>
  <si>
    <t>现金及等价物变动勾稽 含汇率影响</t>
  </si>
  <si>
    <t>{cash_equivalents_2024}-{cash_equivalents_2023}-{cfo_2024}-{cfi_2024}-{cff_2024}-{fx_effect_2024}</t>
  </si>
  <si>
    <t>cash_equivalents_2024, cash_equivalents_2023, cfo_2024, cfi_2024, cff_2024, fx_effect_2024</t>
  </si>
  <si>
    <t>cash_equivalents_2024 [ar2024] PDF p. 68 / 印刷页 68，合并报表，2024年列，现金及现金等价物期末余额; cash_equivalents_2023 [ar2024] PDF p. 68 / 印刷页 68，合并报表，2023年列，现金及现金等价物期末余额; cfo_2024 [ar2024] PDF p. 67 / 印刷页 67，合并报表，2024年列，经营活动产生的现金流量净额; cfi_2024 [ar2024] PDF p. 67 / 印刷页 67，合并报表，2024年列，投资活动产生的现金流量净额; cff_2024 [ar2024] PDF p. 67 / 印刷页 67，合并报表，2024年列，筹资活动产生的现金流量净额; fx_effect_2024 [ar2024] PDF p. 68 / 印刷页 68，合并报表，2024年列，汇率变动对现金及现金等价物的影响</t>
  </si>
  <si>
    <t>equity_rollforward</t>
  </si>
  <si>
    <t>权益变动勾稽</t>
  </si>
  <si>
    <t>{equity_2024}-{equity_2023}-{comprehensive_income_2024}-{owner_transactions_2024}</t>
  </si>
  <si>
    <t>equity_2024, equity_2023, comprehensive_income_2024, owner_transactions_2024</t>
  </si>
  <si>
    <t>equity_2024 [ar2024] PDF p. 61 / 印刷页 61，合并报表，2024年列，所有者权益合计; equity_2023 [ar2024] PDF p. 61 / 印刷页 61，合并报表，2023年列，所有者权益合计; comprehensive_income_2024 [ar2024] PDF p. 65 / 印刷页 65，合并报表，2024年列，综合收益总额; owner_transactions_2024 [ar2024] PDF p. 70-71 / 印刷页 70-71，2024年合并权益变动表：对所有者（或股东）的分配，所有者权益合计列</t>
  </si>
  <si>
    <t>Title</t>
  </si>
  <si>
    <t>URL / upload</t>
  </si>
  <si>
    <t>Published</t>
  </si>
  <si>
    <t>SHA256</t>
  </si>
  <si>
    <t>贵州茅台2024年年度报告</t>
  </si>
  <si>
    <t>https://static.cninfo.com.cn/finalpage/2025-04-03/1222993920.PDF</t>
  </si>
  <si>
    <t>2025-04-03</t>
  </si>
  <si>
    <t>5299f4940e2ce4e91084b73dc457d558b9d335fa76fbfee6227e4254eb7f4a30</t>
  </si>
  <si>
    <t>business</t>
  </si>
  <si>
    <t>贵州茅台2024年年度报告：业务与经营变动</t>
  </si>
  <si>
    <t>PDF p. 7-9 / 印刷页 7-9，管理层讨论与分析</t>
  </si>
  <si>
    <t>outlook</t>
  </si>
  <si>
    <t>贵州茅台2024年年度报告：管理层未来发展与目标</t>
  </si>
  <si>
    <t>PDF p. 20-21 / 印刷页 20-21</t>
  </si>
  <si>
    <t>audit</t>
  </si>
  <si>
    <t>贵州茅台2024年年度报告：审计报告</t>
  </si>
  <si>
    <t>PDF p. 55-58 / 印刷页 55-58，天健审〔2025〕8-171号，2025-04-01</t>
  </si>
  <si>
    <t>governance</t>
  </si>
  <si>
    <t>贵州茅台2024年年度报告：审计委员会与董事履职</t>
  </si>
  <si>
    <t>PDF p. 31-32 / 印刷页 31-32</t>
  </si>
  <si>
    <t>policy</t>
  </si>
  <si>
    <t>贵州茅台2024年年度报告：编制基础与会计政策变更</t>
  </si>
  <si>
    <t>PDF p. 74-75、85 / 印刷页 74-75、85</t>
  </si>
  <si>
    <t>nonrecurring</t>
  </si>
  <si>
    <t>贵州茅台2024年年度报告：主要指标及非经常性损益</t>
  </si>
  <si>
    <t>PDF p. 5-7 / 印刷页 5-7</t>
  </si>
  <si>
    <t>cashnote</t>
  </si>
  <si>
    <t>贵州茅台2024年年度报告：现金流量补充资料与现金构成</t>
  </si>
  <si>
    <t>PDF p. 116-117 / 印刷页 116-117，附注七57</t>
  </si>
  <si>
    <t>restricted</t>
  </si>
  <si>
    <t>贵州茅台2024年年度报告：货币资金与拆出资金附注</t>
  </si>
  <si>
    <t>PDF p. 86 / 印刷页 86，附注七1-2</t>
  </si>
  <si>
    <t>related</t>
  </si>
  <si>
    <t>贵州茅台2024年年度报告：财务公司关联金融业务</t>
  </si>
  <si>
    <t>PDF p. 131-132 / 印刷页 131-132，附注十四4(8)</t>
  </si>
  <si>
    <t>commitments</t>
  </si>
  <si>
    <t>贵州茅台2024年年度报告：资本承诺与期后事项</t>
  </si>
  <si>
    <t>PDF p. 135-136 / 印刷页 135-136，附注十五至十七</t>
  </si>
  <si>
    <t>equitynote</t>
  </si>
  <si>
    <t>贵州茅台2024年年度报告：合并所有者权益变动表</t>
  </si>
  <si>
    <t>PDF p. 70-72 / 印刷页 70-72</t>
  </si>
  <si>
    <t>balance</t>
  </si>
  <si>
    <t>贵州茅台2024年年度报告：合并资产负债表</t>
  </si>
  <si>
    <t>PDF p. 58-61 / 印刷页 58-61；合同负债见第60页</t>
  </si>
  <si>
    <t>Section</t>
  </si>
  <si>
    <t>合并资产负债表</t>
  </si>
  <si>
    <t>reviewed</t>
  </si>
  <si>
    <t>PDF p. 58-61 / 印刷页58-61</t>
  </si>
  <si>
    <t>核验单位、两期列及所录入项目，查看59-61页图像。</t>
  </si>
  <si>
    <t>合并利润表</t>
  </si>
  <si>
    <t>PDF p. 63-65 / 印刷页63-65</t>
  </si>
  <si>
    <t>区分营业收入/营业总收入与合并净利润/归母净利润，查看63-64页图像。</t>
  </si>
  <si>
    <t>合并现金流量表</t>
  </si>
  <si>
    <t>PDF p. 66-68 / 印刷页66-68</t>
  </si>
  <si>
    <t>核验两期现金流与FX；67-68页图像核对。</t>
  </si>
  <si>
    <t>合并权益变动表</t>
  </si>
  <si>
    <t>partial</t>
  </si>
  <si>
    <t>PDF p. 70-72 / 印刷页70-72</t>
  </si>
  <si>
    <t>核验2024年分配及权益桥，读取2023年期初政策变更；未录入2023年完整所有者交易。</t>
  </si>
  <si>
    <t>审计报告</t>
  </si>
  <si>
    <t>PDF p. 55-58 / 印刷页55-58</t>
  </si>
  <si>
    <t>读取意见、关键审计事项、其他信息与责任段。</t>
  </si>
  <si>
    <t>管理层讨论与分析</t>
  </si>
  <si>
    <t>PDF p. 7-9、17-21 / 印刷页7-9、17-21</t>
  </si>
  <si>
    <t>仅阅读业务、变动说明、渠道、投资及未来目标，未把全部MD&amp;A标已读。</t>
  </si>
  <si>
    <t>会计政策与编制基础</t>
  </si>
  <si>
    <t>PDF p. 74-75、85 / 印刷页74-75、85</t>
  </si>
  <si>
    <t>确认准则、期间、合并原则、重要性及政策变更，未逐项复核全部政策。</t>
  </si>
  <si>
    <t>现金与受限资金附注</t>
  </si>
  <si>
    <t>PDF p. 86、116-117 / 印刷页86、116-117</t>
  </si>
  <si>
    <t>核对现金构成、受限资金和利润现金调节；117页图像核对。</t>
  </si>
  <si>
    <t>关联方附注</t>
  </si>
  <si>
    <t>PDF p. 125-126、131-132、135 / 印刷页125-126、131-132、135</t>
  </si>
  <si>
    <t>重点阅读关联金融业务；未逐项核对全部关联采购销售及往来。</t>
  </si>
  <si>
    <t>治理</t>
  </si>
  <si>
    <t>PDF p. 31-32 / 印刷页31-32</t>
  </si>
  <si>
    <t>只阅读董事履职与审计委员会，未验证治理实际效果。</t>
  </si>
  <si>
    <t>承诺及期后事项</t>
  </si>
  <si>
    <t>PDF p. 135-136 / 印刷页135-136</t>
  </si>
  <si>
    <t>读取未履行基金出资、拟分红及披露的回购安排，不代表后来执行情况。</t>
  </si>
  <si>
    <t>2025年及后续披露</t>
  </si>
  <si>
    <t>unavailable</t>
  </si>
  <si>
    <t>本次示例未纳入后续年度或季度资料。</t>
  </si>
</sst>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%;[Red](0.00%)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66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3" width="70.7109375" style="1" customWidth="1"/>
  </cols>
  <sheetData>
    <row r="1" spans="1:3" ht="32" customHeight="1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</row>
    <row r="3" spans="1:3">
      <c r="A3" s="1" t="s">
        <v>5</v>
      </c>
      <c r="B3" s="1" t="s">
        <v>6</v>
      </c>
    </row>
    <row r="4" spans="1:3">
      <c r="A4" s="1" t="s">
        <v>7</v>
      </c>
      <c r="B4" s="1" t="s">
        <v>8</v>
      </c>
      <c r="C4" s="1" t="s">
        <v>9</v>
      </c>
    </row>
    <row r="5" spans="1:3">
      <c r="A5" s="1" t="s">
        <v>7</v>
      </c>
      <c r="B5" s="1" t="s">
        <v>10</v>
      </c>
      <c r="C5" s="1" t="s">
        <v>11</v>
      </c>
    </row>
    <row r="6" spans="1:3">
      <c r="A6" s="1" t="s">
        <v>7</v>
      </c>
      <c r="B6" s="1" t="s">
        <v>12</v>
      </c>
      <c r="C6" s="1" t="s">
        <v>13</v>
      </c>
    </row>
    <row r="7" spans="1:3">
      <c r="A7" s="1" t="s">
        <v>14</v>
      </c>
      <c r="B7" s="1" t="s">
        <v>15</v>
      </c>
      <c r="C7" s="1" t="s">
        <v>16</v>
      </c>
    </row>
    <row r="8" spans="1:3">
      <c r="A8" s="1" t="s">
        <v>14</v>
      </c>
      <c r="B8" s="1" t="s">
        <v>17</v>
      </c>
      <c r="C8" s="1" t="s">
        <v>16</v>
      </c>
    </row>
    <row r="9" spans="1:3">
      <c r="A9" s="1" t="s">
        <v>18</v>
      </c>
      <c r="B9" s="1" t="s">
        <v>19</v>
      </c>
      <c r="C9" s="1" t="s">
        <v>20</v>
      </c>
    </row>
    <row r="10" spans="1:3">
      <c r="A10" s="1" t="s">
        <v>18</v>
      </c>
      <c r="B10" s="1" t="s">
        <v>21</v>
      </c>
      <c r="C10" s="1" t="s">
        <v>22</v>
      </c>
    </row>
    <row r="11" spans="1:3">
      <c r="A11" s="1" t="s">
        <v>18</v>
      </c>
      <c r="B11" s="1" t="s">
        <v>23</v>
      </c>
      <c r="C11" s="1" t="s">
        <v>20</v>
      </c>
    </row>
    <row r="12" spans="1:3">
      <c r="A12" s="1" t="s">
        <v>24</v>
      </c>
      <c r="B12" s="1" t="s">
        <v>25</v>
      </c>
      <c r="C12" s="1" t="s">
        <v>26</v>
      </c>
    </row>
    <row r="13" spans="1:3">
      <c r="A13" s="1" t="s">
        <v>24</v>
      </c>
      <c r="B13" s="1" t="s">
        <v>27</v>
      </c>
      <c r="C13" s="1" t="s">
        <v>28</v>
      </c>
    </row>
    <row r="14" spans="1:3">
      <c r="A14" s="1" t="s">
        <v>29</v>
      </c>
      <c r="B14" s="1" t="s">
        <v>30</v>
      </c>
      <c r="C14" s="1" t="s">
        <v>31</v>
      </c>
    </row>
    <row r="15" spans="1:3">
      <c r="A15" s="1" t="s">
        <v>29</v>
      </c>
      <c r="B15" s="1" t="s">
        <v>32</v>
      </c>
      <c r="C15" s="1" t="s">
        <v>33</v>
      </c>
    </row>
    <row r="16" spans="1:3">
      <c r="A16" s="1" t="s">
        <v>29</v>
      </c>
      <c r="B16" s="1" t="s">
        <v>34</v>
      </c>
      <c r="C16" s="1" t="s">
        <v>35</v>
      </c>
    </row>
    <row r="17" spans="1:3">
      <c r="A17" s="1" t="s">
        <v>36</v>
      </c>
      <c r="B17" s="1" t="s">
        <v>37</v>
      </c>
      <c r="C17" s="1" t="s">
        <v>38</v>
      </c>
    </row>
    <row r="18" spans="1:3">
      <c r="A18" s="1" t="s">
        <v>36</v>
      </c>
      <c r="B18" s="1" t="s">
        <v>39</v>
      </c>
      <c r="C18" s="1" t="s">
        <v>40</v>
      </c>
    </row>
    <row r="19" spans="1:3">
      <c r="A19" s="1" t="s">
        <v>41</v>
      </c>
      <c r="B19" s="1" t="s">
        <v>42</v>
      </c>
      <c r="C19" s="1" t="s">
        <v>43</v>
      </c>
    </row>
    <row r="20" spans="1:3">
      <c r="A20" s="1" t="s">
        <v>41</v>
      </c>
      <c r="B20" s="1" t="s">
        <v>44</v>
      </c>
      <c r="C20" s="1" t="s">
        <v>45</v>
      </c>
    </row>
    <row r="21" spans="1:3">
      <c r="A21" s="1" t="s">
        <v>46</v>
      </c>
      <c r="B21" s="1" t="s">
        <v>47</v>
      </c>
      <c r="C21" s="1" t="s">
        <v>48</v>
      </c>
    </row>
    <row r="22" spans="1:3">
      <c r="A22" s="1" t="s">
        <v>46</v>
      </c>
      <c r="B22" s="1" t="s">
        <v>49</v>
      </c>
      <c r="C22" s="1" t="s">
        <v>50</v>
      </c>
    </row>
    <row r="23" spans="1:3">
      <c r="A23" s="1" t="s">
        <v>46</v>
      </c>
      <c r="B23" s="1" t="s">
        <v>51</v>
      </c>
      <c r="C23" s="1" t="s">
        <v>45</v>
      </c>
    </row>
    <row r="24" spans="1:3">
      <c r="A24" s="1" t="s">
        <v>52</v>
      </c>
      <c r="B24" s="1" t="s">
        <v>53</v>
      </c>
    </row>
    <row r="25" spans="1:3">
      <c r="A25" s="1" t="s">
        <v>52</v>
      </c>
      <c r="B25" s="1" t="s">
        <v>54</v>
      </c>
    </row>
    <row r="26" spans="1:3">
      <c r="A26" s="1" t="s">
        <v>52</v>
      </c>
      <c r="B26" s="1" t="s">
        <v>55</v>
      </c>
    </row>
    <row r="27" spans="1:3">
      <c r="A27" s="1" t="s">
        <v>52</v>
      </c>
      <c r="B27" s="1" t="s">
        <v>56</v>
      </c>
    </row>
    <row r="28" spans="1:3">
      <c r="A28" s="1" t="s">
        <v>52</v>
      </c>
      <c r="B28" s="1" t="s">
        <v>57</v>
      </c>
    </row>
    <row r="29" spans="1:3">
      <c r="A29" s="1" t="s">
        <v>52</v>
      </c>
      <c r="B29" s="1" t="s">
        <v>58</v>
      </c>
    </row>
    <row r="30" spans="1:3">
      <c r="A30" s="1" t="s">
        <v>52</v>
      </c>
      <c r="B30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22.7109375" style="1" customWidth="1"/>
  </cols>
  <sheetData>
    <row r="1" spans="1:17" ht="32" customHeight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</row>
    <row r="2" spans="1:17">
      <c r="A2" s="1" t="s">
        <v>80</v>
      </c>
      <c r="B2" s="1" t="s">
        <v>81</v>
      </c>
      <c r="C2" s="1" t="s">
        <v>82</v>
      </c>
      <c r="D2" s="1" t="s">
        <v>83</v>
      </c>
      <c r="E2" s="3">
        <v>170899152276.34</v>
      </c>
      <c r="F2" s="3">
        <v>1</v>
      </c>
      <c r="G2" s="1" t="s">
        <v>85</v>
      </c>
      <c r="H2" s="1" t="s">
        <v>86</v>
      </c>
      <c r="I2" s="1" t="s">
        <v>87</v>
      </c>
      <c r="J2" s="1" t="s">
        <v>88</v>
      </c>
      <c r="K2" s="1" t="s">
        <v>89</v>
      </c>
      <c r="L2" s="1" t="s">
        <v>90</v>
      </c>
      <c r="M2" s="1" t="s">
        <v>91</v>
      </c>
      <c r="N2" s="1" t="s">
        <v>92</v>
      </c>
      <c r="O2" s="1" t="s">
        <v>93</v>
      </c>
      <c r="P2" s="1" t="s">
        <v>94</v>
      </c>
      <c r="Q2" s="1" t="s">
        <v>95</v>
      </c>
    </row>
    <row r="3" spans="1:17">
      <c r="A3" s="1" t="s">
        <v>96</v>
      </c>
      <c r="B3" s="1" t="s">
        <v>81</v>
      </c>
      <c r="C3" s="1" t="s">
        <v>97</v>
      </c>
      <c r="D3" s="1" t="s">
        <v>98</v>
      </c>
      <c r="E3" s="3">
        <v>147693604994.14</v>
      </c>
      <c r="F3" s="3">
        <v>1</v>
      </c>
      <c r="G3" s="1" t="s">
        <v>85</v>
      </c>
      <c r="H3" s="1" t="s">
        <v>99</v>
      </c>
      <c r="I3" s="1" t="s">
        <v>100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92</v>
      </c>
      <c r="O3" s="1" t="s">
        <v>93</v>
      </c>
      <c r="P3" s="1" t="s">
        <v>101</v>
      </c>
      <c r="Q3" s="1" t="s">
        <v>95</v>
      </c>
    </row>
    <row r="4" spans="1:17">
      <c r="A4" s="1" t="s">
        <v>102</v>
      </c>
      <c r="B4" s="1" t="s">
        <v>103</v>
      </c>
      <c r="C4" s="1" t="s">
        <v>104</v>
      </c>
      <c r="D4" s="1" t="s">
        <v>105</v>
      </c>
      <c r="E4" s="3">
        <v>13789482367.98</v>
      </c>
      <c r="F4" s="3">
        <v>1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  <c r="P4" s="1" t="s">
        <v>106</v>
      </c>
      <c r="Q4" s="1" t="s">
        <v>84</v>
      </c>
    </row>
    <row r="5" spans="1:17">
      <c r="A5" s="1" t="s">
        <v>107</v>
      </c>
      <c r="B5" s="1" t="s">
        <v>103</v>
      </c>
      <c r="C5" s="1" t="s">
        <v>108</v>
      </c>
      <c r="D5" s="1" t="s">
        <v>109</v>
      </c>
      <c r="E5" s="3">
        <v>11867273851.78</v>
      </c>
      <c r="F5" s="3">
        <v>1</v>
      </c>
      <c r="G5" s="1" t="s">
        <v>85</v>
      </c>
      <c r="H5" s="1" t="s">
        <v>99</v>
      </c>
      <c r="I5" s="1" t="s">
        <v>100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110</v>
      </c>
      <c r="Q5" s="1" t="s">
        <v>84</v>
      </c>
    </row>
    <row r="6" spans="1:17">
      <c r="A6" s="1" t="s">
        <v>111</v>
      </c>
      <c r="B6" s="1" t="s">
        <v>112</v>
      </c>
      <c r="C6" s="1" t="s">
        <v>113</v>
      </c>
      <c r="D6" s="1" t="s">
        <v>114</v>
      </c>
      <c r="E6" s="3">
        <v>89334728025.89999</v>
      </c>
      <c r="F6" s="3">
        <v>1</v>
      </c>
      <c r="G6" s="1" t="s">
        <v>85</v>
      </c>
      <c r="H6" s="1" t="s">
        <v>86</v>
      </c>
      <c r="I6" s="1" t="s">
        <v>87</v>
      </c>
      <c r="J6" s="1" t="s">
        <v>88</v>
      </c>
      <c r="K6" s="1" t="s">
        <v>89</v>
      </c>
      <c r="L6" s="1" t="s">
        <v>90</v>
      </c>
      <c r="M6" s="1" t="s">
        <v>91</v>
      </c>
      <c r="N6" s="1" t="s">
        <v>92</v>
      </c>
      <c r="O6" s="1" t="s">
        <v>93</v>
      </c>
      <c r="P6" s="1" t="s">
        <v>115</v>
      </c>
      <c r="Q6" s="1" t="s">
        <v>84</v>
      </c>
    </row>
    <row r="7" spans="1:17">
      <c r="A7" s="1" t="s">
        <v>116</v>
      </c>
      <c r="B7" s="1" t="s">
        <v>112</v>
      </c>
      <c r="C7" s="1" t="s">
        <v>117</v>
      </c>
      <c r="D7" s="1" t="s">
        <v>118</v>
      </c>
      <c r="E7" s="3">
        <v>77521476277.8</v>
      </c>
      <c r="F7" s="3">
        <v>1</v>
      </c>
      <c r="G7" s="1" t="s">
        <v>85</v>
      </c>
      <c r="H7" s="1" t="s">
        <v>99</v>
      </c>
      <c r="I7" s="1" t="s">
        <v>100</v>
      </c>
      <c r="J7" s="1" t="s">
        <v>88</v>
      </c>
      <c r="K7" s="1" t="s">
        <v>89</v>
      </c>
      <c r="L7" s="1" t="s">
        <v>90</v>
      </c>
      <c r="M7" s="1" t="s">
        <v>91</v>
      </c>
      <c r="N7" s="1" t="s">
        <v>92</v>
      </c>
      <c r="O7" s="1" t="s">
        <v>93</v>
      </c>
      <c r="P7" s="1" t="s">
        <v>119</v>
      </c>
      <c r="Q7" s="1" t="s">
        <v>84</v>
      </c>
    </row>
    <row r="8" spans="1:17">
      <c r="A8" s="1" t="s">
        <v>120</v>
      </c>
      <c r="B8" s="1" t="s">
        <v>121</v>
      </c>
      <c r="C8" s="1" t="s">
        <v>122</v>
      </c>
      <c r="D8" s="1" t="s">
        <v>123</v>
      </c>
      <c r="E8" s="3">
        <v>86228146421.62</v>
      </c>
      <c r="F8" s="3">
        <v>1</v>
      </c>
      <c r="G8" s="1" t="s">
        <v>85</v>
      </c>
      <c r="H8" s="1" t="s">
        <v>86</v>
      </c>
      <c r="I8" s="1" t="s">
        <v>87</v>
      </c>
      <c r="J8" s="1" t="s">
        <v>88</v>
      </c>
      <c r="K8" s="1" t="s">
        <v>89</v>
      </c>
      <c r="L8" s="1" t="s">
        <v>90</v>
      </c>
      <c r="M8" s="1" t="s">
        <v>91</v>
      </c>
      <c r="N8" s="1" t="s">
        <v>92</v>
      </c>
      <c r="O8" s="1" t="s">
        <v>93</v>
      </c>
      <c r="P8" s="1" t="s">
        <v>124</v>
      </c>
      <c r="Q8" s="1" t="s">
        <v>84</v>
      </c>
    </row>
    <row r="9" spans="1:17">
      <c r="A9" s="1" t="s">
        <v>125</v>
      </c>
      <c r="B9" s="1" t="s">
        <v>121</v>
      </c>
      <c r="C9" s="1" t="s">
        <v>126</v>
      </c>
      <c r="D9" s="1" t="s">
        <v>127</v>
      </c>
      <c r="E9" s="3">
        <v>74734071550.75</v>
      </c>
      <c r="F9" s="3">
        <v>1</v>
      </c>
      <c r="G9" s="1" t="s">
        <v>85</v>
      </c>
      <c r="H9" s="1" t="s">
        <v>99</v>
      </c>
      <c r="I9" s="1" t="s">
        <v>100</v>
      </c>
      <c r="J9" s="1" t="s">
        <v>88</v>
      </c>
      <c r="K9" s="1" t="s">
        <v>89</v>
      </c>
      <c r="L9" s="1" t="s">
        <v>90</v>
      </c>
      <c r="M9" s="1" t="s">
        <v>91</v>
      </c>
      <c r="N9" s="1" t="s">
        <v>92</v>
      </c>
      <c r="O9" s="1" t="s">
        <v>93</v>
      </c>
      <c r="P9" s="1" t="s">
        <v>128</v>
      </c>
      <c r="Q9" s="1" t="s">
        <v>84</v>
      </c>
    </row>
    <row r="10" spans="1:17">
      <c r="A10" s="1" t="s">
        <v>129</v>
      </c>
      <c r="B10" s="1" t="s">
        <v>130</v>
      </c>
      <c r="C10" s="1" t="s">
        <v>131</v>
      </c>
      <c r="D10" s="1" t="s">
        <v>132</v>
      </c>
      <c r="E10" s="3">
        <v>3106581604.28</v>
      </c>
      <c r="F10" s="3">
        <v>1</v>
      </c>
      <c r="G10" s="1" t="s">
        <v>85</v>
      </c>
      <c r="H10" s="1" t="s">
        <v>86</v>
      </c>
      <c r="I10" s="1" t="s">
        <v>87</v>
      </c>
      <c r="J10" s="1" t="s">
        <v>88</v>
      </c>
      <c r="K10" s="1" t="s">
        <v>89</v>
      </c>
      <c r="L10" s="1" t="s">
        <v>90</v>
      </c>
      <c r="M10" s="1" t="s">
        <v>91</v>
      </c>
      <c r="N10" s="1" t="s">
        <v>92</v>
      </c>
      <c r="O10" s="1" t="s">
        <v>93</v>
      </c>
      <c r="P10" s="1" t="s">
        <v>133</v>
      </c>
      <c r="Q10" s="1" t="s">
        <v>84</v>
      </c>
    </row>
    <row r="11" spans="1:17">
      <c r="A11" s="1" t="s">
        <v>134</v>
      </c>
      <c r="B11" s="1" t="s">
        <v>130</v>
      </c>
      <c r="C11" s="1" t="s">
        <v>135</v>
      </c>
      <c r="D11" s="1" t="s">
        <v>136</v>
      </c>
      <c r="E11" s="3">
        <v>2787404727.05</v>
      </c>
      <c r="F11" s="3">
        <v>1</v>
      </c>
      <c r="G11" s="1" t="s">
        <v>85</v>
      </c>
      <c r="H11" s="1" t="s">
        <v>99</v>
      </c>
      <c r="I11" s="1" t="s">
        <v>100</v>
      </c>
      <c r="J11" s="1" t="s">
        <v>88</v>
      </c>
      <c r="K11" s="1" t="s">
        <v>89</v>
      </c>
      <c r="L11" s="1" t="s">
        <v>90</v>
      </c>
      <c r="M11" s="1" t="s">
        <v>91</v>
      </c>
      <c r="N11" s="1" t="s">
        <v>92</v>
      </c>
      <c r="O11" s="1" t="s">
        <v>93</v>
      </c>
      <c r="P11" s="1" t="s">
        <v>137</v>
      </c>
      <c r="Q11" s="1" t="s">
        <v>84</v>
      </c>
    </row>
    <row r="12" spans="1:17">
      <c r="A12" s="1" t="s">
        <v>138</v>
      </c>
      <c r="B12" s="1" t="s">
        <v>139</v>
      </c>
      <c r="C12" s="1" t="s">
        <v>140</v>
      </c>
      <c r="D12" s="1" t="s">
        <v>141</v>
      </c>
      <c r="E12" s="3">
        <v>298944579918.7</v>
      </c>
      <c r="F12" s="3">
        <v>1</v>
      </c>
      <c r="G12" s="1" t="s">
        <v>85</v>
      </c>
      <c r="H12" s="1" t="s">
        <v>84</v>
      </c>
      <c r="I12" s="1" t="s">
        <v>87</v>
      </c>
      <c r="J12" s="1" t="s">
        <v>88</v>
      </c>
      <c r="K12" s="1" t="s">
        <v>89</v>
      </c>
      <c r="L12" s="1" t="s">
        <v>90</v>
      </c>
      <c r="M12" s="1" t="s">
        <v>91</v>
      </c>
      <c r="N12" s="1" t="s">
        <v>92</v>
      </c>
      <c r="O12" s="1" t="s">
        <v>93</v>
      </c>
      <c r="P12" s="1" t="s">
        <v>142</v>
      </c>
      <c r="Q12" s="1" t="s">
        <v>84</v>
      </c>
    </row>
    <row r="13" spans="1:17">
      <c r="A13" s="1" t="s">
        <v>143</v>
      </c>
      <c r="B13" s="1" t="s">
        <v>139</v>
      </c>
      <c r="C13" s="1" t="s">
        <v>144</v>
      </c>
      <c r="D13" s="1" t="s">
        <v>145</v>
      </c>
      <c r="E13" s="3">
        <v>272699660092.25</v>
      </c>
      <c r="F13" s="3">
        <v>1</v>
      </c>
      <c r="G13" s="1" t="s">
        <v>85</v>
      </c>
      <c r="H13" s="1" t="s">
        <v>84</v>
      </c>
      <c r="I13" s="1" t="s">
        <v>100</v>
      </c>
      <c r="J13" s="1" t="s">
        <v>88</v>
      </c>
      <c r="K13" s="1" t="s">
        <v>89</v>
      </c>
      <c r="L13" s="1" t="s">
        <v>90</v>
      </c>
      <c r="M13" s="1" t="s">
        <v>91</v>
      </c>
      <c r="N13" s="1" t="s">
        <v>92</v>
      </c>
      <c r="O13" s="1" t="s">
        <v>93</v>
      </c>
      <c r="P13" s="1" t="s">
        <v>146</v>
      </c>
      <c r="Q13" s="1" t="s">
        <v>84</v>
      </c>
    </row>
    <row r="14" spans="1:17">
      <c r="A14" s="1" t="s">
        <v>147</v>
      </c>
      <c r="B14" s="1" t="s">
        <v>148</v>
      </c>
      <c r="C14" s="1" t="s">
        <v>149</v>
      </c>
      <c r="D14" s="1" t="s">
        <v>150</v>
      </c>
      <c r="E14" s="3">
        <v>56933264798.1</v>
      </c>
      <c r="F14" s="3">
        <v>1</v>
      </c>
      <c r="G14" s="1" t="s">
        <v>85</v>
      </c>
      <c r="H14" s="1" t="s">
        <v>84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91</v>
      </c>
      <c r="N14" s="1" t="s">
        <v>92</v>
      </c>
      <c r="O14" s="1" t="s">
        <v>93</v>
      </c>
      <c r="P14" s="1" t="s">
        <v>151</v>
      </c>
      <c r="Q14" s="1" t="s">
        <v>84</v>
      </c>
    </row>
    <row r="15" spans="1:17">
      <c r="A15" s="1" t="s">
        <v>152</v>
      </c>
      <c r="B15" s="1" t="s">
        <v>148</v>
      </c>
      <c r="C15" s="1" t="s">
        <v>153</v>
      </c>
      <c r="D15" s="1" t="s">
        <v>154</v>
      </c>
      <c r="E15" s="3">
        <v>49043190797.43</v>
      </c>
      <c r="F15" s="3">
        <v>1</v>
      </c>
      <c r="G15" s="1" t="s">
        <v>85</v>
      </c>
      <c r="H15" s="1" t="s">
        <v>84</v>
      </c>
      <c r="I15" s="1" t="s">
        <v>100</v>
      </c>
      <c r="J15" s="1" t="s">
        <v>88</v>
      </c>
      <c r="K15" s="1" t="s">
        <v>89</v>
      </c>
      <c r="L15" s="1" t="s">
        <v>90</v>
      </c>
      <c r="M15" s="1" t="s">
        <v>91</v>
      </c>
      <c r="N15" s="1" t="s">
        <v>92</v>
      </c>
      <c r="O15" s="1" t="s">
        <v>93</v>
      </c>
      <c r="P15" s="1" t="s">
        <v>155</v>
      </c>
      <c r="Q15" s="1" t="s">
        <v>84</v>
      </c>
    </row>
    <row r="16" spans="1:17">
      <c r="A16" s="1" t="s">
        <v>156</v>
      </c>
      <c r="B16" s="1" t="s">
        <v>157</v>
      </c>
      <c r="C16" s="1" t="s">
        <v>158</v>
      </c>
      <c r="D16" s="1" t="s">
        <v>159</v>
      </c>
      <c r="E16" s="3">
        <v>242011315120.6</v>
      </c>
      <c r="F16" s="3">
        <v>1</v>
      </c>
      <c r="G16" s="1" t="s">
        <v>85</v>
      </c>
      <c r="H16" s="1" t="s">
        <v>84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91</v>
      </c>
      <c r="N16" s="1" t="s">
        <v>92</v>
      </c>
      <c r="O16" s="1" t="s">
        <v>93</v>
      </c>
      <c r="P16" s="1" t="s">
        <v>160</v>
      </c>
      <c r="Q16" s="1" t="s">
        <v>84</v>
      </c>
    </row>
    <row r="17" spans="1:17">
      <c r="A17" s="1" t="s">
        <v>161</v>
      </c>
      <c r="B17" s="1" t="s">
        <v>157</v>
      </c>
      <c r="C17" s="1" t="s">
        <v>162</v>
      </c>
      <c r="D17" s="1" t="s">
        <v>163</v>
      </c>
      <c r="E17" s="3">
        <v>223656469294.82</v>
      </c>
      <c r="F17" s="3">
        <v>1</v>
      </c>
      <c r="G17" s="1" t="s">
        <v>85</v>
      </c>
      <c r="H17" s="1" t="s">
        <v>84</v>
      </c>
      <c r="I17" s="1" t="s">
        <v>100</v>
      </c>
      <c r="J17" s="1" t="s">
        <v>88</v>
      </c>
      <c r="K17" s="1" t="s">
        <v>89</v>
      </c>
      <c r="L17" s="1" t="s">
        <v>90</v>
      </c>
      <c r="M17" s="1" t="s">
        <v>91</v>
      </c>
      <c r="N17" s="1" t="s">
        <v>92</v>
      </c>
      <c r="O17" s="1" t="s">
        <v>93</v>
      </c>
      <c r="P17" s="1" t="s">
        <v>164</v>
      </c>
      <c r="Q17" s="1" t="s">
        <v>84</v>
      </c>
    </row>
    <row r="18" spans="1:17">
      <c r="A18" s="1" t="s">
        <v>165</v>
      </c>
      <c r="B18" s="1" t="s">
        <v>166</v>
      </c>
      <c r="C18" s="1" t="s">
        <v>167</v>
      </c>
      <c r="D18" s="1" t="s">
        <v>168</v>
      </c>
      <c r="E18" s="3">
        <v>233105984399.47</v>
      </c>
      <c r="F18" s="3">
        <v>1</v>
      </c>
      <c r="G18" s="1" t="s">
        <v>85</v>
      </c>
      <c r="H18" s="1" t="s">
        <v>84</v>
      </c>
      <c r="I18" s="1" t="s">
        <v>87</v>
      </c>
      <c r="J18" s="1" t="s">
        <v>88</v>
      </c>
      <c r="K18" s="1" t="s">
        <v>89</v>
      </c>
      <c r="L18" s="1" t="s">
        <v>90</v>
      </c>
      <c r="M18" s="1" t="s">
        <v>91</v>
      </c>
      <c r="N18" s="1" t="s">
        <v>92</v>
      </c>
      <c r="O18" s="1" t="s">
        <v>93</v>
      </c>
      <c r="P18" s="1" t="s">
        <v>169</v>
      </c>
      <c r="Q18" s="1" t="s">
        <v>84</v>
      </c>
    </row>
    <row r="19" spans="1:17">
      <c r="A19" s="1" t="s">
        <v>170</v>
      </c>
      <c r="B19" s="1" t="s">
        <v>166</v>
      </c>
      <c r="C19" s="1" t="s">
        <v>171</v>
      </c>
      <c r="D19" s="1" t="s">
        <v>172</v>
      </c>
      <c r="E19" s="3">
        <v>215668571607.43</v>
      </c>
      <c r="F19" s="3">
        <v>1</v>
      </c>
      <c r="G19" s="1" t="s">
        <v>85</v>
      </c>
      <c r="H19" s="1" t="s">
        <v>84</v>
      </c>
      <c r="I19" s="1" t="s">
        <v>100</v>
      </c>
      <c r="J19" s="1" t="s">
        <v>88</v>
      </c>
      <c r="K19" s="1" t="s">
        <v>89</v>
      </c>
      <c r="L19" s="1" t="s">
        <v>90</v>
      </c>
      <c r="M19" s="1" t="s">
        <v>91</v>
      </c>
      <c r="N19" s="1" t="s">
        <v>92</v>
      </c>
      <c r="O19" s="1" t="s">
        <v>93</v>
      </c>
      <c r="P19" s="1" t="s">
        <v>173</v>
      </c>
      <c r="Q19" s="1" t="s">
        <v>84</v>
      </c>
    </row>
    <row r="20" spans="1:17">
      <c r="A20" s="1" t="s">
        <v>174</v>
      </c>
      <c r="B20" s="1" t="s">
        <v>175</v>
      </c>
      <c r="C20" s="1" t="s">
        <v>176</v>
      </c>
      <c r="D20" s="1" t="s">
        <v>177</v>
      </c>
      <c r="E20" s="3">
        <v>251726674636.66</v>
      </c>
      <c r="F20" s="3">
        <v>1</v>
      </c>
      <c r="G20" s="1" t="s">
        <v>85</v>
      </c>
      <c r="H20" s="1" t="s">
        <v>84</v>
      </c>
      <c r="I20" s="1" t="s">
        <v>87</v>
      </c>
      <c r="J20" s="1" t="s">
        <v>88</v>
      </c>
      <c r="K20" s="1" t="s">
        <v>89</v>
      </c>
      <c r="L20" s="1" t="s">
        <v>90</v>
      </c>
      <c r="M20" s="1" t="s">
        <v>91</v>
      </c>
      <c r="N20" s="1" t="s">
        <v>92</v>
      </c>
      <c r="O20" s="1" t="s">
        <v>93</v>
      </c>
      <c r="P20" s="1" t="s">
        <v>178</v>
      </c>
      <c r="Q20" s="1" t="s">
        <v>84</v>
      </c>
    </row>
    <row r="21" spans="1:17">
      <c r="A21" s="1" t="s">
        <v>179</v>
      </c>
      <c r="B21" s="1" t="s">
        <v>175</v>
      </c>
      <c r="C21" s="1" t="s">
        <v>180</v>
      </c>
      <c r="D21" s="1" t="s">
        <v>181</v>
      </c>
      <c r="E21" s="3">
        <v>225172517821.28</v>
      </c>
      <c r="F21" s="3">
        <v>1</v>
      </c>
      <c r="G21" s="1" t="s">
        <v>85</v>
      </c>
      <c r="H21" s="1" t="s">
        <v>84</v>
      </c>
      <c r="I21" s="1" t="s">
        <v>100</v>
      </c>
      <c r="J21" s="1" t="s">
        <v>88</v>
      </c>
      <c r="K21" s="1" t="s">
        <v>89</v>
      </c>
      <c r="L21" s="1" t="s">
        <v>90</v>
      </c>
      <c r="M21" s="1" t="s">
        <v>91</v>
      </c>
      <c r="N21" s="1" t="s">
        <v>92</v>
      </c>
      <c r="O21" s="1" t="s">
        <v>93</v>
      </c>
      <c r="P21" s="1" t="s">
        <v>182</v>
      </c>
      <c r="Q21" s="1" t="s">
        <v>84</v>
      </c>
    </row>
    <row r="22" spans="1:17">
      <c r="A22" s="1" t="s">
        <v>183</v>
      </c>
      <c r="B22" s="1" t="s">
        <v>184</v>
      </c>
      <c r="C22" s="1" t="s">
        <v>185</v>
      </c>
      <c r="D22" s="1" t="s">
        <v>186</v>
      </c>
      <c r="E22" s="3">
        <v>56515990618.96</v>
      </c>
      <c r="F22" s="3">
        <v>1</v>
      </c>
      <c r="G22" s="1" t="s">
        <v>85</v>
      </c>
      <c r="H22" s="1" t="s">
        <v>84</v>
      </c>
      <c r="I22" s="1" t="s">
        <v>87</v>
      </c>
      <c r="J22" s="1" t="s">
        <v>88</v>
      </c>
      <c r="K22" s="1" t="s">
        <v>89</v>
      </c>
      <c r="L22" s="1" t="s">
        <v>90</v>
      </c>
      <c r="M22" s="1" t="s">
        <v>91</v>
      </c>
      <c r="N22" s="1" t="s">
        <v>92</v>
      </c>
      <c r="O22" s="1" t="s">
        <v>93</v>
      </c>
      <c r="P22" s="1" t="s">
        <v>187</v>
      </c>
      <c r="Q22" s="1" t="s">
        <v>84</v>
      </c>
    </row>
    <row r="23" spans="1:17">
      <c r="A23" s="1" t="s">
        <v>188</v>
      </c>
      <c r="B23" s="1" t="s">
        <v>184</v>
      </c>
      <c r="C23" s="1" t="s">
        <v>189</v>
      </c>
      <c r="D23" s="1" t="s">
        <v>190</v>
      </c>
      <c r="E23" s="3">
        <v>48697611501.2</v>
      </c>
      <c r="F23" s="3">
        <v>1</v>
      </c>
      <c r="G23" s="1" t="s">
        <v>85</v>
      </c>
      <c r="H23" s="1" t="s">
        <v>84</v>
      </c>
      <c r="I23" s="1" t="s">
        <v>100</v>
      </c>
      <c r="J23" s="1" t="s">
        <v>88</v>
      </c>
      <c r="K23" s="1" t="s">
        <v>89</v>
      </c>
      <c r="L23" s="1" t="s">
        <v>90</v>
      </c>
      <c r="M23" s="1" t="s">
        <v>91</v>
      </c>
      <c r="N23" s="1" t="s">
        <v>92</v>
      </c>
      <c r="O23" s="1" t="s">
        <v>93</v>
      </c>
      <c r="P23" s="1" t="s">
        <v>191</v>
      </c>
      <c r="Q23" s="1" t="s">
        <v>84</v>
      </c>
    </row>
    <row r="24" spans="1:17">
      <c r="A24" s="1" t="s">
        <v>192</v>
      </c>
      <c r="B24" s="1" t="s">
        <v>193</v>
      </c>
      <c r="C24" s="1" t="s">
        <v>194</v>
      </c>
      <c r="D24" s="1" t="s">
        <v>195</v>
      </c>
      <c r="E24" s="3">
        <v>54343285157.47</v>
      </c>
      <c r="F24" s="3">
        <v>1</v>
      </c>
      <c r="G24" s="1" t="s">
        <v>85</v>
      </c>
      <c r="H24" s="1" t="s">
        <v>84</v>
      </c>
      <c r="I24" s="1" t="s">
        <v>87</v>
      </c>
      <c r="J24" s="1" t="s">
        <v>88</v>
      </c>
      <c r="K24" s="1" t="s">
        <v>89</v>
      </c>
      <c r="L24" s="1" t="s">
        <v>90</v>
      </c>
      <c r="M24" s="1" t="s">
        <v>91</v>
      </c>
      <c r="N24" s="1" t="s">
        <v>92</v>
      </c>
      <c r="O24" s="1" t="s">
        <v>93</v>
      </c>
      <c r="P24" s="1" t="s">
        <v>196</v>
      </c>
      <c r="Q24" s="1" t="s">
        <v>84</v>
      </c>
    </row>
    <row r="25" spans="1:17">
      <c r="A25" s="1" t="s">
        <v>197</v>
      </c>
      <c r="B25" s="1" t="s">
        <v>193</v>
      </c>
      <c r="C25" s="1" t="s">
        <v>198</v>
      </c>
      <c r="D25" s="1" t="s">
        <v>199</v>
      </c>
      <c r="E25" s="3">
        <v>46435185061.53</v>
      </c>
      <c r="F25" s="3">
        <v>1</v>
      </c>
      <c r="G25" s="1" t="s">
        <v>85</v>
      </c>
      <c r="H25" s="1" t="s">
        <v>84</v>
      </c>
      <c r="I25" s="1" t="s">
        <v>100</v>
      </c>
      <c r="J25" s="1" t="s">
        <v>88</v>
      </c>
      <c r="K25" s="1" t="s">
        <v>89</v>
      </c>
      <c r="L25" s="1" t="s">
        <v>90</v>
      </c>
      <c r="M25" s="1" t="s">
        <v>91</v>
      </c>
      <c r="N25" s="1" t="s">
        <v>92</v>
      </c>
      <c r="O25" s="1" t="s">
        <v>93</v>
      </c>
      <c r="P25" s="1" t="s">
        <v>200</v>
      </c>
      <c r="Q25" s="1" t="s">
        <v>84</v>
      </c>
    </row>
    <row r="26" spans="1:17">
      <c r="A26" s="1" t="s">
        <v>201</v>
      </c>
      <c r="B26" s="1" t="s">
        <v>202</v>
      </c>
      <c r="C26" s="1" t="s">
        <v>203</v>
      </c>
      <c r="D26" s="1" t="s">
        <v>204</v>
      </c>
      <c r="E26" s="3">
        <v>18974192.75</v>
      </c>
      <c r="F26" s="3">
        <v>1</v>
      </c>
      <c r="G26" s="1" t="s">
        <v>85</v>
      </c>
      <c r="H26" s="1" t="s">
        <v>84</v>
      </c>
      <c r="I26" s="1" t="s">
        <v>87</v>
      </c>
      <c r="J26" s="1" t="s">
        <v>88</v>
      </c>
      <c r="K26" s="1" t="s">
        <v>89</v>
      </c>
      <c r="L26" s="1" t="s">
        <v>90</v>
      </c>
      <c r="M26" s="1" t="s">
        <v>91</v>
      </c>
      <c r="N26" s="1" t="s">
        <v>92</v>
      </c>
      <c r="O26" s="1" t="s">
        <v>93</v>
      </c>
      <c r="P26" s="1" t="s">
        <v>205</v>
      </c>
      <c r="Q26" s="1" t="s">
        <v>206</v>
      </c>
    </row>
    <row r="27" spans="1:17">
      <c r="A27" s="1" t="s">
        <v>207</v>
      </c>
      <c r="B27" s="1" t="s">
        <v>202</v>
      </c>
      <c r="C27" s="1" t="s">
        <v>208</v>
      </c>
      <c r="D27" s="1" t="s">
        <v>209</v>
      </c>
      <c r="E27" s="3">
        <v>60373410.41</v>
      </c>
      <c r="F27" s="3">
        <v>1</v>
      </c>
      <c r="G27" s="1" t="s">
        <v>85</v>
      </c>
      <c r="H27" s="1" t="s">
        <v>84</v>
      </c>
      <c r="I27" s="1" t="s">
        <v>100</v>
      </c>
      <c r="J27" s="1" t="s">
        <v>88</v>
      </c>
      <c r="K27" s="1" t="s">
        <v>89</v>
      </c>
      <c r="L27" s="1" t="s">
        <v>90</v>
      </c>
      <c r="M27" s="1" t="s">
        <v>91</v>
      </c>
      <c r="N27" s="1" t="s">
        <v>92</v>
      </c>
      <c r="O27" s="1" t="s">
        <v>93</v>
      </c>
      <c r="P27" s="1" t="s">
        <v>210</v>
      </c>
      <c r="Q27" s="1" t="s">
        <v>206</v>
      </c>
    </row>
    <row r="28" spans="1:17">
      <c r="A28" s="1" t="s">
        <v>211</v>
      </c>
      <c r="B28" s="1" t="s">
        <v>212</v>
      </c>
      <c r="C28" s="1" t="s">
        <v>213</v>
      </c>
      <c r="D28" s="1" t="s">
        <v>214</v>
      </c>
      <c r="E28" s="3">
        <v>92463692168.42999</v>
      </c>
      <c r="F28" s="3">
        <v>1</v>
      </c>
      <c r="G28" s="1" t="s">
        <v>85</v>
      </c>
      <c r="H28" s="1" t="s">
        <v>86</v>
      </c>
      <c r="I28" s="1" t="s">
        <v>87</v>
      </c>
      <c r="J28" s="1" t="s">
        <v>88</v>
      </c>
      <c r="K28" s="1" t="s">
        <v>89</v>
      </c>
      <c r="L28" s="1" t="s">
        <v>90</v>
      </c>
      <c r="M28" s="1" t="s">
        <v>91</v>
      </c>
      <c r="N28" s="1" t="s">
        <v>92</v>
      </c>
      <c r="O28" s="1" t="s">
        <v>93</v>
      </c>
      <c r="P28" s="1" t="s">
        <v>215</v>
      </c>
      <c r="Q28" s="1" t="s">
        <v>216</v>
      </c>
    </row>
    <row r="29" spans="1:17">
      <c r="A29" s="1" t="s">
        <v>217</v>
      </c>
      <c r="B29" s="1" t="s">
        <v>212</v>
      </c>
      <c r="C29" s="1" t="s">
        <v>218</v>
      </c>
      <c r="D29" s="1" t="s">
        <v>219</v>
      </c>
      <c r="E29" s="3">
        <v>66593247721.09</v>
      </c>
      <c r="F29" s="3">
        <v>1</v>
      </c>
      <c r="G29" s="1" t="s">
        <v>85</v>
      </c>
      <c r="H29" s="1" t="s">
        <v>99</v>
      </c>
      <c r="I29" s="1" t="s">
        <v>100</v>
      </c>
      <c r="J29" s="1" t="s">
        <v>88</v>
      </c>
      <c r="K29" s="1" t="s">
        <v>89</v>
      </c>
      <c r="L29" s="1" t="s">
        <v>90</v>
      </c>
      <c r="M29" s="1" t="s">
        <v>91</v>
      </c>
      <c r="N29" s="1" t="s">
        <v>92</v>
      </c>
      <c r="O29" s="1" t="s">
        <v>93</v>
      </c>
      <c r="P29" s="1" t="s">
        <v>220</v>
      </c>
      <c r="Q29" s="1" t="s">
        <v>216</v>
      </c>
    </row>
    <row r="30" spans="1:17">
      <c r="A30" s="1" t="s">
        <v>221</v>
      </c>
      <c r="B30" s="1" t="s">
        <v>222</v>
      </c>
      <c r="C30" s="1" t="s">
        <v>223</v>
      </c>
      <c r="D30" s="1" t="s">
        <v>224</v>
      </c>
      <c r="E30" s="3">
        <v>-1785202630.71</v>
      </c>
      <c r="F30" s="3">
        <v>1</v>
      </c>
      <c r="G30" s="1" t="s">
        <v>85</v>
      </c>
      <c r="H30" s="1" t="s">
        <v>86</v>
      </c>
      <c r="I30" s="1" t="s">
        <v>87</v>
      </c>
      <c r="J30" s="1" t="s">
        <v>88</v>
      </c>
      <c r="K30" s="1" t="s">
        <v>89</v>
      </c>
      <c r="L30" s="1" t="s">
        <v>90</v>
      </c>
      <c r="M30" s="1" t="s">
        <v>91</v>
      </c>
      <c r="N30" s="1" t="s">
        <v>92</v>
      </c>
      <c r="O30" s="1" t="s">
        <v>93</v>
      </c>
      <c r="P30" s="1" t="s">
        <v>225</v>
      </c>
      <c r="Q30" s="1" t="s">
        <v>84</v>
      </c>
    </row>
    <row r="31" spans="1:17">
      <c r="A31" s="1" t="s">
        <v>226</v>
      </c>
      <c r="B31" s="1" t="s">
        <v>222</v>
      </c>
      <c r="C31" s="1" t="s">
        <v>227</v>
      </c>
      <c r="D31" s="1" t="s">
        <v>228</v>
      </c>
      <c r="E31" s="3">
        <v>-9724414015.16</v>
      </c>
      <c r="F31" s="3">
        <v>1</v>
      </c>
      <c r="G31" s="1" t="s">
        <v>85</v>
      </c>
      <c r="H31" s="1" t="s">
        <v>99</v>
      </c>
      <c r="I31" s="1" t="s">
        <v>100</v>
      </c>
      <c r="J31" s="1" t="s">
        <v>88</v>
      </c>
      <c r="K31" s="1" t="s">
        <v>89</v>
      </c>
      <c r="L31" s="1" t="s">
        <v>90</v>
      </c>
      <c r="M31" s="1" t="s">
        <v>91</v>
      </c>
      <c r="N31" s="1" t="s">
        <v>92</v>
      </c>
      <c r="O31" s="1" t="s">
        <v>93</v>
      </c>
      <c r="P31" s="1" t="s">
        <v>229</v>
      </c>
      <c r="Q31" s="1" t="s">
        <v>84</v>
      </c>
    </row>
    <row r="32" spans="1:17">
      <c r="A32" s="1" t="s">
        <v>230</v>
      </c>
      <c r="B32" s="1" t="s">
        <v>231</v>
      </c>
      <c r="C32" s="1" t="s">
        <v>232</v>
      </c>
      <c r="D32" s="1" t="s">
        <v>233</v>
      </c>
      <c r="E32" s="3">
        <v>-71067506484.81</v>
      </c>
      <c r="F32" s="3">
        <v>1</v>
      </c>
      <c r="G32" s="1" t="s">
        <v>85</v>
      </c>
      <c r="H32" s="1" t="s">
        <v>86</v>
      </c>
      <c r="I32" s="1" t="s">
        <v>87</v>
      </c>
      <c r="J32" s="1" t="s">
        <v>88</v>
      </c>
      <c r="K32" s="1" t="s">
        <v>89</v>
      </c>
      <c r="L32" s="1" t="s">
        <v>90</v>
      </c>
      <c r="M32" s="1" t="s">
        <v>91</v>
      </c>
      <c r="N32" s="1" t="s">
        <v>92</v>
      </c>
      <c r="O32" s="1" t="s">
        <v>93</v>
      </c>
      <c r="P32" s="1" t="s">
        <v>234</v>
      </c>
      <c r="Q32" s="1" t="s">
        <v>84</v>
      </c>
    </row>
    <row r="33" spans="1:17">
      <c r="A33" s="1" t="s">
        <v>235</v>
      </c>
      <c r="B33" s="1" t="s">
        <v>231</v>
      </c>
      <c r="C33" s="1" t="s">
        <v>236</v>
      </c>
      <c r="D33" s="1" t="s">
        <v>237</v>
      </c>
      <c r="E33" s="3">
        <v>-58889101991.94</v>
      </c>
      <c r="F33" s="3">
        <v>1</v>
      </c>
      <c r="G33" s="1" t="s">
        <v>85</v>
      </c>
      <c r="H33" s="1" t="s">
        <v>99</v>
      </c>
      <c r="I33" s="1" t="s">
        <v>100</v>
      </c>
      <c r="J33" s="1" t="s">
        <v>88</v>
      </c>
      <c r="K33" s="1" t="s">
        <v>89</v>
      </c>
      <c r="L33" s="1" t="s">
        <v>90</v>
      </c>
      <c r="M33" s="1" t="s">
        <v>91</v>
      </c>
      <c r="N33" s="1" t="s">
        <v>92</v>
      </c>
      <c r="O33" s="1" t="s">
        <v>93</v>
      </c>
      <c r="P33" s="1" t="s">
        <v>238</v>
      </c>
      <c r="Q33" s="1" t="s">
        <v>84</v>
      </c>
    </row>
    <row r="34" spans="1:17">
      <c r="A34" s="1" t="s">
        <v>239</v>
      </c>
      <c r="B34" s="1" t="s">
        <v>240</v>
      </c>
      <c r="C34" s="1" t="s">
        <v>241</v>
      </c>
      <c r="D34" s="1" t="s">
        <v>242</v>
      </c>
      <c r="E34" s="3">
        <v>-1082747.55</v>
      </c>
      <c r="F34" s="3">
        <v>1</v>
      </c>
      <c r="G34" s="1" t="s">
        <v>85</v>
      </c>
      <c r="H34" s="1" t="s">
        <v>86</v>
      </c>
      <c r="I34" s="1" t="s">
        <v>87</v>
      </c>
      <c r="J34" s="1" t="s">
        <v>88</v>
      </c>
      <c r="K34" s="1" t="s">
        <v>89</v>
      </c>
      <c r="L34" s="1" t="s">
        <v>90</v>
      </c>
      <c r="M34" s="1" t="s">
        <v>91</v>
      </c>
      <c r="N34" s="1" t="s">
        <v>92</v>
      </c>
      <c r="O34" s="1" t="s">
        <v>93</v>
      </c>
      <c r="P34" s="1" t="s">
        <v>243</v>
      </c>
      <c r="Q34" s="1" t="s">
        <v>84</v>
      </c>
    </row>
    <row r="35" spans="1:17">
      <c r="A35" s="1" t="s">
        <v>244</v>
      </c>
      <c r="B35" s="1" t="s">
        <v>240</v>
      </c>
      <c r="C35" s="1" t="s">
        <v>245</v>
      </c>
      <c r="D35" s="1" t="s">
        <v>246</v>
      </c>
      <c r="E35" s="3">
        <v>1718255.65</v>
      </c>
      <c r="F35" s="3">
        <v>1</v>
      </c>
      <c r="G35" s="1" t="s">
        <v>85</v>
      </c>
      <c r="H35" s="1" t="s">
        <v>99</v>
      </c>
      <c r="I35" s="1" t="s">
        <v>100</v>
      </c>
      <c r="J35" s="1" t="s">
        <v>88</v>
      </c>
      <c r="K35" s="1" t="s">
        <v>89</v>
      </c>
      <c r="L35" s="1" t="s">
        <v>90</v>
      </c>
      <c r="M35" s="1" t="s">
        <v>91</v>
      </c>
      <c r="N35" s="1" t="s">
        <v>92</v>
      </c>
      <c r="O35" s="1" t="s">
        <v>93</v>
      </c>
      <c r="P35" s="1" t="s">
        <v>247</v>
      </c>
      <c r="Q35" s="1" t="s">
        <v>84</v>
      </c>
    </row>
    <row r="36" spans="1:17">
      <c r="A36" s="1" t="s">
        <v>248</v>
      </c>
      <c r="B36" s="1" t="s">
        <v>249</v>
      </c>
      <c r="C36" s="1" t="s">
        <v>250</v>
      </c>
      <c r="D36" s="1" t="s">
        <v>251</v>
      </c>
      <c r="E36" s="3">
        <v>169970089257.83</v>
      </c>
      <c r="F36" s="3">
        <v>1</v>
      </c>
      <c r="G36" s="1" t="s">
        <v>85</v>
      </c>
      <c r="H36" s="1" t="s">
        <v>84</v>
      </c>
      <c r="I36" s="1" t="s">
        <v>87</v>
      </c>
      <c r="J36" s="1" t="s">
        <v>88</v>
      </c>
      <c r="K36" s="1" t="s">
        <v>89</v>
      </c>
      <c r="L36" s="1" t="s">
        <v>90</v>
      </c>
      <c r="M36" s="1" t="s">
        <v>91</v>
      </c>
      <c r="N36" s="1" t="s">
        <v>92</v>
      </c>
      <c r="O36" s="1" t="s">
        <v>93</v>
      </c>
      <c r="P36" s="1" t="s">
        <v>252</v>
      </c>
      <c r="Q36" s="1" t="s">
        <v>84</v>
      </c>
    </row>
    <row r="37" spans="1:17">
      <c r="A37" s="1" t="s">
        <v>253</v>
      </c>
      <c r="B37" s="1" t="s">
        <v>249</v>
      </c>
      <c r="C37" s="1" t="s">
        <v>254</v>
      </c>
      <c r="D37" s="1" t="s">
        <v>255</v>
      </c>
      <c r="E37" s="3">
        <v>150360188952.47</v>
      </c>
      <c r="F37" s="3">
        <v>1</v>
      </c>
      <c r="G37" s="1" t="s">
        <v>85</v>
      </c>
      <c r="H37" s="1" t="s">
        <v>84</v>
      </c>
      <c r="I37" s="1" t="s">
        <v>100</v>
      </c>
      <c r="J37" s="1" t="s">
        <v>88</v>
      </c>
      <c r="K37" s="1" t="s">
        <v>89</v>
      </c>
      <c r="L37" s="1" t="s">
        <v>90</v>
      </c>
      <c r="M37" s="1" t="s">
        <v>91</v>
      </c>
      <c r="N37" s="1" t="s">
        <v>92</v>
      </c>
      <c r="O37" s="1" t="s">
        <v>93</v>
      </c>
      <c r="P37" s="1" t="s">
        <v>256</v>
      </c>
      <c r="Q37" s="1" t="s">
        <v>84</v>
      </c>
    </row>
    <row r="38" spans="1:17">
      <c r="A38" s="1" t="s">
        <v>257</v>
      </c>
      <c r="B38" s="1" t="s">
        <v>258</v>
      </c>
      <c r="C38" s="1" t="s">
        <v>259</v>
      </c>
      <c r="D38" s="1" t="s">
        <v>260</v>
      </c>
      <c r="E38" s="3">
        <v>4678712053.56</v>
      </c>
      <c r="F38" s="3">
        <v>1</v>
      </c>
      <c r="G38" s="1" t="s">
        <v>85</v>
      </c>
      <c r="H38" s="1" t="s">
        <v>86</v>
      </c>
      <c r="I38" s="1" t="s">
        <v>87</v>
      </c>
      <c r="J38" s="1" t="s">
        <v>88</v>
      </c>
      <c r="K38" s="1" t="s">
        <v>89</v>
      </c>
      <c r="L38" s="1" t="s">
        <v>90</v>
      </c>
      <c r="M38" s="1" t="s">
        <v>91</v>
      </c>
      <c r="N38" s="1" t="s">
        <v>92</v>
      </c>
      <c r="O38" s="1" t="s">
        <v>93</v>
      </c>
      <c r="P38" s="1" t="s">
        <v>261</v>
      </c>
      <c r="Q38" s="1" t="s">
        <v>262</v>
      </c>
    </row>
    <row r="39" spans="1:17">
      <c r="A39" s="1" t="s">
        <v>263</v>
      </c>
      <c r="B39" s="1" t="s">
        <v>258</v>
      </c>
      <c r="C39" s="1" t="s">
        <v>264</v>
      </c>
      <c r="D39" s="1" t="s">
        <v>265</v>
      </c>
      <c r="E39" s="3">
        <v>2619755888.79</v>
      </c>
      <c r="F39" s="3">
        <v>1</v>
      </c>
      <c r="G39" s="1" t="s">
        <v>85</v>
      </c>
      <c r="H39" s="1" t="s">
        <v>99</v>
      </c>
      <c r="I39" s="1" t="s">
        <v>100</v>
      </c>
      <c r="J39" s="1" t="s">
        <v>88</v>
      </c>
      <c r="K39" s="1" t="s">
        <v>89</v>
      </c>
      <c r="L39" s="1" t="s">
        <v>90</v>
      </c>
      <c r="M39" s="1" t="s">
        <v>91</v>
      </c>
      <c r="N39" s="1" t="s">
        <v>92</v>
      </c>
      <c r="O39" s="1" t="s">
        <v>93</v>
      </c>
      <c r="P39" s="1" t="s">
        <v>266</v>
      </c>
      <c r="Q39" s="1" t="s">
        <v>262</v>
      </c>
    </row>
    <row r="40" spans="1:17">
      <c r="A40" s="1" t="s">
        <v>267</v>
      </c>
      <c r="B40" s="1" t="s">
        <v>268</v>
      </c>
      <c r="C40" s="1" t="s">
        <v>269</v>
      </c>
      <c r="D40" s="1" t="s">
        <v>270</v>
      </c>
      <c r="E40" s="3">
        <v>89330873528.72</v>
      </c>
      <c r="F40" s="3">
        <v>1</v>
      </c>
      <c r="G40" s="1" t="s">
        <v>85</v>
      </c>
      <c r="H40" s="1" t="s">
        <v>86</v>
      </c>
      <c r="I40" s="1" t="s">
        <v>87</v>
      </c>
      <c r="J40" s="1" t="s">
        <v>88</v>
      </c>
      <c r="K40" s="1" t="s">
        <v>89</v>
      </c>
      <c r="L40" s="1" t="s">
        <v>90</v>
      </c>
      <c r="M40" s="1" t="s">
        <v>91</v>
      </c>
      <c r="N40" s="1" t="s">
        <v>92</v>
      </c>
      <c r="O40" s="1" t="s">
        <v>93</v>
      </c>
      <c r="P40" s="1" t="s">
        <v>271</v>
      </c>
      <c r="Q40" s="1" t="s">
        <v>84</v>
      </c>
    </row>
    <row r="41" spans="1:17">
      <c r="A41" s="1" t="s">
        <v>272</v>
      </c>
      <c r="B41" s="1" t="s">
        <v>268</v>
      </c>
      <c r="C41" s="1" t="s">
        <v>273</v>
      </c>
      <c r="D41" s="1" t="s">
        <v>274</v>
      </c>
      <c r="E41" s="3">
        <v>77526191457.62</v>
      </c>
      <c r="F41" s="3">
        <v>1</v>
      </c>
      <c r="G41" s="1" t="s">
        <v>85</v>
      </c>
      <c r="H41" s="1" t="s">
        <v>99</v>
      </c>
      <c r="I41" s="1" t="s">
        <v>100</v>
      </c>
      <c r="J41" s="1" t="s">
        <v>88</v>
      </c>
      <c r="K41" s="1" t="s">
        <v>89</v>
      </c>
      <c r="L41" s="1" t="s">
        <v>90</v>
      </c>
      <c r="M41" s="1" t="s">
        <v>91</v>
      </c>
      <c r="N41" s="1" t="s">
        <v>92</v>
      </c>
      <c r="O41" s="1" t="s">
        <v>93</v>
      </c>
      <c r="P41" s="1" t="s">
        <v>275</v>
      </c>
      <c r="Q41" s="1" t="s">
        <v>84</v>
      </c>
    </row>
    <row r="42" spans="1:17">
      <c r="A42" s="1" t="s">
        <v>276</v>
      </c>
      <c r="B42" s="1" t="s">
        <v>249</v>
      </c>
      <c r="C42" s="1" t="s">
        <v>277</v>
      </c>
      <c r="D42" s="1" t="s">
        <v>278</v>
      </c>
      <c r="E42" s="3">
        <v>152378738982.83</v>
      </c>
      <c r="F42" s="3">
        <v>1</v>
      </c>
      <c r="G42" s="1" t="s">
        <v>85</v>
      </c>
      <c r="H42" s="1" t="s">
        <v>84</v>
      </c>
      <c r="I42" s="1" t="s">
        <v>279</v>
      </c>
      <c r="J42" s="1" t="s">
        <v>88</v>
      </c>
      <c r="K42" s="1" t="s">
        <v>89</v>
      </c>
      <c r="L42" s="1" t="s">
        <v>90</v>
      </c>
      <c r="M42" s="1" t="s">
        <v>91</v>
      </c>
      <c r="N42" s="1" t="s">
        <v>92</v>
      </c>
      <c r="O42" s="1" t="s">
        <v>93</v>
      </c>
      <c r="P42" s="1" t="s">
        <v>280</v>
      </c>
      <c r="Q42" s="1" t="s">
        <v>281</v>
      </c>
    </row>
    <row r="43" spans="1:17">
      <c r="A43" s="1" t="s">
        <v>282</v>
      </c>
      <c r="B43" s="1" t="s">
        <v>283</v>
      </c>
      <c r="C43" s="1" t="s">
        <v>284</v>
      </c>
      <c r="D43" s="1" t="s">
        <v>285</v>
      </c>
      <c r="E43" s="3">
        <v>-70976027702.94</v>
      </c>
      <c r="F43" s="3">
        <v>1</v>
      </c>
      <c r="G43" s="1" t="s">
        <v>85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90</v>
      </c>
      <c r="M43" s="1" t="s">
        <v>91</v>
      </c>
      <c r="N43" s="1" t="s">
        <v>92</v>
      </c>
      <c r="O43" s="1" t="s">
        <v>93</v>
      </c>
      <c r="P43" s="1" t="s">
        <v>286</v>
      </c>
      <c r="Q43" s="1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2.7109375" style="1" customWidth="1"/>
  </cols>
  <sheetData>
    <row r="1" spans="1:8" ht="32" customHeight="1">
      <c r="A1" s="2" t="s">
        <v>60</v>
      </c>
      <c r="B1" s="2" t="s">
        <v>61</v>
      </c>
      <c r="C1" s="2" t="s">
        <v>77</v>
      </c>
      <c r="D1" s="2" t="s">
        <v>66</v>
      </c>
      <c r="E1" s="2" t="s">
        <v>69</v>
      </c>
      <c r="F1" s="2" t="s">
        <v>71</v>
      </c>
      <c r="G1" s="2" t="s">
        <v>78</v>
      </c>
      <c r="H1" s="2" t="s">
        <v>79</v>
      </c>
    </row>
    <row r="2" spans="1:8">
      <c r="A2" s="1" t="s">
        <v>80</v>
      </c>
      <c r="B2" s="1" t="s">
        <v>81</v>
      </c>
      <c r="C2" s="3">
        <f>Raw!E2*Raw!F2</f>
        <v>170899152276.34</v>
      </c>
      <c r="D2" s="1" t="s">
        <v>85</v>
      </c>
      <c r="E2" s="1" t="s">
        <v>88</v>
      </c>
      <c r="F2" s="1" t="s">
        <v>90</v>
      </c>
      <c r="G2" s="1" t="s">
        <v>87</v>
      </c>
      <c r="H2" s="1" t="s">
        <v>84</v>
      </c>
    </row>
    <row r="3" spans="1:8">
      <c r="A3" s="1" t="s">
        <v>96</v>
      </c>
      <c r="B3" s="1" t="s">
        <v>81</v>
      </c>
      <c r="C3" s="3">
        <f>Raw!E3*Raw!F3</f>
        <v>147693604994.14</v>
      </c>
      <c r="D3" s="1" t="s">
        <v>85</v>
      </c>
      <c r="E3" s="1" t="s">
        <v>88</v>
      </c>
      <c r="F3" s="1" t="s">
        <v>90</v>
      </c>
      <c r="G3" s="1" t="s">
        <v>100</v>
      </c>
      <c r="H3" s="1" t="s">
        <v>84</v>
      </c>
    </row>
    <row r="4" spans="1:8">
      <c r="A4" s="1" t="s">
        <v>102</v>
      </c>
      <c r="B4" s="1" t="s">
        <v>103</v>
      </c>
      <c r="C4" s="3">
        <f>Raw!E4*Raw!F4</f>
        <v>13789482367.98</v>
      </c>
      <c r="D4" s="1" t="s">
        <v>85</v>
      </c>
      <c r="E4" s="1" t="s">
        <v>88</v>
      </c>
      <c r="F4" s="1" t="s">
        <v>90</v>
      </c>
      <c r="G4" s="1" t="s">
        <v>87</v>
      </c>
      <c r="H4" s="1" t="s">
        <v>84</v>
      </c>
    </row>
    <row r="5" spans="1:8">
      <c r="A5" s="1" t="s">
        <v>107</v>
      </c>
      <c r="B5" s="1" t="s">
        <v>103</v>
      </c>
      <c r="C5" s="3">
        <f>Raw!E5*Raw!F5</f>
        <v>11867273851.78</v>
      </c>
      <c r="D5" s="1" t="s">
        <v>85</v>
      </c>
      <c r="E5" s="1" t="s">
        <v>88</v>
      </c>
      <c r="F5" s="1" t="s">
        <v>90</v>
      </c>
      <c r="G5" s="1" t="s">
        <v>100</v>
      </c>
      <c r="H5" s="1" t="s">
        <v>84</v>
      </c>
    </row>
    <row r="6" spans="1:8">
      <c r="A6" s="1" t="s">
        <v>111</v>
      </c>
      <c r="B6" s="1" t="s">
        <v>112</v>
      </c>
      <c r="C6" s="3">
        <f>Raw!E6*Raw!F6</f>
        <v>89334728025.9</v>
      </c>
      <c r="D6" s="1" t="s">
        <v>85</v>
      </c>
      <c r="E6" s="1" t="s">
        <v>88</v>
      </c>
      <c r="F6" s="1" t="s">
        <v>90</v>
      </c>
      <c r="G6" s="1" t="s">
        <v>87</v>
      </c>
      <c r="H6" s="1" t="s">
        <v>84</v>
      </c>
    </row>
    <row r="7" spans="1:8">
      <c r="A7" s="1" t="s">
        <v>116</v>
      </c>
      <c r="B7" s="1" t="s">
        <v>112</v>
      </c>
      <c r="C7" s="3">
        <f>Raw!E7*Raw!F7</f>
        <v>77521476277.8</v>
      </c>
      <c r="D7" s="1" t="s">
        <v>85</v>
      </c>
      <c r="E7" s="1" t="s">
        <v>88</v>
      </c>
      <c r="F7" s="1" t="s">
        <v>90</v>
      </c>
      <c r="G7" s="1" t="s">
        <v>100</v>
      </c>
      <c r="H7" s="1" t="s">
        <v>84</v>
      </c>
    </row>
    <row r="8" spans="1:8">
      <c r="A8" s="1" t="s">
        <v>120</v>
      </c>
      <c r="B8" s="1" t="s">
        <v>121</v>
      </c>
      <c r="C8" s="3">
        <f>Raw!E8*Raw!F8</f>
        <v>86228146421.62</v>
      </c>
      <c r="D8" s="1" t="s">
        <v>85</v>
      </c>
      <c r="E8" s="1" t="s">
        <v>88</v>
      </c>
      <c r="F8" s="1" t="s">
        <v>90</v>
      </c>
      <c r="G8" s="1" t="s">
        <v>87</v>
      </c>
      <c r="H8" s="1" t="s">
        <v>84</v>
      </c>
    </row>
    <row r="9" spans="1:8">
      <c r="A9" s="1" t="s">
        <v>125</v>
      </c>
      <c r="B9" s="1" t="s">
        <v>121</v>
      </c>
      <c r="C9" s="3">
        <f>Raw!E9*Raw!F9</f>
        <v>74734071550.75</v>
      </c>
      <c r="D9" s="1" t="s">
        <v>85</v>
      </c>
      <c r="E9" s="1" t="s">
        <v>88</v>
      </c>
      <c r="F9" s="1" t="s">
        <v>90</v>
      </c>
      <c r="G9" s="1" t="s">
        <v>100</v>
      </c>
      <c r="H9" s="1" t="s">
        <v>84</v>
      </c>
    </row>
    <row r="10" spans="1:8">
      <c r="A10" s="1" t="s">
        <v>129</v>
      </c>
      <c r="B10" s="1" t="s">
        <v>130</v>
      </c>
      <c r="C10" s="3">
        <f>Raw!E10*Raw!F10</f>
        <v>3106581604.28</v>
      </c>
      <c r="D10" s="1" t="s">
        <v>85</v>
      </c>
      <c r="E10" s="1" t="s">
        <v>88</v>
      </c>
      <c r="F10" s="1" t="s">
        <v>90</v>
      </c>
      <c r="G10" s="1" t="s">
        <v>87</v>
      </c>
      <c r="H10" s="1" t="s">
        <v>84</v>
      </c>
    </row>
    <row r="11" spans="1:8">
      <c r="A11" s="1" t="s">
        <v>134</v>
      </c>
      <c r="B11" s="1" t="s">
        <v>130</v>
      </c>
      <c r="C11" s="3">
        <f>Raw!E11*Raw!F11</f>
        <v>2787404727.05</v>
      </c>
      <c r="D11" s="1" t="s">
        <v>85</v>
      </c>
      <c r="E11" s="1" t="s">
        <v>88</v>
      </c>
      <c r="F11" s="1" t="s">
        <v>90</v>
      </c>
      <c r="G11" s="1" t="s">
        <v>100</v>
      </c>
      <c r="H11" s="1" t="s">
        <v>84</v>
      </c>
    </row>
    <row r="12" spans="1:8">
      <c r="A12" s="1" t="s">
        <v>138</v>
      </c>
      <c r="B12" s="1" t="s">
        <v>139</v>
      </c>
      <c r="C12" s="3">
        <f>Raw!E12*Raw!F12</f>
        <v>298944579918.7</v>
      </c>
      <c r="D12" s="1" t="s">
        <v>85</v>
      </c>
      <c r="E12" s="1" t="s">
        <v>88</v>
      </c>
      <c r="F12" s="1" t="s">
        <v>90</v>
      </c>
      <c r="G12" s="1" t="s">
        <v>87</v>
      </c>
      <c r="H12" s="1" t="s">
        <v>84</v>
      </c>
    </row>
    <row r="13" spans="1:8">
      <c r="A13" s="1" t="s">
        <v>143</v>
      </c>
      <c r="B13" s="1" t="s">
        <v>139</v>
      </c>
      <c r="C13" s="3">
        <f>Raw!E13*Raw!F13</f>
        <v>272699660092.25</v>
      </c>
      <c r="D13" s="1" t="s">
        <v>85</v>
      </c>
      <c r="E13" s="1" t="s">
        <v>88</v>
      </c>
      <c r="F13" s="1" t="s">
        <v>90</v>
      </c>
      <c r="G13" s="1" t="s">
        <v>100</v>
      </c>
      <c r="H13" s="1" t="s">
        <v>84</v>
      </c>
    </row>
    <row r="14" spans="1:8">
      <c r="A14" s="1" t="s">
        <v>147</v>
      </c>
      <c r="B14" s="1" t="s">
        <v>148</v>
      </c>
      <c r="C14" s="3">
        <f>Raw!E14*Raw!F14</f>
        <v>56933264798.1</v>
      </c>
      <c r="D14" s="1" t="s">
        <v>85</v>
      </c>
      <c r="E14" s="1" t="s">
        <v>88</v>
      </c>
      <c r="F14" s="1" t="s">
        <v>90</v>
      </c>
      <c r="G14" s="1" t="s">
        <v>87</v>
      </c>
      <c r="H14" s="1" t="s">
        <v>84</v>
      </c>
    </row>
    <row r="15" spans="1:8">
      <c r="A15" s="1" t="s">
        <v>152</v>
      </c>
      <c r="B15" s="1" t="s">
        <v>148</v>
      </c>
      <c r="C15" s="3">
        <f>Raw!E15*Raw!F15</f>
        <v>49043190797.43</v>
      </c>
      <c r="D15" s="1" t="s">
        <v>85</v>
      </c>
      <c r="E15" s="1" t="s">
        <v>88</v>
      </c>
      <c r="F15" s="1" t="s">
        <v>90</v>
      </c>
      <c r="G15" s="1" t="s">
        <v>100</v>
      </c>
      <c r="H15" s="1" t="s">
        <v>84</v>
      </c>
    </row>
    <row r="16" spans="1:8">
      <c r="A16" s="1" t="s">
        <v>156</v>
      </c>
      <c r="B16" s="1" t="s">
        <v>157</v>
      </c>
      <c r="C16" s="3">
        <f>Raw!E16*Raw!F16</f>
        <v>242011315120.6</v>
      </c>
      <c r="D16" s="1" t="s">
        <v>85</v>
      </c>
      <c r="E16" s="1" t="s">
        <v>88</v>
      </c>
      <c r="F16" s="1" t="s">
        <v>90</v>
      </c>
      <c r="G16" s="1" t="s">
        <v>87</v>
      </c>
      <c r="H16" s="1" t="s">
        <v>84</v>
      </c>
    </row>
    <row r="17" spans="1:8">
      <c r="A17" s="1" t="s">
        <v>161</v>
      </c>
      <c r="B17" s="1" t="s">
        <v>157</v>
      </c>
      <c r="C17" s="3">
        <f>Raw!E17*Raw!F17</f>
        <v>223656469294.82</v>
      </c>
      <c r="D17" s="1" t="s">
        <v>85</v>
      </c>
      <c r="E17" s="1" t="s">
        <v>88</v>
      </c>
      <c r="F17" s="1" t="s">
        <v>90</v>
      </c>
      <c r="G17" s="1" t="s">
        <v>100</v>
      </c>
      <c r="H17" s="1" t="s">
        <v>84</v>
      </c>
    </row>
    <row r="18" spans="1:8">
      <c r="A18" s="1" t="s">
        <v>165</v>
      </c>
      <c r="B18" s="1" t="s">
        <v>166</v>
      </c>
      <c r="C18" s="3">
        <f>Raw!E18*Raw!F18</f>
        <v>233105984399.47</v>
      </c>
      <c r="D18" s="1" t="s">
        <v>85</v>
      </c>
      <c r="E18" s="1" t="s">
        <v>88</v>
      </c>
      <c r="F18" s="1" t="s">
        <v>90</v>
      </c>
      <c r="G18" s="1" t="s">
        <v>87</v>
      </c>
      <c r="H18" s="1" t="s">
        <v>84</v>
      </c>
    </row>
    <row r="19" spans="1:8">
      <c r="A19" s="1" t="s">
        <v>170</v>
      </c>
      <c r="B19" s="1" t="s">
        <v>166</v>
      </c>
      <c r="C19" s="3">
        <f>Raw!E19*Raw!F19</f>
        <v>215668571607.43</v>
      </c>
      <c r="D19" s="1" t="s">
        <v>85</v>
      </c>
      <c r="E19" s="1" t="s">
        <v>88</v>
      </c>
      <c r="F19" s="1" t="s">
        <v>90</v>
      </c>
      <c r="G19" s="1" t="s">
        <v>100</v>
      </c>
      <c r="H19" s="1" t="s">
        <v>84</v>
      </c>
    </row>
    <row r="20" spans="1:8">
      <c r="A20" s="1" t="s">
        <v>174</v>
      </c>
      <c r="B20" s="1" t="s">
        <v>175</v>
      </c>
      <c r="C20" s="3">
        <f>Raw!E20*Raw!F20</f>
        <v>251726674636.66</v>
      </c>
      <c r="D20" s="1" t="s">
        <v>85</v>
      </c>
      <c r="E20" s="1" t="s">
        <v>88</v>
      </c>
      <c r="F20" s="1" t="s">
        <v>90</v>
      </c>
      <c r="G20" s="1" t="s">
        <v>87</v>
      </c>
      <c r="H20" s="1" t="s">
        <v>84</v>
      </c>
    </row>
    <row r="21" spans="1:8">
      <c r="A21" s="1" t="s">
        <v>179</v>
      </c>
      <c r="B21" s="1" t="s">
        <v>175</v>
      </c>
      <c r="C21" s="3">
        <f>Raw!E21*Raw!F21</f>
        <v>225172517821.28</v>
      </c>
      <c r="D21" s="1" t="s">
        <v>85</v>
      </c>
      <c r="E21" s="1" t="s">
        <v>88</v>
      </c>
      <c r="F21" s="1" t="s">
        <v>90</v>
      </c>
      <c r="G21" s="1" t="s">
        <v>100</v>
      </c>
      <c r="H21" s="1" t="s">
        <v>84</v>
      </c>
    </row>
    <row r="22" spans="1:8">
      <c r="A22" s="1" t="s">
        <v>183</v>
      </c>
      <c r="B22" s="1" t="s">
        <v>184</v>
      </c>
      <c r="C22" s="3">
        <f>Raw!E22*Raw!F22</f>
        <v>56515990618.96</v>
      </c>
      <c r="D22" s="1" t="s">
        <v>85</v>
      </c>
      <c r="E22" s="1" t="s">
        <v>88</v>
      </c>
      <c r="F22" s="1" t="s">
        <v>90</v>
      </c>
      <c r="G22" s="1" t="s">
        <v>87</v>
      </c>
      <c r="H22" s="1" t="s">
        <v>84</v>
      </c>
    </row>
    <row r="23" spans="1:8">
      <c r="A23" s="1" t="s">
        <v>188</v>
      </c>
      <c r="B23" s="1" t="s">
        <v>184</v>
      </c>
      <c r="C23" s="3">
        <f>Raw!E23*Raw!F23</f>
        <v>48697611501.2</v>
      </c>
      <c r="D23" s="1" t="s">
        <v>85</v>
      </c>
      <c r="E23" s="1" t="s">
        <v>88</v>
      </c>
      <c r="F23" s="1" t="s">
        <v>90</v>
      </c>
      <c r="G23" s="1" t="s">
        <v>100</v>
      </c>
      <c r="H23" s="1" t="s">
        <v>84</v>
      </c>
    </row>
    <row r="24" spans="1:8">
      <c r="A24" s="1" t="s">
        <v>192</v>
      </c>
      <c r="B24" s="1" t="s">
        <v>193</v>
      </c>
      <c r="C24" s="3">
        <f>Raw!E24*Raw!F24</f>
        <v>54343285157.47</v>
      </c>
      <c r="D24" s="1" t="s">
        <v>85</v>
      </c>
      <c r="E24" s="1" t="s">
        <v>88</v>
      </c>
      <c r="F24" s="1" t="s">
        <v>90</v>
      </c>
      <c r="G24" s="1" t="s">
        <v>87</v>
      </c>
      <c r="H24" s="1" t="s">
        <v>84</v>
      </c>
    </row>
    <row r="25" spans="1:8">
      <c r="A25" s="1" t="s">
        <v>197</v>
      </c>
      <c r="B25" s="1" t="s">
        <v>193</v>
      </c>
      <c r="C25" s="3">
        <f>Raw!E25*Raw!F25</f>
        <v>46435185061.53</v>
      </c>
      <c r="D25" s="1" t="s">
        <v>85</v>
      </c>
      <c r="E25" s="1" t="s">
        <v>88</v>
      </c>
      <c r="F25" s="1" t="s">
        <v>90</v>
      </c>
      <c r="G25" s="1" t="s">
        <v>100</v>
      </c>
      <c r="H25" s="1" t="s">
        <v>84</v>
      </c>
    </row>
    <row r="26" spans="1:8">
      <c r="A26" s="1" t="s">
        <v>201</v>
      </c>
      <c r="B26" s="1" t="s">
        <v>202</v>
      </c>
      <c r="C26" s="3">
        <f>Raw!E26*Raw!F26</f>
        <v>18974192.75</v>
      </c>
      <c r="D26" s="1" t="s">
        <v>85</v>
      </c>
      <c r="E26" s="1" t="s">
        <v>88</v>
      </c>
      <c r="F26" s="1" t="s">
        <v>90</v>
      </c>
      <c r="G26" s="1" t="s">
        <v>87</v>
      </c>
      <c r="H26" s="1" t="s">
        <v>84</v>
      </c>
    </row>
    <row r="27" spans="1:8">
      <c r="A27" s="1" t="s">
        <v>207</v>
      </c>
      <c r="B27" s="1" t="s">
        <v>202</v>
      </c>
      <c r="C27" s="3">
        <f>Raw!E27*Raw!F27</f>
        <v>60373410.41</v>
      </c>
      <c r="D27" s="1" t="s">
        <v>85</v>
      </c>
      <c r="E27" s="1" t="s">
        <v>88</v>
      </c>
      <c r="F27" s="1" t="s">
        <v>90</v>
      </c>
      <c r="G27" s="1" t="s">
        <v>100</v>
      </c>
      <c r="H27" s="1" t="s">
        <v>84</v>
      </c>
    </row>
    <row r="28" spans="1:8">
      <c r="A28" s="1" t="s">
        <v>211</v>
      </c>
      <c r="B28" s="1" t="s">
        <v>212</v>
      </c>
      <c r="C28" s="3">
        <f>Raw!E28*Raw!F28</f>
        <v>92463692168.43</v>
      </c>
      <c r="D28" s="1" t="s">
        <v>85</v>
      </c>
      <c r="E28" s="1" t="s">
        <v>88</v>
      </c>
      <c r="F28" s="1" t="s">
        <v>90</v>
      </c>
      <c r="G28" s="1" t="s">
        <v>87</v>
      </c>
      <c r="H28" s="1" t="s">
        <v>84</v>
      </c>
    </row>
    <row r="29" spans="1:8">
      <c r="A29" s="1" t="s">
        <v>217</v>
      </c>
      <c r="B29" s="1" t="s">
        <v>212</v>
      </c>
      <c r="C29" s="3">
        <f>Raw!E29*Raw!F29</f>
        <v>66593247721.09</v>
      </c>
      <c r="D29" s="1" t="s">
        <v>85</v>
      </c>
      <c r="E29" s="1" t="s">
        <v>88</v>
      </c>
      <c r="F29" s="1" t="s">
        <v>90</v>
      </c>
      <c r="G29" s="1" t="s">
        <v>100</v>
      </c>
      <c r="H29" s="1" t="s">
        <v>84</v>
      </c>
    </row>
    <row r="30" spans="1:8">
      <c r="A30" s="1" t="s">
        <v>221</v>
      </c>
      <c r="B30" s="1" t="s">
        <v>222</v>
      </c>
      <c r="C30" s="3">
        <f>Raw!E30*Raw!F30</f>
        <v>-1785202630.71</v>
      </c>
      <c r="D30" s="1" t="s">
        <v>85</v>
      </c>
      <c r="E30" s="1" t="s">
        <v>88</v>
      </c>
      <c r="F30" s="1" t="s">
        <v>90</v>
      </c>
      <c r="G30" s="1" t="s">
        <v>87</v>
      </c>
      <c r="H30" s="1" t="s">
        <v>84</v>
      </c>
    </row>
    <row r="31" spans="1:8">
      <c r="A31" s="1" t="s">
        <v>226</v>
      </c>
      <c r="B31" s="1" t="s">
        <v>222</v>
      </c>
      <c r="C31" s="3">
        <f>Raw!E31*Raw!F31</f>
        <v>-9724414015.16</v>
      </c>
      <c r="D31" s="1" t="s">
        <v>85</v>
      </c>
      <c r="E31" s="1" t="s">
        <v>88</v>
      </c>
      <c r="F31" s="1" t="s">
        <v>90</v>
      </c>
      <c r="G31" s="1" t="s">
        <v>100</v>
      </c>
      <c r="H31" s="1" t="s">
        <v>84</v>
      </c>
    </row>
    <row r="32" spans="1:8">
      <c r="A32" s="1" t="s">
        <v>230</v>
      </c>
      <c r="B32" s="1" t="s">
        <v>231</v>
      </c>
      <c r="C32" s="3">
        <f>Raw!E32*Raw!F32</f>
        <v>-71067506484.81</v>
      </c>
      <c r="D32" s="1" t="s">
        <v>85</v>
      </c>
      <c r="E32" s="1" t="s">
        <v>88</v>
      </c>
      <c r="F32" s="1" t="s">
        <v>90</v>
      </c>
      <c r="G32" s="1" t="s">
        <v>87</v>
      </c>
      <c r="H32" s="1" t="s">
        <v>84</v>
      </c>
    </row>
    <row r="33" spans="1:8">
      <c r="A33" s="1" t="s">
        <v>235</v>
      </c>
      <c r="B33" s="1" t="s">
        <v>231</v>
      </c>
      <c r="C33" s="3">
        <f>Raw!E33*Raw!F33</f>
        <v>-58889101991.94</v>
      </c>
      <c r="D33" s="1" t="s">
        <v>85</v>
      </c>
      <c r="E33" s="1" t="s">
        <v>88</v>
      </c>
      <c r="F33" s="1" t="s">
        <v>90</v>
      </c>
      <c r="G33" s="1" t="s">
        <v>100</v>
      </c>
      <c r="H33" s="1" t="s">
        <v>84</v>
      </c>
    </row>
    <row r="34" spans="1:8">
      <c r="A34" s="1" t="s">
        <v>239</v>
      </c>
      <c r="B34" s="1" t="s">
        <v>240</v>
      </c>
      <c r="C34" s="3">
        <f>Raw!E34*Raw!F34</f>
        <v>-1082747.55</v>
      </c>
      <c r="D34" s="1" t="s">
        <v>85</v>
      </c>
      <c r="E34" s="1" t="s">
        <v>88</v>
      </c>
      <c r="F34" s="1" t="s">
        <v>90</v>
      </c>
      <c r="G34" s="1" t="s">
        <v>87</v>
      </c>
      <c r="H34" s="1" t="s">
        <v>84</v>
      </c>
    </row>
    <row r="35" spans="1:8">
      <c r="A35" s="1" t="s">
        <v>244</v>
      </c>
      <c r="B35" s="1" t="s">
        <v>240</v>
      </c>
      <c r="C35" s="3">
        <f>Raw!E35*Raw!F35</f>
        <v>1718255.65</v>
      </c>
      <c r="D35" s="1" t="s">
        <v>85</v>
      </c>
      <c r="E35" s="1" t="s">
        <v>88</v>
      </c>
      <c r="F35" s="1" t="s">
        <v>90</v>
      </c>
      <c r="G35" s="1" t="s">
        <v>100</v>
      </c>
      <c r="H35" s="1" t="s">
        <v>84</v>
      </c>
    </row>
    <row r="36" spans="1:8">
      <c r="A36" s="1" t="s">
        <v>248</v>
      </c>
      <c r="B36" s="1" t="s">
        <v>249</v>
      </c>
      <c r="C36" s="3">
        <f>Raw!E36*Raw!F36</f>
        <v>169970089257.83</v>
      </c>
      <c r="D36" s="1" t="s">
        <v>85</v>
      </c>
      <c r="E36" s="1" t="s">
        <v>88</v>
      </c>
      <c r="F36" s="1" t="s">
        <v>90</v>
      </c>
      <c r="G36" s="1" t="s">
        <v>87</v>
      </c>
      <c r="H36" s="1" t="s">
        <v>84</v>
      </c>
    </row>
    <row r="37" spans="1:8">
      <c r="A37" s="1" t="s">
        <v>253</v>
      </c>
      <c r="B37" s="1" t="s">
        <v>249</v>
      </c>
      <c r="C37" s="3">
        <f>Raw!E37*Raw!F37</f>
        <v>150360188952.47</v>
      </c>
      <c r="D37" s="1" t="s">
        <v>85</v>
      </c>
      <c r="E37" s="1" t="s">
        <v>88</v>
      </c>
      <c r="F37" s="1" t="s">
        <v>90</v>
      </c>
      <c r="G37" s="1" t="s">
        <v>100</v>
      </c>
      <c r="H37" s="1" t="s">
        <v>84</v>
      </c>
    </row>
    <row r="38" spans="1:8">
      <c r="A38" s="1" t="s">
        <v>257</v>
      </c>
      <c r="B38" s="1" t="s">
        <v>258</v>
      </c>
      <c r="C38" s="3">
        <f>Raw!E38*Raw!F38</f>
        <v>4678712053.56</v>
      </c>
      <c r="D38" s="1" t="s">
        <v>85</v>
      </c>
      <c r="E38" s="1" t="s">
        <v>88</v>
      </c>
      <c r="F38" s="1" t="s">
        <v>90</v>
      </c>
      <c r="G38" s="1" t="s">
        <v>87</v>
      </c>
      <c r="H38" s="1" t="s">
        <v>84</v>
      </c>
    </row>
    <row r="39" spans="1:8">
      <c r="A39" s="1" t="s">
        <v>263</v>
      </c>
      <c r="B39" s="1" t="s">
        <v>258</v>
      </c>
      <c r="C39" s="3">
        <f>Raw!E39*Raw!F39</f>
        <v>2619755888.79</v>
      </c>
      <c r="D39" s="1" t="s">
        <v>85</v>
      </c>
      <c r="E39" s="1" t="s">
        <v>88</v>
      </c>
      <c r="F39" s="1" t="s">
        <v>90</v>
      </c>
      <c r="G39" s="1" t="s">
        <v>100</v>
      </c>
      <c r="H39" s="1" t="s">
        <v>84</v>
      </c>
    </row>
    <row r="40" spans="1:8">
      <c r="A40" s="1" t="s">
        <v>267</v>
      </c>
      <c r="B40" s="1" t="s">
        <v>268</v>
      </c>
      <c r="C40" s="3">
        <f>Raw!E40*Raw!F40</f>
        <v>89330873528.72</v>
      </c>
      <c r="D40" s="1" t="s">
        <v>85</v>
      </c>
      <c r="E40" s="1" t="s">
        <v>88</v>
      </c>
      <c r="F40" s="1" t="s">
        <v>90</v>
      </c>
      <c r="G40" s="1" t="s">
        <v>87</v>
      </c>
      <c r="H40" s="1" t="s">
        <v>84</v>
      </c>
    </row>
    <row r="41" spans="1:8">
      <c r="A41" s="1" t="s">
        <v>272</v>
      </c>
      <c r="B41" s="1" t="s">
        <v>268</v>
      </c>
      <c r="C41" s="3">
        <f>Raw!E41*Raw!F41</f>
        <v>77526191457.62</v>
      </c>
      <c r="D41" s="1" t="s">
        <v>85</v>
      </c>
      <c r="E41" s="1" t="s">
        <v>88</v>
      </c>
      <c r="F41" s="1" t="s">
        <v>90</v>
      </c>
      <c r="G41" s="1" t="s">
        <v>100</v>
      </c>
      <c r="H41" s="1" t="s">
        <v>84</v>
      </c>
    </row>
    <row r="42" spans="1:8">
      <c r="A42" s="1" t="s">
        <v>276</v>
      </c>
      <c r="B42" s="1" t="s">
        <v>249</v>
      </c>
      <c r="C42" s="3">
        <f>Raw!E42*Raw!F42</f>
        <v>152378738982.83</v>
      </c>
      <c r="D42" s="1" t="s">
        <v>85</v>
      </c>
      <c r="E42" s="1" t="s">
        <v>88</v>
      </c>
      <c r="F42" s="1" t="s">
        <v>90</v>
      </c>
      <c r="G42" s="1" t="s">
        <v>279</v>
      </c>
      <c r="H42" s="1" t="s">
        <v>84</v>
      </c>
    </row>
    <row r="43" spans="1:8">
      <c r="A43" s="1" t="s">
        <v>282</v>
      </c>
      <c r="B43" s="1" t="s">
        <v>283</v>
      </c>
      <c r="C43" s="3">
        <f>Raw!E43*Raw!F43</f>
        <v>-70976027702.94</v>
      </c>
      <c r="D43" s="1" t="s">
        <v>85</v>
      </c>
      <c r="E43" s="1" t="s">
        <v>88</v>
      </c>
      <c r="F43" s="1" t="s">
        <v>90</v>
      </c>
      <c r="G43" s="1" t="s">
        <v>87</v>
      </c>
      <c r="H43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style="1" customWidth="1"/>
    <col min="6" max="8" width="55.7109375" style="1" customWidth="1"/>
    <col min="9" max="10" width="22.7109375" style="1" customWidth="1"/>
  </cols>
  <sheetData>
    <row r="1" spans="1:10" ht="32" customHeight="1">
      <c r="A1" s="2" t="s">
        <v>60</v>
      </c>
      <c r="B1" s="2" t="s">
        <v>61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2" t="s">
        <v>295</v>
      </c>
    </row>
    <row r="2" spans="1:10">
      <c r="A2" s="1" t="s">
        <v>296</v>
      </c>
      <c r="B2" s="1" t="s">
        <v>297</v>
      </c>
      <c r="C2" s="3">
        <f>'Normalized'!$C$2-'Normalized'!$C$3</f>
        <v>23205547282.2</v>
      </c>
      <c r="D2" s="3">
        <f>C2/100000000</f>
        <v>232.055472822</v>
      </c>
      <c r="E2" s="1" t="s">
        <v>298</v>
      </c>
      <c r="F2" s="1" t="s">
        <v>299</v>
      </c>
      <c r="G2" s="1" t="s">
        <v>300</v>
      </c>
      <c r="H2" s="1" t="s">
        <v>84</v>
      </c>
      <c r="I2" s="1" t="s">
        <v>84</v>
      </c>
      <c r="J2" s="1" t="s">
        <v>301</v>
      </c>
    </row>
    <row r="3" spans="1:10">
      <c r="A3" s="1" t="s">
        <v>302</v>
      </c>
      <c r="B3" s="1" t="s">
        <v>303</v>
      </c>
      <c r="C3" s="4">
        <f>('Normalized'!$C$2-'Normalized'!$C$3)/'Normalized'!$C$3</f>
        <v>0.15711951294790807</v>
      </c>
      <c r="D3" s="4">
        <f>C3</f>
        <v>0.15711951294790807</v>
      </c>
      <c r="E3" s="1" t="s">
        <v>304</v>
      </c>
      <c r="F3" s="1" t="s">
        <v>305</v>
      </c>
      <c r="G3" s="1" t="s">
        <v>300</v>
      </c>
      <c r="H3" s="1" t="s">
        <v>84</v>
      </c>
      <c r="I3" s="1" t="s">
        <v>84</v>
      </c>
      <c r="J3" s="1" t="s">
        <v>301</v>
      </c>
    </row>
    <row r="4" spans="1:10">
      <c r="A4" s="1" t="s">
        <v>306</v>
      </c>
      <c r="B4" s="1" t="s">
        <v>307</v>
      </c>
      <c r="C4" s="3">
        <f>'Normalized'!$C$6-'Normalized'!$C$7</f>
        <v>11813251748.1</v>
      </c>
      <c r="D4" s="3">
        <f>C4/100000000</f>
        <v>118.132517481</v>
      </c>
      <c r="E4" s="1" t="s">
        <v>298</v>
      </c>
      <c r="F4" s="1" t="s">
        <v>308</v>
      </c>
      <c r="G4" s="1" t="s">
        <v>309</v>
      </c>
      <c r="H4" s="1" t="s">
        <v>84</v>
      </c>
      <c r="I4" s="1" t="s">
        <v>84</v>
      </c>
      <c r="J4" s="1" t="s">
        <v>310</v>
      </c>
    </row>
    <row r="5" spans="1:10">
      <c r="A5" s="1" t="s">
        <v>311</v>
      </c>
      <c r="B5" s="1" t="s">
        <v>312</v>
      </c>
      <c r="C5" s="4">
        <f>('Normalized'!$C$6-'Normalized'!$C$7)/'Normalized'!$C$7</f>
        <v>0.15238682640365284</v>
      </c>
      <c r="D5" s="4">
        <f>C5</f>
        <v>0.15238682640365284</v>
      </c>
      <c r="E5" s="1" t="s">
        <v>304</v>
      </c>
      <c r="F5" s="1" t="s">
        <v>313</v>
      </c>
      <c r="G5" s="1" t="s">
        <v>309</v>
      </c>
      <c r="H5" s="1" t="s">
        <v>84</v>
      </c>
      <c r="I5" s="1" t="s">
        <v>84</v>
      </c>
      <c r="J5" s="1" t="s">
        <v>310</v>
      </c>
    </row>
    <row r="6" spans="1:10">
      <c r="A6" s="1" t="s">
        <v>314</v>
      </c>
      <c r="B6" s="1" t="s">
        <v>315</v>
      </c>
      <c r="C6" s="4">
        <f>('Normalized'!$C$2-'Normalized'!$C$4)/'Normalized'!$C$2</f>
        <v>0.9193121663606457</v>
      </c>
      <c r="D6" s="4">
        <f>C6</f>
        <v>0.9193121663606457</v>
      </c>
      <c r="E6" s="1" t="s">
        <v>304</v>
      </c>
      <c r="F6" s="1" t="s">
        <v>316</v>
      </c>
      <c r="G6" s="1" t="s">
        <v>317</v>
      </c>
      <c r="H6" s="1" t="s">
        <v>84</v>
      </c>
      <c r="I6" s="1" t="s">
        <v>84</v>
      </c>
      <c r="J6" s="1" t="s">
        <v>318</v>
      </c>
    </row>
    <row r="7" spans="1:10">
      <c r="A7" s="1" t="s">
        <v>319</v>
      </c>
      <c r="B7" s="1" t="s">
        <v>320</v>
      </c>
      <c r="C7" s="4">
        <f>'Normalized'!$C$6/'Normalized'!$C$2</f>
        <v>0.5227335936777954</v>
      </c>
      <c r="D7" s="4">
        <f>C7</f>
        <v>0.5227335936777954</v>
      </c>
      <c r="E7" s="1" t="s">
        <v>304</v>
      </c>
      <c r="F7" s="1" t="s">
        <v>321</v>
      </c>
      <c r="G7" s="1" t="s">
        <v>322</v>
      </c>
      <c r="H7" s="1" t="s">
        <v>84</v>
      </c>
      <c r="I7" s="1" t="s">
        <v>84</v>
      </c>
      <c r="J7" s="1" t="s">
        <v>323</v>
      </c>
    </row>
    <row r="8" spans="1:10">
      <c r="A8" s="1" t="s">
        <v>324</v>
      </c>
      <c r="B8" s="1" t="s">
        <v>325</v>
      </c>
      <c r="C8" s="3">
        <f>'Normalized'!$C$28/'Normalized'!$C$6</f>
        <v>1.0350251711923593</v>
      </c>
      <c r="D8" s="3">
        <f>C8</f>
        <v>1.0350251711923593</v>
      </c>
      <c r="E8" s="1" t="s">
        <v>326</v>
      </c>
      <c r="F8" s="1" t="s">
        <v>327</v>
      </c>
      <c r="G8" s="1" t="s">
        <v>328</v>
      </c>
      <c r="H8" s="1" t="s">
        <v>84</v>
      </c>
      <c r="I8" s="1" t="s">
        <v>84</v>
      </c>
      <c r="J8" s="1" t="s">
        <v>329</v>
      </c>
    </row>
    <row r="9" spans="1:10">
      <c r="A9" s="1" t="s">
        <v>330</v>
      </c>
      <c r="B9" s="1" t="s">
        <v>331</v>
      </c>
      <c r="C9" s="3">
        <f>'Normalized'!$C$20/'Normalized'!$C$22</f>
        <v>4.454078781593729</v>
      </c>
      <c r="D9" s="3">
        <f>C9</f>
        <v>4.454078781593729</v>
      </c>
      <c r="E9" s="1" t="s">
        <v>326</v>
      </c>
      <c r="F9" s="1" t="s">
        <v>332</v>
      </c>
      <c r="G9" s="1" t="s">
        <v>333</v>
      </c>
      <c r="H9" s="1" t="s">
        <v>84</v>
      </c>
      <c r="I9" s="1" t="s">
        <v>84</v>
      </c>
      <c r="J9" s="1" t="s">
        <v>334</v>
      </c>
    </row>
    <row r="10" spans="1:10">
      <c r="A10" s="1" t="s">
        <v>335</v>
      </c>
      <c r="B10" s="1" t="s">
        <v>336</v>
      </c>
      <c r="C10" s="4">
        <f>'Normalized'!$C$14/'Normalized'!$C$12</f>
        <v>0.19044755657916054</v>
      </c>
      <c r="D10" s="4">
        <f>C10</f>
        <v>0.19044755657916054</v>
      </c>
      <c r="E10" s="1" t="s">
        <v>304</v>
      </c>
      <c r="F10" s="1" t="s">
        <v>337</v>
      </c>
      <c r="G10" s="1" t="s">
        <v>338</v>
      </c>
      <c r="H10" s="1" t="s">
        <v>84</v>
      </c>
      <c r="I10" s="1" t="s">
        <v>84</v>
      </c>
      <c r="J10" s="1" t="s">
        <v>339</v>
      </c>
    </row>
    <row r="11" spans="1:10">
      <c r="A11" s="1" t="s">
        <v>340</v>
      </c>
      <c r="B11" s="1" t="s">
        <v>341</v>
      </c>
      <c r="C11" s="4">
        <f>'Normalized'!$C$8/(('Normalized'!$C$19+'Normalized'!$C$18)/2)</f>
        <v>0.38428268834516643</v>
      </c>
      <c r="D11" s="4">
        <f>C11</f>
        <v>0.38428268834516643</v>
      </c>
      <c r="E11" s="1" t="s">
        <v>304</v>
      </c>
      <c r="F11" s="1" t="s">
        <v>342</v>
      </c>
      <c r="G11" s="1" t="s">
        <v>343</v>
      </c>
      <c r="H11" s="1" t="s">
        <v>84</v>
      </c>
      <c r="I11" s="1" t="s">
        <v>84</v>
      </c>
      <c r="J11" s="1" t="s">
        <v>344</v>
      </c>
    </row>
    <row r="12" spans="1:10">
      <c r="A12" s="1" t="s">
        <v>345</v>
      </c>
      <c r="B12" s="1" t="s">
        <v>346</v>
      </c>
      <c r="C12" s="4">
        <f>'Normalized'!$C$6/(('Normalized'!$C$13+'Normalized'!$C$12)/2)</f>
        <v>0.3125535841109455</v>
      </c>
      <c r="D12" s="4">
        <f>C12</f>
        <v>0.3125535841109455</v>
      </c>
      <c r="E12" s="1" t="s">
        <v>304</v>
      </c>
      <c r="F12" s="1" t="s">
        <v>347</v>
      </c>
      <c r="G12" s="1" t="s">
        <v>348</v>
      </c>
      <c r="H12" s="1" t="s">
        <v>84</v>
      </c>
      <c r="I12" s="1" t="s">
        <v>84</v>
      </c>
      <c r="J12" s="1" t="s">
        <v>349</v>
      </c>
    </row>
    <row r="13" spans="1:10">
      <c r="A13" s="1" t="s">
        <v>350</v>
      </c>
      <c r="B13" s="1" t="s">
        <v>351</v>
      </c>
      <c r="C13" s="3">
        <f>('Normalized'!$C$25+'Normalized'!$C$24)/2/'Normalized'!$C$4*366</f>
        <v>1337.4294667435445</v>
      </c>
      <c r="D13" s="3">
        <f>C13</f>
        <v>1337.4294667435445</v>
      </c>
      <c r="E13" s="1" t="s">
        <v>352</v>
      </c>
      <c r="F13" s="1" t="s">
        <v>353</v>
      </c>
      <c r="G13" s="1" t="s">
        <v>354</v>
      </c>
      <c r="H13" s="1" t="s">
        <v>84</v>
      </c>
      <c r="I13" s="1" t="s">
        <v>84</v>
      </c>
      <c r="J13" s="1" t="s">
        <v>355</v>
      </c>
    </row>
    <row r="14" spans="1:10">
      <c r="A14" s="1" t="s">
        <v>356</v>
      </c>
      <c r="B14" s="1" t="s">
        <v>357</v>
      </c>
      <c r="C14" s="3">
        <f>('Normalized'!$C$27+'Normalized'!$C$26)/2/'Normalized'!$C$2*366</f>
        <v>0.0849659649264995</v>
      </c>
      <c r="D14" s="3">
        <f>C14</f>
        <v>0.0849659649264995</v>
      </c>
      <c r="E14" s="1" t="s">
        <v>352</v>
      </c>
      <c r="F14" s="1" t="s">
        <v>358</v>
      </c>
      <c r="G14" s="1" t="s">
        <v>359</v>
      </c>
      <c r="H14" s="1" t="s">
        <v>84</v>
      </c>
      <c r="I14" s="1" t="s">
        <v>84</v>
      </c>
      <c r="J14" s="1" t="s">
        <v>360</v>
      </c>
    </row>
    <row r="15" spans="1:10">
      <c r="A15" s="1" t="s">
        <v>361</v>
      </c>
      <c r="B15" s="1" t="s">
        <v>362</v>
      </c>
      <c r="C15" s="3">
        <f>'Normalized'!$C$28-'Normalized'!$C$38</f>
        <v>87784980114.87</v>
      </c>
      <c r="D15" s="3">
        <f>C15/100000000</f>
        <v>877.8498011487</v>
      </c>
      <c r="E15" s="1" t="s">
        <v>298</v>
      </c>
      <c r="F15" s="1" t="s">
        <v>363</v>
      </c>
      <c r="G15" s="1" t="s">
        <v>364</v>
      </c>
      <c r="H15" s="1" t="s">
        <v>84</v>
      </c>
      <c r="I15" s="1" t="s">
        <v>84</v>
      </c>
      <c r="J15" s="1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2.7109375" style="1" customWidth="1"/>
    <col min="6" max="8" width="55.7109375" style="1" customWidth="1"/>
    <col min="9" max="10" width="22.7109375" style="1" customWidth="1"/>
  </cols>
  <sheetData>
    <row r="1" spans="1:10" ht="32" customHeight="1">
      <c r="A1" s="2" t="s">
        <v>60</v>
      </c>
      <c r="B1" s="2" t="s">
        <v>61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2" t="s">
        <v>295</v>
      </c>
    </row>
    <row r="2" spans="1:10">
      <c r="A2" s="1" t="s">
        <v>366</v>
      </c>
      <c r="B2" s="1" t="s">
        <v>367</v>
      </c>
      <c r="C2" s="3">
        <f>'Normalized'!$C$12-'Normalized'!$C$14-'Normalized'!$C$16</f>
        <v>0.0</v>
      </c>
      <c r="D2" s="3">
        <f>C2/100000000</f>
        <v>0.0</v>
      </c>
      <c r="E2" s="1" t="s">
        <v>298</v>
      </c>
      <c r="F2" s="1" t="s">
        <v>368</v>
      </c>
      <c r="G2" s="1" t="s">
        <v>369</v>
      </c>
      <c r="H2" s="1" t="s">
        <v>370</v>
      </c>
      <c r="I2" s="3">
        <v>0.015</v>
      </c>
      <c r="J2" s="1" t="s">
        <v>371</v>
      </c>
    </row>
    <row r="3" spans="1:10">
      <c r="A3" s="1" t="s">
        <v>372</v>
      </c>
      <c r="B3" s="1" t="s">
        <v>373</v>
      </c>
      <c r="C3" s="3">
        <f>'Normalized'!$C$6-'Normalized'!$C$8-'Normalized'!$C$10</f>
        <v>0.0</v>
      </c>
      <c r="D3" s="3">
        <f>C3/100000000</f>
        <v>0.0</v>
      </c>
      <c r="E3" s="1" t="s">
        <v>298</v>
      </c>
      <c r="F3" s="1" t="s">
        <v>374</v>
      </c>
      <c r="G3" s="1" t="s">
        <v>375</v>
      </c>
      <c r="H3" s="1" t="s">
        <v>370</v>
      </c>
      <c r="I3" s="3">
        <v>0.015</v>
      </c>
      <c r="J3" s="1" t="s">
        <v>376</v>
      </c>
    </row>
    <row r="4" spans="1:10">
      <c r="A4" s="1" t="s">
        <v>377</v>
      </c>
      <c r="B4" s="1" t="s">
        <v>378</v>
      </c>
      <c r="C4" s="3">
        <f>'Normalized'!$C$36-'Normalized'!$C$37-'Normalized'!$C$28-'Normalized'!$C$30-'Normalized'!$C$32-'Normalized'!$C$34</f>
        <v>0.0</v>
      </c>
      <c r="D4" s="3">
        <f>C4/100000000</f>
        <v>0.0</v>
      </c>
      <c r="E4" s="1" t="s">
        <v>298</v>
      </c>
      <c r="F4" s="1" t="s">
        <v>379</v>
      </c>
      <c r="G4" s="1" t="s">
        <v>380</v>
      </c>
      <c r="H4" s="1" t="s">
        <v>370</v>
      </c>
      <c r="I4" s="3">
        <v>0.03</v>
      </c>
      <c r="J4" s="1" t="s">
        <v>381</v>
      </c>
    </row>
    <row r="5" spans="1:10">
      <c r="A5" s="1" t="s">
        <v>382</v>
      </c>
      <c r="B5" s="1" t="s">
        <v>383</v>
      </c>
      <c r="C5" s="3">
        <f>'Normalized'!$C$16-'Normalized'!$C$17-'Normalized'!$C$40-'Normalized'!$C$43</f>
        <v>0.0</v>
      </c>
      <c r="D5" s="3">
        <f>C5/100000000</f>
        <v>0.0</v>
      </c>
      <c r="E5" s="1" t="s">
        <v>298</v>
      </c>
      <c r="F5" s="1" t="s">
        <v>384</v>
      </c>
      <c r="G5" s="1" t="s">
        <v>385</v>
      </c>
      <c r="H5" s="1" t="s">
        <v>370</v>
      </c>
      <c r="I5" s="3">
        <v>0.02</v>
      </c>
      <c r="J5" s="1" t="s">
        <v>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3" width="65.7109375" style="1" customWidth="1"/>
    <col min="4" max="6" width="22.7109375" style="1" customWidth="1"/>
  </cols>
  <sheetData>
    <row r="1" spans="1:6" ht="32" customHeight="1">
      <c r="A1" s="2" t="s">
        <v>60</v>
      </c>
      <c r="B1" s="2" t="s">
        <v>387</v>
      </c>
      <c r="C1" s="2" t="s">
        <v>388</v>
      </c>
      <c r="D1" s="2" t="s">
        <v>389</v>
      </c>
      <c r="E1" s="2" t="s">
        <v>75</v>
      </c>
      <c r="F1" s="2" t="s">
        <v>390</v>
      </c>
    </row>
    <row r="2" spans="1:6">
      <c r="A2" s="1" t="s">
        <v>93</v>
      </c>
      <c r="B2" s="1" t="s">
        <v>391</v>
      </c>
      <c r="C2" s="1" t="s">
        <v>392</v>
      </c>
      <c r="D2" s="1" t="s">
        <v>393</v>
      </c>
      <c r="E2" s="1" t="s">
        <v>84</v>
      </c>
      <c r="F2" s="1" t="s">
        <v>394</v>
      </c>
    </row>
    <row r="3" spans="1:6">
      <c r="A3" s="1" t="s">
        <v>395</v>
      </c>
      <c r="B3" s="1" t="s">
        <v>396</v>
      </c>
      <c r="C3" s="1" t="s">
        <v>392</v>
      </c>
      <c r="D3" s="1" t="s">
        <v>393</v>
      </c>
      <c r="E3" s="1" t="s">
        <v>397</v>
      </c>
      <c r="F3" s="1" t="s">
        <v>394</v>
      </c>
    </row>
    <row r="4" spans="1:6">
      <c r="A4" s="1" t="s">
        <v>398</v>
      </c>
      <c r="B4" s="1" t="s">
        <v>399</v>
      </c>
      <c r="C4" s="1" t="s">
        <v>392</v>
      </c>
      <c r="D4" s="1" t="s">
        <v>393</v>
      </c>
      <c r="E4" s="1" t="s">
        <v>400</v>
      </c>
      <c r="F4" s="1" t="s">
        <v>394</v>
      </c>
    </row>
    <row r="5" spans="1:6">
      <c r="A5" s="1" t="s">
        <v>401</v>
      </c>
      <c r="B5" s="1" t="s">
        <v>402</v>
      </c>
      <c r="C5" s="1" t="s">
        <v>392</v>
      </c>
      <c r="D5" s="1" t="s">
        <v>393</v>
      </c>
      <c r="E5" s="1" t="s">
        <v>403</v>
      </c>
      <c r="F5" s="1" t="s">
        <v>394</v>
      </c>
    </row>
    <row r="6" spans="1:6">
      <c r="A6" s="1" t="s">
        <v>404</v>
      </c>
      <c r="B6" s="1" t="s">
        <v>405</v>
      </c>
      <c r="C6" s="1" t="s">
        <v>392</v>
      </c>
      <c r="D6" s="1" t="s">
        <v>393</v>
      </c>
      <c r="E6" s="1" t="s">
        <v>406</v>
      </c>
      <c r="F6" s="1" t="s">
        <v>394</v>
      </c>
    </row>
    <row r="7" spans="1:6">
      <c r="A7" s="1" t="s">
        <v>407</v>
      </c>
      <c r="B7" s="1" t="s">
        <v>408</v>
      </c>
      <c r="C7" s="1" t="s">
        <v>392</v>
      </c>
      <c r="D7" s="1" t="s">
        <v>393</v>
      </c>
      <c r="E7" s="1" t="s">
        <v>409</v>
      </c>
      <c r="F7" s="1" t="s">
        <v>394</v>
      </c>
    </row>
    <row r="8" spans="1:6">
      <c r="A8" s="1" t="s">
        <v>410</v>
      </c>
      <c r="B8" s="1" t="s">
        <v>411</v>
      </c>
      <c r="C8" s="1" t="s">
        <v>392</v>
      </c>
      <c r="D8" s="1" t="s">
        <v>393</v>
      </c>
      <c r="E8" s="1" t="s">
        <v>412</v>
      </c>
      <c r="F8" s="1" t="s">
        <v>394</v>
      </c>
    </row>
    <row r="9" spans="1:6">
      <c r="A9" s="1" t="s">
        <v>413</v>
      </c>
      <c r="B9" s="1" t="s">
        <v>414</v>
      </c>
      <c r="C9" s="1" t="s">
        <v>392</v>
      </c>
      <c r="D9" s="1" t="s">
        <v>393</v>
      </c>
      <c r="E9" s="1" t="s">
        <v>415</v>
      </c>
      <c r="F9" s="1" t="s">
        <v>394</v>
      </c>
    </row>
    <row r="10" spans="1:6">
      <c r="A10" s="1" t="s">
        <v>416</v>
      </c>
      <c r="B10" s="1" t="s">
        <v>417</v>
      </c>
      <c r="C10" s="1" t="s">
        <v>392</v>
      </c>
      <c r="D10" s="1" t="s">
        <v>393</v>
      </c>
      <c r="E10" s="1" t="s">
        <v>418</v>
      </c>
      <c r="F10" s="1" t="s">
        <v>394</v>
      </c>
    </row>
    <row r="11" spans="1:6">
      <c r="A11" s="1" t="s">
        <v>419</v>
      </c>
      <c r="B11" s="1" t="s">
        <v>420</v>
      </c>
      <c r="C11" s="1" t="s">
        <v>392</v>
      </c>
      <c r="D11" s="1" t="s">
        <v>393</v>
      </c>
      <c r="E11" s="1" t="s">
        <v>421</v>
      </c>
      <c r="F11" s="1" t="s">
        <v>394</v>
      </c>
    </row>
    <row r="12" spans="1:6">
      <c r="A12" s="1" t="s">
        <v>422</v>
      </c>
      <c r="B12" s="1" t="s">
        <v>423</v>
      </c>
      <c r="C12" s="1" t="s">
        <v>392</v>
      </c>
      <c r="D12" s="1" t="s">
        <v>393</v>
      </c>
      <c r="E12" s="1" t="s">
        <v>424</v>
      </c>
      <c r="F12" s="1" t="s">
        <v>394</v>
      </c>
    </row>
    <row r="13" spans="1:6">
      <c r="A13" s="1" t="s">
        <v>425</v>
      </c>
      <c r="B13" s="1" t="s">
        <v>426</v>
      </c>
      <c r="C13" s="1" t="s">
        <v>392</v>
      </c>
      <c r="D13" s="1" t="s">
        <v>393</v>
      </c>
      <c r="E13" s="1" t="s">
        <v>427</v>
      </c>
      <c r="F13" s="1" t="s">
        <v>394</v>
      </c>
    </row>
    <row r="14" spans="1:6">
      <c r="A14" s="1" t="s">
        <v>428</v>
      </c>
      <c r="B14" s="1" t="s">
        <v>429</v>
      </c>
      <c r="C14" s="1" t="s">
        <v>392</v>
      </c>
      <c r="D14" s="1" t="s">
        <v>393</v>
      </c>
      <c r="E14" s="1" t="s">
        <v>430</v>
      </c>
      <c r="F14" s="1" t="s">
        <v>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2.7109375" style="1" customWidth="1"/>
    <col min="4" max="5" width="65.7109375" style="1" customWidth="1"/>
  </cols>
  <sheetData>
    <row r="1" spans="1:5" ht="32" customHeight="1">
      <c r="A1" s="2" t="s">
        <v>431</v>
      </c>
      <c r="B1" s="2" t="s">
        <v>79</v>
      </c>
      <c r="C1" s="2" t="s">
        <v>74</v>
      </c>
      <c r="D1" s="2" t="s">
        <v>75</v>
      </c>
      <c r="E1" s="2" t="s">
        <v>76</v>
      </c>
    </row>
    <row r="2" spans="1:5">
      <c r="A2" s="1" t="s">
        <v>432</v>
      </c>
      <c r="B2" s="1" t="s">
        <v>433</v>
      </c>
      <c r="C2" s="1" t="s">
        <v>93</v>
      </c>
      <c r="D2" s="1" t="s">
        <v>434</v>
      </c>
      <c r="E2" s="1" t="s">
        <v>435</v>
      </c>
    </row>
    <row r="3" spans="1:5">
      <c r="A3" s="1" t="s">
        <v>436</v>
      </c>
      <c r="B3" s="1" t="s">
        <v>433</v>
      </c>
      <c r="C3" s="1" t="s">
        <v>93</v>
      </c>
      <c r="D3" s="1" t="s">
        <v>437</v>
      </c>
      <c r="E3" s="1" t="s">
        <v>438</v>
      </c>
    </row>
    <row r="4" spans="1:5">
      <c r="A4" s="1" t="s">
        <v>439</v>
      </c>
      <c r="B4" s="1" t="s">
        <v>433</v>
      </c>
      <c r="C4" s="1" t="s">
        <v>93</v>
      </c>
      <c r="D4" s="1" t="s">
        <v>440</v>
      </c>
      <c r="E4" s="1" t="s">
        <v>441</v>
      </c>
    </row>
    <row r="5" spans="1:5">
      <c r="A5" s="1" t="s">
        <v>442</v>
      </c>
      <c r="B5" s="1" t="s">
        <v>443</v>
      </c>
      <c r="C5" s="1" t="s">
        <v>425</v>
      </c>
      <c r="D5" s="1" t="s">
        <v>444</v>
      </c>
      <c r="E5" s="1" t="s">
        <v>445</v>
      </c>
    </row>
    <row r="6" spans="1:5">
      <c r="A6" s="1" t="s">
        <v>446</v>
      </c>
      <c r="B6" s="1" t="s">
        <v>433</v>
      </c>
      <c r="C6" s="1" t="s">
        <v>401</v>
      </c>
      <c r="D6" s="1" t="s">
        <v>447</v>
      </c>
      <c r="E6" s="1" t="s">
        <v>448</v>
      </c>
    </row>
    <row r="7" spans="1:5">
      <c r="A7" s="1" t="s">
        <v>449</v>
      </c>
      <c r="B7" s="1" t="s">
        <v>443</v>
      </c>
      <c r="C7" s="1" t="s">
        <v>395</v>
      </c>
      <c r="D7" s="1" t="s">
        <v>450</v>
      </c>
      <c r="E7" s="1" t="s">
        <v>451</v>
      </c>
    </row>
    <row r="8" spans="1:5">
      <c r="A8" s="1" t="s">
        <v>452</v>
      </c>
      <c r="B8" s="1" t="s">
        <v>443</v>
      </c>
      <c r="C8" s="1" t="s">
        <v>407</v>
      </c>
      <c r="D8" s="1" t="s">
        <v>453</v>
      </c>
      <c r="E8" s="1" t="s">
        <v>454</v>
      </c>
    </row>
    <row r="9" spans="1:5">
      <c r="A9" s="1" t="s">
        <v>455</v>
      </c>
      <c r="B9" s="1" t="s">
        <v>433</v>
      </c>
      <c r="C9" s="1" t="s">
        <v>413</v>
      </c>
      <c r="D9" s="1" t="s">
        <v>456</v>
      </c>
      <c r="E9" s="1" t="s">
        <v>457</v>
      </c>
    </row>
    <row r="10" spans="1:5">
      <c r="A10" s="1" t="s">
        <v>458</v>
      </c>
      <c r="B10" s="1" t="s">
        <v>443</v>
      </c>
      <c r="C10" s="1" t="s">
        <v>419</v>
      </c>
      <c r="D10" s="1" t="s">
        <v>459</v>
      </c>
      <c r="E10" s="1" t="s">
        <v>460</v>
      </c>
    </row>
    <row r="11" spans="1:5">
      <c r="A11" s="1" t="s">
        <v>461</v>
      </c>
      <c r="B11" s="1" t="s">
        <v>443</v>
      </c>
      <c r="C11" s="1" t="s">
        <v>404</v>
      </c>
      <c r="D11" s="1" t="s">
        <v>462</v>
      </c>
      <c r="E11" s="1" t="s">
        <v>463</v>
      </c>
    </row>
    <row r="12" spans="1:5">
      <c r="A12" s="1" t="s">
        <v>464</v>
      </c>
      <c r="B12" s="1" t="s">
        <v>433</v>
      </c>
      <c r="C12" s="1" t="s">
        <v>422</v>
      </c>
      <c r="D12" s="1" t="s">
        <v>465</v>
      </c>
      <c r="E12" s="1" t="s">
        <v>466</v>
      </c>
    </row>
    <row r="13" spans="1:5">
      <c r="A13" s="1" t="s">
        <v>467</v>
      </c>
      <c r="B13" s="1" t="s">
        <v>468</v>
      </c>
      <c r="C13" s="1" t="s">
        <v>93</v>
      </c>
      <c r="D13" s="1" t="s">
        <v>84</v>
      </c>
      <c r="E13" s="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Raw</vt:lpstr>
      <vt:lpstr>Normalized</vt:lpstr>
      <vt:lpstr>Calculations</vt:lpstr>
      <vt:lpstr>Checks</vt:lpstr>
      <vt:lpstr>Sources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2026-10-02T16:15:40Z</dcterms:created>
  <dcterms:modified xsi:type="dcterms:W3CDTF">2026-10-02T16:15:40Z</dcterms:modified>
</cp:coreProperties>
</file>