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 name="Quant18" sheetId="44" r:id="rId44"/>
    <sheet name="Quant18Notes" sheetId="45" r:id="rId45"/>
  </sheets>
  <definedNames>
    <definedName name="_xlnm._FilterDatabase" localSheetId="2" hidden="1">Calculations!$A$1:$O$319</definedName>
    <definedName name="_xlnm._FilterDatabase" localSheetId="5" hidden="1">Evidence!$A$1:$E$192</definedName>
    <definedName name="_xlnm._FilterDatabase" localSheetId="1" hidden="1">Facts!$A$1:$R$933</definedName>
    <definedName name="_xlnm._FilterDatabase" localSheetId="6" hidden="1">Findings!$A$1:$I$59</definedName>
    <definedName name="_xlnm._FilterDatabase" localSheetId="7" hidden="1">Procedures!$A$1:$J$26</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Quant11!$A$1:$K$11</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43" hidden="1">Quant18!$A$1:$T$9</definedName>
    <definedName name="_xlnm._FilterDatabase" localSheetId="44" hidden="1">Quant18Notes!$A$1:$B$16</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Readme!$A$1:$B$21</definedName>
    <definedName name="_xlnm._FilterDatabase" localSheetId="3" hidden="1">Reconciliations!$A$1:$J$114</definedName>
    <definedName name="_xlnm._FilterDatabase" localSheetId="8" hidden="1">Requests!$A$1:$F$26</definedName>
    <definedName name="_xlnm._FilterDatabase" localSheetId="4" hidden="1">Sources!$A$1:$F$45</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<sst xmlns="http://schemas.openxmlformats.org/spreadsheetml/2006/main" count="20773" uniqueCount="6725">
  <si>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</si>
  <si>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</si>
  <si>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</si>
  <si>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</si>
  <si>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</si>
  <si>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</si>
  <si>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</si>
  <si>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</si>
  <si>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</si>
  <si>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</si>
  <si>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</si>
  <si>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</si>
  <si>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</si>
  <si>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</si>
  <si>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</si>
  <si>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</si>
  <si>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</si>
  <si>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</si>
  <si>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</si>
  <si>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</si>
  <si>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</si>
  <si>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</si>
  <si>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</si>
  <si>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</si>
  <si>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</si>
  <si>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2025年报PDF第1—245页完成文本阅读；视觉复核仅为覆盖证据所列选页，包括补读的第83、95—96页，不声称全文视觉审阅。外部机构历史评级与本次研究判断分列，未作为因素输入或等级校准目标。</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</si>
  <si>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</si>
  <si>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</si>
  <si>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</si>
  <si>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</si>
  <si>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</si>
  <si>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已运行同一经营冲击贯穿损益、税款、现金、融资利息、债务权益及评级因素的条件链；非现金资产其余周转仍为间接法调节，未来收现构成/当期税/回收池及融资期限是明示预算，不是已验证实际。</t>
  </si>
  <si>
    <t>来源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</si>
  <si>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</si>
  <si>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</si>
  <si>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</si>
  <si>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</si>
  <si>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</si>
  <si>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</si>
  <si>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</si>
  <si>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</si>
  <si>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</si>
  <si>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</si>
  <si>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</si>
  <si>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</si>
  <si>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</si>
  <si>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</si>
  <si>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</si>
  <si>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</si>
  <si>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</si>
  <si>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</si>
  <si>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</si>
  <si>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</si>
  <si>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</si>
  <si>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</si>
  <si>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</si>
  <si>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</si>
  <si>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</si>
  <si>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</si>
  <si>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</si>
  <si>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</si>
  <si>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</si>
  <si>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</si>
  <si>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</si>
  <si>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</si>
  <si>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</si>
  <si>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</si>
  <si>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</si>
  <si>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</si>
  <si>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</si>
  <si>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</si>
  <si>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</si>
  <si>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</si>
  <si>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</si>
  <si>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</si>
  <si>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</si>
  <si>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</si>
  <si>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</si>
  <si>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</si>
  <si>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</si>
  <si>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</si>
  <si>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</si>
  <si>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</si>
  <si>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</si>
  <si>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</si>
  <si>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</si>
  <si>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</si>
  <si>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</si>
  <si>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</si>
  <si>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</si>
  <si>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</si>
  <si>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</si>
  <si>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</si>
  <si>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</si>
  <si>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</si>
  <si>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</si>
  <si>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</si>
  <si>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</si>
  <si>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</si>
  <si>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</si>
  <si>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</si>
  <si>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</si>
  <si>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</si>
  <si>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</si>
  <si>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</si>
  <si>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</si>
  <si>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</si>
  <si>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</si>
  <si>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</si>
  <si>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</si>
  <si>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</si>
  <si>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</si>
  <si>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</si>
  <si>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</si>
  <si>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</si>
  <si>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</si>
  <si>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</si>
  <si>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</si>
  <si>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</si>
  <si>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</si>
  <si>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</si>
  <si>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</si>
  <si>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</si>
  <si>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</si>
  <si>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</si>
  <si>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</si>
  <si>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</si>
  <si>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</si>
  <si>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</si>
  <si>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</si>
  <si>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</si>
  <si>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</si>
  <si>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</si>
  <si>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</si>
  <si>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</si>
  <si>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</si>
  <si>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</si>
  <si>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</si>
  <si>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</si>
  <si>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</si>
  <si>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</si>
  <si>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</si>
  <si>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</si>
  <si>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</si>
  <si>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</si>
  <si>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</si>
  <si>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</si>
  <si>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</si>
  <si>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</si>
  <si>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</si>
  <si>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</si>
  <si>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</si>
  <si>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</si>
  <si>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</si>
  <si>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</si>
  <si>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</si>
  <si>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</si>
  <si>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</si>
  <si>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</si>
  <si>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</si>
  <si>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</si>
  <si>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</si>
  <si>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</si>
  <si>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</si>
  <si>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</si>
  <si>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</si>
  <si>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</si>
  <si>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</si>
  <si>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</si>
  <si>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</si>
  <si>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</si>
  <si>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</si>
  <si>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</si>
  <si>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</si>
  <si>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</si>
  <si>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</si>
  <si>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</si>
  <si>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</si>
  <si>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</si>
  <si>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</si>
  <si>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</si>
  <si>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</si>
  <si>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</si>
  <si>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</si>
  <si>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</si>
  <si>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</si>
  <si>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</si>
  <si>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</si>
  <si>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</si>
  <si>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</si>
  <si>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</si>
  <si>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</si>
  <si>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</si>
  <si>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</si>
  <si>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</si>
  <si>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列报递延所得税资产（抵销后）</t>
  </si>
  <si>
    <t>ks_a_e_bs, ks_tax_e_balance</t>
  </si>
  <si>
    <t>原表行名：递延所得税资产；附注23（3）为各纳税主体满足条件后的抵销列报；不等于集团DTA减DTL的净税资产。</t>
  </si>
  <si>
    <t>dta</t>
  </si>
  <si>
    <t>ks_a_dta_2024</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</si>
  <si>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</si>
  <si>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</si>
  <si>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</si>
  <si>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</si>
  <si>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</si>
  <si>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</si>
  <si>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</si>
  <si>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</si>
  <si>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</si>
  <si>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</si>
  <si>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</si>
  <si>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</si>
  <si>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</si>
  <si>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</si>
  <si>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</si>
  <si>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</si>
  <si>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</si>
  <si>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</si>
  <si>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</si>
  <si>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</si>
  <si>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</si>
  <si>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</si>
  <si>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</si>
  <si>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</si>
  <si>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</si>
  <si>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</si>
  <si>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</si>
  <si>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</si>
  <si>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</si>
  <si>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</si>
  <si>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</si>
  <si>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</si>
  <si>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</si>
  <si>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</si>
  <si>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</si>
  <si>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</si>
  <si>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</si>
  <si>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</si>
  <si>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</si>
  <si>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</si>
  <si>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</si>
  <si>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</si>
  <si>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</si>
  <si>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</si>
  <si>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</si>
  <si>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</si>
  <si>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</si>
  <si>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</si>
  <si>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</si>
  <si>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</si>
  <si>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</si>
  <si>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</si>
  <si>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</si>
  <si>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</si>
  <si>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</si>
  <si>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</si>
  <si>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</si>
  <si>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</si>
  <si>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</si>
  <si>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</si>
  <si>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</si>
  <si>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</si>
  <si>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</si>
  <si>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</si>
  <si>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</si>
  <si>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</si>
  <si>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</si>
  <si>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</si>
  <si>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</si>
  <si>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</si>
  <si>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</si>
  <si>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</si>
  <si>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</si>
  <si>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</si>
  <si>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</si>
  <si>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</si>
  <si>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</si>
  <si>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</si>
  <si>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</si>
  <si>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</si>
  <si>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</si>
  <si>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</si>
  <si>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</si>
  <si>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</si>
  <si>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</si>
  <si>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</si>
  <si>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</si>
  <si>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</si>
  <si>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</si>
  <si>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</si>
  <si>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</si>
  <si>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</si>
  <si>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</si>
  <si>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</si>
  <si>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</si>
  <si>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</si>
  <si>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</si>
  <si>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</si>
  <si>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</si>
  <si>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</si>
  <si>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</si>
  <si>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</si>
  <si>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</si>
  <si>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</si>
  <si>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</si>
  <si>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</si>
  <si>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</si>
  <si>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</si>
  <si>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</si>
  <si>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列报递延所得税负债（抵销后）</t>
  </si>
  <si>
    <t>原表行名：递延所得税负债；附注23（3）为各纳税主体满足条件后的抵销列报；不等于集团DTA减DTL的净税资产。</t>
  </si>
  <si>
    <t>dtl</t>
  </si>
  <si>
    <t>ks_a_dtl_2024</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</si>
  <si>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</si>
  <si>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</si>
  <si>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</si>
  <si>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</si>
  <si>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</si>
  <si>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</si>
  <si>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</si>
  <si>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</si>
  <si>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</si>
  <si>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</si>
  <si>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</si>
  <si>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</si>
  <si>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</si>
  <si>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</si>
  <si>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</si>
  <si>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</si>
  <si>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</si>
  <si>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</si>
  <si>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</si>
  <si>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</si>
  <si>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</si>
  <si>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</si>
  <si>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</si>
  <si>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</si>
  <si>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</si>
  <si>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</si>
  <si>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</si>
  <si>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</si>
  <si>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</si>
  <si>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</si>
  <si>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</si>
  <si>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</si>
  <si>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</si>
  <si>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</si>
  <si>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</si>
  <si>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</si>
  <si>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</si>
  <si>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</si>
  <si>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</si>
  <si>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</si>
  <si>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</si>
  <si>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</si>
  <si>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</si>
  <si>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</si>
  <si>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</si>
  <si>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</si>
  <si>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</si>
  <si>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</si>
  <si>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</si>
  <si>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</si>
  <si>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</si>
  <si>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</si>
  <si>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</si>
  <si>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</si>
  <si>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</si>
  <si>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</si>
  <si>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</si>
  <si>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</si>
  <si>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</si>
  <si>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</si>
  <si>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</si>
  <si>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</si>
  <si>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</si>
  <si>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</si>
  <si>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</si>
  <si>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</si>
  <si>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</si>
  <si>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</si>
  <si>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</si>
  <si>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</si>
  <si>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</si>
  <si>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</si>
  <si>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</si>
  <si>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</si>
  <si>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</si>
  <si>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</si>
  <si>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</si>
  <si>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</si>
  <si>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</si>
  <si>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</si>
  <si>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</si>
  <si>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</si>
  <si>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</si>
  <si>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</si>
  <si>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</si>
  <si>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</si>
  <si>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</si>
  <si>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</si>
  <si>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</si>
  <si>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</si>
  <si>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</si>
  <si>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</si>
  <si>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</si>
  <si>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</si>
  <si>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</si>
  <si>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</si>
  <si>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</si>
  <si>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</si>
  <si>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</si>
  <si>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</si>
  <si>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</si>
  <si>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</si>
  <si>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</si>
  <si>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</si>
  <si>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</si>
  <si>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</si>
  <si>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</si>
  <si>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</si>
  <si>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</si>
  <si>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</si>
  <si>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</si>
  <si>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</si>
  <si>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</si>
  <si>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</si>
  <si>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</si>
  <si>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</si>
  <si>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</si>
  <si>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</si>
  <si>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</si>
  <si>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</si>
  <si>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</si>
  <si>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</si>
  <si>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</si>
  <si>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</si>
  <si>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原表行名：费用化利息；列：本期/期末</t>
  </si>
  <si>
    <t>interest_exp</t>
  </si>
  <si>
    <t>ks_a_interest_exp_2024</t>
  </si>
  <si>
    <t>原表行名：费用化利息；列：上期/期初；同控比较口径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</si>
  <si>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</si>
  <si>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</si>
  <si>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</si>
  <si>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</si>
  <si>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</si>
  <si>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</si>
  <si>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</si>
  <si>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</si>
  <si>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</si>
  <si>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</si>
  <si>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</si>
  <si>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</si>
  <si>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</si>
  <si>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</si>
  <si>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</si>
  <si>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</si>
  <si>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</si>
  <si>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</si>
  <si>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</si>
  <si>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</si>
  <si>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</si>
  <si>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</si>
  <si>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</si>
  <si>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</si>
  <si>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</si>
  <si>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</si>
  <si>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</si>
  <si>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</si>
  <si>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</si>
  <si>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</si>
  <si>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</si>
  <si>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</si>
  <si>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</si>
  <si>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</si>
  <si>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</si>
  <si>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</si>
  <si>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</si>
  <si>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</si>
  <si>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</si>
  <si>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</si>
  <si>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</si>
  <si>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</si>
  <si>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</si>
  <si>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</si>
  <si>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</si>
  <si>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</si>
  <si>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</si>
  <si>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</si>
  <si>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</si>
  <si>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</si>
  <si>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</si>
  <si>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</si>
  <si>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</si>
  <si>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</si>
  <si>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</si>
  <si>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</si>
  <si>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</si>
  <si>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</si>
  <si>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</si>
  <si>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</si>
  <si>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</si>
  <si>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</si>
  <si>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</si>
  <si>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</si>
  <si>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</si>
  <si>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</si>
  <si>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</si>
  <si>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</si>
  <si>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</si>
  <si>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</si>
  <si>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</si>
  <si>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</si>
  <si>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</si>
  <si>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</si>
  <si>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</si>
  <si>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</si>
  <si>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</si>
  <si>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</si>
  <si>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</si>
  <si>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</si>
  <si>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</si>
  <si>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</si>
  <si>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</si>
  <si>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</si>
  <si>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</si>
  <si>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</si>
  <si>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</si>
  <si>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</si>
  <si>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</si>
  <si>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</si>
  <si>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</si>
  <si>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</si>
  <si>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</si>
  <si>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</si>
  <si>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</si>
  <si>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</si>
  <si>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</si>
  <si>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</si>
  <si>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</si>
  <si>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</si>
  <si>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</si>
  <si>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</si>
  <si>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</si>
  <si>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</si>
  <si>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</si>
  <si>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</si>
  <si>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</si>
  <si>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</si>
  <si>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</si>
  <si>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</si>
  <si>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</si>
  <si>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</si>
  <si>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</si>
  <si>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</si>
  <si>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</si>
  <si>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</si>
  <si>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</si>
  <si>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</si>
  <si>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</si>
  <si>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</si>
  <si>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</si>
  <si>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</si>
  <si>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</si>
  <si>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</si>
  <si>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</si>
  <si>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</si>
  <si>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</si>
  <si>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</si>
  <si>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</si>
  <si>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</si>
  <si>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</si>
  <si>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</si>
  <si>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</si>
  <si>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</si>
  <si>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</si>
  <si>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</si>
  <si>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</si>
  <si>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</si>
  <si>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</si>
  <si>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</si>
  <si>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</si>
  <si>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</si>
  <si>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</si>
  <si>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</si>
  <si>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</si>
  <si>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</si>
  <si>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</si>
  <si>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</si>
  <si>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</si>
  <si>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</si>
  <si>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</si>
  <si>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</si>
  <si>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</si>
  <si>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</si>
  <si>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</si>
  <si>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</si>
  <si>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</si>
  <si>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</si>
  <si>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</si>
  <si>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</si>
  <si>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</si>
  <si>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</si>
  <si>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</si>
  <si>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</si>
  <si>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</si>
  <si>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</si>
  <si>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</si>
  <si>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</si>
  <si>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</si>
  <si>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</si>
  <si>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</si>
  <si>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</si>
  <si>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</si>
  <si>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</si>
  <si>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</si>
  <si>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</si>
  <si>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</si>
  <si>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</si>
  <si>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</si>
  <si>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</si>
  <si>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</si>
  <si>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</si>
  <si>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</si>
  <si>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</si>
  <si>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</si>
  <si>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</si>
  <si>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</si>
  <si>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</si>
  <si>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</si>
  <si>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</si>
  <si>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</si>
  <si>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</si>
  <si>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</si>
  <si>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</si>
  <si>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</si>
  <si>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</si>
  <si>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</si>
  <si>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</si>
  <si>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</si>
  <si>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</si>
  <si>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</si>
  <si>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</si>
  <si>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</si>
  <si>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</si>
  <si>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</si>
  <si>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</si>
  <si>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</si>
  <si>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</si>
  <si>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</si>
  <si>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</si>
  <si>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</si>
  <si>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</si>
  <si>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</si>
  <si>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</si>
  <si>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</si>
  <si>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</si>
  <si>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</si>
  <si>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</si>
  <si>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</si>
  <si>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</si>
  <si>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</si>
  <si>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</si>
  <si>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</si>
  <si>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</si>
  <si>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</si>
  <si>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</si>
  <si>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</si>
  <si>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</si>
  <si>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</si>
  <si>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</si>
  <si>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</si>
  <si>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</si>
  <si>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</si>
  <si>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</si>
  <si>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</si>
  <si>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</si>
  <si>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</si>
  <si>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</si>
  <si>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</si>
  <si>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</si>
  <si>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</si>
  <si>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</si>
  <si>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</si>
  <si>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</si>
  <si>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</si>
  <si>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</si>
  <si>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</si>
  <si>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</si>
  <si>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</si>
  <si>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</si>
  <si>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</si>
  <si>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</si>
  <si>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</si>
  <si>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</si>
  <si>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</si>
  <si>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</si>
  <si>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</si>
  <si>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</si>
  <si>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</si>
  <si>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</si>
  <si>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</si>
  <si>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</si>
  <si>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</si>
  <si>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</si>
  <si>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</si>
  <si>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</si>
  <si>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</si>
  <si>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</si>
  <si>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</si>
  <si>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</si>
  <si>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</si>
  <si>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</si>
  <si>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</si>
  <si>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</si>
  <si>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</si>
  <si>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</si>
  <si>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</si>
  <si>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</si>
  <si>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</si>
  <si>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</si>
  <si>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</si>
  <si>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</si>
  <si>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</si>
  <si>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</si>
  <si>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</si>
  <si>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</si>
  <si>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</si>
  <si>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</si>
  <si>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</si>
  <si>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</si>
  <si>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</si>
  <si>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</si>
  <si>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</si>
  <si>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</si>
  <si>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</si>
  <si>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</si>
  <si>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</si>
  <si>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</si>
  <si>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</si>
  <si>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</si>
  <si>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</si>
  <si>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</si>
  <si>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</si>
  <si>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</si>
  <si>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</si>
  <si>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</si>
  <si>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</si>
  <si>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</si>
  <si>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</si>
  <si>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</si>
  <si>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</si>
  <si>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</si>
  <si>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</si>
  <si>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</si>
  <si>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</si>
  <si>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</si>
  <si>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</si>
  <si>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</si>
  <si>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</si>
  <si>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</si>
  <si>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</si>
  <si>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</si>
  <si>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</si>
  <si>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</si>
  <si>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</si>
  <si>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</si>
  <si>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</si>
  <si>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</si>
  <si>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</si>
  <si>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</si>
  <si>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</si>
  <si>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</si>
  <si>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</si>
  <si>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</si>
  <si>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</si>
  <si>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</si>
  <si>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</si>
  <si>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</si>
  <si>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</si>
  <si>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</si>
  <si>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</si>
  <si>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</si>
  <si>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</si>
  <si>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</si>
  <si>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</si>
  <si>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</si>
  <si>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</si>
  <si>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</si>
  <si>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</si>
  <si>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</si>
  <si>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</si>
  <si>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</si>
  <si>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</si>
  <si>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</si>
  <si>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</si>
  <si>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</si>
  <si>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</si>
  <si>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</si>
  <si>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</si>
  <si>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</si>
  <si>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</si>
  <si>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</si>
  <si>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</si>
  <si>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</si>
  <si>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</si>
  <si>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</si>
  <si>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</si>
  <si>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</si>
  <si>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</si>
  <si>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</si>
  <si>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</si>
  <si>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</si>
  <si>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</si>
  <si>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</si>
  <si>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</si>
  <si>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</si>
  <si>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</si>
  <si>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</si>
  <si>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</si>
  <si>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</si>
  <si>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</si>
  <si>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</si>
  <si>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</si>
  <si>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</si>
  <si>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</si>
  <si>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</si>
  <si>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</si>
  <si>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</si>
  <si>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</si>
  <si>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</si>
  <si>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</si>
  <si>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</si>
  <si>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</si>
  <si>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</si>
  <si>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</si>
  <si>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</si>
  <si>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</si>
  <si>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</si>
  <si>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</si>
  <si>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</si>
  <si>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</si>
  <si>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</si>
  <si>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</si>
  <si>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</si>
  <si>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</si>
  <si>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</si>
  <si>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</si>
  <si>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</si>
  <si>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</si>
  <si>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</si>
  <si>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</si>
  <si>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</si>
  <si>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</si>
  <si>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</si>
  <si>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</si>
  <si>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</si>
  <si>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</si>
  <si>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</si>
  <si>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</si>
  <si>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</si>
  <si>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</si>
  <si>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</si>
  <si>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</si>
  <si>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</si>
  <si>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</si>
  <si>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</si>
  <si>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</si>
  <si>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</si>
  <si>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</si>
  <si>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</si>
  <si>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</si>
  <si>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</si>
  <si>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</si>
  <si>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</si>
  <si>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</si>
  <si>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</si>
  <si>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</si>
  <si>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</si>
  <si>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</si>
  <si>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</si>
  <si>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</si>
  <si>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</si>
  <si>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</si>
  <si>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</si>
  <si>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</si>
  <si>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</si>
  <si>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</si>
  <si>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</si>
  <si>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</si>
  <si>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</si>
  <si>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</si>
  <si>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</si>
  <si>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</si>
  <si>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</si>
  <si>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</si>
  <si>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</si>
  <si>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</si>
  <si>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</si>
  <si>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</si>
  <si>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</si>
  <si>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</si>
  <si>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</si>
  <si>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</si>
  <si>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</si>
  <si>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</si>
  <si>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</si>
  <si>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</si>
  <si>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</si>
  <si>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</si>
  <si>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</si>
  <si>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</si>
  <si>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</si>
  <si>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</si>
  <si>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</si>
  <si>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</si>
  <si>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</si>
  <si>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</si>
  <si>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</si>
  <si>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</si>
  <si>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</si>
  <si>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</si>
  <si>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</si>
  <si>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</si>
  <si>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</si>
  <si>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</si>
  <si>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</si>
  <si>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</si>
  <si>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</si>
  <si>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</si>
  <si>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</si>
  <si>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</si>
  <si>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</si>
  <si>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</si>
  <si>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</si>
  <si>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</si>
  <si>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</si>
  <si>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</si>
  <si>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</si>
  <si>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</si>
  <si>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</si>
  <si>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</si>
  <si>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</si>
  <si>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</si>
  <si>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</si>
  <si>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</si>
  <si>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</si>
  <si>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</si>
  <si>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</si>
  <si>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</si>
  <si>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</si>
  <si>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</si>
  <si>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</si>
  <si>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</si>
  <si>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</si>
  <si>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</si>
  <si>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</si>
  <si>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</si>
  <si>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</si>
  <si>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</si>
  <si>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</si>
  <si>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</si>
  <si>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</si>
  <si>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</si>
  <si>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</si>
  <si>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</si>
  <si>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</si>
  <si>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</si>
  <si>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</si>
  <si>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</si>
  <si>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</si>
  <si>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</si>
  <si>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</si>
  <si>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</si>
  <si>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</si>
  <si>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</si>
  <si>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</si>
  <si>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</si>
  <si>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</si>
  <si>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</si>
  <si>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</si>
  <si>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</si>
  <si>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</si>
  <si>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</si>
  <si>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</si>
  <si>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</si>
  <si>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</si>
  <si>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</si>
  <si>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</si>
  <si>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</si>
  <si>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</si>
  <si>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</si>
  <si>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</si>
  <si>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</si>
  <si>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</si>
  <si>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</si>
  <si>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</si>
  <si>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</si>
  <si>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</si>
  <si>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</si>
  <si>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</si>
  <si>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</si>
  <si>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</si>
  <si>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</si>
  <si>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</si>
  <si>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</si>
  <si>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</si>
  <si>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</si>
  <si>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</si>
  <si>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</si>
  <si>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</si>
  <si>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</si>
  <si>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</si>
  <si>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</si>
  <si>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</si>
  <si>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</si>
  <si>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</si>
  <si>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</si>
  <si>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</si>
  <si>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</si>
  <si>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</si>
  <si>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</si>
  <si>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</si>
  <si>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</si>
  <si>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</si>
  <si>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</si>
  <si>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</si>
  <si>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</si>
  <si>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</si>
  <si>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</si>
  <si>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</si>
  <si>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</si>
  <si>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</si>
  <si>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</si>
  <si>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</si>
  <si>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</si>
  <si>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</si>
  <si>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</si>
  <si>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</si>
  <si>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</si>
  <si>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</si>
  <si>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</si>
  <si>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</si>
  <si>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</si>
  <si>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</si>
  <si>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</si>
  <si>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</si>
  <si>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</si>
  <si>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</si>
  <si>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</si>
  <si>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</si>
  <si>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</si>
  <si>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</si>
  <si>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</si>
  <si>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</si>
  <si>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</si>
  <si>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ks_a_e_fixed, ks_tax_e_balance</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</si>
  <si>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</si>
  <si>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</si>
  <si>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</si>
  <si>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</si>
  <si>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</si>
  <si>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</si>
  <si>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</si>
  <si>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</si>
  <si>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</si>
  <si>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</si>
  <si>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</si>
  <si>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</si>
  <si>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</si>
  <si>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</si>
  <si>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</si>
  <si>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</si>
  <si>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</si>
  <si>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</si>
  <si>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</si>
  <si>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</si>
  <si>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</si>
  <si>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</si>
  <si>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</si>
  <si>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</si>
  <si>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</si>
  <si>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</si>
  <si>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</si>
  <si>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</si>
  <si>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</si>
  <si>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</si>
  <si>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</si>
  <si>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</si>
  <si>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</si>
  <si>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</si>
  <si>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</si>
  <si>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</si>
  <si>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</si>
  <si>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</si>
  <si>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</si>
  <si>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</si>
  <si>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</si>
  <si>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</si>
  <si>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</si>
  <si>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</si>
  <si>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</si>
  <si>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</si>
  <si>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</si>
  <si>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</si>
  <si>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</si>
  <si>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</si>
  <si>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</si>
  <si>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</si>
  <si>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</si>
  <si>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</si>
  <si>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</si>
  <si>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</si>
  <si>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</si>
  <si>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</si>
  <si>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</si>
  <si>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</si>
  <si>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</si>
  <si>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</si>
  <si>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</si>
  <si>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</si>
  <si>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</si>
  <si>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</si>
  <si>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</si>
  <si>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</si>
  <si>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</si>
  <si>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</si>
  <si>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</si>
  <si>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</si>
  <si>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</si>
  <si>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</si>
  <si>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</si>
  <si>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</si>
  <si>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</si>
  <si>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</si>
  <si>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</si>
  <si>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</si>
  <si>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</si>
  <si>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</si>
  <si>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</si>
  <si>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</si>
  <si>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</si>
  <si>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</si>
  <si>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</si>
  <si>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</si>
  <si>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</si>
  <si>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</si>
  <si>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</si>
  <si>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原表行名：含资本化利息支出；列：本期/期末</t>
  </si>
  <si>
    <t>interest_total</t>
  </si>
  <si>
    <t>ks_a_interest_total_2024</t>
  </si>
  <si>
    <t>原表行名：含资本化利息支出；列：上期/期初；同控比较口径</t>
  </si>
  <si>
    <t>ks_a_interest_cap_2025</t>
  </si>
  <si>
    <t>资本化利息</t>
  </si>
  <si>
    <t>原表行名：资本化利息；列：本期/期末</t>
  </si>
  <si>
    <t>interest_cap</t>
  </si>
  <si>
    <t>ks_a_interest_cap_2024</t>
  </si>
  <si>
    <t>原表行名：资本化利息；列：上期/期初；同控比较口径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</si>
  <si>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</si>
  <si>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</si>
  <si>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</si>
  <si>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</si>
  <si>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</si>
  <si>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</si>
  <si>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</si>
  <si>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</si>
  <si>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</si>
  <si>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</si>
  <si>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</si>
  <si>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</si>
  <si>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</si>
  <si>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</si>
  <si>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</si>
  <si>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原表行名：固定资产及投资性房地产折旧；列：本期/期末</t>
  </si>
  <si>
    <t>dep</t>
  </si>
  <si>
    <t>ks_a_dep_2024</t>
  </si>
  <si>
    <t>原表行名：固定资产及投资性房地产折旧；列：上期/期初；同控比较口径</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</si>
  <si>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</si>
  <si>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</si>
  <si>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</si>
  <si>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</si>
  <si>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</si>
  <si>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</si>
  <si>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</si>
  <si>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</si>
  <si>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</si>
  <si>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</si>
  <si>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</si>
  <si>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</si>
  <si>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</si>
  <si>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</si>
  <si>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</si>
  <si>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</si>
  <si>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</si>
  <si>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</si>
  <si>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</si>
  <si>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</si>
  <si>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</si>
  <si>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</si>
  <si>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</si>
  <si>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</si>
  <si>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</si>
  <si>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</si>
  <si>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</si>
  <si>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</si>
  <si>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</si>
  <si>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</si>
  <si>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</si>
  <si>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</si>
  <si>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</si>
  <si>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</si>
  <si>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</si>
  <si>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</si>
  <si>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</si>
  <si>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</si>
  <si>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</si>
  <si>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</si>
  <si>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</si>
  <si>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</si>
  <si>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</si>
  <si>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</si>
  <si>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</si>
  <si>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</si>
  <si>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</si>
  <si>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</si>
  <si>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</si>
  <si>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</si>
  <si>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</si>
  <si>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</si>
  <si>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</si>
  <si>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</si>
  <si>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</si>
  <si>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</si>
  <si>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</si>
  <si>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</si>
  <si>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</si>
  <si>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</si>
  <si>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</si>
  <si>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</si>
  <si>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</si>
  <si>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</si>
  <si>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</si>
  <si>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</si>
  <si>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</si>
  <si>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</si>
  <si>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</si>
  <si>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</si>
  <si>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</si>
  <si>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</si>
  <si>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</si>
  <si>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</si>
  <si>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</si>
  <si>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</si>
  <si>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</si>
  <si>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</si>
  <si>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</si>
  <si>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</si>
  <si>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</si>
  <si>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</si>
  <si>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</si>
  <si>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</si>
  <si>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</si>
  <si>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</si>
  <si>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</si>
  <si>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</si>
  <si>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</si>
  <si>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</si>
  <si>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</si>
  <si>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</si>
  <si>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</si>
  <si>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</si>
  <si>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</si>
  <si>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</si>
  <si>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</si>
  <si>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</si>
  <si>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</si>
  <si>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</si>
  <si>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</si>
  <si>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</si>
  <si>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</si>
  <si>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</si>
  <si>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</si>
  <si>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</si>
  <si>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</si>
  <si>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</si>
  <si>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</si>
  <si>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</si>
  <si>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</si>
  <si>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</si>
  <si>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</si>
  <si>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</si>
  <si>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</si>
  <si>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</si>
  <si>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</si>
  <si>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</si>
  <si>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</si>
  <si>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</si>
  <si>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</si>
  <si>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</si>
  <si>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</si>
  <si>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</si>
  <si>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</si>
  <si>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</si>
  <si>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</si>
  <si>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</si>
  <si>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</si>
  <si>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</si>
  <si>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</si>
  <si>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</si>
  <si>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</si>
  <si>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</si>
  <si>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</si>
  <si>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</si>
  <si>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</si>
  <si>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</si>
  <si>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</si>
  <si>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</si>
  <si>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</si>
  <si>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</si>
  <si>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</si>
  <si>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</si>
  <si>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</si>
  <si>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</si>
  <si>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</si>
  <si>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</si>
  <si>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</si>
  <si>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</si>
  <si>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</si>
  <si>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</si>
  <si>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</si>
  <si>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</si>
  <si>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</si>
  <si>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</si>
  <si>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</si>
  <si>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</si>
  <si>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</si>
  <si>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</si>
  <si>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</si>
  <si>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</si>
  <si>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</si>
  <si>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</si>
  <si>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</si>
  <si>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</si>
  <si>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</si>
  <si>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</si>
  <si>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</si>
  <si>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</si>
  <si>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</si>
  <si>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</si>
  <si>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</si>
  <si>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</si>
  <si>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</si>
  <si>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</si>
  <si>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</si>
  <si>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</si>
  <si>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</si>
  <si>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</si>
  <si>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</si>
  <si>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</si>
  <si>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</si>
  <si>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</si>
  <si>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</si>
  <si>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</si>
  <si>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</si>
  <si>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</si>
  <si>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</si>
  <si>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</si>
  <si>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</si>
  <si>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</si>
  <si>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</si>
  <si>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</si>
  <si>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</si>
  <si>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</si>
  <si>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</si>
  <si>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</si>
  <si>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</si>
  <si>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</si>
  <si>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</si>
  <si>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</si>
  <si>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</si>
  <si>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</si>
  <si>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</si>
  <si>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</si>
  <si>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</si>
  <si>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</si>
  <si>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</si>
  <si>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</si>
  <si>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</si>
  <si>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</si>
  <si>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</si>
  <si>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</si>
  <si>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</si>
  <si>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</si>
  <si>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</si>
  <si>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</si>
  <si>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</si>
  <si>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</si>
  <si>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</si>
  <si>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</si>
  <si>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</si>
  <si>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</si>
  <si>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</si>
  <si>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</si>
  <si>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</si>
  <si>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</si>
  <si>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</si>
  <si>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</si>
  <si>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</si>
  <si>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</si>
  <si>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</si>
  <si>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</si>
  <si>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</si>
  <si>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</si>
  <si>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</si>
  <si>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</si>
  <si>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</si>
  <si>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</si>
  <si>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</si>
  <si>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</si>
  <si>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</si>
  <si>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</si>
  <si>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</si>
  <si>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</si>
  <si>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</si>
  <si>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</si>
  <si>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</si>
  <si>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</si>
  <si>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</si>
  <si>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</si>
  <si>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</si>
  <si>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</si>
  <si>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</si>
  <si>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</si>
  <si>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</si>
  <si>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</si>
  <si>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</si>
  <si>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</si>
  <si>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</si>
  <si>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</si>
  <si>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</si>
  <si>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</si>
  <si>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</si>
  <si>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</si>
  <si>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</si>
  <si>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</si>
  <si>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</si>
  <si>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</si>
  <si>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</si>
  <si>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</si>
  <si>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</si>
  <si>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</si>
  <si>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</si>
  <si>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</si>
  <si>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</si>
  <si>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</si>
  <si>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</si>
  <si>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</si>
  <si>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 ks_tax_e_balance</t>
  </si>
  <si>
    <t>dtaloss</t>
  </si>
  <si>
    <t>ks_a_taxlossbasis</t>
  </si>
  <si>
    <t>已确认DTA的可弥补亏损</t>
  </si>
  <si>
    <t>taxlossbasis</t>
  </si>
  <si>
    <t>ks_a_unrecognizeddta</t>
  </si>
  <si>
    <t>未确认DTA的差异和亏损</t>
  </si>
  <si>
    <t>ks_a_e_tax</t>
  </si>
  <si>
    <t>金额是未确认递延所得税资产的可抵扣差异及亏损税基，不是DTA金额，不能直接作为权益减记。</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</si>
  <si>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</si>
  <si>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</si>
  <si>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</si>
  <si>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</si>
  <si>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</si>
  <si>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</si>
  <si>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</si>
  <si>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</si>
  <si>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</si>
  <si>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</si>
  <si>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</si>
  <si>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</si>
  <si>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</si>
  <si>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</si>
  <si>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</si>
  <si>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</si>
  <si>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</si>
  <si>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</si>
  <si>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</si>
  <si>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</si>
  <si>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</si>
  <si>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</si>
  <si>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</si>
  <si>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</si>
  <si>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</si>
  <si>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</si>
  <si>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</si>
  <si>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</si>
  <si>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</si>
  <si>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</si>
  <si>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</si>
  <si>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</si>
  <si>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</si>
  <si>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</si>
  <si>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</si>
  <si>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</si>
  <si>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</si>
  <si>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</si>
  <si>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</si>
  <si>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</si>
  <si>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</si>
  <si>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</si>
  <si>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</si>
  <si>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</si>
  <si>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</si>
  <si>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</si>
  <si>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</si>
  <si>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</si>
  <si>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</si>
  <si>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</si>
  <si>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</si>
  <si>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</si>
  <si>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</si>
  <si>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</si>
  <si>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</si>
  <si>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</si>
  <si>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</si>
  <si>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</si>
  <si>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</si>
  <si>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</si>
  <si>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</si>
  <si>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</si>
  <si>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</si>
  <si>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</si>
  <si>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</si>
  <si>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ks_credit_e_dealer_schedule</t>
  </si>
  <si>
    <t>公司保证义务披露（集团内外分列）</t>
  </si>
  <si>
    <t>公司担保原始披露；非会计债务加总</t>
  </si>
  <si>
    <t>2025年末集团外经销商担保借款金额；不是已代偿金额。</t>
  </si>
  <si>
    <t>guarantees</t>
  </si>
  <si>
    <t>ks_a_guaranteeletters</t>
  </si>
  <si>
    <t>已开保函余额</t>
  </si>
  <si>
    <t>ks_a_e_related</t>
  </si>
  <si>
    <t>guaranteeletters</t>
  </si>
  <si>
    <t>ks_a_undrawn</t>
  </si>
  <si>
    <t>年报未使用银行借款额度</t>
  </si>
  <si>
    <t>ks_a_e_maturity</t>
  </si>
  <si>
    <t>公司银行额度披露（法人及品种待核）</t>
  </si>
  <si>
    <t>公开银行额度披露；两来源口径未调齐</t>
  </si>
  <si>
    <t>原文单位万元，保留108,000.00及scale=10000；不同于跟踪报告未用授信47亿元，差额原因未核，均未计作已落实现金。</t>
  </si>
  <si>
    <t>undrawn</t>
  </si>
  <si>
    <t>ks_a_maturity_1y</t>
  </si>
  <si>
    <t>一年内未折现合同金融负债现金流</t>
  </si>
  <si>
    <t>原文单位万元；保留原单位值，以scale=10000换算，不将万元当元。</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</si>
  <si>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</si>
  <si>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</si>
  <si>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</si>
  <si>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</si>
  <si>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</si>
  <si>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</si>
  <si>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</si>
  <si>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</si>
  <si>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</si>
  <si>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</si>
  <si>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</si>
  <si>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</si>
  <si>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</si>
  <si>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</si>
  <si>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</si>
  <si>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</si>
  <si>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</si>
  <si>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</si>
  <si>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</si>
  <si>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</si>
  <si>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</si>
  <si>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</si>
  <si>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</si>
  <si>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</si>
  <si>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</si>
  <si>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</si>
  <si>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</si>
  <si>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</si>
  <si>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</si>
  <si>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</si>
  <si>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</si>
  <si>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</si>
  <si>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</si>
  <si>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</si>
  <si>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</si>
  <si>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</si>
  <si>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</si>
  <si>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</si>
  <si>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</si>
  <si>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</si>
  <si>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</si>
  <si>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</si>
  <si>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</si>
  <si>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</si>
  <si>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</si>
  <si>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</si>
  <si>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</si>
  <si>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</si>
  <si>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</si>
  <si>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</si>
  <si>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</si>
  <si>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</si>
  <si>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</si>
  <si>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</si>
  <si>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</si>
  <si>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</si>
  <si>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</si>
  <si>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</si>
  <si>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</si>
  <si>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</si>
  <si>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</si>
  <si>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</si>
  <si>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</si>
  <si>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</si>
  <si>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</si>
  <si>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</si>
  <si>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</si>
  <si>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</si>
  <si>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</si>
  <si>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</si>
  <si>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</si>
  <si>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</si>
  <si>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</si>
  <si>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</si>
  <si>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</si>
  <si>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</si>
  <si>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</si>
  <si>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</si>
  <si>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</si>
  <si>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</si>
  <si>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</si>
  <si>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</si>
  <si>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</si>
  <si>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</si>
  <si>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</si>
  <si>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</si>
  <si>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</si>
  <si>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</si>
  <si>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</si>
  <si>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</si>
  <si>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</si>
  <si>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</si>
  <si>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</si>
  <si>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</si>
  <si>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</si>
  <si>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</si>
  <si>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</si>
  <si>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</si>
  <si>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</si>
  <si>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</si>
  <si>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</si>
  <si>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</si>
  <si>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</si>
  <si>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</si>
  <si>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</si>
  <si>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</si>
  <si>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</si>
  <si>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</si>
  <si>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</si>
  <si>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</si>
  <si>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</si>
  <si>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</si>
  <si>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</si>
  <si>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</si>
  <si>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</si>
  <si>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</si>
  <si>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</si>
  <si>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</si>
  <si>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</si>
  <si>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</si>
  <si>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</si>
  <si>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</si>
  <si>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</si>
  <si>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</si>
  <si>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</si>
  <si>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</si>
  <si>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</si>
  <si>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</si>
  <si>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</si>
  <si>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</si>
  <si>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</si>
  <si>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</si>
  <si>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</si>
  <si>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</si>
  <si>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</si>
  <si>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</si>
  <si>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</si>
  <si>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</si>
  <si>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</si>
  <si>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</si>
  <si>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</si>
  <si>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</si>
  <si>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</si>
  <si>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</si>
  <si>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</si>
  <si>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</si>
  <si>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</si>
  <si>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</si>
  <si>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</si>
  <si>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</si>
  <si>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</si>
  <si>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</si>
  <si>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</si>
  <si>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</si>
  <si>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</si>
  <si>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</si>
  <si>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</si>
  <si>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</si>
  <si>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</si>
  <si>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</si>
  <si>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</si>
  <si>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</si>
  <si>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</si>
  <si>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</si>
  <si>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</si>
  <si>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</si>
  <si>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</si>
  <si>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</si>
  <si>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</si>
  <si>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</si>
  <si>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</si>
  <si>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</si>
  <si>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</si>
  <si>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</si>
  <si>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</si>
  <si>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</si>
  <si>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</si>
  <si>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</si>
  <si>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</si>
  <si>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</si>
  <si>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</si>
  <si>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</si>
  <si>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</si>
  <si>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</si>
  <si>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</si>
  <si>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</si>
  <si>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</si>
  <si>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</si>
  <si>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</si>
  <si>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</si>
  <si>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</si>
  <si>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</si>
  <si>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</si>
  <si>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</si>
  <si>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</si>
  <si>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</si>
  <si>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</si>
  <si>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</si>
  <si>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</si>
  <si>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</si>
  <si>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</si>
  <si>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</si>
  <si>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</si>
  <si>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</si>
  <si>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</si>
  <si>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</si>
  <si>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</si>
  <si>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</si>
  <si>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</si>
  <si>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</si>
  <si>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</si>
  <si>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</si>
  <si>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</si>
  <si>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</si>
  <si>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</si>
  <si>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</si>
  <si>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</si>
  <si>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</si>
  <si>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</si>
  <si>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</si>
  <si>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</si>
  <si>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</si>
  <si>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</si>
  <si>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</si>
  <si>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</si>
  <si>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</si>
  <si>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</si>
  <si>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</si>
  <si>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</si>
  <si>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</si>
  <si>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</si>
  <si>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</si>
  <si>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</si>
  <si>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</si>
  <si>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</si>
  <si>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</si>
  <si>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</si>
  <si>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</si>
  <si>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</si>
  <si>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</si>
  <si>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</si>
  <si>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</si>
  <si>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</si>
  <si>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</si>
  <si>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</si>
  <si>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</si>
  <si>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</si>
  <si>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</si>
  <si>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</si>
  <si>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</si>
  <si>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</si>
  <si>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</si>
  <si>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</si>
  <si>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</si>
  <si>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</si>
  <si>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</si>
  <si>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</si>
  <si>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</si>
  <si>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</si>
  <si>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</si>
  <si>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</si>
  <si>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</si>
  <si>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</si>
  <si>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</si>
  <si>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</si>
  <si>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</si>
  <si>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</si>
  <si>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</si>
  <si>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</si>
  <si>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</si>
  <si>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</si>
  <si>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</si>
  <si>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</si>
  <si>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</si>
  <si>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</si>
  <si>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</si>
  <si>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</si>
  <si>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</si>
  <si>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</si>
  <si>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</si>
  <si>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</si>
  <si>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</si>
  <si>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</si>
  <si>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</si>
  <si>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</si>
  <si>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</si>
  <si>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</si>
  <si>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</si>
  <si>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</si>
  <si>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</si>
  <si>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</si>
  <si>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</si>
  <si>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</si>
  <si>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</si>
  <si>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</si>
  <si>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</si>
  <si>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</si>
  <si>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</si>
  <si>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</si>
  <si>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</si>
  <si>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</si>
  <si>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</si>
  <si>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</si>
  <si>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</si>
  <si>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</si>
  <si>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</si>
  <si>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</si>
  <si>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</si>
  <si>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</si>
  <si>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</si>
  <si>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</si>
  <si>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</si>
  <si>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</si>
  <si>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</si>
  <si>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公告旧轮补流实际归还</t>
  </si>
  <si>
    <t>ks_a_e_return26</t>
  </si>
  <si>
    <t>2026-01-06</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</si>
  <si>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</si>
  <si>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</si>
  <si>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</si>
  <si>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</si>
  <si>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</si>
  <si>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</si>
  <si>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</si>
  <si>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</si>
  <si>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</si>
  <si>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</si>
  <si>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</si>
  <si>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</si>
  <si>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</si>
  <si>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</si>
  <si>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</si>
  <si>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</si>
  <si>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</si>
  <si>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</si>
  <si>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</si>
  <si>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</si>
  <si>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</si>
  <si>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</si>
  <si>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</si>
  <si>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</si>
  <si>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</si>
  <si>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</si>
  <si>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</si>
  <si>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</si>
  <si>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</si>
  <si>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</si>
  <si>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</si>
  <si>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</si>
  <si>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</si>
  <si>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</si>
  <si>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</si>
  <si>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</si>
  <si>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</si>
  <si>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</si>
  <si>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</si>
  <si>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</si>
  <si>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</si>
  <si>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</si>
  <si>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</si>
  <si>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</si>
  <si>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</si>
  <si>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</si>
  <si>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</si>
  <si>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</si>
  <si>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</si>
  <si>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</si>
  <si>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</si>
  <si>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</si>
  <si>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</si>
  <si>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</si>
  <si>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</si>
  <si>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</si>
  <si>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</si>
  <si>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</si>
  <si>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</si>
  <si>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</si>
  <si>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</si>
  <si>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</si>
  <si>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</si>
  <si>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</si>
  <si>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</si>
  <si>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</si>
  <si>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</si>
  <si>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</si>
  <si>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</si>
  <si>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</si>
  <si>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</si>
  <si>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</si>
  <si>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</si>
  <si>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</si>
  <si>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</si>
  <si>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</si>
  <si>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</si>
  <si>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</si>
  <si>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</si>
  <si>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</si>
  <si>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</si>
  <si>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</si>
  <si>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</si>
  <si>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</si>
  <si>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</si>
  <si>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</si>
  <si>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</si>
  <si>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</si>
  <si>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</si>
  <si>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</si>
  <si>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</si>
  <si>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</si>
  <si>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</si>
  <si>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</si>
  <si>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</si>
  <si>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</si>
  <si>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</si>
  <si>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</si>
  <si>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</si>
  <si>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</si>
  <si>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</si>
  <si>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</si>
  <si>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</si>
  <si>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</si>
  <si>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</si>
  <si>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</si>
  <si>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</si>
  <si>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</si>
  <si>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</si>
  <si>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</si>
  <si>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</si>
  <si>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</si>
  <si>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</si>
  <si>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</si>
  <si>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</si>
  <si>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</si>
  <si>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</si>
  <si>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</si>
  <si>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</si>
  <si>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</si>
  <si>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</si>
  <si>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</si>
  <si>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</si>
  <si>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</si>
  <si>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</si>
  <si>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</si>
  <si>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</si>
  <si>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</si>
  <si>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</si>
  <si>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</si>
  <si>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</si>
  <si>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</si>
  <si>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</si>
  <si>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</si>
  <si>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</si>
  <si>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</si>
  <si>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</si>
  <si>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</si>
  <si>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</si>
  <si>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</si>
  <si>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</si>
  <si>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</si>
  <si>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</si>
  <si>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</si>
  <si>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</si>
  <si>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</si>
  <si>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</si>
  <si>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</si>
  <si>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</si>
  <si>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</si>
  <si>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</si>
  <si>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</si>
  <si>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</si>
  <si>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</si>
  <si>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</si>
  <si>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</si>
  <si>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</si>
  <si>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</si>
  <si>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</si>
  <si>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</si>
  <si>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</si>
  <si>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</si>
  <si>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</si>
  <si>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</si>
  <si>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</si>
  <si>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</si>
  <si>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</si>
  <si>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</si>
  <si>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</si>
  <si>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</si>
  <si>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</si>
  <si>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</si>
  <si>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</si>
  <si>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</si>
  <si>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</si>
  <si>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</si>
  <si>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</si>
  <si>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</si>
  <si>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</si>
  <si>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</si>
  <si>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</si>
  <si>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</si>
  <si>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</si>
  <si>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</si>
  <si>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</si>
  <si>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</si>
  <si>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</si>
  <si>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</si>
  <si>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</si>
  <si>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</si>
  <si>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</si>
  <si>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</si>
  <si>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</si>
  <si>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</si>
  <si>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</si>
  <si>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</si>
  <si>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</si>
  <si>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</si>
  <si>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</si>
  <si>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</si>
  <si>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</si>
  <si>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</si>
  <si>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</si>
  <si>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</si>
  <si>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</si>
  <si>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</si>
  <si>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</si>
  <si>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</si>
  <si>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</si>
  <si>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</si>
  <si>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</si>
  <si>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</si>
  <si>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</si>
  <si>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</si>
  <si>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</si>
  <si>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</si>
  <si>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</si>
  <si>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</si>
  <si>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</si>
  <si>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</si>
  <si>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</si>
  <si>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</si>
  <si>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</si>
  <si>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</si>
  <si>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</si>
  <si>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</si>
  <si>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</si>
  <si>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</si>
  <si>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</si>
  <si>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</si>
  <si>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</si>
  <si>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</si>
  <si>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</si>
  <si>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</si>
  <si>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</si>
  <si>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</si>
  <si>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</si>
  <si>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</si>
  <si>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</si>
  <si>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</si>
  <si>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</si>
  <si>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</si>
  <si>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</si>
  <si>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</si>
  <si>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</si>
  <si>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</si>
  <si>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</si>
  <si>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</si>
  <si>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</si>
  <si>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</si>
  <si>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</si>
  <si>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</si>
  <si>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</si>
  <si>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</si>
  <si>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</si>
  <si>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</si>
  <si>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</si>
  <si>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</si>
  <si>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</si>
  <si>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</si>
  <si>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</si>
  <si>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</si>
  <si>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</si>
  <si>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</si>
  <si>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</si>
  <si>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</si>
  <si>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</si>
  <si>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</si>
  <si>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</si>
  <si>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</si>
  <si>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</si>
  <si>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</si>
  <si>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</si>
  <si>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</si>
  <si>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</si>
  <si>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</si>
  <si>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</si>
  <si>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</si>
  <si>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</si>
  <si>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</si>
  <si>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</si>
  <si>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</si>
  <si>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</si>
  <si>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</si>
  <si>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</si>
  <si>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</si>
  <si>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</si>
  <si>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</si>
  <si>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</si>
  <si>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</si>
  <si>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</si>
  <si>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</si>
  <si>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</si>
  <si>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</si>
  <si>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</si>
  <si>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</si>
  <si>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</si>
  <si>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</si>
  <si>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</si>
  <si>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</si>
  <si>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</si>
  <si>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</si>
  <si>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</si>
  <si>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</si>
  <si>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</si>
  <si>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</si>
  <si>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</si>
  <si>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</si>
  <si>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</si>
  <si>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</si>
  <si>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</si>
  <si>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</si>
  <si>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</si>
  <si>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</si>
  <si>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</si>
  <si>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</si>
  <si>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</si>
  <si>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</si>
  <si>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</si>
  <si>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</si>
  <si>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</si>
  <si>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</si>
  <si>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</si>
  <si>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</si>
  <si>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</si>
  <si>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</si>
  <si>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</si>
  <si>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</si>
  <si>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</si>
  <si>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</si>
  <si>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</si>
  <si>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</si>
  <si>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</si>
  <si>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</si>
  <si>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</si>
  <si>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</si>
  <si>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</si>
  <si>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</si>
  <si>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</si>
  <si>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</si>
  <si>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</si>
  <si>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</si>
  <si>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</si>
  <si>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</si>
  <si>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</si>
  <si>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</si>
  <si>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</si>
  <si>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</si>
  <si>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</si>
  <si>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</si>
  <si>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</si>
  <si>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</si>
  <si>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</si>
  <si>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</si>
  <si>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</si>
  <si>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</si>
  <si>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</si>
  <si>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</si>
  <si>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</si>
  <si>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</si>
  <si>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</si>
  <si>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</si>
  <si>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</si>
  <si>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</si>
  <si>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</si>
  <si>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</si>
  <si>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</si>
  <si>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</si>
  <si>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</si>
  <si>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</si>
  <si>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</si>
  <si>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</si>
  <si>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</si>
  <si>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</si>
  <si>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</si>
  <si>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</si>
  <si>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</si>
  <si>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</si>
  <si>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</si>
  <si>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</si>
  <si>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</si>
  <si>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</si>
  <si>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</si>
  <si>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</si>
  <si>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</si>
  <si>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</si>
  <si>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</si>
  <si>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</si>
  <si>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</si>
  <si>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</si>
  <si>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</si>
  <si>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</si>
  <si>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</si>
  <si>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</si>
  <si>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</si>
  <si>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</si>
  <si>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</si>
  <si>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</si>
  <si>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</si>
  <si>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</si>
  <si>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</si>
  <si>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</si>
  <si>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</si>
  <si>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</si>
  <si>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</si>
  <si>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</si>
  <si>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</si>
  <si>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</si>
  <si>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</si>
  <si>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</si>
  <si>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</si>
  <si>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</si>
  <si>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</si>
  <si>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</si>
  <si>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</si>
  <si>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</si>
  <si>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</si>
  <si>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</si>
  <si>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</si>
  <si>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</si>
  <si>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</si>
  <si>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</si>
  <si>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</si>
  <si>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</si>
  <si>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</si>
  <si>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截止日前最新已取得季度转股余额；保留原始季度末日期，不声称为六月末实际余额。</t>
  </si>
  <si>
    <t>ks_d_f_face_conversion_q1</t>
  </si>
  <si>
    <t>一季度已转股面值</t>
  </si>
  <si>
    <t>ks_d_f_face_cutoff</t>
  </si>
  <si>
    <t>截止日实际未转股面值</t>
  </si>
  <si>
    <t>已取得的季度余额截止三月末；不得以截止日以后披露的二季度公告倒灌，也不把三月末余额改写成六月末。</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</si>
  <si>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</si>
  <si>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</si>
  <si>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</si>
  <si>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</si>
  <si>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</si>
  <si>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</si>
  <si>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</si>
  <si>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</si>
  <si>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</si>
  <si>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</si>
  <si>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</si>
  <si>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</si>
  <si>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</si>
  <si>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</si>
  <si>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</si>
  <si>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</si>
  <si>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</si>
  <si>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</si>
  <si>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</si>
  <si>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</si>
  <si>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</si>
  <si>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</si>
  <si>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</si>
  <si>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</si>
  <si>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</si>
  <si>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</si>
  <si>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</si>
  <si>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</si>
  <si>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</si>
  <si>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</si>
  <si>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</si>
  <si>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</si>
  <si>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</si>
  <si>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</si>
  <si>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</si>
  <si>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</si>
  <si>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</si>
  <si>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</si>
  <si>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</si>
  <si>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</si>
  <si>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</si>
  <si>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</si>
  <si>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</si>
  <si>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</si>
  <si>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</si>
  <si>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</si>
  <si>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</si>
  <si>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</si>
  <si>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</si>
  <si>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</si>
  <si>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</si>
  <si>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</si>
  <si>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</si>
  <si>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</si>
  <si>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</si>
  <si>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</si>
  <si>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</si>
  <si>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</si>
  <si>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</si>
  <si>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</si>
  <si>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</si>
  <si>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</si>
  <si>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</si>
  <si>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</si>
  <si>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</si>
  <si>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</si>
  <si>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</si>
  <si>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</si>
  <si>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</si>
  <si>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</si>
  <si>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</si>
  <si>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募集资金账户及暂时补流</t>
  </si>
  <si>
    <t>募集资金现金收支披露</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</si>
  <si>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</si>
  <si>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</si>
  <si>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</si>
  <si>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</si>
  <si>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</si>
  <si>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</si>
  <si>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</si>
  <si>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</si>
  <si>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</si>
  <si>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</si>
  <si>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</si>
  <si>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</si>
  <si>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</si>
  <si>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</si>
  <si>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</si>
  <si>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</si>
  <si>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</si>
  <si>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</si>
  <si>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</si>
  <si>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</si>
  <si>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</si>
  <si>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2025-01-10</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</si>
  <si>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</si>
  <si>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</si>
  <si>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</si>
  <si>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</si>
  <si>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</si>
  <si>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</si>
  <si>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</si>
  <si>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</si>
  <si>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</si>
  <si>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</si>
  <si>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</si>
  <si>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</si>
  <si>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</si>
  <si>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</si>
  <si>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</si>
  <si>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</si>
  <si>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</si>
  <si>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</si>
  <si>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</si>
  <si>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</si>
  <si>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</si>
  <si>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</si>
  <si>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</si>
  <si>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</si>
  <si>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</si>
  <si>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</si>
  <si>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</si>
  <si>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</si>
  <si>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</si>
  <si>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</si>
  <si>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</si>
  <si>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</si>
  <si>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</si>
  <si>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</si>
  <si>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</si>
  <si>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</si>
  <si>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</si>
  <si>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</si>
  <si>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</si>
  <si>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</si>
  <si>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</si>
  <si>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</si>
  <si>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</si>
  <si>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</si>
  <si>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</si>
  <si>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</si>
  <si>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</si>
  <si>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</si>
  <si>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</si>
  <si>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</si>
  <si>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</si>
  <si>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</si>
  <si>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</si>
  <si>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</si>
  <si>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</si>
  <si>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</si>
  <si>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</si>
  <si>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</si>
  <si>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</si>
  <si>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</si>
  <si>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</si>
  <si>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</si>
  <si>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</si>
  <si>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</si>
  <si>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</si>
  <si>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</si>
  <si>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</si>
  <si>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</si>
  <si>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</si>
  <si>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</si>
  <si>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</si>
  <si>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</si>
  <si>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</si>
  <si>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</si>
  <si>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</si>
  <si>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</si>
  <si>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</si>
  <si>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</si>
  <si>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</si>
  <si>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</si>
  <si>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</si>
  <si>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</si>
  <si>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</si>
  <si>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</si>
  <si>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</si>
  <si>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</si>
  <si>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</si>
  <si>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</si>
  <si>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</si>
  <si>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</si>
  <si>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</si>
  <si>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</si>
  <si>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</si>
  <si>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</si>
  <si>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</si>
  <si>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</si>
  <si>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</si>
  <si>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</si>
  <si>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</si>
  <si>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</si>
  <si>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</si>
  <si>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</si>
  <si>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</si>
  <si>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</si>
  <si>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</si>
  <si>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</si>
  <si>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</si>
  <si>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</si>
  <si>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</si>
  <si>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</si>
  <si>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</si>
  <si>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</si>
  <si>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</si>
  <si>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</si>
  <si>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</si>
  <si>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</si>
  <si>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</si>
  <si>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</si>
  <si>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</si>
  <si>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</si>
  <si>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</si>
  <si>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</si>
  <si>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</si>
  <si>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</si>
  <si>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</si>
  <si>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</si>
  <si>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</si>
  <si>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</si>
  <si>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</si>
  <si>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</si>
  <si>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</si>
  <si>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</si>
  <si>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</si>
  <si>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</si>
  <si>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</si>
  <si>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</si>
  <si>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</si>
  <si>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</si>
  <si>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</si>
  <si>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</si>
  <si>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</si>
  <si>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</si>
  <si>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</si>
  <si>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</si>
  <si>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</si>
  <si>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</si>
  <si>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</si>
  <si>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</si>
  <si>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</si>
  <si>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</si>
  <si>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</si>
  <si>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</si>
  <si>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</si>
  <si>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</si>
  <si>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</si>
  <si>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</si>
  <si>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</si>
  <si>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</si>
  <si>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</si>
  <si>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</si>
  <si>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</si>
  <si>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</si>
  <si>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</si>
  <si>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</si>
  <si>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</si>
  <si>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</si>
  <si>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</si>
  <si>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</si>
  <si>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</si>
  <si>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</si>
  <si>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</si>
  <si>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</si>
  <si>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</si>
  <si>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</si>
  <si>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</si>
  <si>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</si>
  <si>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</si>
  <si>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</si>
  <si>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</si>
  <si>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</si>
  <si>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</si>
  <si>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</si>
  <si>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</si>
  <si>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</si>
  <si>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</si>
  <si>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</si>
  <si>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</si>
  <si>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</si>
  <si>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</si>
  <si>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</si>
  <si>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</si>
  <si>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</si>
  <si>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</si>
  <si>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</si>
  <si>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</si>
  <si>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</si>
  <si>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</si>
  <si>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</si>
  <si>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</si>
  <si>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</si>
  <si>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</si>
  <si>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</si>
  <si>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</si>
  <si>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</si>
  <si>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</si>
  <si>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</si>
  <si>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</si>
  <si>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</si>
  <si>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</si>
  <si>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</si>
  <si>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</si>
  <si>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</si>
  <si>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</si>
  <si>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</si>
  <si>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</si>
  <si>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</si>
  <si>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</si>
  <si>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</si>
  <si>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</si>
  <si>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</si>
  <si>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</si>
  <si>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</si>
  <si>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</si>
  <si>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</si>
  <si>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</si>
  <si>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</si>
  <si>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</si>
  <si>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</si>
  <si>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</si>
  <si>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</si>
  <si>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</si>
  <si>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</si>
  <si>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</si>
  <si>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</si>
  <si>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</si>
  <si>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</si>
  <si>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</si>
  <si>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</si>
  <si>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</si>
  <si>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</si>
  <si>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</si>
  <si>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</si>
  <si>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</si>
  <si>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</si>
  <si>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</si>
  <si>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</si>
  <si>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</si>
  <si>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</si>
  <si>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</si>
  <si>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</si>
  <si>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</si>
  <si>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</si>
  <si>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</si>
  <si>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</si>
  <si>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</si>
  <si>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</si>
  <si>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</si>
  <si>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</si>
  <si>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</si>
  <si>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</si>
  <si>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</si>
  <si>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</si>
  <si>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</si>
  <si>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</si>
  <si>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</si>
  <si>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</si>
  <si>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</si>
  <si>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</si>
  <si>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</si>
  <si>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</si>
  <si>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</si>
  <si>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</si>
  <si>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</si>
  <si>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</si>
  <si>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</si>
  <si>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</si>
  <si>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</si>
  <si>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</si>
  <si>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</si>
  <si>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</si>
  <si>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</si>
  <si>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</si>
  <si>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</si>
  <si>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</si>
  <si>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</si>
  <si>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</si>
  <si>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</si>
  <si>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</si>
  <si>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</si>
  <si>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</si>
  <si>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</si>
  <si>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</si>
  <si>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</si>
  <si>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</si>
  <si>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</si>
  <si>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</si>
  <si>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</si>
  <si>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</si>
  <si>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</si>
  <si>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</si>
  <si>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</si>
  <si>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</si>
  <si>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</si>
  <si>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</si>
  <si>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</si>
  <si>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</si>
  <si>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</si>
  <si>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</si>
  <si>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</si>
  <si>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</si>
  <si>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</si>
  <si>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</si>
  <si>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</si>
  <si>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</si>
  <si>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</si>
  <si>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</si>
  <si>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</si>
  <si>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</si>
  <si>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</si>
  <si>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</si>
  <si>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</si>
  <si>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</si>
  <si>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</si>
  <si>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</si>
  <si>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</si>
  <si>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</si>
  <si>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</si>
  <si>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</si>
  <si>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</si>
  <si>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</si>
  <si>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</si>
  <si>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</si>
  <si>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</si>
  <si>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</si>
  <si>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</si>
  <si>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</si>
  <si>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</si>
  <si>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</si>
  <si>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</si>
  <si>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</si>
  <si>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</si>
  <si>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</si>
  <si>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</si>
  <si>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</si>
  <si>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</si>
  <si>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</si>
  <si>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</si>
  <si>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</si>
  <si>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</si>
  <si>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</si>
  <si>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</si>
  <si>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</si>
  <si>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</si>
  <si>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</si>
  <si>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</si>
  <si>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</si>
  <si>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</si>
  <si>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</si>
  <si>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</si>
  <si>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</si>
  <si>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</si>
  <si>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</si>
  <si>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</si>
  <si>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</si>
  <si>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</si>
  <si>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</si>
  <si>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</si>
  <si>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</si>
  <si>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</si>
  <si>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</si>
  <si>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</si>
  <si>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</si>
  <si>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</si>
  <si>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</si>
  <si>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</si>
  <si>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</si>
  <si>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</si>
  <si>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</si>
  <si>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</si>
  <si>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</si>
  <si>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</si>
  <si>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</si>
  <si>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</si>
  <si>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</si>
  <si>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</si>
  <si>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</si>
  <si>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</si>
  <si>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</si>
  <si>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</si>
  <si>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</si>
  <si>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</si>
  <si>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</si>
  <si>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ks_tax_dta_impairment_2025</t>
  </si>
  <si>
    <t>资产减值准备对应递延所得税资产</t>
  </si>
  <si>
    <t>ks_tax_e_balance</t>
  </si>
  <si>
    <t>附注23（1）—（2）；期末或同控重述期初余额。</t>
  </si>
  <si>
    <t>dta_impairment</t>
  </si>
  <si>
    <t>ks_tax_dta_impairment_2024</t>
  </si>
  <si>
    <t>ks_tax_dta_loss_2024</t>
  </si>
  <si>
    <t>ks_tax_cb_dtl_2025</t>
  </si>
  <si>
    <t>可转换债券权益部分递延所得税负债</t>
  </si>
  <si>
    <t>附注23（1）—（2）；期末或同控重述期初余额。期初列为空白，不填零；此事实只表示期末余额，不表示当期直接权益税流量。</t>
  </si>
  <si>
    <t>cb_equity_dtl</t>
  </si>
  <si>
    <t>ks_earn_disposal_2025</t>
  </si>
  <si>
    <t>非流动资产处置损益</t>
  </si>
  <si>
    <t>ks_earn_e_nonrec</t>
  </si>
  <si>
    <t>非经常性损益原表2025年金额列；税、少数股东影响是原表减项，其他保留原符号。</t>
  </si>
  <si>
    <t>nonrec_disposal</t>
  </si>
  <si>
    <t>ks_earn_disposal_2024</t>
  </si>
  <si>
    <t>非经常性损益原表2024年金额列；税、少数股东影响是原表减项，其他保留原符号。</t>
  </si>
  <si>
    <t>ks_earn_grant_2025</t>
  </si>
  <si>
    <t>非经常政府补助</t>
  </si>
  <si>
    <t>nonrec_grant</t>
  </si>
  <si>
    <t>ks_earn_grant_2024</t>
  </si>
  <si>
    <t>ks_earn_financial_2025</t>
  </si>
  <si>
    <t>金融资产负债公允价值及处置损益</t>
  </si>
  <si>
    <t>nonrec_financial</t>
  </si>
  <si>
    <t>ks_earn_financial_2024</t>
  </si>
  <si>
    <t>ks_earn_funding_2024</t>
  </si>
  <si>
    <t>向非金融企业收取资金占用费</t>
  </si>
  <si>
    <t>nonrec_funding</t>
  </si>
  <si>
    <t>ks_earn_reversal_2025</t>
  </si>
  <si>
    <t>单项应收减值准备转回</t>
  </si>
  <si>
    <t>nonrec_reversal</t>
  </si>
  <si>
    <t>ks_earn_reversal_2024</t>
  </si>
  <si>
    <t>ks_earn_common_control_2025</t>
  </si>
  <si>
    <t>同控子公司期初至合并日净损益</t>
  </si>
  <si>
    <t>nonrec_common_control</t>
  </si>
  <si>
    <t>ks_earn_restructuring_2025</t>
  </si>
  <si>
    <t>债务重组损益</t>
  </si>
  <si>
    <t>nonrec_restructuring</t>
  </si>
  <si>
    <t>ks_earn_restructuring_2024</t>
  </si>
  <si>
    <t>ks_earn_other_2025</t>
  </si>
  <si>
    <t>其他非经常营业外收支</t>
  </si>
  <si>
    <t>nonrec_other</t>
  </si>
  <si>
    <t>ks_earn_other_2024</t>
  </si>
  <si>
    <t>ks_earn_tax_2025</t>
  </si>
  <si>
    <t>非经常损益所得税影响额</t>
  </si>
  <si>
    <t>nonrec_tax</t>
  </si>
  <si>
    <t>ks_earn_tax_2024</t>
  </si>
  <si>
    <t>ks_earn_minority_2025</t>
  </si>
  <si>
    <t>非经常损益少数股东影响额（税后）</t>
  </si>
  <si>
    <t>nonrec_minority</t>
  </si>
  <si>
    <t>ks_earn_minority_2024</t>
  </si>
  <si>
    <t>ks_earn_total_2025</t>
  </si>
  <si>
    <t>公司披露归母非经常损益</t>
  </si>
  <si>
    <t>nonrec_total</t>
  </si>
  <si>
    <t>ks_earn_total_2024</t>
  </si>
  <si>
    <t>ks_credit_facility_total</t>
  </si>
  <si>
    <t>跟踪报告银行授信总额</t>
  </si>
  <si>
    <t>ks_credit_e_facilities</t>
  </si>
  <si>
    <t>截至2025年底；未取得银行分户及产品明细。</t>
  </si>
  <si>
    <t>facility_total</t>
  </si>
  <si>
    <t>ks_credit_facility_undrawn</t>
  </si>
  <si>
    <t>跟踪报告未使用银行授信</t>
  </si>
  <si>
    <t>不证明47亿元与10.8亿元可相加、同时可用，亦未证明其覆盖法人、产品及撤销条款相同。</t>
  </si>
  <si>
    <t>facility_undrawn</t>
  </si>
  <si>
    <t>ks_credit_dealer_01</t>
  </si>
  <si>
    <t>第一名担保借款金额（担保到期2026-06-24）</t>
  </si>
  <si>
    <t>期末余额2025-12-31；原表担保到期日为2026-06-24，不是代偿日；当前存续/解除/展期未取得逐笔证据。</t>
  </si>
  <si>
    <t>dealer_01</t>
  </si>
  <si>
    <t>ks_credit_dealer_02</t>
  </si>
  <si>
    <t>第二名担保借款金额（担保到期2026-06-30）</t>
  </si>
  <si>
    <t>期末余额2025-12-31；原表担保到期日为2026-06-30，不是代偿日；当前存续/解除/展期未取得逐笔证据。</t>
  </si>
  <si>
    <t>dealer_02</t>
  </si>
  <si>
    <t>ks_credit_dealer_03</t>
  </si>
  <si>
    <t>第三名担保借款金额（担保到期2026-06-26）</t>
  </si>
  <si>
    <t>期末余额2025-12-31；原表担保到期日为2026-06-26，不是代偿日；当前存续/解除/展期未取得逐笔证据。</t>
  </si>
  <si>
    <t>dealer_03</t>
  </si>
  <si>
    <t>ks_credit_dealer_04</t>
  </si>
  <si>
    <t>第四名担保借款金额（担保到期2026-06-29）</t>
  </si>
  <si>
    <t>期末余额2025-12-31；原表担保到期日为2026-06-29，不是代偿日；当前存续/解除/展期未取得逐笔证据。</t>
  </si>
  <si>
    <t>dealer_04</t>
  </si>
  <si>
    <t>ks_credit_dealer_05</t>
  </si>
  <si>
    <t>第五名担保借款金额（担保到期2026-06-08）</t>
  </si>
  <si>
    <t>期末余额2025-12-31；原表担保到期日为2026-06-08，不是代偿日；当前存续/解除/展期未取得逐笔证据。</t>
  </si>
  <si>
    <t>dealer_05</t>
  </si>
  <si>
    <t>ks_credit_dealer_06</t>
  </si>
  <si>
    <t>第六名担保借款金额（担保到期2026-04-27）</t>
  </si>
  <si>
    <t>期末余额2025-12-31；原表担保到期日为2026-04-27，不是代偿日；当前存续/解除/展期未取得逐笔证据。</t>
  </si>
  <si>
    <t>dealer_06</t>
  </si>
  <si>
    <t>ks_credit_dealer_07</t>
  </si>
  <si>
    <t>第七名担保借款金额（担保到期2026-05-18）</t>
  </si>
  <si>
    <t>期末余额2025-12-31；原表担保到期日为2026-05-18，不是代偿日；当前存续/解除/展期未取得逐笔证据。</t>
  </si>
  <si>
    <t>dealer_07</t>
  </si>
  <si>
    <t>ks_credit_dealer_08</t>
  </si>
  <si>
    <t>第八名担保借款金额（担保到期2026-06-19）</t>
  </si>
  <si>
    <t>期末余额2025-12-31；原表担保到期日为2026-06-19，不是代偿日；当前存续/解除/展期未取得逐笔证据。</t>
  </si>
  <si>
    <t>dealer_08</t>
  </si>
  <si>
    <t>ks_credit_dealer_09</t>
  </si>
  <si>
    <t>第九名担保借款金额（担保到期2026-03-21）</t>
  </si>
  <si>
    <t>期末余额2025-12-31；原表担保到期日为2026-03-21，不是代偿日；当前存续/解除/展期未取得逐笔证据。</t>
  </si>
  <si>
    <t>dealer_09</t>
  </si>
  <si>
    <t>ks_credit_dealer_10</t>
  </si>
  <si>
    <t>第十名担保借款金额（担保到期2026-06-17）</t>
  </si>
  <si>
    <t>期末余额2025-12-31；原表担保到期日为2026-06-17，不是代偿日；当前存续/解除/展期未取得逐笔证据。</t>
  </si>
  <si>
    <t>dealer_10</t>
  </si>
  <si>
    <t>ks_credit_dealer_other</t>
  </si>
  <si>
    <t>其他29家经销商担保借款金额</t>
  </si>
  <si>
    <t>原表未列到期日，留作未知；不得由前十名结果外推。</t>
  </si>
  <si>
    <t>dealer_other</t>
  </si>
  <si>
    <t>ks_credit_guarantee_external_q1</t>
  </si>
  <si>
    <t>三月末集团外经销商实际担保</t>
  </si>
  <si>
    <t>ks_credit_e_guarantee_q1</t>
  </si>
  <si>
    <t>原单位万元，scale=10000；集团内与外分列，实际余额与审批额度分开。</t>
  </si>
  <si>
    <t>guarantee_external_q1</t>
  </si>
  <si>
    <t>ks_credit_guarantee_internal_q1</t>
  </si>
  <si>
    <t>三月末集团内实际担保</t>
  </si>
  <si>
    <t>guarantee_internal_q1</t>
  </si>
  <si>
    <t>ks_credit_guarantee_total_q1</t>
  </si>
  <si>
    <t>三月末实际担保总额</t>
  </si>
  <si>
    <t>guarantee_total_q1</t>
  </si>
  <si>
    <t>ks_credit_guarantee_new_approval</t>
  </si>
  <si>
    <t>新增子公司担保审批额度（协议尚未签署）</t>
  </si>
  <si>
    <t>ks_credit_e_guarantee_approval</t>
  </si>
  <si>
    <t>2026-04-23</t>
  </si>
  <si>
    <t>董事会审批时点2026-04-23，万元；不是已发生担保余额、并表新增本金或已落实可提款融资。</t>
  </si>
  <si>
    <t>guarantee_approved_limit</t>
  </si>
  <si>
    <t>ks_econ_q1_currentliab</t>
  </si>
  <si>
    <t>2026Q1 流动负债合计</t>
  </si>
  <si>
    <t>ks_econ_e_q1</t>
  </si>
  <si>
    <t>中国企业会计准则；原报告列示</t>
  </si>
  <si>
    <t>原件页码见所引证据；不是预测输入假设。</t>
  </si>
  <si>
    <t>ks_econ_q1_pbt</t>
  </si>
  <si>
    <t>2026Q1 利润总额</t>
  </si>
  <si>
    <t>ks_econ_q1_interest_exp</t>
  </si>
  <si>
    <t>2026Q1 利息费用</t>
  </si>
  <si>
    <t>ks_econ_q1_tax_expense</t>
  </si>
  <si>
    <t>2026Q1 所得税费用</t>
  </si>
  <si>
    <t>ks_econ_q1_trading</t>
  </si>
  <si>
    <t>2026Q1 交易性金融资产</t>
  </si>
  <si>
    <t>ks_econ_q1_notes_ar</t>
  </si>
  <si>
    <t>2026Q1 应收票据</t>
  </si>
  <si>
    <t>ks_econ_q1_arfin</t>
  </si>
  <si>
    <t>2026Q1 应收款项融资</t>
  </si>
  <si>
    <t>ks_econ_q1_inventory</t>
  </si>
  <si>
    <t>2026Q1 存货</t>
  </si>
  <si>
    <t>ks_econ_q1_ap</t>
  </si>
  <si>
    <t>2026Q1 应付账款</t>
  </si>
  <si>
    <t>ks_econ_material_direct_material_2024</t>
  </si>
  <si>
    <t>2024年防水材料成本：直接材料</t>
  </si>
  <si>
    <t>ks_econ_e_material</t>
  </si>
  <si>
    <t>ks_econ_material_fuel_2024</t>
  </si>
  <si>
    <t>2024年防水材料成本：燃料动力</t>
  </si>
  <si>
    <t>ks_econ_material_labor_2024</t>
  </si>
  <si>
    <t>2024年防水材料成本：直接人工</t>
  </si>
  <si>
    <t>ks_econ_material_manufacturing_2024</t>
  </si>
  <si>
    <t>2024年防水材料成本：制造费用</t>
  </si>
  <si>
    <t>ks_econ_material_freight_2024</t>
  </si>
  <si>
    <t>2024年防水材料成本：运费</t>
  </si>
  <si>
    <t>ks_econ_material_revenue_2024</t>
  </si>
  <si>
    <t>2024年防水材料收入</t>
  </si>
  <si>
    <t>ks_econ_material_direct_material_2025</t>
  </si>
  <si>
    <t>2025年防水材料成本：直接材料</t>
  </si>
  <si>
    <t>ks_econ_material_fuel_2025</t>
  </si>
  <si>
    <t>2025年防水材料成本：燃料动力</t>
  </si>
  <si>
    <t>ks_econ_material_labor_2025</t>
  </si>
  <si>
    <t>2025年防水材料成本：直接人工</t>
  </si>
  <si>
    <t>ks_econ_material_manufacturing_2025</t>
  </si>
  <si>
    <t>2025年防水材料成本：制造费用</t>
  </si>
  <si>
    <t>ks_econ_material_freight_2025</t>
  </si>
  <si>
    <t>2025年防水材料成本：运费</t>
  </si>
  <si>
    <t>ks_econ_material_revenue_2025</t>
  </si>
  <si>
    <t>2025年防水材料收入</t>
  </si>
  <si>
    <t>ks_econ_cash_interest_2025</t>
  </si>
  <si>
    <t>2025年银行存款利息收现</t>
  </si>
  <si>
    <t>ks_econ_e_cash_tax</t>
  </si>
  <si>
    <t>2025年报原披露；CNY元</t>
  </si>
  <si>
    <t>事实金额不是未来预算；预测规则另列。</t>
  </si>
  <si>
    <t>cash_interest</t>
  </si>
  <si>
    <t>ks_econ_cash_grants_2025</t>
  </si>
  <si>
    <t>2025年补助及个税手续费收现</t>
  </si>
  <si>
    <t>cash_grants</t>
  </si>
  <si>
    <t>ks_econ_cash_guarantee_2025</t>
  </si>
  <si>
    <t>2025年票据保函押金保证金收回</t>
  </si>
  <si>
    <t>cash_guarantee</t>
  </si>
  <si>
    <t>ks_econ_cash_restricted_2025</t>
  </si>
  <si>
    <t>2025年受限资金收回</t>
  </si>
  <si>
    <t>cash_restricted</t>
  </si>
  <si>
    <t>ks_econ_cash_staff_2025</t>
  </si>
  <si>
    <t>2025年员工借款及备用金收回</t>
  </si>
  <si>
    <t>cash_staff</t>
  </si>
  <si>
    <t>ks_econ_cash_other_unknown_2025</t>
  </si>
  <si>
    <t>2025年收到其他经营现金未拆项</t>
  </si>
  <si>
    <t>cash_other_unknown</t>
  </si>
  <si>
    <t>ks_econ_income_tax_payable_2025</t>
  </si>
  <si>
    <t>2025年企业所得税应付余额</t>
  </si>
  <si>
    <t>income_tax_payable</t>
  </si>
  <si>
    <t>ks_econ_q1_other_ar</t>
  </si>
  <si>
    <t>2026Q1 其他应收款</t>
  </si>
  <si>
    <t>2026Q1季报资产负债表PDF6–8；CNY元</t>
  </si>
  <si>
    <t>公开季报未经审计；并未披露所得税应付或其他应收款可回收分项。</t>
  </si>
  <si>
    <t>other_ar</t>
  </si>
  <si>
    <t>ks_econ_q1_taxpay</t>
  </si>
  <si>
    <t>2026Q1 应交税费合计</t>
  </si>
  <si>
    <t>ks_a_reported_current_ratio_2025</t>
  </si>
  <si>
    <t>发行人披露流动比率</t>
  </si>
  <si>
    <t>ks_a_e_bond_metrics</t>
  </si>
  <si>
    <t>2025年报债券章节发行人披露；指标公式未披露，未与研究口径等同</t>
  </si>
  <si>
    <t>原表倍数按原值；比较列保留年报原披露，不自行推定公式或重述调整。</t>
  </si>
  <si>
    <t>reported_current_ratio</t>
  </si>
  <si>
    <t>times</t>
  </si>
  <si>
    <t>ks_a_reported_current_ratio_2024</t>
  </si>
  <si>
    <t>ks_a_reported_liability_ratio_2025</t>
  </si>
  <si>
    <t>发行人披露资产负债率</t>
  </si>
  <si>
    <t>原表百分数按scale=0.01换算，倍数按原值；比较列保留年报原披露，不自行推定公式或重述调整。</t>
  </si>
  <si>
    <t>reported_liability_ratio</t>
  </si>
  <si>
    <t>ks_a_reported_liability_ratio_2024</t>
  </si>
  <si>
    <t>ks_a_reported_quick_ratio_2025</t>
  </si>
  <si>
    <t>发行人披露速动比率</t>
  </si>
  <si>
    <t>reported_quick_ratio</t>
  </si>
  <si>
    <t>ks_a_reported_quick_ratio_2024</t>
  </si>
  <si>
    <t>ks_a_reported_ebitda_debt_ratio_2025</t>
  </si>
  <si>
    <t>发行人披露EBITDA全部债务比</t>
  </si>
  <si>
    <t>reported_ebitda_debt_ratio</t>
  </si>
  <si>
    <t>ks_a_reported_ebitda_debt_ratio_2024</t>
  </si>
  <si>
    <t>ks_a_reported_interest_cover_2025</t>
  </si>
  <si>
    <t>发行人披露利息保障倍数</t>
  </si>
  <si>
    <t>reported_interest_cover</t>
  </si>
  <si>
    <t>ks_a_reported_interest_cover_2024</t>
  </si>
  <si>
    <t>ks_a_reported_cash_interest_cover_2025</t>
  </si>
  <si>
    <t>发行人披露现金利息保障倍数</t>
  </si>
  <si>
    <t>reported_cash_interest_cover</t>
  </si>
  <si>
    <t>ks_a_reported_cash_interest_cover_2024</t>
  </si>
  <si>
    <t>ks_a_reported_ebitda_interest_cover_2025</t>
  </si>
  <si>
    <t>发行人披露EBITDA利息保障倍数</t>
  </si>
  <si>
    <t>reported_ebitda_interest_cover</t>
  </si>
  <si>
    <t>ks_a_reported_ebitda_interest_cover_2024</t>
  </si>
  <si>
    <t>ks_a_reported_loan_repayment_rate_2025</t>
  </si>
  <si>
    <t>发行人披露贷款偿还率</t>
  </si>
  <si>
    <t>reported_loan_repayment_rate</t>
  </si>
  <si>
    <t>ks_a_reported_loan_repayment_rate_2024</t>
  </si>
  <si>
    <t>ks_a_reported_interest_payment_rate_2025</t>
  </si>
  <si>
    <t>发行人披露利息偿付率</t>
  </si>
  <si>
    <t>reported_interest_payment_rate</t>
  </si>
  <si>
    <t>ks_a_reported_interest_payment_rate_2024</t>
  </si>
  <si>
    <t>ks_a_reported_loss_equity_2025</t>
  </si>
  <si>
    <t>发行人披露归母亏损占2025年末净资产比例</t>
  </si>
  <si>
    <t>ks_a_e_bond_repayment_claim</t>
  </si>
  <si>
    <t>2025年报债券章节发行人披露；比例期间及权益范围按原文保留</t>
  </si>
  <si>
    <t>第95页第五项标题为亏损超过上年末净资产10%，正文比例为占2025年末净资产13.49%；分别保留，不替公司改为同一期间。</t>
  </si>
  <si>
    <t>reported_loss_equity</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</si>
  <si>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</si>
  <si>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</si>
  <si>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</si>
  <si>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</si>
  <si>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</si>
  <si>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</si>
  <si>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</si>
  <si>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</si>
  <si>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</si>
  <si>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</si>
  <si>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</si>
  <si>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</si>
  <si>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</si>
  <si>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</si>
  <si>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</si>
  <si>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</si>
  <si>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</si>
  <si>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</si>
  <si>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</si>
  <si>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</si>
  <si>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</si>
  <si>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</si>
  <si>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</si>
  <si>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</si>
  <si>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</si>
  <si>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</si>
  <si>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</si>
  <si>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</si>
  <si>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</si>
  <si>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</si>
  <si>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</si>
  <si>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</si>
  <si>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</si>
  <si>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</si>
  <si>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</si>
  <si>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</si>
  <si>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</si>
  <si>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</si>
  <si>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</si>
  <si>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</si>
  <si>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</si>
  <si>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</si>
  <si>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</si>
  <si>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</si>
  <si>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</si>
  <si>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</si>
  <si>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</si>
  <si>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</si>
  <si>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</si>
  <si>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</si>
  <si>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</si>
  <si>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</si>
  <si>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</si>
  <si>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</si>
  <si>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</si>
  <si>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</si>
  <si>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</si>
  <si>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</si>
  <si>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</si>
  <si>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</si>
  <si>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</si>
  <si>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</si>
  <si>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</si>
  <si>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</si>
  <si>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</si>
  <si>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</si>
  <si>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</si>
  <si>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</si>
  <si>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</si>
  <si>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</si>
  <si>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</si>
  <si>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</si>
  <si>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</si>
  <si>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</si>
  <si>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</si>
  <si>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</si>
  <si>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</si>
  <si>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</si>
  <si>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</si>
  <si>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</si>
  <si>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</si>
  <si>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</si>
  <si>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</si>
  <si>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</si>
  <si>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</si>
  <si>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</si>
  <si>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</si>
  <si>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</si>
  <si>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</si>
  <si>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</si>
  <si>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</si>
  <si>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</si>
  <si>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</si>
  <si>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</si>
  <si>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</si>
  <si>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</si>
  <si>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</si>
  <si>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</si>
  <si>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</si>
  <si>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</si>
  <si>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</si>
  <si>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</si>
  <si>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</si>
  <si>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</si>
  <si>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</si>
  <si>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</si>
  <si>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</si>
  <si>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</si>
  <si>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</si>
  <si>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</si>
  <si>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</si>
  <si>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</si>
  <si>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</si>
  <si>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</si>
  <si>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</si>
  <si>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</si>
  <si>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</si>
  <si>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</si>
  <si>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</si>
  <si>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</si>
  <si>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</si>
  <si>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</si>
  <si>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</si>
  <si>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</si>
  <si>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</si>
  <si>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</si>
  <si>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</si>
  <si>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</si>
  <si>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</si>
  <si>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</si>
  <si>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</si>
  <si>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</si>
  <si>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</si>
  <si>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</si>
  <si>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</si>
  <si>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</si>
  <si>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</si>
  <si>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</si>
  <si>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</si>
  <si>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</si>
  <si>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</si>
  <si>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</si>
  <si>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</si>
  <si>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</si>
  <si>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</si>
  <si>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</si>
  <si>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</si>
  <si>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</si>
  <si>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</si>
  <si>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</si>
  <si>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</si>
  <si>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</si>
  <si>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</si>
  <si>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</si>
  <si>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</si>
  <si>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</si>
  <si>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</si>
  <si>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</si>
  <si>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</si>
  <si>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</si>
  <si>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</si>
  <si>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</si>
  <si>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</si>
  <si>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</si>
  <si>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</si>
  <si>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</si>
  <si>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</si>
  <si>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</si>
  <si>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</si>
  <si>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</si>
  <si>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</si>
  <si>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</si>
  <si>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</si>
  <si>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</si>
  <si>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</si>
  <si>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</si>
  <si>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</si>
  <si>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</si>
  <si>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</si>
  <si>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</si>
  <si>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</si>
  <si>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</si>
  <si>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</si>
  <si>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</si>
  <si>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</si>
  <si>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</si>
  <si>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</si>
  <si>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</si>
  <si>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</si>
  <si>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</si>
  <si>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</si>
  <si>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</si>
  <si>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</si>
  <si>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</si>
  <si>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</si>
  <si>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</si>
  <si>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</si>
  <si>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</si>
  <si>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</si>
  <si>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</si>
  <si>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</si>
  <si>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</si>
  <si>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</si>
  <si>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</si>
  <si>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</si>
  <si>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</si>
  <si>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</si>
  <si>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</si>
  <si>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</si>
  <si>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</si>
  <si>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</si>
  <si>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</si>
  <si>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</si>
  <si>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</si>
  <si>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</si>
  <si>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</si>
  <si>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</si>
  <si>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</si>
  <si>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</si>
  <si>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</si>
  <si>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</si>
  <si>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</si>
  <si>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</si>
  <si>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</si>
  <si>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</si>
  <si>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</si>
  <si>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</si>
  <si>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</si>
  <si>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</si>
  <si>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</si>
  <si>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</si>
  <si>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</si>
  <si>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</si>
  <si>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</si>
  <si>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</si>
  <si>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</si>
  <si>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</si>
  <si>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</si>
  <si>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</si>
  <si>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</si>
  <si>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</si>
  <si>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</si>
  <si>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</si>
  <si>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</si>
  <si>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</si>
  <si>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</si>
  <si>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</si>
  <si>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</si>
  <si>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</si>
  <si>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</si>
  <si>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</si>
  <si>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</si>
  <si>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</si>
  <si>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</si>
  <si>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</si>
  <si>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</si>
  <si>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</si>
  <si>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</si>
  <si>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</si>
  <si>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</si>
  <si>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</si>
  <si>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</si>
  <si>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</si>
  <si>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</si>
  <si>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列报DTA（抵销后）/总权益</t>
  </si>
  <si>
    <t>资产负债表抵销后列报递延所得税资产除以合并总权益</t>
  </si>
  <si>
    <t>分子为列报DTA，未再减列报DTL；不同于DTA-DTL净税资产占权益，亦非流动性指标。</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</si>
  <si>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</si>
  <si>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</si>
  <si>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</si>
  <si>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</si>
  <si>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</si>
  <si>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</si>
  <si>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</si>
  <si>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</si>
  <si>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</si>
  <si>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</si>
  <si>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</si>
  <si>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</si>
  <si>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</si>
  <si>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</si>
  <si>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</si>
  <si>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</si>
  <si>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</si>
  <si>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原2023会计EBITDA</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</si>
  <si>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</si>
  <si>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</si>
  <si>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</si>
  <si>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</si>
  <si>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</si>
  <si>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</si>
  <si>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</si>
  <si>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</si>
  <si>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</si>
  <si>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</si>
  <si>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</si>
  <si>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</si>
  <si>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</si>
  <si>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</si>
  <si>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</si>
  <si>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</si>
  <si>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</si>
  <si>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</si>
  <si>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</si>
  <si>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</si>
  <si>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</si>
  <si>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</si>
  <si>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</si>
  <si>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</si>
  <si>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</si>
  <si>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</si>
  <si>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</si>
  <si>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</si>
  <si>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</si>
  <si>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</si>
  <si>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</si>
  <si>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</si>
  <si>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</si>
  <si>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</si>
  <si>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</si>
  <si>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</si>
  <si>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</si>
  <si>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</si>
  <si>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</si>
  <si>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</si>
  <si>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</si>
  <si>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</si>
  <si>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</si>
  <si>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</si>
  <si>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</si>
  <si>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</si>
  <si>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</si>
  <si>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</si>
  <si>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</si>
  <si>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</si>
  <si>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</si>
  <si>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</si>
  <si>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</si>
  <si>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</si>
  <si>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</si>
  <si>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</si>
  <si>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</si>
  <si>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</si>
  <si>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</si>
  <si>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</si>
  <si>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</si>
  <si>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</si>
  <si>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</si>
  <si>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</si>
  <si>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</si>
  <si>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</si>
  <si>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</si>
  <si>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</si>
  <si>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</si>
  <si>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</si>
  <si>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</si>
  <si>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</si>
  <si>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</si>
  <si>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</si>
  <si>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</si>
  <si>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</si>
  <si>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</si>
  <si>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</si>
  <si>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</si>
  <si>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</si>
  <si>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</si>
  <si>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</si>
  <si>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</si>
  <si>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</si>
  <si>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</si>
  <si>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</si>
  <si>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</si>
  <si>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</si>
  <si>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</si>
  <si>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</si>
  <si>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</si>
  <si>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</si>
  <si>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</si>
  <si>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</si>
  <si>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</si>
  <si>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</si>
  <si>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</si>
  <si>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</si>
  <si>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</si>
  <si>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</si>
  <si>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</si>
  <si>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</si>
  <si>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</si>
  <si>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</si>
  <si>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</si>
  <si>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</si>
  <si>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</si>
  <si>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</si>
  <si>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</si>
  <si>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</si>
  <si>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</si>
  <si>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</si>
  <si>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</si>
  <si>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</si>
  <si>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</si>
  <si>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</si>
  <si>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</si>
  <si>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</si>
  <si>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</si>
  <si>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</si>
  <si>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</si>
  <si>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</si>
  <si>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</si>
  <si>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</si>
  <si>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</si>
  <si>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</si>
  <si>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</si>
  <si>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</si>
  <si>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</si>
  <si>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</si>
  <si>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</si>
  <si>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</si>
  <si>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</si>
  <si>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</si>
  <si>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</si>
  <si>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</si>
  <si>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</si>
  <si>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</si>
  <si>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</si>
  <si>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</si>
  <si>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</si>
  <si>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</si>
  <si>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</si>
  <si>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</si>
  <si>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</si>
  <si>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</si>
  <si>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</si>
  <si>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</si>
  <si>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</si>
  <si>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</si>
  <si>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</si>
  <si>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</si>
  <si>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</si>
  <si>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</si>
  <si>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</si>
  <si>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</si>
  <si>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</si>
  <si>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</si>
  <si>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</si>
  <si>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</si>
  <si>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</si>
  <si>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</si>
  <si>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</si>
  <si>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</si>
  <si>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</si>
  <si>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</si>
  <si>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</si>
  <si>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</si>
  <si>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</si>
  <si>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</si>
  <si>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</si>
  <si>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</si>
  <si>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</si>
  <si>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</si>
  <si>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</si>
  <si>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</si>
  <si>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</si>
  <si>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</si>
  <si>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</si>
  <si>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</si>
  <si>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</si>
  <si>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</si>
  <si>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</si>
  <si>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</si>
  <si>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</si>
  <si>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</si>
  <si>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</si>
  <si>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</si>
  <si>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</si>
  <si>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</si>
  <si>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</si>
  <si>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</si>
  <si>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</si>
  <si>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</si>
  <si>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</si>
  <si>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</si>
  <si>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</si>
  <si>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</si>
  <si>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</si>
  <si>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</si>
  <si>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</si>
  <si>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</si>
  <si>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</si>
  <si>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</si>
  <si>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</si>
  <si>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</si>
  <si>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</si>
  <si>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</si>
  <si>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</si>
  <si>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</si>
  <si>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</si>
  <si>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</si>
  <si>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</si>
  <si>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</si>
  <si>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</si>
  <si>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</si>
  <si>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</si>
  <si>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</si>
  <si>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</si>
  <si>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</si>
  <si>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</si>
  <si>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</si>
  <si>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</si>
  <si>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</si>
  <si>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</si>
  <si>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</si>
  <si>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</si>
  <si>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</si>
  <si>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</si>
  <si>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</si>
  <si>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ks_tax_netasset_2024</t>
  </si>
  <si>
    <t>DTA减DTL净税资产</t>
  </si>
  <si>
    <t>同日列报DTA减列报DTL</t>
  </si>
  <si>
    <t>仅为集团分析净额，不改变各纳税主体抵销条件，也不是可用现金。</t>
  </si>
  <si>
    <t>ks_tax_netasset_2025</t>
  </si>
  <si>
    <t>ks_tax_netasset_increase</t>
  </si>
  <si>
    <t>DTA减DTL净税资产增加</t>
  </si>
  <si>
    <t>期末净税资产减同控重述期初净税资产</t>
  </si>
  <si>
    <t>余额增量包括损益及直接权益等可能来源，不能自动当损益收益。</t>
  </si>
  <si>
    <t>ks_tax_deferred_benefit</t>
  </si>
  <si>
    <t>损益递延所得税收益</t>
  </si>
  <si>
    <t>递延所得税费用取相反数展示本年收益</t>
  </si>
  <si>
    <t>非现金税项；来源含DTA与DTL变动，不能全部归于亏损DTA。</t>
  </si>
  <si>
    <t>ks_tax_balance_pl_gap</t>
  </si>
  <si>
    <t>损益递延税收益与净税资产增量之差</t>
  </si>
  <si>
    <t>损益递延税收益减净税资产增加</t>
  </si>
  <si>
    <t>待与直接权益、范围及汇兑等税项流量对应。</t>
  </si>
  <si>
    <t>ks_tax_candidate_closing</t>
  </si>
  <si>
    <t>扣期末可转债权益DTL的候选净税资产桥</t>
  </si>
  <si>
    <t>期初净税资产加损益税收益，减期末可转债权益相关DTL余额作为候选解释金额</t>
  </si>
  <si>
    <t>期末DTL是余额，不是已证实当期权益流量；期初空白未填零。此运算只检验候选解释后的差额，不能关闭完整桥。</t>
  </si>
  <si>
    <t>ks_tax_candidate_residual</t>
  </si>
  <si>
    <t>候选权益税桥未解释差额</t>
  </si>
  <si>
    <t>实际期末净税资产减候选桥期末金额</t>
  </si>
  <si>
    <t>保留精确差额；不擅定为舍入、转股、汇兑或错报，其微小量级本身不构成重大信用风险。</t>
  </si>
  <si>
    <t>ks_tax_equitytool_decrease</t>
  </si>
  <si>
    <t>其他权益工具本期减少</t>
  </si>
  <si>
    <t>期初其他权益工具减期末其他权益工具</t>
  </si>
  <si>
    <t>对应附注41本期减少；含转股等可能成分，不能全额认作权益税项。</t>
  </si>
  <si>
    <t>ks_tax_gross_dta_increase</t>
  </si>
  <si>
    <t>抵销前DTA增加</t>
  </si>
  <si>
    <t>期末抵销前DTA减期初抵销前DTA</t>
  </si>
  <si>
    <t>与列报DTA增量不同，互抵变化不产生集团净税资产变化。</t>
  </si>
  <si>
    <t>ks_tax_impairment_increase</t>
  </si>
  <si>
    <t>减值准备DTA增加</t>
  </si>
  <si>
    <t>期末减值准备DTA减期初</t>
  </si>
  <si>
    <t>为余额类别变化，不冒充该类当期损益税收益。</t>
  </si>
  <si>
    <t>ks_tax_loss_increase</t>
  </si>
  <si>
    <t>亏损DTA增加</t>
  </si>
  <si>
    <t>期末亏损DTA减期初</t>
  </si>
  <si>
    <t>依赖各纳税主体可利用的未来应税利润及抵扣期限。</t>
  </si>
  <si>
    <t>ks_tax_key_increase</t>
  </si>
  <si>
    <t>减值与亏损DTA合计增加</t>
  </si>
  <si>
    <t>两类DTA余额增加之和</t>
  </si>
  <si>
    <t>不能据增量认定已经现金兑现。</t>
  </si>
  <si>
    <t>ks_tax_other_increase</t>
  </si>
  <si>
    <t>其余类别DTA净变化</t>
  </si>
  <si>
    <t>抵销前DTA总增量扣已列两类增量</t>
  </si>
  <si>
    <t>确定性的其余类别合计，不是为平衡余额—损益桥而虚构的其他流量。</t>
  </si>
  <si>
    <t>ks_tax_key_dta</t>
  </si>
  <si>
    <t>减值与亏损DTA合计</t>
  </si>
  <si>
    <t>期末两类DTA加总</t>
  </si>
  <si>
    <t>关注资产减值税前扣除条件及亏损利用能力。</t>
  </si>
  <si>
    <t>ks_tax_key_share</t>
  </si>
  <si>
    <t>减值与亏损DTA/抵销前DTA</t>
  </si>
  <si>
    <t>同日减值及亏损DTA占抵销前总DTA</t>
  </si>
  <si>
    <t>不将两类毛额与抵销后DTA作分母混比。</t>
  </si>
  <si>
    <t>ks_tax_netasset_equity</t>
  </si>
  <si>
    <t>DTA减DTL净税资产/总权益</t>
  </si>
  <si>
    <t>同日集团净税资产除合并总权益</t>
  </si>
  <si>
    <t>与列报DTA占总权益不同；不能无证据直接转化为评级资本扣减。</t>
  </si>
  <si>
    <t>ks_tax_loss_equity</t>
  </si>
  <si>
    <t>亏损DTA/总权益</t>
  </si>
  <si>
    <t>已确认亏损DTA占合并总权益</t>
  </si>
  <si>
    <t>表明该类可实现性判断涉及的资本规模；不是认定应全额减记。</t>
  </si>
  <si>
    <t>ks_tax_income_without_deferred</t>
  </si>
  <si>
    <t>剔除递延税收益后的合并净利润展示</t>
  </si>
  <si>
    <t>报告合并净利润加递延税费用，保留当期所得税费用</t>
  </si>
  <si>
    <t>仅展示非现金税项对亏损的缓冲，不是审定利润更正或现金税。</t>
  </si>
  <si>
    <t>ks_tax_cf_adjustment</t>
  </si>
  <si>
    <t>现金流补充资料递延税调整合计</t>
  </si>
  <si>
    <t>补充资料两项递延税调整按原符号相加</t>
  </si>
  <si>
    <t>不直接等于损益递延税费用，需核直接权益及其他非现金归属。</t>
  </si>
  <si>
    <t>ks_tax_cf_pl_gap</t>
  </si>
  <si>
    <t>现金流递延税调整与损益税费差</t>
  </si>
  <si>
    <t>补充资料税项调整合计减损益递延税费用</t>
  </si>
  <si>
    <t>未披露其他项税拆分，不能倒填或据此直接改动CFO。</t>
  </si>
  <si>
    <t>ks_earn_gross_2024</t>
  </si>
  <si>
    <t>已列非经常损益税及少数调整前合计</t>
  </si>
  <si>
    <t>仅加总原表该年度非空项目，原表空白不补零；同控行按其原列示净损益口径保留。</t>
  </si>
  <si>
    <t>损益分类与现金、债务及机构口径分别核对，不直接映射评级。</t>
  </si>
  <si>
    <t>ks_earn_net_2024</t>
  </si>
  <si>
    <t>非经常损益税与少数股东桥</t>
  </si>
  <si>
    <t>已列项目合计减所得税影响、减少数股东税后影响；负少数影响减去负数。</t>
  </si>
  <si>
    <t>ks_earn_deducted_2024</t>
  </si>
  <si>
    <t>归母净利至公司扣非净利桥</t>
  </si>
  <si>
    <t>归母净利润减公司披露归母非经常损益，不用合并净利润混算。</t>
  </si>
  <si>
    <t>ks_earn_two_gains_2024</t>
  </si>
  <si>
    <t>金融资产损益与单项应收转回合计</t>
  </si>
  <si>
    <t>两个已识别损益项目的税前金额合计；不等于归母非经常净额。</t>
  </si>
  <si>
    <t>ks_earn_ebitda_sensitivity_2024</t>
  </si>
  <si>
    <t>仅扣两项收益的EBITDA敏感性</t>
  </si>
  <si>
    <t>原会计EBITDA仅减金融资产损益及单项应收转回；两期对称演示，不是完整正常化或官方评级指标。</t>
  </si>
  <si>
    <t>ks_earn_pbt_sensitivity_2024</t>
  </si>
  <si>
    <t>仅扣两项收益的税前利润敏感性</t>
  </si>
  <si>
    <t>合并利润总额仅减两项税前收益，不减税后归母非经常净额。</t>
  </si>
  <si>
    <t>ks_earn_gross_2025</t>
  </si>
  <si>
    <t>ks_earn_net_2025</t>
  </si>
  <si>
    <t>ks_earn_deducted_2025</t>
  </si>
  <si>
    <t>ks_earn_two_gains_2025</t>
  </si>
  <si>
    <t>ks_earn_ebitda_sensitivity_2025</t>
  </si>
  <si>
    <t>ks_earn_pbt_sensitivity_2025</t>
  </si>
  <si>
    <t>ks_earn_parent_decline</t>
  </si>
  <si>
    <t>归母利润减少额</t>
  </si>
  <si>
    <t>本期减上期再取反，表达亏损扩大金额，不算负基数增长率。</t>
  </si>
  <si>
    <t>ks_earn_nonrec_decline</t>
  </si>
  <si>
    <t>归母非经常支持减少额</t>
  </si>
  <si>
    <t>同一披露范围的归母非经常净额减少。</t>
  </si>
  <si>
    <t>ks_earn_deducted_decline</t>
  </si>
  <si>
    <t>扣非归母利润减少额</t>
  </si>
  <si>
    <t>两期公司披露扣非归母金额之差取反，不推断全部为现金变化。</t>
  </si>
  <si>
    <t>ks_earn_decline_bridge</t>
  </si>
  <si>
    <t>归母利润变化分解合计</t>
  </si>
  <si>
    <t>非经常支持减少与扣非恶化加总，核对归母利润下降。</t>
  </si>
  <si>
    <t>ks_earn_nonrec_contribution</t>
  </si>
  <si>
    <t>非经常支持减少占归母利润下降</t>
  </si>
  <si>
    <t>两项均为同范围税后归母减少额；是损益变化分解，不是现金贡献。</t>
  </si>
  <si>
    <t>ks_earn_two_gains_share_2024</t>
  </si>
  <si>
    <t>两项税前收益占2024会计EBITDA</t>
  </si>
  <si>
    <t>度量历史EBITDA对两项收益的依赖；不等同其现金贡献。</t>
  </si>
  <si>
    <t>ks_credit_facility_gap</t>
  </si>
  <si>
    <t>两来源未用额度名义差额（口径未调齐）</t>
  </si>
  <si>
    <t>仅计算47亿元减10.8亿元的披露数差距，以确定核查重要性；不是新增可提款金额或已完成调整桥。</t>
  </si>
  <si>
    <t>仅为已披露金额的复算；未证明合同可提款、责任解除或现金已付，不直接映射评级。</t>
  </si>
  <si>
    <t>ks_credit_dealer_top10</t>
  </si>
  <si>
    <t>年末前十笔经销担保合计</t>
  </si>
  <si>
    <t>逐笔加总年末前十名担保借款金额，保留原表匿名标识和日期。</t>
  </si>
  <si>
    <t>ks_credit_dealer_all</t>
  </si>
  <si>
    <t>年末39户经销担保明细合计</t>
  </si>
  <si>
    <t>前十笔与其他29家合计，核对原表总额；余29家无逐笔到期资料。</t>
  </si>
  <si>
    <t>ks_credit_dealer_june</t>
  </si>
  <si>
    <t>原表七笔六月担保到期金额</t>
  </si>
  <si>
    <t>仅按年报原表担保到期日选取七笔金额；该日期集中不等于六月确定现金付款，也不证明截至研究日仍存续。</t>
  </si>
  <si>
    <t>ks_credit_dealer_top10_share</t>
  </si>
  <si>
    <t>前十笔占年末经销担保</t>
  </si>
  <si>
    <t>按年末存量计算核查集中度，不是统计抽样覆盖结论。</t>
  </si>
  <si>
    <t>ks_credit_guarantee_q1_sum</t>
  </si>
  <si>
    <t>三月末内外实际担保加总</t>
  </si>
  <si>
    <t>内外分组勾稽公告实际总额；不将集团内担保再次计入合并本金。</t>
  </si>
  <si>
    <t>ks_credit_guarantee_external_change</t>
  </si>
  <si>
    <t>经销担保披露余额季度减少额</t>
  </si>
  <si>
    <t>两时点披露余额之差取反；不等同逐户解除金额，新增/续期/偿还/解除/代偿滚动仍缺。</t>
  </si>
  <si>
    <t>ks_credit_guarantee_external_decline</t>
  </si>
  <si>
    <t>经销担保披露余额季度降幅</t>
  </si>
  <si>
    <t>按两时点已披露余额计算减少比例，未据此认定任何特定客户已解除；原公告万元四舍五入。</t>
  </si>
  <si>
    <t>ks_a_ebitda_liab_comparison_2024</t>
  </si>
  <si>
    <t>EBITDA/总负债一致性对照</t>
  </si>
  <si>
    <t>既有研究EBITDA/期末总负债；仅比较结果与发行人EBITDA全部债务比的舍入一致性，不认定公司以总负债定义全部债务。</t>
  </si>
  <si>
    <t>负分子显示会计盈利未覆盖该分母，不包装为正常覆盖。负EBITDA下扩大分母使比率趋近零，不代表偿债改善；不同定义的负比率不据数值大小排序。舍入匹配不能证明发行人公式，不直接改变既有评级因素。</t>
  </si>
  <si>
    <t>ks_a_ebitda_debt_comparison_2024</t>
  </si>
  <si>
    <t>EBITDA/研究广义利息债</t>
  </si>
  <si>
    <t>既有研究EBITDA/本底稿广义利息债；分母包括全部应付票据，具体组成沿用债务调整桥，不与发行人未说明公式的全部债务等同。</t>
  </si>
  <si>
    <t>ks_a_ebitda_expinterest_comparison_2024</t>
  </si>
  <si>
    <t>EBITDA/费用化利息一致性对照</t>
  </si>
  <si>
    <t>既有研究EBITDA/费用化利息；与公司保障倍数接近只说明该候选分母可解释舍入结果。研究全部利息保障另含资本化利息，未被替换。</t>
  </si>
  <si>
    <t>ks_a_ebit_expinterest_comparison_2024</t>
  </si>
  <si>
    <t>EBIT/费用化利息一致性对照</t>
  </si>
  <si>
    <t>税前利润加费用化利息后除以费用化利息；只作公司利息保障倍数的算术一致性对照，不据匹配确认公司公式。</t>
  </si>
  <si>
    <t>ks_a_ebitda_liab_comparison_2025</t>
  </si>
  <si>
    <t>ks_a_ebitda_debt_comparison_2025</t>
  </si>
  <si>
    <t>ks_a_ebitda_expinterest_comparison_2025</t>
  </si>
  <si>
    <t>ks_a_ebit_expinterest_comparison_2025</t>
  </si>
  <si>
    <t>ks_a_loss_closing_parent_comparison</t>
  </si>
  <si>
    <t>本期归母亏损金额/期末归母权益</t>
  </si>
  <si>
    <t>将本期已披露归母净亏损取负后除以期末归母权益；期初对照的rollforward仅界定期初余额与本期流量的运算窗口，不将期初值改为期末余额。</t>
  </si>
  <si>
    <t>用于区分第95页标题的上年末与正文的本年末净资产口径，四种比较不互换；不从原文口径差异直接推定错报或评级调整。</t>
  </si>
  <si>
    <t>ks_a_loss_closing_total_comparison</t>
  </si>
  <si>
    <t>本期归母亏损金额/期末总权益</t>
  </si>
  <si>
    <t>将本期已披露归母净亏损取负后除以期末总权益；期初对照的rollforward仅界定期初余额与本期流量的运算窗口，不将期初值改为期末余额。</t>
  </si>
  <si>
    <t>ks_a_loss_opening_parent_comparison</t>
  </si>
  <si>
    <t>本期归母亏损金额/期初归母权益</t>
  </si>
  <si>
    <t>将本期已披露归母净亏损取负后除以期初归母权益；期初对照的rollforward仅界定期初余额与本期流量的运算窗口，不将期初值改为期末余额。</t>
  </si>
  <si>
    <t>ks_a_loss_opening_total_comparison</t>
  </si>
  <si>
    <t>本期归母亏损金额/期初总权益</t>
  </si>
  <si>
    <t>将本期已披露归母净亏损取负后除以期初总权益；期初对照的rollforward仅界定期初余额与本期流量的运算窗口，不将期初值改为期末余额。</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</si>
  <si>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</si>
  <si>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</si>
  <si>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</si>
  <si>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</si>
  <si>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</si>
  <si>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</si>
  <si>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</si>
  <si>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</si>
  <si>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</si>
  <si>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</si>
  <si>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</si>
  <si>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</si>
  <si>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</si>
  <si>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</si>
  <si>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</si>
  <si>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</si>
  <si>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</si>
  <si>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</si>
  <si>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</si>
  <si>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</si>
  <si>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</si>
  <si>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</si>
  <si>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</si>
  <si>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</si>
  <si>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</si>
  <si>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</si>
  <si>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</si>
  <si>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</si>
  <si>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</si>
  <si>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</si>
  <si>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</si>
  <si>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</si>
  <si>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</si>
  <si>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</si>
  <si>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</si>
  <si>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</si>
  <si>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</si>
  <si>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</si>
  <si>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</si>
  <si>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</si>
  <si>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</si>
  <si>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</si>
  <si>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</si>
  <si>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</si>
  <si>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</si>
  <si>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</si>
  <si>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</si>
  <si>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</si>
  <si>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</si>
  <si>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</si>
  <si>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</si>
  <si>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</si>
  <si>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</si>
  <si>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</si>
  <si>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</si>
  <si>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</si>
  <si>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</si>
  <si>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</si>
  <si>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</si>
  <si>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</si>
  <si>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</si>
  <si>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</si>
  <si>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</si>
  <si>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</si>
  <si>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</si>
  <si>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</si>
  <si>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</si>
  <si>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</si>
  <si>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</si>
  <si>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</si>
  <si>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</si>
  <si>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</si>
  <si>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</si>
  <si>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</si>
  <si>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</si>
  <si>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</si>
  <si>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</si>
  <si>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</si>
  <si>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</si>
  <si>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</si>
  <si>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</si>
  <si>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</si>
  <si>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</si>
  <si>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</si>
  <si>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</si>
  <si>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</si>
  <si>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</si>
  <si>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</si>
  <si>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</si>
  <si>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</si>
  <si>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</si>
  <si>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</si>
  <si>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</si>
  <si>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</si>
  <si>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</si>
  <si>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</si>
  <si>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</si>
  <si>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</si>
  <si>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</si>
  <si>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</si>
  <si>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</si>
  <si>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</si>
  <si>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</si>
  <si>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</si>
  <si>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</si>
  <si>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</si>
  <si>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</si>
  <si>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</si>
  <si>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</si>
  <si>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</si>
  <si>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</si>
  <si>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</si>
  <si>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</si>
  <si>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</si>
  <si>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</si>
  <si>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</si>
  <si>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</si>
  <si>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</si>
  <si>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</si>
  <si>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</si>
  <si>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</si>
  <si>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</si>
  <si>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</si>
  <si>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</si>
  <si>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</si>
  <si>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</si>
  <si>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</si>
  <si>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</si>
  <si>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</si>
  <si>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</si>
  <si>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</si>
  <si>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</si>
  <si>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</si>
  <si>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</si>
  <si>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</si>
  <si>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</si>
  <si>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</si>
  <si>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</si>
  <si>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</si>
  <si>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</si>
  <si>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</si>
  <si>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</si>
  <si>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</si>
  <si>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</si>
  <si>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</si>
  <si>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</si>
  <si>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</si>
  <si>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</si>
  <si>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</si>
  <si>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</si>
  <si>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</si>
  <si>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</si>
  <si>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</si>
  <si>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</si>
  <si>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</si>
  <si>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</si>
  <si>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</si>
  <si>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</si>
  <si>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</si>
  <si>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</si>
  <si>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</si>
  <si>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=(('Facts'!F411*1)+('Facts'!F577*1))*1</t>
  </si>
  <si>
    <t>=(('Facts'!F576*1)+('Facts'!F418*1)+('Facts'!F578*1)+('Facts'!F579*-1)+('Facts'!F580*1))*1</t>
  </si>
  <si>
    <t>=(('Facts'!F511*1)+('Facts'!F512*1))*1</t>
  </si>
  <si>
    <t>=(('Facts'!F526-'Facts'!F527))*1</t>
  </si>
  <si>
    <t>=(('Facts'!F521*1)+('Facts'!F522*1))*1</t>
  </si>
  <si>
    <t>=(('Facts'!F528*1)+('Facts'!F533*1)+('Facts'!F534*1)+('Facts'!F535*1)+('Facts'!F536*1))*1</t>
  </si>
  <si>
    <t>=(('Facts'!F537*1)+('Facts'!F538*1)+('Facts'!F539*1)+('Facts'!F540*1))*1</t>
  </si>
  <si>
    <t>=IF('Facts'!F510&lt;=0,NA(),(('Facts'!F511/'Facts'!F510))*1)</t>
  </si>
  <si>
    <t>=IF('Facts'!F526&lt;=0,NA(),(('Calculations'!D166/'Facts'!F526))*1)</t>
  </si>
  <si>
    <t>=IF('Calculations'!D167&lt;=0,NA(),(('Facts'!F537/'Calculations'!D167))*1)</t>
  </si>
  <si>
    <t>=(('Facts'!F550*1)+('Facts'!F551*1))*1</t>
  </si>
  <si>
    <t>=(('Facts'!F568*1)+('Facts'!F569*1)+('Facts'!F570*1)+('Facts'!F571*1))*1</t>
  </si>
  <si>
    <t>=(('Facts'!F228*1)+('Facts'!F572*1))*1</t>
  </si>
  <si>
    <t>=(('Facts'!F562-'Facts'!F563))*1</t>
  </si>
  <si>
    <t>=IF('Facts'!F562&lt;=0,NA(),(('Calculations'!D176/'Facts'!F562))*1)</t>
  </si>
  <si>
    <t>=IF('Facts'!F549&lt;=0,NA(),(('Facts'!F550/'Facts'!F549))*1)</t>
  </si>
  <si>
    <t>=(('Facts'!F568-'Facts'!F573))*1</t>
  </si>
  <si>
    <t>=(('Facts'!F508-'Facts'!F581))*1</t>
  </si>
  <si>
    <t>=(('Facts'!F582-'Facts'!F583))*1</t>
  </si>
  <si>
    <t>=(('Facts'!F584-'Facts'!F585))*1</t>
  </si>
  <si>
    <t>=(('Facts'!F235*1)+('Facts'!F233*1)+('Facts'!F237*1))*1</t>
  </si>
  <si>
    <t>=(('Facts'!F586*1)+('Facts'!F487*1))*1</t>
  </si>
  <si>
    <t>=(('Facts'!F587*1)+('Facts'!F487*1))*1</t>
  </si>
  <si>
    <t>=(AVERAGE('Facts'!F53,'Facts'!F508))*1</t>
  </si>
  <si>
    <t>=IF('Calculations'!D186&lt;=0,NA(),(('Facts'!F112/'Calculations'!D186))*1)</t>
  </si>
  <si>
    <t>=IF('Calculations'!D186&lt;=0,NA(),(('Calculations'!D106/'Calculations'!D186))*1)</t>
  </si>
  <si>
    <t>=(('Facts'!F112*1)+('Facts'!F114*-1)+('Facts'!F116*-1))*1</t>
  </si>
  <si>
    <t>=IF('Facts'!F112&lt;=0,NA(),(('Calculations'!D189/'Facts'!F112))*1)</t>
  </si>
  <si>
    <t>=(('Facts'!F3*1)+('Facts'!F5*1)+('Facts'!F7*1)+('Facts'!F589*1))*1</t>
  </si>
  <si>
    <t>=(('Calculations'!D191*1)+('Facts'!F231*-1)+('Facts'!F595*-1))*1</t>
  </si>
  <si>
    <t>=IF('Calculations'!D109&lt;=0,NA(),(('Calculations'!D192/'Calculations'!D109))*1)</t>
  </si>
  <si>
    <t>=(('Calculations'!D192-'Facts'!F597))*1</t>
  </si>
  <si>
    <t>=IF('Calculations'!D109&lt;=0,NA(),(('Calculations'!D194/'Calculations'!D109))*1)</t>
  </si>
  <si>
    <t>=IF('Facts'!F73&lt;=0,NA(),(('Facts'!F164/'Facts'!F73))*1)</t>
  </si>
  <si>
    <t>=(AVERAGE('Facts'!F9,'Facts'!F547))*1</t>
  </si>
  <si>
    <t>=IF('Facts'!F112&lt;=0,NA(),(('Calculations'!D197/'Facts'!F112))*360)</t>
  </si>
  <si>
    <t>=(AVERAGE('Facts'!F17,'Facts'!F598))*1</t>
  </si>
  <si>
    <t>=IF('Facts'!F114&lt;=0,NA(),(('Calculations'!D199/'Facts'!F114))*360)</t>
  </si>
  <si>
    <t>=(AVERAGE('Facts'!F59,'Facts'!F599))*1</t>
  </si>
  <si>
    <t>=IF('Facts'!F114&lt;=0,NA(),(('Calculations'!D201/'Facts'!F114))*360)</t>
  </si>
  <si>
    <t>=(('Calculations'!D198*1)+('Calculations'!D200*1)+('Calculations'!D202*-1))*1</t>
  </si>
  <si>
    <t>=(AVERAGE('Facts'!F52,'Facts'!F53))*1</t>
  </si>
  <si>
    <t>=IF('Calculations'!D204&lt;=0,NA(),(('Facts'!F111/'Calculations'!D204))*1)</t>
  </si>
  <si>
    <t>=IF('Calculations'!D204&lt;=0,NA(),(('Calculations'!D38/'Calculations'!D204))*1)</t>
  </si>
  <si>
    <t>=(('Facts'!F111*1)+('Facts'!F113*-1)+('Facts'!F115*-1))*1</t>
  </si>
  <si>
    <t>=IF('Facts'!F111&lt;=0,NA(),(('Calculations'!D207/'Facts'!F111))*1)</t>
  </si>
  <si>
    <t>=(('Facts'!F2*1)+('Facts'!F4*1)+('Facts'!F6*1)+('Facts'!F588*1))*1</t>
  </si>
  <si>
    <t>=(('Calculations'!D209*1)+('Facts'!F230*-1)+('Facts'!F594*-1))*1</t>
  </si>
  <si>
    <t>=IF('Calculations'!D41&lt;=0,NA(),(('Calculations'!D210/'Calculations'!D41))*1)</t>
  </si>
  <si>
    <t>=(('Calculations'!D210-'Facts'!F596))*1</t>
  </si>
  <si>
    <t>=IF('Calculations'!D41&lt;=0,NA(),(('Calculations'!D212/'Calculations'!D41))*1)</t>
  </si>
  <si>
    <t>=IF('Facts'!F72&lt;=0,NA(),(('Facts'!F163/'Facts'!F72))*1)</t>
  </si>
  <si>
    <t>=(AVERAGE('Facts'!F8,'Facts'!F9))*1</t>
  </si>
  <si>
    <t>=IF('Facts'!F111&lt;=0,NA(),(('Calculations'!D215/'Facts'!F111))*360)</t>
  </si>
  <si>
    <t>=(AVERAGE('Facts'!F16,'Facts'!F17))*1</t>
  </si>
  <si>
    <t>=IF('Facts'!F113&lt;=0,NA(),(('Calculations'!D217/'Facts'!F113))*360)</t>
  </si>
  <si>
    <t>=(AVERAGE('Facts'!F58,'Facts'!F59))*1</t>
  </si>
  <si>
    <t>=IF('Facts'!F113&lt;=0,NA(),(('Calculations'!D219/'Facts'!F113))*360)</t>
  </si>
  <si>
    <t>=(('Calculations'!D216*1)+('Calculations'!D218*1)+('Calculations'!D220*-1))*1</t>
  </si>
  <si>
    <t>=(AVERAGE('Facts'!F264,'Facts'!F265))*1</t>
  </si>
  <si>
    <t>=IF('Facts'!F111&lt;=0,NA(),(('Calculations'!D222/'Facts'!F111))*360)</t>
  </si>
  <si>
    <t>=(('Calculations'!D223*1)+('Calculations'!D218*1)+('Calculations'!D220*-1))*1</t>
  </si>
  <si>
    <t>=(('Facts'!F544*1)+('Facts'!F602*1)+('Facts'!F603*1))*1</t>
  </si>
  <si>
    <t>=(('Facts'!F504*1)+('Facts'!F600*-1)+('Facts'!F601*-1))*1</t>
  </si>
  <si>
    <t>=IF('Facts'!F504&lt;=0,NA(),(('Calculations'!D226/'Facts'!F504))*1)</t>
  </si>
  <si>
    <t>=(('Facts'!F526*1)+('Facts'!F527*-1)+('Facts'!F604*-1))*1</t>
  </si>
  <si>
    <t>=IF('Facts'!F526&lt;=0,NA(),(('Calculations'!D228/'Facts'!F526))*1)</t>
  </si>
  <si>
    <t>=(('Facts'!F581*1)+('Facts'!F162*1)+('Facts'!F607*1)+('Facts'!F608*-1)+('Facts'!F609*1)+('Facts'!F610*1))*1</t>
  </si>
  <si>
    <t>=(('Facts'!F611*1)+('Facts'!F612*1)+('Facts'!F613*1)+('Facts'!F614*-1)+('Facts'!F615*1)+('Facts'!F616*1))*1</t>
  </si>
  <si>
    <t>=(('Calculations'!D108*1)+('Facts'!F619*1))*1</t>
  </si>
  <si>
    <t>=(('Calculations'!D40*1)+('Facts'!F618*1))*1</t>
  </si>
  <si>
    <t>=(('Facts'!F629*1)+('Facts'!F630*1))*1</t>
  </si>
  <si>
    <t>=(('Facts'!F627*1)+('Facts'!F628*1))*1</t>
  </si>
  <si>
    <t>=IF('Facts'!F626&lt;=0,NA(),(('Calculations'!D235/'Facts'!F626))*1)</t>
  </si>
  <si>
    <t>=IF('Facts'!F657&lt;=0,NA(),(('Facts'!F658/'Facts'!F657))*1)</t>
  </si>
  <si>
    <t>=IF('Facts'!F659&lt;=0,NA(),(('Facts'!F660/'Facts'!F659))*1)</t>
  </si>
  <si>
    <t>=(('Facts'!F697*1)+('Facts'!F698*1))*1</t>
  </si>
  <si>
    <t>=(('Facts'!F713*1)+('Facts'!F714*1))*1</t>
  </si>
  <si>
    <t>=IF('Facts'!F712&lt;=0,NA(),(('Facts'!F711/'Facts'!F712))*1)</t>
  </si>
  <si>
    <t>=(('Facts'!F712*0.5))*1</t>
  </si>
  <si>
    <t>=(('Facts'!F711-'Calculations'!D242))*1</t>
  </si>
  <si>
    <t>=(('Facts'!F715*1)+('Facts'!F716*1)+('Facts'!F717*1)+('Facts'!F718*-1)+('Facts'!F719*-1))*1</t>
  </si>
  <si>
    <t>=(('Facts'!F722*1)+('Facts'!F724*-1))*1</t>
  </si>
  <si>
    <t>=(('Facts'!F723*1)+('Facts'!F726*-1))*1</t>
  </si>
  <si>
    <t>=IF('Facts'!F721&lt;=0,NA(),(('Facts'!F725/'Facts'!F721))*1)</t>
  </si>
  <si>
    <t>=(('Facts'!F747*1)+('Facts'!F748*1))*1</t>
  </si>
  <si>
    <t>=(('Facts'!F743*1)+('Facts'!F744*-1)+('Facts'!F745*1))*1</t>
  </si>
  <si>
    <t>=(('Facts'!F811*1)+('Facts'!F812*1))*1</t>
  </si>
  <si>
    <t>=(('Facts'!F808-'Facts'!F809))*1</t>
  </si>
  <si>
    <t>=(('Facts'!F810-'Calculations'!D250))*1</t>
  </si>
  <si>
    <t>=IF('Facts'!F810&lt;=0,NA(),(('Calculations'!D250/'Facts'!F810))*1)</t>
  </si>
  <si>
    <t>=(('Facts'!F813*'Facts'!F815))*1</t>
  </si>
  <si>
    <t>=(('Facts'!F810-'Facts'!F814))*1</t>
  </si>
  <si>
    <t>=(('Facts'!F810-'Calculations'!D254))*1</t>
  </si>
  <si>
    <t>=(('Facts'!F816*1)+('Facts'!F818*1)+('Facts'!F820*1)+('Facts'!F822*1))*1</t>
  </si>
  <si>
    <t>=(('Facts'!F817*1)+('Facts'!F819*1)+('Facts'!F821*1)+('Facts'!F823*1))*1</t>
  </si>
  <si>
    <t>=IF('Calculations'!D257&lt;=0,NA(),(('Calculations'!D258/'Calculations'!D257))*1)</t>
  </si>
  <si>
    <t>=(('Calculations'!D257-'Calculations'!D258))*1</t>
  </si>
  <si>
    <t>=(('Calculations'!D258*1)+('Facts'!F824*1))*1</t>
  </si>
  <si>
    <t>=(('Facts'!F47-'Facts'!F85))*1</t>
  </si>
  <si>
    <t>=(('Facts'!F46-'Facts'!F84))*1</t>
  </si>
  <si>
    <t>=(('Calculations'!D263-'Calculations'!D262))*1</t>
  </si>
  <si>
    <t>=(('Facts'!F470*-1))*1</t>
  </si>
  <si>
    <t>=(('Calculations'!D265-'Calculations'!D264))*1</t>
  </si>
  <si>
    <t>=(('Calculations'!D262*1)+('Calculations'!D265*1)+('Facts'!F847*-1))*1</t>
  </si>
  <si>
    <t>=(('Calculations'!D263-'Calculations'!D267))*1</t>
  </si>
  <si>
    <t>=(('Facts'!F92*-1)+('Facts'!F93*1))*1</t>
  </si>
  <si>
    <t>=(('Facts'!F328-'Facts'!F329))*1</t>
  </si>
  <si>
    <t>=(('Facts'!F844-'Facts'!F845))*1</t>
  </si>
  <si>
    <t>=(('Facts'!F466-'Facts'!F846))*1</t>
  </si>
  <si>
    <t>=(('Calculations'!D271*1)+('Calculations'!D272*1))*1</t>
  </si>
  <si>
    <t>=(('Calculations'!D270-'Calculations'!D273))*1</t>
  </si>
  <si>
    <t>=(('Facts'!F844*1)+('Facts'!F466*1))*1</t>
  </si>
  <si>
    <t>=IF('Facts'!F328&lt;=0,NA(),(('Calculations'!D275/'Facts'!F328))*1)</t>
  </si>
  <si>
    <t>=IF('Facts'!F109&lt;=0,NA(),(('Calculations'!D263/'Facts'!F109))*1)</t>
  </si>
  <si>
    <t>=IF('Facts'!F109&lt;=0,NA(),(('Facts'!F466/'Facts'!F109))*1)</t>
  </si>
  <si>
    <t>=(('Facts'!F153*1)+('Facts'!F470*1))*1</t>
  </si>
  <si>
    <t>=(('Facts'!F384*1)+('Facts'!F386*1))*1</t>
  </si>
  <si>
    <t>=(('Calculations'!D280-'Facts'!F470))*1</t>
  </si>
  <si>
    <t>=(('Facts'!F849*1)+('Facts'!F851*1)+('Facts'!F853*1)+('Facts'!F854*1)+('Facts'!F856*1)+('Facts'!F859*1)+('Facts'!F861*1))*1</t>
  </si>
  <si>
    <t>=(('Calculations'!D282*1)+('Facts'!F863*-1)+('Facts'!F865*-1))*1</t>
  </si>
  <si>
    <t>=(('Facts'!F156-'Facts'!F867))*1</t>
  </si>
  <si>
    <t>=(('Facts'!F853*1)+('Facts'!F856*1))*1</t>
  </si>
  <si>
    <t>=(('Calculations'!D107-'Calculations'!D285))*1</t>
  </si>
  <si>
    <t>=(('Facts'!F150-'Calculations'!D285))*1</t>
  </si>
  <si>
    <t>=(('Facts'!F848*1)+('Facts'!F850*1)+('Facts'!F852*1)+('Facts'!F855*1)+('Facts'!F857*1)+('Facts'!F858*1)+('Facts'!F860*1))*1</t>
  </si>
  <si>
    <t>=(('Calculations'!D288*1)+('Facts'!F862*-1)+('Facts'!F864*-1))*1</t>
  </si>
  <si>
    <t>=(('Facts'!F155-'Facts'!F866))*1</t>
  </si>
  <si>
    <t>=(('Facts'!F852*1)+('Facts'!F855*1))*1</t>
  </si>
  <si>
    <t>=(('Calculations'!D39-'Calculations'!D291))*1</t>
  </si>
  <si>
    <t>=(('Facts'!F149-'Calculations'!D291))*1</t>
  </si>
  <si>
    <t>=(('Facts'!F155-'Facts'!F156))*-1</t>
  </si>
  <si>
    <t>=(('Facts'!F866-'Facts'!F867))*-1</t>
  </si>
  <si>
    <t>=(('Facts'!F502-'Facts'!F503))*-1</t>
  </si>
  <si>
    <t>=(('Calculations'!D295*1)+('Calculations'!D296*1))*1</t>
  </si>
  <si>
    <t>=IF('Calculations'!D294&lt;=0,NA(),(('Calculations'!D295/'Calculations'!D294))*1)</t>
  </si>
  <si>
    <t>=IF('Calculations'!D107&lt;=0,NA(),(('Calculations'!D285/'Calculations'!D107))*1)</t>
  </si>
  <si>
    <t>=(('Facts'!F869-'Facts'!F495))*1</t>
  </si>
  <si>
    <t>=(('Facts'!F870*1)+('Facts'!F871*1)+('Facts'!F872*1)+('Facts'!F873*1)+('Facts'!F874*1)+('Facts'!F875*1)+('Facts'!F876*1)+('Facts'!F877*1)+('Facts'!F878*1)+('Facts'!F879*1))*1</t>
  </si>
  <si>
    <t>=(('Calculations'!D301*1)+('Facts'!F880*1))*1</t>
  </si>
  <si>
    <t>=(('Facts'!F870*1)+('Facts'!F871*1)+('Facts'!F872*1)+('Facts'!F873*1)+('Facts'!F874*1)+('Facts'!F877*1)+('Facts'!F879*1))*1</t>
  </si>
  <si>
    <t>=IF('Facts'!F493&lt;=0,NA(),(('Calculations'!D301/'Facts'!F493))*1)</t>
  </si>
  <si>
    <t>=(('Facts'!F882*1)+('Facts'!F881*1))*1</t>
  </si>
  <si>
    <t>=(('Facts'!F881-'Facts'!F493))*-1</t>
  </si>
  <si>
    <t>=IF(OR('Facts'!F493&lt;=0,'Facts'!F881&lt;0),NA(),((('Facts'!F881-'Facts'!F493)/'Facts'!F493))*-1)</t>
  </si>
  <si>
    <t>=IF('Facts'!F89&lt;=0,NA(),(('Calculations'!D107/'Facts'!F89))*1)</t>
  </si>
  <si>
    <t>=IF('Calculations'!D108&lt;=0,NA(),(('Calculations'!D107/'Calculations'!D108))*1)</t>
  </si>
  <si>
    <t>=IF('Facts'!F126&lt;=0,NA(),(('Calculations'!D107/'Facts'!F126))*1)</t>
  </si>
  <si>
    <t>=IF('Facts'!F126&lt;=0,NA(),(('Calculations'!D106/'Facts'!F126))*1)</t>
  </si>
  <si>
    <t>=IF('Facts'!F88&lt;=0,NA(),(('Calculations'!D39/'Facts'!F88))*1)</t>
  </si>
  <si>
    <t>=IF('Calculations'!D40&lt;=0,NA(),(('Calculations'!D39/'Calculations'!D40))*1)</t>
  </si>
  <si>
    <t>=IF('Facts'!F125&lt;=0,NA(),(('Calculations'!D39/'Facts'!F125))*1)</t>
  </si>
  <si>
    <t>=IF('Facts'!F125&lt;=0,NA(),(('Calculations'!D38/'Facts'!F125))*1)</t>
  </si>
  <si>
    <t>=IF('Facts'!F105&lt;=0,NA(),(('Facts'!F155/'Facts'!F105))*-1)</t>
  </si>
  <si>
    <t>=IF('Facts'!F109&lt;=0,NA(),(('Facts'!F155/'Facts'!F109))*-1)</t>
  </si>
  <si>
    <t>=IF('Facts'!F106&lt;=0,NA(),(('Facts'!F155/'Facts'!F106))*-1)</t>
  </si>
  <si>
    <t>=IF('Facts'!F110&lt;=0,NA(),(('Facts'!F155/'Facts'!F110))*-1)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</si>
  <si>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</si>
  <si>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</si>
  <si>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</si>
  <si>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</si>
  <si>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</si>
  <si>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</si>
  <si>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</si>
  <si>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</si>
  <si>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</si>
  <si>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</si>
  <si>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</si>
  <si>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</si>
  <si>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</si>
  <si>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</si>
  <si>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</si>
  <si>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</si>
  <si>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</si>
  <si>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</si>
  <si>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</si>
  <si>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</si>
  <si>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</si>
  <si>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</si>
  <si>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</si>
  <si>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</si>
  <si>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</si>
  <si>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</si>
  <si>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</si>
  <si>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</si>
  <si>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</si>
  <si>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</si>
  <si>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</si>
  <si>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</si>
  <si>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</si>
  <si>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</si>
  <si>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</si>
  <si>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</si>
  <si>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</si>
  <si>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</si>
  <si>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</si>
  <si>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</si>
  <si>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</si>
  <si>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</si>
  <si>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</si>
  <si>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</si>
  <si>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</si>
  <si>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</si>
  <si>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</si>
  <si>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</si>
  <si>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</si>
  <si>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</si>
  <si>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</si>
  <si>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</si>
  <si>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</si>
  <si>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</si>
  <si>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</si>
  <si>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</si>
  <si>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</si>
  <si>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</si>
  <si>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</si>
  <si>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</si>
  <si>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</si>
  <si>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</si>
  <si>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</si>
  <si>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</si>
  <si>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</si>
  <si>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</si>
  <si>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</si>
  <si>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</si>
  <si>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</si>
  <si>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</si>
  <si>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</si>
  <si>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</si>
  <si>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</si>
  <si>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</si>
  <si>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</si>
  <si>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</si>
  <si>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</si>
  <si>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</si>
  <si>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</si>
  <si>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</si>
  <si>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</si>
  <si>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</si>
  <si>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</si>
  <si>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</si>
  <si>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</si>
  <si>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</si>
  <si>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</si>
  <si>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</si>
  <si>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</si>
  <si>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</si>
  <si>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</si>
  <si>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</si>
  <si>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</si>
  <si>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</si>
  <si>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</si>
  <si>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</si>
  <si>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</si>
  <si>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</si>
  <si>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</si>
  <si>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</si>
  <si>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</si>
  <si>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</si>
  <si>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</si>
  <si>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</si>
  <si>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</si>
  <si>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</si>
  <si>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</si>
  <si>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</si>
  <si>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</si>
  <si>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</si>
  <si>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</si>
  <si>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</si>
  <si>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</si>
  <si>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</si>
  <si>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</si>
  <si>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</si>
  <si>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</si>
  <si>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</si>
  <si>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</si>
  <si>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</si>
  <si>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</si>
  <si>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</si>
  <si>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</si>
  <si>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</si>
  <si>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</si>
  <si>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</si>
  <si>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</si>
  <si>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</si>
  <si>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</si>
  <si>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</si>
  <si>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</si>
  <si>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</si>
  <si>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</si>
  <si>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</si>
  <si>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</si>
  <si>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</si>
  <si>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</si>
  <si>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</si>
  <si>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</si>
  <si>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</si>
  <si>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</si>
  <si>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</si>
  <si>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</si>
  <si>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</si>
  <si>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</si>
  <si>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</si>
  <si>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</si>
  <si>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</si>
  <si>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</si>
  <si>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</si>
  <si>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</si>
  <si>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</si>
  <si>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</si>
  <si>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</si>
  <si>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</si>
  <si>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</si>
  <si>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</si>
  <si>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</si>
  <si>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</si>
  <si>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</si>
  <si>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</si>
  <si>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</si>
  <si>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ks_tax_r_candidate</t>
  </si>
  <si>
    <t>余额—损益—候选权益税桥（未证实权益流量）</t>
  </si>
  <si>
    <t>元、分披露下少量加减的显示精度比较，实际残差保留。期末可转债权益DTL仅作候选金额，未取得当期权益税分录，算术接近不证明桥已完整。</t>
  </si>
  <si>
    <t>ks_earn_r_net_2024</t>
  </si>
  <si>
    <t>2024年归母非经常损益原表重算</t>
  </si>
  <si>
    <t>按元、分原值精确运算；加总闭合不证明分类或空白项目均已取得交易证据。</t>
  </si>
  <si>
    <t>ks_earn_r_deducted_2024</t>
  </si>
  <si>
    <t>2024年归母净利与公司扣非调节</t>
  </si>
  <si>
    <t>ks_earn_r_net_2025</t>
  </si>
  <si>
    <t>2025年归母非经常损益原表重算</t>
  </si>
  <si>
    <t>ks_earn_r_deducted_2025</t>
  </si>
  <si>
    <t>2025年归母净利与公司扣非调节</t>
  </si>
  <si>
    <t>ks_earn_r_decline</t>
  </si>
  <si>
    <t>归母利润变化两部分桥</t>
  </si>
  <si>
    <t>同范围两期差额精确分解，不解释为现金或因果贡献。</t>
  </si>
  <si>
    <t>ks_credit_r_dealer_total</t>
  </si>
  <si>
    <t>年末经销担保逐项加总</t>
  </si>
  <si>
    <t>原表元金额，加总前十名及其他29家；不是逐笔合同核验</t>
  </si>
  <si>
    <t>ks_credit_r_guarantee_q1</t>
  </si>
  <si>
    <t>三月末内外实际担保勾稽</t>
  </si>
  <si>
    <t>同一公告的万元金额按原单位转元加总；不证明到期或解除</t>
  </si>
  <si>
    <t>文件</t>
  </si>
  <si>
    <t>链接</t>
  </si>
  <si>
    <t>公布日期</t>
  </si>
  <si>
    <t>SHA256</t>
  </si>
  <si>
    <t>时间证据与限制</t>
  </si>
  <si>
    <t>ks_a_s_25</t>
  </si>
  <si>
    <t>科顺防水科技股份有限公司2025年年度报告</t>
  </si>
  <si>
    <t>https://disc.static.szse.cn/disc/disk03/finalpage/2026-04-24/8d1711bc-c88b-410a-8b72-7bae6b960a12.PDF</t>
  </si>
  <si>
    <t>2026-04-24</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</si>
  <si>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</si>
  <si>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</si>
  <si>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</si>
  <si>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</si>
  <si>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</si>
  <si>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</si>
  <si>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</si>
  <si>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</si>
  <si>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</si>
  <si>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</si>
  <si>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</si>
  <si>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</si>
  <si>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</si>
  <si>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</si>
  <si>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</si>
  <si>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</si>
  <si>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</si>
  <si>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</si>
  <si>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</si>
  <si>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</si>
  <si>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</si>
  <si>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</si>
  <si>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</si>
  <si>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</si>
  <si>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</si>
  <si>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</si>
  <si>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</si>
  <si>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</si>
  <si>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</si>
  <si>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</si>
  <si>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</si>
  <si>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</si>
  <si>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</si>
  <si>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</si>
  <si>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</si>
  <si>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</si>
  <si>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</si>
  <si>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</si>
  <si>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2026-06-09</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</si>
  <si>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</si>
  <si>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</si>
  <si>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</si>
  <si>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</si>
  <si>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</si>
  <si>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</si>
  <si>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</si>
  <si>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</si>
  <si>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</si>
  <si>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</si>
  <si>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</si>
  <si>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</si>
  <si>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</si>
  <si>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</si>
  <si>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</si>
  <si>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</si>
  <si>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</si>
  <si>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</si>
  <si>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</si>
  <si>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</si>
  <si>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</si>
  <si>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</si>
  <si>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</si>
  <si>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</si>
  <si>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</si>
  <si>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</si>
  <si>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</si>
  <si>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</si>
  <si>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</si>
  <si>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</si>
  <si>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</si>
  <si>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</si>
  <si>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</si>
  <si>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</si>
  <si>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</si>
  <si>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</si>
  <si>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</si>
  <si>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</si>
  <si>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</si>
  <si>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</si>
  <si>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</si>
  <si>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</si>
  <si>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</si>
  <si>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</si>
  <si>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</si>
  <si>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</si>
  <si>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</si>
  <si>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</si>
  <si>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</si>
  <si>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</si>
  <si>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</si>
  <si>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</si>
  <si>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</si>
  <si>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</si>
  <si>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</si>
  <si>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</si>
  <si>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</si>
  <si>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</si>
  <si>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</si>
  <si>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</si>
  <si>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</si>
  <si>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</si>
  <si>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</si>
  <si>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</si>
  <si>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</si>
  <si>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</si>
  <si>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</si>
  <si>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</si>
  <si>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</si>
  <si>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</si>
  <si>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</si>
  <si>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</si>
  <si>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</si>
  <si>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</si>
  <si>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</si>
  <si>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</si>
  <si>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</si>
  <si>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</si>
  <si>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</si>
  <si>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</si>
  <si>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</si>
  <si>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</si>
  <si>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</si>
  <si>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</si>
  <si>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</si>
  <si>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</si>
  <si>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</si>
  <si>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</si>
  <si>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</si>
  <si>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</si>
  <si>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</si>
  <si>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</si>
  <si>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</si>
  <si>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</si>
  <si>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</si>
  <si>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</si>
  <si>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</si>
  <si>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</si>
  <si>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</si>
  <si>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</si>
  <si>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</si>
  <si>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</si>
  <si>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</si>
  <si>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</si>
  <si>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</si>
  <si>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</si>
  <si>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</si>
  <si>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</si>
  <si>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</si>
  <si>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</si>
  <si>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</si>
  <si>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</si>
  <si>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</si>
  <si>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</si>
  <si>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</si>
  <si>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</si>
  <si>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</si>
  <si>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</si>
  <si>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</si>
  <si>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</si>
  <si>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</si>
  <si>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</si>
  <si>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</si>
  <si>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</si>
  <si>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</si>
  <si>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</si>
  <si>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</si>
  <si>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</si>
  <si>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</si>
  <si>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</si>
  <si>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</si>
  <si>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</si>
  <si>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</si>
  <si>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</si>
  <si>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</si>
  <si>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</si>
  <si>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</si>
  <si>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</si>
  <si>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</si>
  <si>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</si>
  <si>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未核验</t>
  </si>
  <si>
    <t>59610c3278c76fe471adcdc0fca8292cf9f5cddf032830145d1e56dbc5ca5fe4</t>
  </si>
  <si>
    <t>封面2022年7月，正文明确2022-08-01起施行；精确首次公布日未另证，适用时间早于本案截止日。全文10页文本已读。</t>
  </si>
  <si>
    <t>ks_r_application</t>
  </si>
  <si>
    <t>科顺防水科技股份有限公司可转换公司债券2026年跟踪评级报告</t>
  </si>
  <si>
    <t>https://www.lhratings.com/reports/B010330-P61284-2021-GZ2026.pdf</t>
  </si>
  <si>
    <t>2026-06-23</t>
  </si>
  <si>
    <t>846ba87096506c375195e9d1fe772781316c30a5f3e54239d54b31faea4fec41</t>
  </si>
  <si>
    <t>使用PDF6、8的方法适用性、17（印刷14）的授信及经销商融资事实陈述、23的通用等级/展望定义。外部机构评级、因素得分、预测及评价结论未用作本案输入或校准目标；读取其公开陈述不等于重复执行其银行征信或合同核查。</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</si>
  <si>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</si>
  <si>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</si>
  <si>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</si>
  <si>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</si>
  <si>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</si>
  <si>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</si>
  <si>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</si>
  <si>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</si>
  <si>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</si>
  <si>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</si>
  <si>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</si>
  <si>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ks_tax_s_cas18</t>
  </si>
  <si>
    <t>企业会计准则第18号——所得税</t>
  </si>
  <si>
    <t>https://kjs.mof.gov.cn/zt/kjzzss/kuaijizhunzeshishi/200806/t20080618_46230.htm</t>
  </si>
  <si>
    <t>2006-03-09</t>
  </si>
  <si>
    <t>财政部官方原文发布日期；本案例采用第13、15、17、20—22条有关可实现性、计量和损益/权益归属规定，不以2006原文代替后续全部准则解释。</t>
  </si>
  <si>
    <t>ks_tax_s_csrc5</t>
  </si>
  <si>
    <t>监管规则适用指引——会计类第5号</t>
  </si>
  <si>
    <t>https://www.csrc.gov.cn/csrc/c105942/c7572064/7572064/files/%E9%99%84%E4%BB%B61%EF%BC%9A%E3%80%8A%E7%9B%91%E7%AE%A1%E8%A7%84%E5%88%99%E9%80%82%E7%94%A8%E6%8C%87%E5%BC%95%E2%80%94%E2%80%94%E4%BC%9A%E8%AE%A1%E7%B1%BB%E7%AC%AC5%E5%8F%B7%E3%80%8B.pdf</t>
  </si>
  <si>
    <t>2025-07-18</t>
  </si>
  <si>
    <t>83d97d3b1ce1a7fa3c17bb317a2d1b5fafdb79a87af64e7a24b0818bbd2f5a1b</t>
  </si>
  <si>
    <t>发布日期由证监会原栏目正文核实：https://www.csrc.gov.cn/csrc/c100038/c7572064/content.shtml；仅采用附件第8—9页5-8。</t>
  </si>
  <si>
    <t>ks_credit_s_guarantee_q1</t>
  </si>
  <si>
    <t>科顺股份关于为全资子公司提供担保的公告（2026-016）</t>
  </si>
  <si>
    <t>https://static.cninfo.com.cn/finalpage/2026-04-24/1225172711.PDF</t>
  </si>
  <si>
    <t>2e0c63c5e1d7ef7845853b8c918bba7b5b6a0ed4ae7441a269c17614c120b506</t>
  </si>
  <si>
    <t>分别记录截至2026-03-31实际担保余额与2026-04-23新增审批额度；公告未附逐笔解除或截至六月的担保台账。</t>
  </si>
  <si>
    <t>ks_credit_s_sponsor</t>
  </si>
  <si>
    <t>国泰君安证券关于科顺股份对外担保的核查意见</t>
  </si>
  <si>
    <t>https://static.cninfo.com.cn/finalpage/2024-08-28/1221008879.PDF</t>
  </si>
  <si>
    <t>2024-08-28</t>
  </si>
  <si>
    <t>94c0b47a9c3839e3c9b180d134f7a70675b91dfd400005c6997b363ddf99645f</t>
  </si>
  <si>
    <t>使用PDF2—3披露的经销商保证安排、资金用途和反担保要求；只证明公开安排，不证明每笔贷款已按约执行或反担保可回收。</t>
  </si>
  <si>
    <t>来源</t>
  </si>
  <si>
    <t>定位</t>
  </si>
  <si>
    <t>观察</t>
  </si>
  <si>
    <t>可靠性与限制</t>
  </si>
  <si>
    <t>ks_a_e_coverage</t>
  </si>
  <si>
    <t>PDF页码与印刷页码一致</t>
  </si>
  <si>
    <t>文本实际覆盖第1—245页；第93—96页债券发行、存续变动、偿债安排及指标已补读，第83页项目效益及第95—96页指标另经图像核对。第95页外部评级仅记录机构历史结论，不作为本研究因素得分或等级校准目标。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</si>
  <si>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</si>
  <si>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</si>
  <si>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</si>
  <si>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</si>
  <si>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</si>
  <si>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</si>
  <si>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</si>
  <si>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</si>
  <si>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</si>
  <si>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</si>
  <si>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</si>
  <si>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</si>
  <si>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</si>
  <si>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</si>
  <si>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</si>
  <si>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</si>
  <si>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</si>
  <si>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</si>
  <si>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</si>
  <si>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 第100页明确财报审计意见不涵盖年报其他信息，亦不对其发表鉴证结论；审计师称就其他信息无事项需报告，不等于对第95页未来偿债安排作出保证。</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</si>
  <si>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</si>
  <si>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</si>
  <si>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</si>
  <si>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</si>
  <si>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</si>
  <si>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</si>
  <si>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</si>
  <si>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</si>
  <si>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</si>
  <si>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</si>
  <si>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</si>
  <si>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</si>
  <si>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</si>
  <si>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</si>
  <si>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</si>
  <si>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</si>
  <si>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</si>
  <si>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</si>
  <si>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</si>
  <si>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</si>
  <si>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</si>
  <si>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</si>
  <si>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</si>
  <si>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</si>
  <si>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</si>
  <si>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</si>
  <si>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</si>
  <si>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</si>
  <si>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</si>
  <si>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</si>
  <si>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</si>
  <si>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</si>
  <si>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</si>
  <si>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</si>
  <si>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</si>
  <si>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</si>
  <si>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</si>
  <si>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</si>
  <si>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</si>
  <si>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</si>
  <si>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</si>
  <si>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</si>
  <si>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</si>
  <si>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</si>
  <si>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</si>
  <si>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</si>
  <si>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</si>
  <si>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</si>
  <si>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</si>
  <si>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</si>
  <si>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</si>
  <si>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</si>
  <si>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</si>
  <si>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</si>
  <si>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</si>
  <si>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</si>
  <si>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</si>
  <si>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</si>
  <si>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</si>
  <si>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</si>
  <si>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</si>
  <si>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</si>
  <si>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</si>
  <si>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</si>
  <si>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</si>
  <si>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截至2026-01-06旧轮临时补流13亿元全部归还，未超过12个月；公告归还额不是2025年末未归还余额，不倒填年末。</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</si>
  <si>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</si>
  <si>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</si>
  <si>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</si>
  <si>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</si>
  <si>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</si>
  <si>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</si>
  <si>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</si>
  <si>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</si>
  <si>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</si>
  <si>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</si>
  <si>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</si>
  <si>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</si>
  <si>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</si>
  <si>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</si>
  <si>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</si>
  <si>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</si>
  <si>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</si>
  <si>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</si>
  <si>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</si>
  <si>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</si>
  <si>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</si>
  <si>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</si>
  <si>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</si>
  <si>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</si>
  <si>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</si>
  <si>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</si>
  <si>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</si>
  <si>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</si>
  <si>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</si>
  <si>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</si>
  <si>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</si>
  <si>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</si>
  <si>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</si>
  <si>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</si>
  <si>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</si>
  <si>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</si>
  <si>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</si>
  <si>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</si>
  <si>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</si>
  <si>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</si>
  <si>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</si>
  <si>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</si>
  <si>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</si>
  <si>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</si>
  <si>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</si>
  <si>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</si>
  <si>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</si>
  <si>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</si>
  <si>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</si>
  <si>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</si>
  <si>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</si>
  <si>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</si>
  <si>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</si>
  <si>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</si>
  <si>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</si>
  <si>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</si>
  <si>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</si>
  <si>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</si>
  <si>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</si>
  <si>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</si>
  <si>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</si>
  <si>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</si>
  <si>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</si>
  <si>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</si>
  <si>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</si>
  <si>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</si>
  <si>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</si>
  <si>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</si>
  <si>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</si>
  <si>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</si>
  <si>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</si>
  <si>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</si>
  <si>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</si>
  <si>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</si>
  <si>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</si>
  <si>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</si>
  <si>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</si>
  <si>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</si>
  <si>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</si>
  <si>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</si>
  <si>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</si>
  <si>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</si>
  <si>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</si>
  <si>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</si>
  <si>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</si>
  <si>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</si>
  <si>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</si>
  <si>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</si>
  <si>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</si>
  <si>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</si>
  <si>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</si>
  <si>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</si>
  <si>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</si>
  <si>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</si>
  <si>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</si>
  <si>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</si>
  <si>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</si>
  <si>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</si>
  <si>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</si>
  <si>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</si>
  <si>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</si>
  <si>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</si>
  <si>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</si>
  <si>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</si>
  <si>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</si>
  <si>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</si>
  <si>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</si>
  <si>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</si>
  <si>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</si>
  <si>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</si>
  <si>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</si>
  <si>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</si>
  <si>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</si>
  <si>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</si>
  <si>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</si>
  <si>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</si>
  <si>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</si>
  <si>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</si>
  <si>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</si>
  <si>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</si>
  <si>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</si>
  <si>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</si>
  <si>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</si>
  <si>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</si>
  <si>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</si>
  <si>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</si>
  <si>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</si>
  <si>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</si>
  <si>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</si>
  <si>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</si>
  <si>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</si>
  <si>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</si>
  <si>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</si>
  <si>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</si>
  <si>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</si>
  <si>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</si>
  <si>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</si>
  <si>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</si>
  <si>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</si>
  <si>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</si>
  <si>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</si>
  <si>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</si>
  <si>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</si>
  <si>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</si>
  <si>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</si>
  <si>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</si>
  <si>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</si>
  <si>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</si>
  <si>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</si>
  <si>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</si>
  <si>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</si>
  <si>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</si>
  <si>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</si>
  <si>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</si>
  <si>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</si>
  <si>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</si>
  <si>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</si>
  <si>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</si>
  <si>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</si>
  <si>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</si>
  <si>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</si>
  <si>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</si>
  <si>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</si>
  <si>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</si>
  <si>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</si>
  <si>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</si>
  <si>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</si>
  <si>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</si>
  <si>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</si>
  <si>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</si>
  <si>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</si>
  <si>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</si>
  <si>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</si>
  <si>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</si>
  <si>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</si>
  <si>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</si>
  <si>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</si>
  <si>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</si>
  <si>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</si>
  <si>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</si>
  <si>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</si>
  <si>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</si>
  <si>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</si>
  <si>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</si>
  <si>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</si>
  <si>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</si>
  <si>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</si>
  <si>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</si>
  <si>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</si>
  <si>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</si>
  <si>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</si>
  <si>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</si>
  <si>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</si>
  <si>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</si>
  <si>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</si>
  <si>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</si>
  <si>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</si>
  <si>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</si>
  <si>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</si>
  <si>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</si>
  <si>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</si>
  <si>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</si>
  <si>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</si>
  <si>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</si>
  <si>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</si>
  <si>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</si>
  <si>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</si>
  <si>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</si>
  <si>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</si>
  <si>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</si>
  <si>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</si>
  <si>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</si>
  <si>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</si>
  <si>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</si>
  <si>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</si>
  <si>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</si>
  <si>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</si>
  <si>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</si>
  <si>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</si>
  <si>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</si>
  <si>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</si>
  <si>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</si>
  <si>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</si>
  <si>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</si>
  <si>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</si>
  <si>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</si>
  <si>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</si>
  <si>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</si>
  <si>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</si>
  <si>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</si>
  <si>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</si>
  <si>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</si>
  <si>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</si>
  <si>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</si>
  <si>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</si>
  <si>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</si>
  <si>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</si>
  <si>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</si>
  <si>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</si>
  <si>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</si>
  <si>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</si>
  <si>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</si>
  <si>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</si>
  <si>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</si>
  <si>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</si>
  <si>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</si>
  <si>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</si>
  <si>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</si>
  <si>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</si>
  <si>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</si>
  <si>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</si>
  <si>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</si>
  <si>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</si>
  <si>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</si>
  <si>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</si>
  <si>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</si>
  <si>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</si>
  <si>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</si>
  <si>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</si>
  <si>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</si>
  <si>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</si>
  <si>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</si>
  <si>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</si>
  <si>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</si>
  <si>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</si>
  <si>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</si>
  <si>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</si>
  <si>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</si>
  <si>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</si>
  <si>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</si>
  <si>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</si>
  <si>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</si>
  <si>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</si>
  <si>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</si>
  <si>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</si>
  <si>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</si>
  <si>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</si>
  <si>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</si>
  <si>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</si>
  <si>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</si>
  <si>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</si>
  <si>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</si>
  <si>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</si>
  <si>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</si>
  <si>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</si>
  <si>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</si>
  <si>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</si>
  <si>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</si>
  <si>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</si>
  <si>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</si>
  <si>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</si>
  <si>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</si>
  <si>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</si>
  <si>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</si>
  <si>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</si>
  <si>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</si>
  <si>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</si>
  <si>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</si>
  <si>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</si>
  <si>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</si>
  <si>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</si>
  <si>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</si>
  <si>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</si>
  <si>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</si>
  <si>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</si>
  <si>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</si>
  <si>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</si>
  <si>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</si>
  <si>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</si>
  <si>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</si>
  <si>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</si>
  <si>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</si>
  <si>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</si>
  <si>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</si>
  <si>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</si>
  <si>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</si>
  <si>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</si>
  <si>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</si>
  <si>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</si>
  <si>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</si>
  <si>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</si>
  <si>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</si>
  <si>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</si>
  <si>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</si>
  <si>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</si>
  <si>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</si>
  <si>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</si>
  <si>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</si>
  <si>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</si>
  <si>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</si>
  <si>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PDF/印刷第188—189页，附注23（1）—（4）；2025-12-31期末/2024-12-31重述期初，元</t>
  </si>
  <si>
    <t>DTA表四列依次为期末可抵扣差异、期末DTA、期初差异、期初DTA；资产减值准备DTA为358,583,441.98和285,562,435.83，可抵扣亏损DTA为71,461,169.87和33,735,429.18，期末亏损税基442,209,585.98。投资款公允价值变动DTA24,455,146.02在期初列，期末空白。DTL表可转换债券权益部分42,884,732.38和6,432,709.86在期末两列，期初空白。互抵金额期末33,969,328.50、期初34,893,714.42，同时冲减DTA与DTL。</t>
  </si>
  <si>
    <t>发行人正式披露，原页列位可核；余额附注未单列当期直接权益税流量。</t>
  </si>
  <si>
    <t>ks_tax_e_equity</t>
  </si>
  <si>
    <t>PDF/印刷第160—161、195—196页；附注36、40—41，元</t>
  </si>
  <si>
    <t>可转债2023年发行，2025本期发行列空白；其他权益工具期初42,885,077.75，本期减少6,433,022.74，期末36,452,055.01。本年转股金额17,700.00，增加股本2,597.00、资本溢价14,968.63。重要会计政策、估计变更及首次执行调整均列不适用。未单列权益税分录及其过渡处理，不据此认定政策变更或前期差错。</t>
  </si>
  <si>
    <t>发行人正式披露；本期减少不能全额自动当作所得税流量。</t>
  </si>
  <si>
    <t>ks_tax_e_pl_cash</t>
  </si>
  <si>
    <t>PDF/印刷第205—206、208—209页，附注62、64；2025年度，元</t>
  </si>
  <si>
    <t>当期所得税58,386,629.64，递延所得税费用-102,785,620.65，合计-44,398,991.01。现金流补充资料递延所得税资产减少-93,797,042.60、递延所得税负债增加-2,555,900.67、其他17,311,949.79；其他项未提供税项拆分。</t>
  </si>
  <si>
    <t>发行人正式披露；不能以余额变动代替完整损益税项调整，亦不能将未解释差额倒填其他或擅自修改报告CFO。</t>
  </si>
  <si>
    <t>ks_tax_e_cas18</t>
  </si>
  <si>
    <t>第13、15、17、20—22条</t>
  </si>
  <si>
    <t>DTA确认以很可能取得的可抵扣应税所得额为限，按预计转回适用税率计量并逐期复核可实现性；权益交易的相关所得税计入权益，损益与企业合并税项另按其归属处理。</t>
  </si>
  <si>
    <t>财政部准则原文；适用条文与交易事实仍须对应。</t>
  </si>
  <si>
    <t>ks_tax_e_csrc5</t>
  </si>
  <si>
    <t>PDF/印刷第8—9页，5-8发行可转换债券的递延所得税会计处理</t>
  </si>
  <si>
    <t>可转债为复合工具且负债计税基础等于票面金额并产生应税暂时性差异时，该差异来自权益成分，不满足DTL豁免条件，初始税影响计入权益；后续负债折价摊销的相关DTL变动计入损益。</t>
  </si>
  <si>
    <t>证监会官方监管指引；提供准则执行口径，不能替代发行人当期分录及过渡处理披露。</t>
  </si>
  <si>
    <t>PDF第11—12页非经常性损益表（元）；第10、108、244页归母净利及扣非勾稽</t>
  </si>
  <si>
    <t>原表依次为项目、2025年金额、2024年金额、2023年金额、说明。仅取前两期非空金额；2025资金占用费栏及2024同控合并栏为空，不填零。2025少数股东影响额为负数，按减项保留原符号。金融资产项目同时含公允价值和处置损益，不等同利润表公允价值变动科目。</t>
  </si>
  <si>
    <t>完整官方年报；两期表头及金额列已回看原页</t>
  </si>
  <si>
    <t>PDF17/印刷14，偿债指标变化后授信段；截至2025年底，亿元</t>
  </si>
  <si>
    <t>跟踪报告披露银行授信总额73.00、未使用47.00；同一时点年报PDF218披露未用银行借款额度108,000.00万元。用词不同不能解释或消除金额冲突，尚无按法人、银行、品种、已用/未用的逐项桥。</t>
  </si>
  <si>
    <t>外部评级机构的公开事实陈述；不是银行确认。其额度、信用调查和风险判断未由本次重新验证，且不采用其评级或得分作校准。</t>
  </si>
  <si>
    <t>PDF/印刷227—228，担保明细跨页表；2025-12-31，元</t>
  </si>
  <si>
    <t>表头依次为被担保单位名称、担保事项、担保借款金额、担保到期日、备注。前十名逐笔有日期，余29家仅列总额且日期栏空白。全部为最高额连带责任保证；不将表列担保到期日改作基础贷款到期、实际代偿或法律责任已终止日期。</t>
  </si>
  <si>
    <t>本次对原页跨页表头、金额及日期列视觉核对；匿名名称保持原样。未取得合同或银行解除证明。</t>
  </si>
  <si>
    <t>PDF3—4，第五节；截至2026-03-31，万元</t>
  </si>
  <si>
    <t>公告披露实际担保总额19,710.32，集团内12,055.21，集团外经销商7,655.11；并声明无逾期、涉诉担保或因担保判决败诉承担损失。日期为三月末，未说明年末前十笔分别解除、展期或代偿情况，也未披露六月存续余额。</t>
  </si>
  <si>
    <t>公司期后公告，未按逐笔合同验证。总额下降是正面反证，不能据此宣称全部担保已解除或截至六月无代偿。</t>
  </si>
  <si>
    <t>PDF1—3，第一、三节；2026-04-23审批，万元</t>
  </si>
  <si>
    <t>重庆科顺供应链与广东顺采易新增审批担保额度分别30,000及6,000，合计36,000；公告说明尚未签担保协议，具体金额和期限待与金融机构协商签署。</t>
  </si>
  <si>
    <t>审批额度与截至三月末实际余额的时点和性质不同；不是已发生新增义务或已落实融资，也不与并表债务重复加总。</t>
  </si>
  <si>
    <t>ks_credit_e_dealer_use</t>
  </si>
  <si>
    <t>PDF2—3，第四及第五节</t>
  </si>
  <si>
    <t>经销商贷款的合同安排要求融资后将货款汇入公司指定账户；披露贷款专用于支付公司货款、公司连带保证及反担保要求。</t>
  </si>
  <si>
    <t>本次读取历史公开安排；未逐笔查银行放款、客户付款、原始销售及反担保执行，不冒记保荐人的核查为本次执行。</t>
  </si>
  <si>
    <t>ks_credit_e_yearend_settlement</t>
  </si>
  <si>
    <t>PDF17/印刷14，授信段后经销商担保段</t>
  </si>
  <si>
    <t>报告说明经销商被担保融资主要用于年底前结清其对公司应付货款。公司收现可能因此与对客户银行债务的或有风险同时存在；年末保证余额不是本年度保证支持的收款流量。</t>
  </si>
  <si>
    <t>外部机构公开陈述，尚未核对逐笔借款及收现。其“或有负债风险较为可控”评价不作为本次已验证结论。</t>
  </si>
  <si>
    <t>PDF5–11：2026Q1合并资产负债表及利润表；PDF3说明原料冬储锁价及增加长期贷款</t>
  </si>
  <si>
    <t>2026Q1损益与余额原值；季度D&amp;A、资本化利息、借款本金/应计息/租赁拆分仍未披露。</t>
  </si>
  <si>
    <t>发行人公开季报，未经审计；不证明未来经营或可提款条件。</t>
  </si>
  <si>
    <t>PDF39–41：防水材料收入、成本及五项成本构成，2024/2025元</t>
  </si>
  <si>
    <t>五项成本逐年加总勾稽防水材料成本；成本金额变化同时受销量、采购价及组合影响。</t>
  </si>
  <si>
    <t>经审计年报中的经营披露；未将成本减少归因于单一采购价格。</t>
  </si>
  <si>
    <t>PDF193企业所得税应付；203利息及其他收益；205–206当期/递延所得税与其他经营收现分项</t>
  </si>
  <si>
    <t>2025合并亏损仍有当期所得税58,386,629.64；所得税期末应付14,216,594.91；其他经营收现含利息、补助及手续费与保证金/受限资金/员工还款等不同性质。</t>
  </si>
  <si>
    <t>公开经审计年报；未来支付和收益确认按明示条件，不证明未来可收回或可抵扣。</t>
  </si>
  <si>
    <t>第95—96页，第七节第八项，近两年主要会计数据和财务指标，含跨页续表</t>
  </si>
  <si>
    <t>发行人列示2025/2024的流动比率、资产负债率、速动比率、EBITDA全部债务比、利息保障倍数、现金利息保障倍数、EBITDA利息保障倍数、贷款偿还率和利息偿付率，原值单列。扣非净利润以万元保留两位小数，与本底稿原元值舍入一致；续表表头仍写期末/上年末，但利息及偿付率为年度指标。该段未给出全部债务、利息及现金保障的具体公式或偿付率总体，不能按名称直接等同研究指标。</t>
  </si>
  <si>
    <t>发行人正式年报披露；按原表记录，不等于本研究独立验证全部指标定义或逐笔履约；本节属于年报其他信息，财报无保留审计意见不覆盖该节或保证指标公式</t>
  </si>
  <si>
    <t>第93—95页，可转债发行、无担保、存续变动；第95页四、6（3）及五至七项</t>
  </si>
  <si>
    <t>第93—94页发行与挂牌、无担保、面值变动及转股价与既有债项记录一致。第95页管理层称综合授信充足、融资快速有效、内生经营现金稳定、募投实施提升盈利，遇回售、赎回或到期可通过自有资金及融资支付本息；同时将大额亏损主要归因于减值并称对生产经营无重大影响。年末除债券外有息债逾期项列不适用，报告期违反规章制度项列否。这是管理层陈述，尚未以银行、合同和项目现金逐笔验证；无担保不表示没有发行人付款责任。 第五项标题为亏损超过上年末净资产10%，正文列归母净利润-535,342,762.09元、占2025年末公司净资产13.49%；正文期间与标题不同，且公司净资产未在该行明示归母/总权益。</t>
  </si>
  <si>
    <t>发行人管理层公开陈述；与资金可达性、授信条件、项目进度及实际偿付分别核对；第100页其他信息说明不对未来偿债安排提供审计鉴证</t>
  </si>
  <si>
    <t>ks_a_e_external_rating_2025</t>
  </si>
  <si>
    <t>第95页四、6（2），本年度可转债资信评级</t>
  </si>
  <si>
    <t>年报引述联合资信2025-06-24跟踪报告（联合〔2025〕5318号）：主体长期信用等级AA、科顺转债AA、展望稳定。这里只记录年报中的历史外部评级事实；不是本研究截止日评级、因素输入、方法校准值或对条件建议的替代。</t>
  </si>
  <si>
    <t>年报对外部机构历史结论的引述；本条未独立复核该2025评级报告全文</t>
  </si>
  <si>
    <t>ks_a_e_project_reported_benefits</t>
  </si>
  <si>
    <t>第83页募集资金承诺投资项目表，四项建设/升级项目及补流行；表格图像核对</t>
  </si>
  <si>
    <t>安徽滁州、福建三明、重庆长寿扩产及智能化升级四行，本报告期实现效益和累计实现效益均明列0，预定可使用日期均2028-12-31，是否达到预计效益均列否。补充流动资金另列，其是否达到预计效益为不适用；不能由四项项目效益零推断全部募投资金未产生任何融资成本节约或经营帮助，也不能将这些未披露的帮助当已量化偿债来源。</t>
  </si>
  <si>
    <t>发行人项目表原披露，不是本研究独立审计项目收益；零为表列值，未将空白替零</t>
  </si>
  <si>
    <t>问题</t>
  </si>
  <si>
    <t>结论</t>
  </si>
  <si>
    <t>机制</t>
  </si>
  <si>
    <t>依据</t>
  </si>
  <si>
    <t>反证</t>
  </si>
  <si>
    <t>其他解释</t>
  </si>
  <si>
    <t>改变结论条件</t>
  </si>
  <si>
    <t>ks_r_recommendation</t>
  </si>
  <si>
    <t>所选境内方法下，证据如何形成具体建议？</t>
  </si>
  <si>
    <t>以公开证据和明示判断，历史经营C、财务F4代表值的较弱端支持主体及普通无担保科顺转债BBB+、负面展望的条件研究分支，定性中心并未唯一选定。另以2026Q1实际及未来经营、收现、税款和融资预算贯穿预测：Q1减值强度延续时，材料不涨价的金额适配结果为F3，材料上涨5%为F4，分别对应条件矩阵A和BBB+；这些预测分支不构成已证实改善或评级调整。实际付款日前可调度资金、用途和合同条件未验证，不发布无条件唯一等级。</t>
  </si>
  <si>
    <t>历史同定义年度比率先30/70加权再分档，财务代表值3.74 分，金额先加权对照3.74 分；两者均F4。固定定性判断的量化档内范围[3.46 分,4.01 分)跨F5/F4。未来条件链采用2024/25/26的20/30/50金额适配，并列年度比率对照；Q1减值及材料5%时，2026 EBITDA3.54 亿元人民币、净利润-1.28 亿元人民币、CFO2.37 亿元人民币、末债45.08 亿元人民币，至2027H1累计新融资12.34 亿元人民币。历史与预测方法适配分列；47/10.8亿元额度不当提款，集团现金不等于发行人A，资金条件失败时退出常态矩阵。</t>
  </si>
  <si>
    <t>conditional</t>
  </si>
  <si>
    <t>ks_r_e_business, ks_r_e_finance, ks_r_e_matrix, ks_a_ebitda_2025, ks_d_c_book_ratio, ks_horizon_base_peak_funding_intercept_U650, ks_horizon_collection_delay_5pct_peak_funding_intercept_U650, ks_horizon_e_ar_scope, ks_horizon_e_decontrol_scope, ks_credit_e_facilities, ks_econ_fig_ebitda, ks_econ_fig_net_income, ks_econ_fig_cfo, ks_econ_fig_debt, ks_econ_fig_new_finance_h1_2027, ks_econ_e_cash_tax</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</si>
  <si>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</si>
  <si>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</si>
  <si>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</si>
  <si>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</si>
  <si>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</si>
  <si>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</si>
  <si>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 年报未用银行借款10.8亿元与跟踪报告未用授信47亿元的冲突另见ks_credit_find_facilities，尚未形成银行合同桥；不能以额度披露或现有再融资4.65研究分证明付款资金已落实。 该诊断保留无新增融资路径；完整经营、税款、提款与新增利息的条件反馈见ks_econ_f_chain和ks_econ_f_funding，两套金额不直接拼接或择优。</t>
  </si>
  <si>
    <t>ks_d_l_e_cash_actual, ks_d_l_e_season, ks_r_base_cash_min, ks_r_worse_cash_min, ks_d_e_fund_new, ks_horizon_e_ar_scope, ks_horizon_e_decontrol_scope, ks_credit_e_facilities</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</si>
  <si>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</si>
  <si>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</si>
  <si>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</si>
  <si>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</si>
  <si>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</si>
  <si>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</si>
  <si>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</si>
  <si>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</si>
  <si>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</si>
  <si>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</si>
  <si>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</si>
  <si>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</si>
  <si>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</si>
  <si>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</si>
  <si>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</si>
  <si>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</si>
  <si>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</si>
  <si>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</si>
  <si>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</si>
  <si>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</si>
  <si>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</si>
  <si>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</si>
  <si>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</si>
  <si>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</si>
  <si>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</si>
  <si>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</si>
  <si>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</si>
  <si>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</si>
  <si>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</si>
  <si>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一年内的行业需求、回收、用途与融资压力。历史固定定性量化区间跨F5/F4，上端未达F3；未来经营融资的无材料涨价分支可得C/F3及A矩阵值，材料5%分支为C/F4及BBB+，均未证明实际持续改善。只有经营现金兑现、发行人资金及合同问题解决后才讨论实际上调；若付款条件失败立即重评。经营D/F4、C/F5、D/F5的既有变化分支继续保留。</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</si>
  <si>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 优先关闭10.8/47亿元额度冲突、年末39户保证至三月及六月的存续滚动，并核保证支持的实际收现和期后追偿。</t>
  </si>
  <si>
    <t>ks_r_e_definitions, ks_r_e_matrix, ks_r_financial_lower, ks_r_financial_upper, ks_d_e_commitment, ks_d_e_fund_new, ks_project_e_schedule, ks_credit_e_facilities, ks_credit_e_dealer_schedule, ks_credit_e_guarantee_q1</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</si>
  <si>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</si>
  <si>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</si>
  <si>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</si>
  <si>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</si>
  <si>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</si>
  <si>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t>
  </si>
  <si>
    <t>ks_a_e_summary, ks_a_e_old, ks_a_e_invest, ks_a_missing_totaldebt_2023, ks_a_missing_interest_total_2023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</si>
  <si>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</si>
  <si>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</si>
  <si>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</si>
  <si>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</si>
  <si>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</si>
  <si>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</si>
  <si>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</si>
  <si>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</si>
  <si>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</si>
  <si>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</si>
  <si>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</si>
  <si>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</si>
  <si>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亿元人民币。归母利润较2024年减少5.71 亿元人民币，其中扣非恶化3.28 亿元人民币、非经常支持减少2.43 亿元人民币，后者占42.51%；不能把恶化全部归于当期一次性损失。</t>
  </si>
  <si>
    <t>公司归母非经常损益从2.97 亿元人民币降至5,444.23 万元人民币，逐项保留税与少数股东影响；扣非归母从-2.62 亿元人民币恶化至-5.90 亿元人民币。金融资产公允价值及处置损益从1.77 亿元人民币降至203.41 万元人民币，单项应收转回从1.37 亿元人民币降至7,987.08 万元人民币。前者不等同公允价值变动科目，后者须核现金回收、抵债或估计变更，非经常分类本身不证明现金收回。两项2024税前收益合计占原会计EBITDA72.51%；仅对称扣除这两项，2024/2025 EBITDA为1.19 亿元人民币/-2.93 亿元人民币，税前利润为-2.68 亿元人民币/-6.74 亿元人民币。这是局部依赖敏感性，并未对政府补助、处置损失、重组和其他项目逐项作经济正常化，也未替换官方评级指标；已列负项不因只挑正收益而被忽略。</t>
  </si>
  <si>
    <t>ks_a_e_is, ks_a_e_revenue, ks_a_e_debtassets, ks_a_ebitda_2025, ks_a_perf_fv_2024, ks_earn_e_nonrec, ks_earn_nonrec_contribution, ks_earn_two_gains_share_2024, ks_earn_ebitda_sensitivity_2024, ks_earn_ebitda_sensitivity_2025</t>
  </si>
  <si>
    <t>ks_earn_reversal_2025, ks_earn_disposal_2025, ks_earn_restructuring_2025</t>
  </si>
  <si>
    <t>集中确认历史客户损失会使当期亏损高于现金支出，但持续发生的信用成本不能自动全额加回。
应收转回可能来自真实收款，也可能来自抵债及估计变化；须逐笔对应现金、资产接收和准备滚动后判断。
资产处置及债务重组损失也应按经济性质对称审查；公司扣非口径、分析者正常化和机构偿债收益定义分别保留。</t>
  </si>
  <si>
    <t>按客户和年度拆分新增损失、实际回收及转回依据；把金融资产损益对应到处置现金与剩余估值敞口，对持续补助和负向非经常项目作同等核查。证明常态经营收益和现金覆盖利息及必要投入后再改善盈利判断；仅观察2024正EBITDA或2025转回收益不足以成立。</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</si>
  <si>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</si>
  <si>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</si>
  <si>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</si>
  <si>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</si>
  <si>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</si>
  <si>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</si>
  <si>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</si>
  <si>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</si>
  <si>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</si>
  <si>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</si>
  <si>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</si>
  <si>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</si>
  <si>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</si>
  <si>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</si>
  <si>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</si>
  <si>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</si>
  <si>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</si>
  <si>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</si>
  <si>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</si>
  <si>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</si>
  <si>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</si>
  <si>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</si>
  <si>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</si>
  <si>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</si>
  <si>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</si>
  <si>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</si>
  <si>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</si>
  <si>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</si>
  <si>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</si>
  <si>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</si>
  <si>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</si>
  <si>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</si>
  <si>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</si>
  <si>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</si>
  <si>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</si>
  <si>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</si>
  <si>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</si>
  <si>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</si>
  <si>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 经销商被担保贷款按公开安排用于付公司货款，跟踪报告称主要用于年底前结清应付；需核真实保证支持收现流量及可持续性。年末担保余额不是年度收现流量，不能直接扣减CFO。</t>
  </si>
  <si>
    <t>ks_a_e_cf, ks_a_e_indirect, ks_a_e_summary, ks_a_e_equity, ks_a_indirect_cfo_2025, ks_credit_e_dealer_use, ks_credit_e_yearend_settlement</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</si>
  <si>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</si>
  <si>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 将经销银行放款与本公司收款逐笔匹配，并与保证余额滚动/逾期情况联查，才能辨别可持续经营回款和依赖保证续作的收现。</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</si>
  <si>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</si>
  <si>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</si>
  <si>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</si>
  <si>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</si>
  <si>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</si>
  <si>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</si>
  <si>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</si>
  <si>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ks_a_find_reported_debt_metrics</t>
  </si>
  <si>
    <t>年报债券章节的同名指标是否与研究计算可直接比较？</t>
  </si>
  <si>
    <t>发行人2025/2024 EBITDA全部债务比分别为-2.53%、4.78%，EBITDA利息保障分别为-2.12 倍、4.00 倍。研究2025 EBITDA/广义利息债为-4.00%，EBITDA/全部利息为-1.66 倍；差异需先核定义，不能据指标名称互相替换。</t>
  </si>
  <si>
    <t>用既有金额计算，2025/2024 EBITDA/总负债为-2.53%、4.78%，EBITDA/费用化利息为-2.12 倍、4.00 倍，EBIT/费用化利息为-4.95 倍、1.43 倍，舍入后分别与发行人对应指标一致。这是候选分母的一致性解释，不是公司公式已获确认。现金利息保障10.73 倍及两年偿还/付息率原值保留，未用合计利息现金、分红现金或某一应计利息拼出相同结果。负盈利与报告期偿付完成可以并存，历史偿付率不证明未来付款资金充足。 同页亏损比例原文13.49%与本期亏损/期末归母权益13.49%舍入一致；期末总权益对照为13.21%，标题上年末口径的归母/总权益对照为10.74%、10.57%。两种期初口径均超过标题10%门槛，但不能用期末比例冒充期初比例；原文期间和权益范围说明仍需澄清，不据此认定亏损金额错误。</t>
  </si>
  <si>
    <t>ks_a_e_bond_metrics, ks_a_e_external_rating_2025, ks_a_ebitda_liab_comparison_2024, ks_a_ebitda_debt_comparison_2024, ks_a_ebitda_expinterest_comparison_2024, ks_a_ebit_expinterest_comparison_2024, ks_a_ebitda_liab_comparison_2025, ks_a_ebitda_debt_comparison_2025, ks_a_ebitda_expinterest_comparison_2025, ks_a_ebit_expinterest_comparison_2025, ks_a_ebitda_interest_2025, ks_a_ebitda_interest_2024, ks_a_e_bond_repayment_claim, ks_a_loss_closing_parent_comparison, ks_a_loss_closing_total_comparison, ks_a_loss_opening_parent_comparison, ks_a_loss_opening_total_comparison</t>
  </si>
  <si>
    <t>公司指标可能采用总负债或不同利息定义，亦可能有未列调节；相同舍入结果不足以在这些解释中唯一择一。
年报另引述的2025年外部AA/稳定与本次条件研究建议分开；不以该外部等级消除当前资金、历史口径及持续承诺限制。</t>
  </si>
  <si>
    <t>取得公司指标计算表、全部债务/利息组成及贷款偿付总体后，逐项桥接至研究口径并解释差异；若涉及实际债务漏项、资金受限或逾期，再更新对应因素和付款情景。仅完成舍入对照不变更既有条件等级。</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</si>
  <si>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</si>
  <si>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</si>
  <si>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</si>
  <si>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</si>
  <si>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</si>
  <si>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</si>
  <si>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</si>
  <si>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</si>
  <si>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</si>
  <si>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</si>
  <si>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</si>
  <si>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</si>
  <si>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</si>
  <si>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</si>
  <si>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</si>
  <si>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</si>
  <si>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</si>
  <si>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</si>
  <si>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</si>
  <si>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</si>
  <si>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</si>
  <si>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</si>
  <si>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</si>
  <si>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递延税资产对亏损和资本的支撑能否兑现为偿债能力？</t>
  </si>
  <si>
    <t>列报DTA（抵销后）5.03 亿元人民币占总权益12.41%；DTA减DTL净税资产4.66 亿元人民币占总权益11.51%，两种口径不能混用。减值及亏损DTA占抵销前DTA80.11%。当期递延税收益1.03 亿元人民币缓冲亏损；仅剔除该收益并保留当期税费，合并净利润展示为-6.51 亿元人民币，不代表现金流入。</t>
  </si>
  <si>
    <t>减值DTA增加7,302.10 万元人民币、亏损DTA增加3,772.57 万元人民币，合计1.11 亿元人民币，加其余类别净变化-1,787.41 万元人民币形成抵销前DTA增加9,287.27 万元人民币。两类期末DTA合计4.30 亿元人民币；已确认亏损DTA7,146.12 万元人民币对应亏损税基4.42 亿元人民币。CAS18要求按纳税主体可用应税利润、期限及适用税率确认和复核。未确认差异与亏损3.88 亿元人民币是税基，不能直接当DTA减记额；年报第189—190页的到期表仅列未确认亏损，不能替代已确认亏损期限。损益递延税收益含多类DTA与DTL变动，不能全部归于亏损DTA。</t>
  </si>
  <si>
    <t>ks_a_e_tax, ks_tax_e_balance, ks_tax_e_cas18, ks_tax_e_pl_cash, ks_a_taxroll, ks_tax_gross_dta_increase, ks_tax_key_share, ks_a_dta_equity, ks_tax_netasset_equity, ks_tax_loss_equity, ks_tax_income_without_deferred</t>
  </si>
  <si>
    <t>ks_a_taxcurrent, ks_a_unrecognizeddta</t>
  </si>
  <si>
    <t>部分可抵扣差异可由同一纳税主体未来应税利润及应税暂时性差异转回支持；合并亏损本身不证明全部DTA失效。
集团内其他主体盈利不能未经税法依据抵扣亏损，同一未来应税利润不能在多类DTA中重复使用。</t>
  </si>
  <si>
    <t>取得分主体、税区、亏损发生及到期年度、差异转回和抵扣限制后，若可用应税利润不足，则重估相关DTA；亏损DTA占总权益1.76%。经证实需减记时相应降低损益和权益，不再追加一次假定税盾；按选用信用方法评价资本缓冲，并与减值情景去重。未落实的税资产不进入可调度现金，不能据税收益上调偿债能力。</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</si>
  <si>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</si>
  <si>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</si>
  <si>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</si>
  <si>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</si>
  <si>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</si>
  <si>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</si>
  <si>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</si>
  <si>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</si>
  <si>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</si>
  <si>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</si>
  <si>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</si>
  <si>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</si>
  <si>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</si>
  <si>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</si>
  <si>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</si>
  <si>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</si>
  <si>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年末集团外经销担保1.60 亿元人民币；前十笔1.23 亿元人民币、占77.08%，其中原表七笔六月担保到期金额1.04 亿元人民币。三月末公告实际集团外余额降至7,655.11 万元人民币，降幅52.18%；集团内1.21 亿元人民币另列。余额下降是反证，不证明前十笔已逐笔解除或截至六月仍无风险。</t>
  </si>
  <si>
    <t>原表“担保到期日”不是公司代偿日；39户需从年末经新增、续期、偿还、解除和代偿分别桥至三月末及六月。经销贷款按披露用于付公司货款，年底结清应付可能改善收现却留下保证责任：同一客户压力可同时削弱销售/收款并触发代偿。不得将年末存量直接从CFO扣除。2026-016新增审批3.60 亿元人民币但协议未签，不是已发生义务或确定融资。已开保函1.66 亿元人民币、诉讼及质保义务仍单列；集团内保证与并表基础债务去重。</t>
  </si>
  <si>
    <t>ks_credit_e_dealer_schedule, ks_credit_e_guarantee_q1, ks_credit_e_guarantee_approval, ks_credit_e_dealer_use, ks_credit_e_yearend_settlement, ks_a_e_liabs, ks_a_e_related</t>
  </si>
  <si>
    <t>三月末实际余额下降且公司声明无逾期、涉诉及败诉代偿，有利于风险判断；它未说明逐户变化原因或六月状态。
反担保可能有回收价值，但需核权属、顺位、可执行性及时间；先列发行人毛付款，再列有依据的追偿，不能抵销当天现金。</t>
  </si>
  <si>
    <t>全查原表前十笔及新增、展期、逾期、追偿和代偿事项；取得其余29户完整台账并核全量滚动，不能外推。把贷款放款—客户付款—发票/应收结算和实际保证状态逐户连接，区分新销售、旧款回收、预收与借新还旧；将净增或有损失与实际现金时点分别进入资产/现金质量、融资及个体调整，消除与回款和已并表债务重复计算。</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</si>
  <si>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</si>
  <si>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</si>
  <si>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</si>
  <si>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</si>
  <si>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</si>
  <si>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</si>
  <si>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</si>
  <si>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</si>
  <si>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</si>
  <si>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亿元人民币；公告次年初旧轮已归还13.00 亿元人民币，并批准新一轮上限13.00 亿元人民币。时点疑点已由公告澄清，授权上限不等于六月实际占用。</t>
  </si>
  <si>
    <t>仍需关注一般户混用期间用途追踪、专户整改执行及研究截止日占用；不能以续作代表永久资本，也不能将归还额倒填年末。</t>
  </si>
  <si>
    <t>ks_a_e_proceeds2, ks_a_e_return26, ks_a_e_renew26</t>
  </si>
  <si>
    <t>公告证实旧轮归还并获新授权，可解释不同报告时点的余额，不构成旧轮长期未归还的证据。
新授权可能未全额使用，也可能部分重新投入经营；上限和实际占用不能互换。</t>
  </si>
  <si>
    <t>以截止日实际占用和用途流水确认应恢复额度、时间及项目需求，并验证混用问题整改执行；已公开的旧轮归还时点不再重复请求。</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</si>
  <si>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</si>
  <si>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</si>
  <si>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</si>
  <si>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</si>
  <si>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</si>
  <si>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</si>
  <si>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</si>
  <si>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</si>
  <si>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</si>
  <si>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</si>
  <si>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</si>
  <si>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</si>
  <si>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</si>
  <si>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</si>
  <si>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</si>
  <si>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</si>
  <si>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</si>
  <si>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</si>
  <si>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</si>
  <si>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</si>
  <si>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</si>
  <si>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</si>
  <si>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</si>
  <si>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</si>
  <si>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</si>
  <si>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</si>
  <si>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</si>
  <si>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</si>
  <si>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</si>
  <si>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</si>
  <si>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</si>
  <si>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</si>
  <si>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</si>
  <si>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</si>
  <si>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</si>
  <si>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</si>
  <si>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</si>
  <si>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</si>
  <si>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</si>
  <si>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</si>
  <si>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</si>
  <si>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</si>
  <si>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</si>
  <si>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</si>
  <si>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</si>
  <si>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</si>
  <si>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</si>
  <si>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</si>
  <si>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</si>
  <si>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</si>
  <si>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</si>
  <si>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</si>
  <si>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 上述经销担保为年末数；三月末集团外实际余额降至7,655.11 万元人民币，不沿用年末存量代表六月。</t>
  </si>
  <si>
    <t>ks_b_e_distribution, ks_b_e_cash, ks_b_e_fund, ks_b_e_guarantees</t>
  </si>
  <si>
    <t>ks_b_e_2026_dividend, ks_b_e_fund_return, ks_credit_e_guarantee_q1</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</si>
  <si>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</si>
  <si>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</si>
  <si>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</si>
  <si>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</si>
  <si>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</si>
  <si>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</si>
  <si>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</si>
  <si>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</si>
  <si>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</si>
  <si>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</si>
  <si>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</si>
  <si>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</si>
  <si>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</si>
  <si>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</si>
  <si>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</si>
  <si>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</si>
  <si>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</si>
  <si>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</si>
  <si>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</si>
  <si>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</si>
  <si>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</si>
  <si>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</si>
  <si>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</si>
  <si>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</si>
  <si>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</si>
  <si>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</si>
  <si>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</si>
  <si>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</si>
  <si>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</si>
  <si>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</si>
  <si>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</si>
  <si>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取得渠道收入、实际订单、旧账回款及海外数据后重设地区增长假设。该地区收入区间只作独立敏感性；经营融资链另采用同季收入锚×98%并同步现金及成本，不将两套假设混成同一预测。</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</si>
  <si>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</si>
  <si>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</si>
  <si>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</si>
  <si>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</si>
  <si>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</si>
  <si>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</si>
  <si>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</si>
  <si>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</si>
  <si>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</si>
  <si>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</si>
  <si>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</si>
  <si>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</si>
  <si>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</si>
  <si>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</si>
  <si>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</si>
  <si>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</si>
  <si>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</si>
  <si>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</si>
  <si>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t>
  </si>
  <si>
    <t>ks_d_f_face_2025, ks_d_f_face_q1, ks_d_c_face_q1_rollforward, ks_d_c_face_remaining, ks_d_e_issue_coupon, ks_d_e_maturity_call, ks_d_g_cash_2026, ks_d_g_cash_2027, ks_d_g_cash_2028, ks_d_g_cash_2029</t>
  </si>
  <si>
    <t>ks_d_f_face_conversion_q1, ks_d_e_put, ks_d_e_maturity_call</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</si>
  <si>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</si>
  <si>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</si>
  <si>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</si>
  <si>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</si>
  <si>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</si>
  <si>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</si>
  <si>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</si>
  <si>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</si>
  <si>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</si>
  <si>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</si>
  <si>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</si>
  <si>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</si>
  <si>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</si>
  <si>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</si>
  <si>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</si>
  <si>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</si>
  <si>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</si>
  <si>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</si>
  <si>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</si>
  <si>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</si>
  <si>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</si>
  <si>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</si>
  <si>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</si>
  <si>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</si>
  <si>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</si>
  <si>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</si>
  <si>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</si>
  <si>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</si>
  <si>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</si>
  <si>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</si>
  <si>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</si>
  <si>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</si>
  <si>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</si>
  <si>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</si>
  <si>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</si>
  <si>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</si>
  <si>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</si>
  <si>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</si>
  <si>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</si>
  <si>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</si>
  <si>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</si>
  <si>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</si>
  <si>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</si>
  <si>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</si>
  <si>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 年报第95页称募投实施已提升盈利、稳定经营现金及自有资金和融资可支付回售/赎回/到期本息；与上述实际投入、延期和资金恢复条件对照，该主张尚不能替代按法人及付款日验证的偿债来源，投入比例也不能作为项目利润或完工率的反证。 第83页四项建设/升级项目当期及累计效益均明列零，是对项目贡献的直接披露；补流项目及全部资金用途的影响范围不同，不能据此认定上述总体主张虚假，但新增项目盈利尚未由该表支持。需说明具体收益、时点及法人并与现金预算衔接。</t>
  </si>
  <si>
    <t>ks_project_e_progress, ks_project_e_schedule, ks_project_e_tracking, ks_d_e_fund_new, ks_d_e_issue_coupon, ks_d_e_maturity_call, ks_a_e_bond_repayment_claim, ks_a_e_project_reported_benefits, ks_a_e_audit</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</si>
  <si>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</si>
  <si>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</si>
  <si>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</si>
  <si>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</si>
  <si>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</si>
  <si>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</si>
  <si>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</si>
  <si>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</si>
  <si>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</si>
  <si>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</si>
  <si>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</si>
  <si>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</si>
  <si>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</si>
  <si>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</si>
  <si>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</si>
  <si>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</si>
  <si>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</si>
  <si>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</si>
  <si>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</si>
  <si>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</si>
  <si>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</si>
  <si>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</si>
  <si>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 该截距保留D/X等未代入的现金容量诊断；经营融资链另列账面清偿预算及新增贷款利息循环，不能把两者当同假设融资需要比较或相加。</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</si>
  <si>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</si>
  <si>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</si>
  <si>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</si>
  <si>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</si>
  <si>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</si>
  <si>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</si>
  <si>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</si>
  <si>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</si>
  <si>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</si>
  <si>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</si>
  <si>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</si>
  <si>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</si>
  <si>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</si>
  <si>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 回款时点敏感性自身不直接改变损益；材料涨价条件链另从成本、采购/AP和现金出发，完整反馈新增融资、利息、未来利润权益及因素，见ks_econ_f_chain。</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</si>
  <si>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</si>
  <si>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已运行全年条件损益与债务预测；其他资产独立周转、真实合同到期、发行人可调度资金及Δ_A/Δ_H/Γ仍未核实。须按证据更新同一经营、税款、现金和融资链，不从半年CFO或任意半分变动直接推出评级级差。回款恢复且支付前提获证可研究展望稳定；付款前提失败须重评。</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</si>
  <si>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</si>
  <si>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</si>
  <si>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</si>
  <si>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</si>
  <si>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</si>
  <si>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</si>
  <si>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</si>
  <si>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ks_tax_find_bridge</t>
  </si>
  <si>
    <t>递延税净资产增量为何小于损益税收益，能否据此重算现金流？</t>
  </si>
  <si>
    <t>净税资产增加9,635.29 万元人民币，损益递延税收益1.03 亿元人民币，相差643.27 万元人民币。可转债权益相关DTL期末余额643.27 万元人民币支持候选权益解释，尚不是已证实当期权益流量；候选桥剩余32.48 元人民币未关闭，该微小差额本身不构成重大信用风险。</t>
  </si>
  <si>
    <t>期初DTA减DTL为3.70 亿元人民币，期末为4.66 亿元人民币。按期初加损益税收益、减期末可转债权益DTL余额作候选比较，得到4.66 亿元人民币。第189页该DTL期初栏为空白，不填零；第196页其他权益工具减少643.30 万元人民币含转股等可能成分，不全额视为税项。CAS18第21—22条及CSRC会计类第5号5-8支持权益相关初始税项计权益、后续折价摊销税项计损益；可转债2023年发行，公开披露未说明本期新增列示DTL的过渡分录，不定性为新发行、政策变更或前期差错。现金流补充资料税调整-9,635.29 万元人民币与损益递延税费用相差643.27 万元人民币；其他1,731.19 万元人民币无税项拆分，不能倒填差额或直接改动报告CFO。</t>
  </si>
  <si>
    <t>ks_tax_e_balance, ks_tax_e_equity, ks_tax_e_pl_cash, ks_tax_e_cas18, ks_tax_e_csrc5, ks_tax_candidate_residual, ks_tax_cf_pl_gap</t>
  </si>
  <si>
    <t>权益相关税项是有公开金额和规则支持的主要候选解释；完整流量还需核转股、合并范围和外币折算等实际分录。
候选余额接近差额不能证明税项流量已全部归属；也不能据此认定报表重大错报或CFO应调整。</t>
  </si>
  <si>
    <t>取得当期权益税额、期初至期末DTL滚动和转股分录，并与现金流其他项税拆分核对后，可明确精确归属；剩余差额按真实来源解释。资产可实现性另按重大DTA余额评价，不因微小尾差未解释而改变信用判断。</t>
  </si>
  <si>
    <t>ks_credit_find_facilities</t>
  </si>
  <si>
    <t>年末披露额度能否支持付款日的再融资假设？</t>
  </si>
  <si>
    <t>年报未用银行借款额度10.80 亿元人民币，跟踪报告同称2025年底的银行授信总额73.00 亿元人民币、未用47.00 亿元人民币。未用披露名义差额36.20 亿元人民币，尚未解释。两来源用词不同只是待核线索，不能据此称口径已对齐，任何一项也未作为已落实现金计入。</t>
  </si>
  <si>
    <t>按同一法人、银行及产品对应总额、已用、未用、共享或循环额度，核抵质押、保证金、财务约束、提款前提、撤销权和有效期，再将真正可用金额匹配付款日。综合授信可能包含票据、保函或其他产品，年报借款额度也可能有不同总体；这些是候选解释，不是已查明原因。现有再融资研究分5.0/4.5及加权4.65仅保留为原条件分支，金额冲突未关闭前不能证明这一赋值或BBB+资金前提充分，也不因缺资料任意另给分。 年报第95页管理层称授信充足、可快速融资且自有资金及融资足以偿付；这与已披露季度融资形成支持线索，但未解决两个额度总体及合同可提用条件的差异。</t>
  </si>
  <si>
    <t>ks_a_e_maturity, ks_credit_e_facilities, ks_credit_facility_gap</t>
  </si>
  <si>
    <t>ks_a_e_q1, ks_a_e_bond_repayment_claim</t>
  </si>
  <si>
    <t>一季度实际新增借款证明当季有融资发生，但不能证明六月以后的未用额度、提款条件或母公司付款能力。
若合同总体差异完整解释差额且足额资源可按时提用，可支持融资能力；若主要是可撤销、受限或非现金产品，则应降低可依赖融资并重新评估因素和资金前提。</t>
  </si>
  <si>
    <t>取得两个披露总体的逐项桥及银行直接证据，列明每个付款日已承诺可提金额、条件满足状态和现金所在法人；仍未解释部分排除已落实来源。以核实结果更新再融资因素及资金情景；先检查付款前提是否失效，再决定等级和展望，不沿用4.65作为已证实结论。</t>
  </si>
  <si>
    <t>ks_econ_f_chain</t>
  </si>
  <si>
    <t>2025材料毛利改善若部分逆转，未来损益与偿债因素是否改变？</t>
  </si>
  <si>
    <t>同季利息/补助收益、公开锚定当期税及Q1减值延续条件下，材料+5%使2026 EBITDA3.53735亿元、净利−1.27943亿元、CFO2.36903亿元、末债45.08299亿元；2027H1累计新借12.34238亿元。材料冲击相对同基准使财务分4.61625/F3→4.36625/F4，杠杆跨20和25两个阈值。</t>
  </si>
  <si>
    <t>年报材料成本×收入预算×5%→增量采购/80%当季付款/20%应付→CFO与15天底线→期初融资和本季利息循环→利润/债务/权益→20/30/50研究适配财务因子；材料冲击只计一次。 利息/补助现金与收益对应、未知其他收現剔除；回收单列期初账面池；当期税计提及支付通过应交税滚动，历史现金税先排除代理份额再替换。</t>
  </si>
  <si>
    <t>ks_econ_e_material, ks_econ_e_q1, ks_econ_fig_ebitda, ks_econ_fig_cfo, ks_econ_fig_debt, ks_r_e_finance, ks_econ_e_cash_tax</t>
  </si>
  <si>
    <t>2025减值强度延续、材料5%时，2026 EBITDA−0.71357亿元、净亏5.53036亿元，财务分3.68875/F4。
VAT全递延需累计新借12.58118亿元；当期税同季支付12.49497亿元；未来利息补助均不发生12.89331亿元。
年度比率先加权保留；零分母与混合正负EBITDA未决不伪造唯一杠杆或利用带符号均值抵销负担。</t>
  </si>
  <si>
    <t>收入/采购价格、减值回收、税额抵扣、贷款条件与期限改变，须重跑同链；经营资产独立周转预测和真实可调用资金仍待核。</t>
  </si>
  <si>
    <t>ks_econ_f_funding</t>
  </si>
  <si>
    <t>相同经营冲击下，新增资金取得是否足以支持支付条件？</t>
  </si>
  <si>
    <t>累计新增融资仅5亿元时，2027-03-31首次不能满足经营底线和用途准备，缺口3.59975亿元。按需到位、三年期新贷均为条件；材料5%矩阵保留BBB+主体及转债分支、无涨价强分支为A，实际发行人A及支付覆盖仍为空，不能由条件结果认定真实评级调整。</t>
  </si>
  <si>
    <t>旧债账面清偿预算、现金息和债券票息与经营流同表；每季求F=(底线+用途准备−无新提款期末现金)/(1−当期新借款利息率)，受限融资不足则停止，不继续以自动贷款补平。</t>
  </si>
  <si>
    <t>ks_econ_e_q1, ks_credit_e_facilities, ks_econ_fig_new_finance_h1_2027, ks_r_e_finance</t>
  </si>
  <si>
    <t>真实合同清偿与账面预算不同会改变提款时点及金额。
U/P、Δ_A/Δ_H/Γ、X、发行人A改变均可能改变日期判断；均不预填为事实。</t>
  </si>
  <si>
    <t>取得按法人和银行拆分的额度确认、提款及资金调拨、合同到期及用途恢复证据后，用同一经营情景重跑；47亿元与10.8亿元未用额度不能替代确认。</t>
  </si>
  <si>
    <t>ks_econ_f_qualitative</t>
  </si>
  <si>
    <t>为何2024/25采用资产质量3.5/2.5、再融资5/4.5，二者共同变化怎样影响结果？</t>
  </si>
  <si>
    <t>资产质量下调有应收准备27.50%→36.17%、3年以上23.78%→32.56%及抵债房产5.31→7.86亿元支持；但没有官方自动数值门槛。再融资中心5/4.5受同日未用额度冲突与附条件可得性限制，保留未选定。两项各±0.5，历史中心财务分3.62375/3.73625/3.84875均F4，叠加量化档内取值的联合范围[3.34875,4.12375)跨F5/F4。</t>
  </si>
  <si>
    <t>两项权重10%和12.5%，共同±0.5使财务分±0.1125；Q1减值无涨价分支4.50375/4.61625/4.72875均F3，材料5%为4.25375/4.36625/4.47875均F4。历史联合区间及全部9格另列。</t>
  </si>
  <si>
    <t>ks_a_e_ar, ks_credit_e_facilities, ks_r_e_finance, ks_r_e_history</t>
  </si>
  <si>
    <t>资产回收与银行可用额度获证支持时可选偏强相邻分支；准备不足、抵债房产/税资产变现弱或融资受限则偏弱。
仅见净应收和受限资产下降不足以证明资产改善；额度未使用不等于无条件可提款。</t>
  </si>
  <si>
    <t>取得实际回收/减值充分性与银行确认后再选定分支；在此之前不以中心评级替代判断区间。</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</si>
  <si>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</si>
  <si>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</si>
  <si>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</si>
  <si>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</si>
  <si>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</si>
  <si>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</si>
  <si>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</si>
  <si>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</si>
  <si>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</si>
  <si>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</si>
  <si>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</si>
  <si>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</si>
  <si>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</si>
  <si>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</si>
  <si>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</si>
  <si>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</si>
  <si>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</si>
  <si>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重算公开直接法及间接法经营现金、现金期初期末桥和投入/分配后现金余量 / 准确性, 列报, 范围与截止</t>
  </si>
  <si>
    <t>2025年报第111—113页现金流量表及第208—209页补充资料的2025/2024两列；相关资本开支、分红及现金余额原值</t>
  </si>
  <si>
    <t>两列现金流表和间接调节的已列项目全部算术重算，未取得交易明细总体或执行交易抽样</t>
  </si>
  <si>
    <t>按原符号重算经营流入/流出小计、直接法CFO，并以净利润加减已披露调整重算间接法CFO，两列分别与报表CFO比较。
分别重算经营、投资、筹资净额加汇率的现金变动，以及期初现金等价物至期末桥；不将货币资金全部当作现金等价物。
依既有明示公式复算CFO扣现金资本开支及已分红后的余量；仅验证披露与算式的一致性，保留与本程序范围不同的附注差额和未获明细。</t>
  </si>
  <si>
    <t>2025直接法 ks_a_recalc_cfo_2025 与间接法 ks_a_indirect_cfo_2025 均为3.20 亿元人民币；2024对应两算式均为3.15 亿元人民币，勾稽 ks_a_r_cfo_2025/2024 及 ks_a_r_indirect_cfo_2025/2024 残差为零。现金三类活动加汇率及期初期末桥分别见 ks_a_recalc_cashdelta_2025/2024、ks_a_cashbridge_2025/2024，对应 ks_a_r_cashdelta_2025/2024 和 ks_a_r_cash_2025/2024 残差为零。投入及分配后余量见 ks_a_fcf_2025、ks_a_fcf_after_div；这些复算不证明收付款真实性、持续经营口径或资金可达性。另列的 ks_a_r_arres、ks_a_r_chuzhou 及 ks_tax_r_candidate 差额仍未决，不属于本项现金加总已闭合的证明范围。</t>
  </si>
  <si>
    <t>ks_a_e_cf, ks_a_e_indirect, ks_a_e_equity, ks_a_recalc_opcashin_2025, ks_a_recalc_opcashout_2025, ks_a_recalc_cfo_2025, ks_a_indirect_cfo_2025, ks_a_recalc_opcashin_2024, ks_a_recalc_opcashout_2024, ks_a_recalc_cfo_2024, ks_a_indirect_cfo_2024, ks_a_recalc_cashdelta_2025, ks_a_recalc_cashdelta_2024, ks_a_cashbridge_2025, ks_a_cashbridge_2024, ks_a_fcf_2025, ks_a_fcf_after_div, ks_a_ar_res_roll, ks_a_chuzhou_roll, ks_tax_candidate_residual</t>
  </si>
  <si>
    <t>公开资料研究分析 2026-10-04</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</si>
  <si>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</si>
  <si>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</si>
  <si>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</si>
  <si>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</si>
  <si>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</si>
  <si>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</si>
  <si>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</si>
  <si>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</si>
  <si>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</si>
  <si>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</si>
  <si>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</si>
  <si>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</si>
  <si>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</si>
  <si>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</si>
  <si>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</si>
  <si>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</si>
  <si>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</si>
  <si>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</si>
  <si>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</si>
  <si>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</si>
  <si>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验证期末债权的可回收金额和现金时间，区分真实回款、非现金处置及融资支持收现 / 计价和分摊, 存在性及权利, 截止</t>
  </si>
  <si>
    <t>尚未取得：期末按客户、合同和发票的债权余额及准备明细、原始账龄、期后收付款、重组/抵债和经销担保贷款完整台账；取得后先与已披露原值、准备和核销滚动核对总体</t>
  </si>
  <si>
    <t>总体取得后优先覆盖单项计提、长账龄、大额风险客户、抵债重组和年末保证支持回款；再覆盖其余主要组合。按实际集中度和差错风险确定项目，不预称样本数量或已实施抽样</t>
  </si>
  <si>
    <t>将期末余额追至合同、交付/验收及结算权利，重建原始到期日和账龄；将银行收款逐笔追至该期末发票/债权，核付款人、付款日期及冲销分录，剔开新订单预收、集团内划转和与旧债无关的资金。
对年末经销贷款支持收现，联查银行放款、本公司收款、保证及期后还贷/退款，辨别由融资支持但真实结清的旧债与资金循环；不能仅凭保证余额从CFO扣减。
将非现金重组、抵债和核销逐笔接至原债权、协议及执行事实，核资产权属、可变现净额、税费和预计回收日期，避免将抵债入账额当作现金回款；对准备其他变动保留原负号并核其语义及总账。
用核实的期后收现和重组执行检验单项/组合ECL中的违约、回收率及时间假设；差异先区分披露符号、范围、真实漏损或现金延期，形成可复算的准备及回收时间修订。
将经证实的损失或可用资金变化分别接到资产质量/权益与逐月收现情景；同一损失不在准备、评级调整和现金重复扣减，资料不足部分保持未知，不预定下调幅度。</t>
  </si>
  <si>
    <t>未实施底层核验；现有公开账龄、准备和经营应收调整已列示，不能据此证明每笔债权真实可收回或确定实际收款时间。</t>
  </si>
  <si>
    <t>ks_a_e_ar, ks_a_e_contract, ks_a_ar_res_roll, ks_credit_e_dealer_use, ks_credit_e_yearend_settlement</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</si>
  <si>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</si>
  <si>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</si>
  <si>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</si>
  <si>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</si>
  <si>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</si>
  <si>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</si>
  <si>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</si>
  <si>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</si>
  <si>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</si>
  <si>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</si>
  <si>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</si>
  <si>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定位滁州一期在建滚动差额并判断是否影响资产、当期损益、资本化和后续资金需求 / 完整性及准确性, 计价和分摊, 分类及截止</t>
  </si>
  <si>
    <t>尚未取得：滁州一期期初项目明细、全年增加/转固/其他减少及期末余额至总账的完整记录、验收资料、减值和资本化利息底稿</t>
  </si>
  <si>
    <t>先针对原表其他减少与期末余额的全部差异定位；总体取得后选取影响资本化、转固时点及减值的主要/异常项目，不预设未获资料的样本数量</t>
  </si>
  <si>
    <t>将第185页各列逐项接至项目辅助账及总账，分别重建期初、增加、转固、其他减少、期末；把其他减少逐笔追至对应科目和凭证，查清是否重分类、处置、减值、重复列示或范围变化。
将工程支出和减少分别追至合同、工程量确认、验收及付款或非现金记录；空白转固栏仍待核，不当作已证明无转固，亦不为使表格闭合而改动原披露值。
按实际达到预定可使用状态的日期核转固、折旧及借款费用停止资本化；结合延期、闲置及项目现金流资料评价减值，并区分资本化应计支出和实际现金付款。
若仅为披露表列重复/范围错误，记录正确列报桥而不机械扣利润；若确认资产计量或期间错误，量化资产、损益和权益影响。将实付资本支出及剩余合同支付接到项目资金预算，避免与临时补流恢复用途重复计债。</t>
  </si>
  <si>
    <t>未实施明细账及验收核验；公开原表差额仍未解释，不能将其认定为应扣减利润或新增债务。</t>
  </si>
  <si>
    <t>ks_a_e_fixed, ks_a_chuzhou_roll, ks_a_chuzhou_end, ks_project_e_progress, ks_project_e_schedule</t>
  </si>
  <si>
    <t>ks_a_pending_tax</t>
  </si>
  <si>
    <t>检验重大DTA可利用性，并厘清递延税余额、损益、权益和现金的归属 / 计价和分摊, 准确性, 列报及期间归属</t>
  </si>
  <si>
    <t>尚未取得：按纳税主体、税区和到期年度的已确认/未确认亏损及暂时性差异明细、申报税基、转回表、税率与优惠资格、应税利润预算及递延税分录</t>
  </si>
  <si>
    <t>优先覆盖减值和已确认亏损DTA、期限临近或持续亏损主体，以及可转债权益相关DTL与现金流税调整差异；其余重大差异按总体和期限风险确定，不把未确认亏损到期表替代已确认总体</t>
  </si>
  <si>
    <t>按同一纳税主体及税区将期初/期末DTA和DTL接至税基及暂时性差异，拆出本期损益、权益、转股、合并范围及其他变动；核现金流补充资料税调整和其他项的实际分录，不将可转债期末DTL余额直接当本期权益流量。
将亏损发生及到期年度、差异预计转回、税率/优惠和抵扣限制追至申报与适用依据，区分已确认和未确认部分；不能以集团其他主体盈利或未证实税收合并抵扣补足本主体。
将各主体未来应税利润预算接到订单、经营预测、历史预算兑现及可用应税暂时性差异转回；按同一可抵扣期间逐项分配，防止一份未来应税利润重复支持亏损、减值等多个DTA。
对到期前利润不足、转回时点错配或优惠失效形成金额与时间敏感性，辨别确认、计量和归属差异；经证实减记时按其真实税务后果更新损益/权益，不再叠加同一假设税盾。
将实际可用抵扣及税款支付安排接到现金税预算；DTA余额和递延税收益不作可调度现金。以修订后的资本缓冲及现金时点评价评级因素，候选税桥小额残差本身不触发等级调整。</t>
  </si>
  <si>
    <t>未实施纳税主体税基和盈利预算核验；公开余额、损益及候选权益桥可复算，但尚未证明全部DTA可实现或候选税流归属已闭合。</t>
  </si>
  <si>
    <t>ks_a_e_tax, ks_tax_e_balance, ks_tax_e_pl_cash, ks_tax_e_cas18, ks_tax_candidate_residual, ks_tax_cf_pl_gap</t>
  </si>
  <si>
    <t>ks_a_pending_parent</t>
  </si>
  <si>
    <t>集团往来合同及账龄、现金归集限制、子公司分红决策和上划凭证，发行主体未来一年资金计划。</t>
  </si>
  <si>
    <t>ks_a_pending_contingent</t>
  </si>
  <si>
    <t>经销保证完整性、存续状态与回款—代偿联动核验 / 完整性, 权利义务, 计价, 准确性, 范围与截止</t>
  </si>
  <si>
    <t>年末39户/160,098,145.60元经销保证，滚动至2026-03-31披露7,655.11万元及2026-06-30；集团内担保、保函、诉讼及质保分别成表，合同总体尚未取得</t>
  </si>
  <si>
    <t>前十笔按金额及三月至六月到期集中全查，同时全查新增、展期、逾期、争议、追偿和代偿；取得剩余29户总体后按金额与风险决定进一步取证，不由前十笔外推</t>
  </si>
  <si>
    <t>取得担保台账、基础借款和保证合同、展期及解除文件、银行直接证据，与董事会/授信清单、总账和法务台账双向核完整性。
按户分别列期初、新增、续期、偿还、解除、被追偿及实际代偿，桥接年末—三月—六月；前十名匿名披露须有受控对应表，不能猜测客户身份。
核基础贷款实际偿还、余额及逾期，保证期间、索赔与法律责任终止；区分担保到期日、基础贷款到期日、付款要求日和实际代偿日。
逐户匹配银行放款、客户付科顺货款及发票/应收结算，拆新销售、旧款清收、预收和贷款周转；汇总本期实际保证支持收现，不以存量余额替代。
对代偿及预期信用损失核反担保权属、顺位、执行、变现净额与时间；先列毛付款，再列可证明的追偿，不用抵押估值抵销即期现金。
合并同一客户回款延迟、销售变化及代偿现金情景并去重；集团内保证与已并表基础债务仅列一次，核真正付款法人和资金来源。
另核保函索赔、重大诉讼律师证据及质保预计负债；输出逐项已核/未决及剩余总体，分别更新损失计量、现金资源、融资和未覆盖的评级调整。</t>
  </si>
  <si>
    <t>公开期限表、季度分组余额和用途机制已读并复算，详见ks_credit_proc_public；本程序所列银行/客户/合同及法律证据仍未取得，未实施逐户解除和现金链测试。</t>
  </si>
  <si>
    <t>ks_credit_e_dealer_schedule, ks_credit_e_guarantee_q1, ks_credit_e_dealer_use, ks_credit_e_yearend_settlement</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</si>
  <si>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</si>
  <si>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</si>
  <si>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</si>
  <si>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</si>
  <si>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</si>
  <si>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</si>
  <si>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</si>
  <si>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</si>
  <si>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</si>
  <si>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</si>
  <si>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</si>
  <si>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</si>
  <si>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</si>
  <si>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</si>
  <si>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</si>
  <si>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</si>
  <si>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</si>
  <si>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</si>
  <si>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</si>
  <si>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</si>
  <si>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</si>
  <si>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</si>
  <si>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</si>
  <si>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</si>
  <si>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</si>
  <si>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</si>
  <si>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</si>
  <si>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</si>
  <si>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</si>
  <si>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</si>
  <si>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</si>
  <si>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</si>
  <si>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</si>
  <si>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</si>
  <si>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</si>
  <si>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</si>
  <si>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</si>
  <si>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</si>
  <si>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</si>
  <si>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</si>
  <si>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ks_credit_proc_public</t>
  </si>
  <si>
    <t>公开披露金额、期限列和最新余额复核 / 准确性, 范围与截止, 列报</t>
  </si>
  <si>
    <t>2025年报PDF218、227—228；2026跟踪报告PDF17；2026-016 PDF1—4；2024保荐核查意见PDF2—3</t>
  </si>
  <si>
    <t>完整核对所列原页，逐项抄取年末前十笔和其他29户合计，并读取期后公告；不是合同总体抽样</t>
  </si>
  <si>
    <t>核跨页表头、原单位、时点及担保到期日；保留匿名标识和缺失的其他29户日期。
以calculate复算前十笔、六月七笔、全部39户总额及占比；按万元转元勾稽三月内外实际余额及季度变化。
对照同称年末的10.8/47亿元未用披露，保留名义差额，不自行解释或填入可用现金。
读取被担保贷款付公司货款及年末清款机制，区分公司、保荐人和原评级机构的陈述与本次实际工作。</t>
  </si>
  <si>
    <t>已核原页列位和披露时点；年末明细及三月内外分组加总残差均为零。已识别授信披露冲突、期限集中及三月余额下降反证；未执行银行函证、合同测试、逐户解除核验或原评级师信用调查。</t>
  </si>
  <si>
    <t>ks_credit_e_facilities, ks_credit_e_dealer_schedule, ks_credit_e_guarantee_q1, ks_credit_e_guarantee_approval, ks_credit_e_dealer_use, ks_credit_e_yearend_settlement</t>
  </si>
  <si>
    <t>ks_credit_pending_facilities</t>
  </si>
  <si>
    <t>解决授信披露冲突并核付款日前可用融资 / 完整性, 准确性, 权利义务, 范围与截止</t>
  </si>
  <si>
    <t>两个截至2025-12-31的银行额度披露所涉全部法人、银行、品种及协议，延伸至2026-06-30和展望期逐笔到期/提款计划；总体尚未取得</t>
  </si>
  <si>
    <t>对构成36.2亿元差额的所有项目全量桥接；逐笔核所有拟用于覆盖付款缺口的融资，另检查共享额度、撤销/到期、违约交叉及受限产品</t>
  </si>
  <si>
    <t>分别取得年报10.8亿元及跟踪报告47亿元的编制明细，按法人—银行—合同—产品匹配总额、已用、未用；列重复、范围差异及未解释项。
核银行直接证明、签署合同及修订，分可撤销/承诺、借款/票据/保函、循环/共享额度；核抵质押、保证金、财务约束、提款先决条件及有效期。
将每笔已证实可提款金额、币种、可到款日和收款法人，与同日到期债务及用途限制对应，不能以子公司额度替代母公司已可调用资金。
用实际期后提款、偿还及协议变化更新可用余额；剔除未落实和重复资源，重算现金时点和融资能力，再判断原4.65条件分支能否保留。</t>
  </si>
  <si>
    <t>仅完成公开披露对照；未取得完整合同总体、银行直接确认或逐笔付款资源表。金额冲突及评级资金前提尚未关闭。</t>
  </si>
  <si>
    <t>ks_a_e_maturity, ks_credit_e_facilities</t>
  </si>
  <si>
    <t>所需资料</t>
  </si>
  <si>
    <t>影响</t>
  </si>
  <si>
    <t>责任角色</t>
  </si>
  <si>
    <t>关闭条件</t>
  </si>
  <si>
    <t>ks_a_req_scope</t>
  </si>
  <si>
    <t>历史趋势是否同口径？ 所需资料用于检验该判断的金额、期限或执行依据。</t>
  </si>
  <si>
    <t>发行人财务/法务及独立核查方</t>
  </si>
  <si>
    <t>ks_a_req_ar</t>
  </si>
  <si>
    <t>客户逐笔期后银行收现、账龄及重组台账，单项和组合ECL参数、抵债估值及担保可执行证据。</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</si>
  <si>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</si>
  <si>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</si>
  <si>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</si>
  <si>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</si>
  <si>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</si>
  <si>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</si>
  <si>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</si>
  <si>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</si>
  <si>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</si>
  <si>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</si>
  <si>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</si>
  <si>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</si>
  <si>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滁州一期重要在建表各列至总账明细的完整桥、其他减少内容、转固验收及资本化利息计算。</t>
  </si>
  <si>
    <t>原表列位误读能否解释差额？ 所需资料用于检验该判断的金额、期限或执行依据。</t>
  </si>
  <si>
    <t>ks_a_req_tax</t>
  </si>
  <si>
    <t>提供已确认DTA按纳税主体和税区的明细、已确认亏损发生年度与到期表、税前扣除条件及限制、差异转回计划和预计适用税率；将未来应税利润预算与订单/经营预测、应税暂时性差异转回逐项对应，标明优惠资格及有效期。</t>
  </si>
  <si>
    <t>减值及亏损DTA构成主要税务资产，未确认亏损的期限表和集团利润不足以支持已确认部分可实现性；需要检验利润缓冲及资本质量。</t>
  </si>
  <si>
    <t>发行人财务与税务负责人</t>
  </si>
  <si>
    <t>在同一纳税主体、税区和可用期间内证明可抵扣额，排除重复使用未来应税利润；按结果确定可实现DTA及资本影响，无法证实的部分保留不确定性，不机械全额减记。</t>
  </si>
  <si>
    <t>ks_a_req_parent</t>
  </si>
  <si>
    <t>合并现金能否直接供发行主体偿债？ 所需资料用于检验该判断的金额、期限或执行依据。</t>
  </si>
  <si>
    <t>ks_a_req_contingent</t>
  </si>
  <si>
    <t>提供39户保证的年末至三月及六月逐户滚动、前十名受控身份对应、基础借款/保证/展期/解除合同与银行确认；经销贷款到账—付本公司货款—发票/应收结算配对；追偿/代偿历史及反担保权属顺位和现金时点。集团内担保、保函、诉讼及质保资料单列。</t>
  </si>
  <si>
    <t>核原表六月七笔到期集中与三月余额下降能否对应实际解除，检验保证支持收现的持续性及同一客户压力下的现金/损失传导。</t>
  </si>
  <si>
    <t>全量滚动闭合到最新时点，重点逐户状态由直接证据支持；剩余总体和未决明确，回款、毛代偿、追偿及并表债务去重后进入现金和评级分析，不能只以余额下降或公司声明关闭。</t>
  </si>
  <si>
    <t>ks_a_req_proceeds</t>
  </si>
  <si>
    <t>取得混用期间逐笔银行流水与用途追踪、专户整改执行、截至研究截止日新轮实际占用及募投资金需求。旧轮归还和新轮授权公告已取得，不再请求重复证明授权时点。</t>
  </si>
  <si>
    <t>年末余额与期后归还续作能否衔接？ 所需资料用于检验该判断的金额、期限或执行依据。</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</si>
  <si>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</si>
  <si>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</si>
  <si>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</si>
  <si>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</si>
  <si>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</si>
  <si>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</si>
  <si>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</si>
  <si>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</si>
  <si>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</si>
  <si>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</si>
  <si>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</si>
  <si>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</si>
  <si>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</si>
  <si>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</si>
  <si>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</si>
  <si>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</si>
  <si>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</si>
  <si>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</si>
  <si>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</si>
  <si>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</si>
  <si>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</si>
  <si>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</si>
  <si>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</si>
  <si>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</si>
  <si>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</si>
  <si>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</si>
  <si>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</si>
  <si>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</si>
  <si>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</si>
  <si>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现有最新已取得实际面值是 21.98 亿元人民币，其原始时点为一季度末，不能改写为六月末。</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</si>
  <si>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</si>
  <si>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</si>
  <si>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</si>
  <si>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</si>
  <si>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</si>
  <si>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</si>
  <si>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</si>
  <si>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</si>
  <si>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</si>
  <si>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</si>
  <si>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</si>
  <si>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</si>
  <si>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</si>
  <si>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</si>
  <si>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</si>
  <si>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</si>
  <si>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</si>
  <si>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</si>
  <si>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</si>
  <si>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</si>
  <si>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</si>
  <si>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</si>
  <si>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ks_tax_req_bridge</t>
  </si>
  <si>
    <t>提供可转债权益相关递延税期初至期末滚动、2025年当期直接权益税分录、转股及后续摊销分录、首次列示的会计处理依据，并拆出范围/汇兑等实际变动及现金流补充资料其他项中的税影响；解释候选桥差额32.48 元人民币。</t>
  </si>
  <si>
    <t>确认损益税收益与余额变动差额的实际归属，避免把期末DTL余额当作当期权益流量或重复调整现金流。</t>
  </si>
  <si>
    <t>分录金额、期间、科目与附注及现金流补充资料一致；残差据实际来源说明，不能倒挤其他或把空白填零。</t>
  </si>
  <si>
    <t>ks_credit_req_facilities</t>
  </si>
  <si>
    <t>提供年报10.8亿元及跟踪报告47亿元未用额度的分别编制明细、73亿元总额对应表，按法人/银行/合同/产品列已用未用、共享额、抵质押/保证金、提款条件、撤销条款、有效期及期后实际提款；附银行直接证明和逐日付款资源表。</t>
  </si>
  <si>
    <t>同称年末但相差36.2亿元，尚未解释；不能据任一披露或再融资4.65研究分证明付款日前资金可得。</t>
  </si>
  <si>
    <t>发行人资金部门、相关银行及独立核查方</t>
  </si>
  <si>
    <t>两来源总体差额逐项有证据解释，所有拟用于覆盖缺口的资金已核法人、时点、条件与金额；未落实部分排除后重算融资因素、现金及评级条件。</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</si>
  <si>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</si>
  <si>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</si>
  <si>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</si>
  <si>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</si>
  <si>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</si>
  <si>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</si>
  <si>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</si>
  <si>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</si>
  <si>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</si>
  <si>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</si>
  <si>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</si>
  <si>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</si>
  <si>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</si>
  <si>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</si>
  <si>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</si>
  <si>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</si>
  <si>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</si>
  <si>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</si>
  <si>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</si>
  <si>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</si>
  <si>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</si>
  <si>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</si>
  <si>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</si>
  <si>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</si>
  <si>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</si>
  <si>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</si>
  <si>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</si>
  <si>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</si>
  <si>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</si>
  <si>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</si>
  <si>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</si>
  <si>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</si>
  <si>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</si>
  <si>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</si>
  <si>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</si>
  <si>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</si>
  <si>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</si>
  <si>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</si>
  <si>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</si>
  <si>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</si>
  <si>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</si>
  <si>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</si>
  <si>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</si>
  <si>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</si>
  <si>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</si>
  <si>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</si>
  <si>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</si>
  <si>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</si>
  <si>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</si>
  <si>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</si>
  <si>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</si>
  <si>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</si>
  <si>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</si>
  <si>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</si>
  <si>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</si>
  <si>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</si>
  <si>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</si>
  <si>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</si>
  <si>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</si>
  <si>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</si>
  <si>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</si>
  <si>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</si>
  <si>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</si>
  <si>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</si>
  <si>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</si>
  <si>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</si>
  <si>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</si>
  <si>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</si>
  <si>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</si>
  <si>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</si>
  <si>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</si>
  <si>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</si>
  <si>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</si>
  <si>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</si>
  <si>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</si>
  <si>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</si>
  <si>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</si>
  <si>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</si>
  <si>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</si>
  <si>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</si>
  <si>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</si>
  <si>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</si>
  <si>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</si>
  <si>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</si>
  <si>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</si>
  <si>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</si>
  <si>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</si>
  <si>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</si>
  <si>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</si>
  <si>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</si>
  <si>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</si>
  <si>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</si>
  <si>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</si>
  <si>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</si>
  <si>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</si>
  <si>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</si>
  <si>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</si>
  <si>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</si>
  <si>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</si>
  <si>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</si>
  <si>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</si>
  <si>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</si>
  <si>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</si>
  <si>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</si>
  <si>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</si>
  <si>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</si>
  <si>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</si>
  <si>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</si>
  <si>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</si>
  <si>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</si>
  <si>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</si>
  <si>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</si>
  <si>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</si>
  <si>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</si>
  <si>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</si>
  <si>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</si>
  <si>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</si>
  <si>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</si>
  <si>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</si>
  <si>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</si>
  <si>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</si>
  <si>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</si>
  <si>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</si>
  <si>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</si>
  <si>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</si>
  <si>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</si>
  <si>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</si>
  <si>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</si>
  <si>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</si>
  <si>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</si>
  <si>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</si>
  <si>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</si>
  <si>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</si>
  <si>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</si>
  <si>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</si>
  <si>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</si>
  <si>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</si>
  <si>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</si>
  <si>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</si>
  <si>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</si>
  <si>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</si>
  <si>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</si>
  <si>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</si>
  <si>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</si>
  <si>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</si>
  <si>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</si>
  <si>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</si>
  <si>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</si>
  <si>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</si>
  <si>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</si>
  <si>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</si>
  <si>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</si>
  <si>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</si>
  <si>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</si>
  <si>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</si>
  <si>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</si>
  <si>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</si>
  <si>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</si>
  <si>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</si>
  <si>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</si>
  <si>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</si>
  <si>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</si>
  <si>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</si>
  <si>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</si>
  <si>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</si>
  <si>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</si>
  <si>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</si>
  <si>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</si>
  <si>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</si>
  <si>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</si>
  <si>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</si>
  <si>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</si>
  <si>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</si>
  <si>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</si>
  <si>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</si>
  <si>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</si>
  <si>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</si>
  <si>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</si>
  <si>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</si>
  <si>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</si>
  <si>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</si>
  <si>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</si>
  <si>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</si>
  <si>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</si>
  <si>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</si>
  <si>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</si>
  <si>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</si>
  <si>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</si>
  <si>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</si>
  <si>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</si>
  <si>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</si>
  <si>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</si>
  <si>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</si>
  <si>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</si>
  <si>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</si>
  <si>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</si>
  <si>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</si>
  <si>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</si>
  <si>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</si>
  <si>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</si>
  <si>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</si>
  <si>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</si>
  <si>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</si>
  <si>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</si>
  <si>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</si>
  <si>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</si>
  <si>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</si>
  <si>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</si>
  <si>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</si>
  <si>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</si>
  <si>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</si>
  <si>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</si>
  <si>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</si>
  <si>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</si>
  <si>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</si>
  <si>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</si>
  <si>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</si>
  <si>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</si>
  <si>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</si>
  <si>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</si>
  <si>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</si>
  <si>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</si>
  <si>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</si>
  <si>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</si>
  <si>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</si>
  <si>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</si>
  <si>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</si>
  <si>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</si>
  <si>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</si>
  <si>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</si>
  <si>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</si>
  <si>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</si>
  <si>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</si>
  <si>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</si>
  <si>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</si>
  <si>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</si>
  <si>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</si>
  <si>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</si>
  <si>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</si>
  <si>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</si>
  <si>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</si>
  <si>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</si>
  <si>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</si>
  <si>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</si>
  <si>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</si>
  <si>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</si>
  <si>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</si>
  <si>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</si>
  <si>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</si>
  <si>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</si>
  <si>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</si>
  <si>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</si>
  <si>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</si>
  <si>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</si>
  <si>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</si>
  <si>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</si>
  <si>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</si>
  <si>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</si>
  <si>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</si>
  <si>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</si>
  <si>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</si>
  <si>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</si>
  <si>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</si>
  <si>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</si>
  <si>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</si>
  <si>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</si>
  <si>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</si>
  <si>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</si>
  <si>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</si>
  <si>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</si>
  <si>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</si>
  <si>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</si>
  <si>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</si>
  <si>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</si>
  <si>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</si>
  <si>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</si>
  <si>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</si>
  <si>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</si>
  <si>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</si>
  <si>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</si>
  <si>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方法PDF31再融资能力及PDF27表8权重；年报PDF218与跟踪报告PDF17/印刷14的未用额度冲突待核</t>
  </si>
  <si>
    <t>原年度定性研究判断30/70合成的条件分支；10.8/47亿元披露冲突未关闭，4.65并非已验证融资结论</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</si>
  <si>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</si>
  <si>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</si>
  <si>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</si>
  <si>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</si>
  <si>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</si>
  <si>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</si>
  <si>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</si>
  <si>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</si>
  <si>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</si>
  <si>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</si>
  <si>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</si>
  <si>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</si>
  <si>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</si>
  <si>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 ks_credit_e_facilities</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</si>
  <si>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 ks_credit_facility_total, ks_credit_facility_undrawn, ks_credit_facility_gap</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</si>
  <si>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</si>
  <si>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
年报未用银行借款10.8亿元与跟踪报告未用授信47亿元尚未对齐。原2024/2025再融资5.0/4.5及加权4.65仅保留为条件分支，不能因额度总数或一季度有借款就视为已验证；差额原因和可提款条件须核，未用额度未计入已落实现金。</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</si>
  <si>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</si>
  <si>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</si>
  <si>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</si>
  <si>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</si>
  <si>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</si>
  <si>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</si>
  <si>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</si>
  <si>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</si>
  <si>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</si>
  <si>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</si>
  <si>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</si>
  <si>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</si>
  <si>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</si>
  <si>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</si>
  <si>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</si>
  <si>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</si>
  <si>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</si>
  <si>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</si>
  <si>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</si>
  <si>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</si>
  <si>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</si>
  <si>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</si>
  <si>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</si>
  <si>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</si>
  <si>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</si>
  <si>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</si>
  <si>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</si>
  <si>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</si>
  <si>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</si>
  <si>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</si>
  <si>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</si>
  <si>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</si>
  <si>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</si>
  <si>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</si>
  <si>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</si>
  <si>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</si>
  <si>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</si>
  <si>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</si>
  <si>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</si>
  <si>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</si>
  <si>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</si>
  <si>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</si>
  <si>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</si>
  <si>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</si>
  <si>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</si>
  <si>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</si>
  <si>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</si>
  <si>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</si>
  <si>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</si>
  <si>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</si>
  <si>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</si>
  <si>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</si>
  <si>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</si>
  <si>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</si>
  <si>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</si>
  <si>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</si>
  <si>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</si>
  <si>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</si>
  <si>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</si>
  <si>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</si>
  <si>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</si>
  <si>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</si>
  <si>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</si>
  <si>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</si>
  <si>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</si>
  <si>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</si>
  <si>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</si>
  <si>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</si>
  <si>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</si>
  <si>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</si>
  <si>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</si>
  <si>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</si>
  <si>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</si>
  <si>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</si>
  <si>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</si>
  <si>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</si>
  <si>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</si>
  <si>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</si>
  <si>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</si>
  <si>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</si>
  <si>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</si>
  <si>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</si>
  <si>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</si>
  <si>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</si>
  <si>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</si>
  <si>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</si>
  <si>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</si>
  <si>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</si>
  <si>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</si>
  <si>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</si>
  <si>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</si>
  <si>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</si>
  <si>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</si>
  <si>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</si>
  <si>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</si>
  <si>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</si>
  <si>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</si>
  <si>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</si>
  <si>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</si>
  <si>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</si>
  <si>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</si>
  <si>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</si>
  <si>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</si>
  <si>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</si>
  <si>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</si>
  <si>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</si>
  <si>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</si>
  <si>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</si>
  <si>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</si>
  <si>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</si>
  <si>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</si>
  <si>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</si>
  <si>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</si>
  <si>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</si>
  <si>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</si>
  <si>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</si>
  <si>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</si>
  <si>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
该无新增融资现金诊断不含经济链的收益型收现、所得税拆分及新增提款利息循环；经营融资预测另见ks_econ_q_chain，不将两套现金结果拼接。</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</si>
  <si>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</si>
  <si>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</si>
  <si>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</si>
  <si>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</si>
  <si>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</si>
  <si>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</si>
  <si>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</si>
  <si>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</si>
  <si>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</si>
  <si>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</si>
  <si>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</si>
  <si>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</si>
  <si>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</si>
  <si>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</si>
  <si>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</si>
  <si>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</si>
  <si>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</si>
  <si>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</si>
  <si>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</si>
  <si>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</si>
  <si>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</si>
  <si>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</si>
  <si>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</si>
  <si>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</si>
  <si>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</si>
  <si>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</si>
  <si>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</si>
  <si>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</si>
  <si>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</si>
  <si>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</si>
  <si>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</si>
  <si>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</si>
  <si>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</si>
  <si>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</si>
  <si>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</si>
  <si>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</si>
  <si>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</si>
  <si>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</si>
  <si>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</si>
  <si>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</si>
  <si>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</si>
  <si>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</si>
  <si>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</si>
  <si>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</si>
  <si>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</si>
  <si>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</si>
  <si>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</si>
  <si>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</si>
  <si>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</si>
  <si>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</si>
  <si>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</si>
  <si>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</si>
  <si>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</si>
  <si>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</si>
  <si>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</si>
  <si>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</si>
  <si>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</si>
  <si>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</si>
  <si>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</si>
  <si>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</si>
  <si>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</si>
  <si>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</si>
  <si>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</si>
  <si>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</si>
  <si>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</si>
  <si>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</si>
  <si>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</si>
  <si>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</si>
  <si>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</si>
  <si>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</si>
  <si>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</si>
  <si>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</si>
  <si>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</si>
  <si>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</si>
  <si>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</si>
  <si>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</si>
  <si>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</si>
  <si>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</si>
  <si>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</si>
  <si>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</si>
  <si>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</si>
  <si>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</si>
  <si>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</si>
  <si>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</si>
  <si>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</si>
  <si>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</si>
  <si>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</si>
  <si>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</si>
  <si>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</si>
  <si>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</si>
  <si>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</si>
  <si>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</si>
  <si>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</si>
  <si>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</si>
  <si>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</si>
  <si>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</si>
  <si>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</si>
  <si>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</si>
  <si>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</si>
  <si>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</si>
  <si>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</si>
  <si>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</si>
  <si>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</si>
  <si>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</si>
  <si>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</si>
  <si>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</si>
  <si>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</si>
  <si>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</si>
  <si>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</si>
  <si>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</si>
  <si>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</si>
  <si>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</si>
  <si>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</si>
  <si>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</si>
  <si>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</si>
  <si>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</si>
  <si>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</si>
  <si>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</si>
  <si>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</si>
  <si>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</si>
  <si>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</si>
  <si>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</si>
  <si>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</si>
  <si>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</si>
  <si>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</si>
  <si>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</si>
  <si>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</si>
  <si>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</si>
  <si>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</si>
  <si>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</si>
  <si>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</si>
  <si>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</si>
  <si>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</si>
  <si>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</si>
  <si>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</si>
  <si>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</si>
  <si>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</si>
  <si>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</si>
  <si>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</si>
  <si>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</si>
  <si>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</si>
  <si>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</si>
  <si>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</si>
  <si>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</si>
  <si>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</si>
  <si>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</si>
  <si>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</si>
  <si>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</si>
  <si>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</si>
  <si>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</si>
  <si>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</si>
  <si>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</si>
  <si>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</si>
  <si>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</si>
  <si>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</si>
  <si>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</si>
  <si>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</si>
  <si>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</si>
  <si>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</si>
  <si>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历史30/70代表值研究分支</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</si>
  <si>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</si>
  <si>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</si>
  <si>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</si>
  <si>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</si>
  <si>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</si>
  <si>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</si>
  <si>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</si>
  <si>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历史金额先加权对照</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</si>
  <si>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</si>
  <si>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</si>
  <si>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</si>
  <si>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</si>
  <si>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</si>
  <si>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</si>
  <si>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</si>
  <si>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</si>
  <si>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</si>
  <si>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</si>
  <si>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</si>
  <si>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</si>
  <si>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</si>
  <si>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</si>
  <si>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</si>
  <si>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</si>
  <si>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</si>
  <si>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</si>
  <si>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</si>
  <si>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</si>
  <si>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</si>
  <si>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</si>
  <si>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</si>
  <si>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</si>
  <si>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预测经营链：Q1减值延续、材料不涨价</t>
  </si>
  <si>
    <t>2026Q1实际+未来季节锚98%、公开税锚、利息补助同季确认、三年新增贷款按需到位；20/30/50金额适配结果，非已证实改善或上调。</t>
  </si>
  <si>
    <t>预测经营链：Q1减值延续、材料5%</t>
  </si>
  <si>
    <t>与无涨价相同条件，材料成本经采购/AP、现金、融资利息、利润权益进入因素；实际发行人资金及用途仍待核。</t>
  </si>
  <si>
    <t>预测融资累计上限5亿元</t>
  </si>
  <si>
    <t>相同材料5%经营税款条件下，2027-03-31不能满足经营底线及用途准备，缺口3.59975亿元，停止后续完整评级；真实偿付事件须据合同和可用资金判断。</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</si>
  <si>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</si>
  <si>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</si>
  <si>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</si>
  <si>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</si>
  <si>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</si>
  <si>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
历史BBB+/负面建议与未来条件矩阵分别展示；单一预测分支或分值上升不代表支持实际上调。</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</si>
  <si>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</si>
  <si>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</si>
  <si>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</si>
  <si>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</si>
  <si>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</si>
  <si>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</si>
  <si>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</si>
  <si>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</si>
  <si>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</si>
  <si>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</si>
  <si>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</si>
  <si>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</si>
  <si>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</si>
  <si>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</si>
  <si>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</si>
  <si>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</si>
  <si>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</si>
  <si>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</si>
  <si>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</si>
  <si>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</si>
  <si>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</si>
  <si>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</si>
  <si>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</si>
  <si>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</si>
  <si>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</si>
  <si>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</si>
  <si>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</si>
  <si>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</si>
  <si>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</si>
  <si>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</si>
  <si>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</si>
  <si>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</si>
  <si>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</si>
  <si>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</si>
  <si>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</si>
  <si>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</si>
  <si>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</si>
  <si>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</si>
  <si>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</si>
  <si>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</si>
  <si>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</si>
  <si>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</si>
  <si>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</si>
  <si>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</si>
  <si>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</si>
  <si>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</si>
  <si>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</si>
  <si>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</si>
  <si>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</si>
  <si>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</si>
  <si>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</si>
  <si>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</si>
  <si>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</si>
  <si>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</si>
  <si>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</si>
  <si>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</si>
  <si>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</si>
  <si>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</si>
  <si>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</si>
  <si>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</si>
  <si>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</si>
  <si>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</si>
  <si>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</si>
  <si>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</si>
  <si>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</si>
  <si>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</si>
  <si>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</si>
  <si>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</si>
  <si>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</si>
  <si>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</si>
  <si>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</si>
  <si>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</si>
  <si>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</si>
  <si>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</si>
  <si>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</si>
  <si>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</si>
  <si>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</si>
  <si>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</si>
  <si>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</si>
  <si>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</si>
  <si>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</si>
  <si>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</si>
  <si>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</si>
  <si>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</si>
  <si>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</si>
  <si>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</si>
  <si>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</si>
  <si>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</si>
  <si>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</si>
  <si>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</si>
  <si>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</si>
  <si>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</si>
  <si>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</si>
  <si>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</si>
  <si>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</si>
  <si>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</si>
  <si>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</si>
  <si>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</si>
  <si>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</si>
  <si>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</si>
  <si>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</si>
  <si>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</si>
  <si>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</si>
  <si>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</si>
  <si>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</si>
  <si>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</si>
  <si>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</si>
  <si>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</si>
  <si>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</si>
  <si>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</si>
  <si>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</si>
  <si>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</si>
  <si>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</si>
  <si>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</si>
  <si>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</si>
  <si>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</si>
  <si>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</si>
  <si>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</si>
  <si>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</si>
  <si>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</si>
  <si>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
保留为未知合同参数下的现金容量/事件截距对照；含明示债务清偿、税款及新增融资反馈的预测另见ks_econ_q_chain，不能视作同一套完整预测。</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</si>
  <si>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</si>
  <si>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</si>
  <si>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</si>
  <si>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</si>
  <si>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</si>
  <si>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</si>
  <si>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</si>
  <si>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</si>
  <si>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</si>
  <si>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</si>
  <si>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</si>
  <si>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</si>
  <si>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</si>
  <si>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</si>
  <si>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</si>
  <si>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</si>
  <si>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</si>
  <si>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</si>
  <si>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</si>
  <si>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</si>
  <si>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</si>
  <si>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</si>
  <si>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</si>
  <si>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</si>
  <si>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</si>
  <si>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</si>
  <si>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</si>
  <si>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</si>
  <si>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</si>
  <si>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</si>
  <si>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</si>
  <si>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</si>
  <si>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</si>
  <si>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</si>
  <si>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</si>
  <si>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</si>
  <si>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</si>
  <si>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</si>
  <si>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</si>
  <si>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</si>
  <si>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</si>
  <si>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</si>
  <si>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</si>
  <si>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</si>
  <si>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</si>
  <si>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</si>
  <si>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</si>
  <si>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</si>
  <si>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</si>
  <si>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</si>
  <si>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</si>
  <si>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</si>
  <si>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</si>
  <si>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</si>
  <si>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</si>
  <si>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</si>
  <si>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</si>
  <si>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</si>
  <si>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</si>
  <si>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</si>
  <si>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</si>
  <si>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</si>
  <si>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</si>
  <si>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</si>
  <si>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</si>
  <si>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</si>
  <si>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</si>
  <si>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</si>
  <si>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</si>
  <si>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</si>
  <si>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</si>
  <si>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</si>
  <si>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</si>
  <si>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</si>
  <si>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</si>
  <si>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</si>
  <si>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</si>
  <si>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</si>
  <si>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</si>
  <si>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</si>
  <si>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</si>
  <si>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</si>
  <si>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</si>
  <si>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</si>
  <si>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</si>
  <si>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</si>
  <si>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</si>
  <si>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</si>
  <si>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</si>
  <si>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</si>
  <si>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</si>
  <si>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</si>
  <si>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</si>
  <si>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</si>
  <si>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</si>
  <si>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</si>
  <si>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</si>
  <si>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</si>
  <si>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</si>
  <si>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</si>
  <si>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</si>
  <si>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</si>
  <si>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</si>
  <si>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</si>
  <si>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</si>
  <si>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</si>
  <si>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</si>
  <si>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
保留为未知合同参数下的现金容量/事件截距对照；含明示债务清偿、税款及新增融资反馈的预测另见ks_econ_q_chain，不能视作同一套完整预测。</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</si>
  <si>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</si>
  <si>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</si>
  <si>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</si>
  <si>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</si>
  <si>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</si>
  <si>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</si>
  <si>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</si>
  <si>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</si>
  <si>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</si>
  <si>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</si>
  <si>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</si>
  <si>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</si>
  <si>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</si>
  <si>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</si>
  <si>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</si>
  <si>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</si>
  <si>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</si>
  <si>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</si>
  <si>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</si>
  <si>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</si>
  <si>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</si>
  <si>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</si>
  <si>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</si>
  <si>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</si>
  <si>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</si>
  <si>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</si>
  <si>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</si>
  <si>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</si>
  <si>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</si>
  <si>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</si>
  <si>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</si>
  <si>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</si>
  <si>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</si>
  <si>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</si>
  <si>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</si>
  <si>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</si>
  <si>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</si>
  <si>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</si>
  <si>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</si>
  <si>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</si>
  <si>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</si>
  <si>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</si>
  <si>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</si>
  <si>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</si>
  <si>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</si>
  <si>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</si>
  <si>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</si>
  <si>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</si>
  <si>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</si>
  <si>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</si>
  <si>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</si>
  <si>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</si>
  <si>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</si>
  <si>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</si>
  <si>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</si>
  <si>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</si>
  <si>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</si>
  <si>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</si>
  <si>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</si>
  <si>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</si>
  <si>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</si>
  <si>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</si>
  <si>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</si>
  <si>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</si>
  <si>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</si>
  <si>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</si>
  <si>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</si>
  <si>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</si>
  <si>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</si>
  <si>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</si>
  <si>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</si>
  <si>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</si>
  <si>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</si>
  <si>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</si>
  <si>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</si>
  <si>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</si>
  <si>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</si>
  <si>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</si>
  <si>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</si>
  <si>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</si>
  <si>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</si>
  <si>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</si>
  <si>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</si>
  <si>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</si>
  <si>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</si>
  <si>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</si>
  <si>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</si>
  <si>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</si>
  <si>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</si>
  <si>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</si>
  <si>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</si>
  <si>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</si>
  <si>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</si>
  <si>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</si>
  <si>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</si>
  <si>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</si>
  <si>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</si>
  <si>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</si>
  <si>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</si>
  <si>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</si>
  <si>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</si>
  <si>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</si>
  <si>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</si>
  <si>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</si>
  <si>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</si>
  <si>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</si>
  <si>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</si>
  <si>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</si>
  <si>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</si>
  <si>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</si>
  <si>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</si>
  <si>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</si>
  <si>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</si>
  <si>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</si>
  <si>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</si>
  <si>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</si>
  <si>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</si>
  <si>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</si>
  <si>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</si>
  <si>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</si>
  <si>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</si>
  <si>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</si>
  <si>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</si>
  <si>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</si>
  <si>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</si>
  <si>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</si>
  <si>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</si>
  <si>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</si>
  <si>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</si>
  <si>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</si>
  <si>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</si>
  <si>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</si>
  <si>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</si>
  <si>
    <t>label</t>
  </si>
  <si>
    <t>ebit</t>
  </si>
  <si>
    <t>ebitda</t>
  </si>
  <si>
    <t>net_income</t>
  </si>
  <si>
    <t>average_assets</t>
  </si>
  <si>
    <t>stdebt</t>
  </si>
  <si>
    <t>cashlike</t>
  </si>
  <si>
    <t>new_finance_h1_2027</t>
  </si>
  <si>
    <t>financial_score</t>
  </si>
  <si>
    <t>q1_0</t>
  </si>
  <si>
    <t>Q1减值延续、材料0%、公开锚当期税</t>
  </si>
  <si>
    <t>6011646605.3606</t>
  </si>
  <si>
    <t>177434176.84375493165967834266173</t>
  </si>
  <si>
    <t>459115704.79375493165967834266173</t>
  </si>
  <si>
    <t>39670671.679116863529999187835078</t>
  </si>
  <si>
    <t>-20506825.741979026880959716274510</t>
  </si>
  <si>
    <t>144601162.04963806812967915482665</t>
  </si>
  <si>
    <t>6839613674.3762</t>
  </si>
  <si>
    <t>336204684.7027250212309343090780</t>
  </si>
  <si>
    <t>11840393839.133877159582295869894</t>
  </si>
  <si>
    <t>3973253538.7780209731190402837255</t>
  </si>
  <si>
    <t>4401880936.8630758117989761135975</t>
  </si>
  <si>
    <t>1172226013.30</t>
  </si>
  <si>
    <t>3890827716.8366575342465753424658</t>
  </si>
  <si>
    <t>973466526.94116276490023126784893</t>
  </si>
  <si>
    <t>11280711814.537754319164591739789</t>
  </si>
  <si>
    <t>1050547758.1665768398306581549824</t>
  </si>
  <si>
    <t>4.61625</t>
  </si>
  <si>
    <t>q1_.05</t>
  </si>
  <si>
    <t>Q1减值延续、材料5%、公开锚当期税</t>
  </si>
  <si>
    <t>72053844.209118226440377992113812</t>
  </si>
  <si>
    <t>353735372.15911822644037799211381</t>
  </si>
  <si>
    <t>-67765628.04991025497556622618859</t>
  </si>
  <si>
    <t>-127943125.47100614538652513029817</t>
  </si>
  <si>
    <t>146657129.14402848141594421830240</t>
  </si>
  <si>
    <t>236903345.2181107999592660274798</t>
  </si>
  <si>
    <t>11842924213.364867516009380376774</t>
  </si>
  <si>
    <t>3865817239.0489938546134748697019</t>
  </si>
  <si>
    <t>4508298991.9040611592110784724298</t>
  </si>
  <si>
    <t>3896906709.9866800181942074114156</t>
  </si>
  <si>
    <t>978527275.40314347775440028160725</t>
  </si>
  <si>
    <t>11285772562.999735032018760753547</t>
  </si>
  <si>
    <t>1234237961.2872983362492411388478</t>
  </si>
  <si>
    <t>4.36625</t>
  </si>
  <si>
    <t>annual2025_0</t>
  </si>
  <si>
    <t>2025减值延续、材料0%、公开锚当期税</t>
  </si>
  <si>
    <t>-247658385.27996683583596976823584</t>
  </si>
  <si>
    <t>34023142.67003316416403023176416</t>
  </si>
  <si>
    <t>-385421890.44460490396564892306249</t>
  </si>
  <si>
    <t>-445599387.86570079437660782717207</t>
  </si>
  <si>
    <t>11627847558.072016275834471814446</t>
  </si>
  <si>
    <t>3548160976.6542992056233921728279</t>
  </si>
  <si>
    <t>10855619252.414032551668943628891</t>
  </si>
  <si>
    <t>3.90875</t>
  </si>
  <si>
    <t>annual2025_.05</t>
  </si>
  <si>
    <t>2025减值延续、材料5%、公开锚当期税</t>
  </si>
  <si>
    <t>-353038717.91460354105527011878376</t>
  </si>
  <si>
    <t>-71357189.96460354105527011878376</t>
  </si>
  <si>
    <t>-492858190.17363202247121433708616</t>
  </si>
  <si>
    <t>-553035687.59472791288217324119574</t>
  </si>
  <si>
    <t>11630377932.303006632261556321325</t>
  </si>
  <si>
    <t>3440724676.9252720871178267588042</t>
  </si>
  <si>
    <t>10860680000.876013264523112642650</t>
  </si>
  <si>
    <t>3.68875</t>
  </si>
  <si>
    <t>q1_.05_vat_deferred</t>
  </si>
  <si>
    <t>材料5%、VAT全部递延</t>
  </si>
  <si>
    <t>-68032903.77218100870278068444043</t>
  </si>
  <si>
    <t>-128210401.19327689911373958855002</t>
  </si>
  <si>
    <t>146924404.86629923514315867655424</t>
  </si>
  <si>
    <t>223994171.0851109511939491508721</t>
  </si>
  <si>
    <t>11849707749.081396186727559800972</t>
  </si>
  <si>
    <t>3865549963.3267231008862604114500</t>
  </si>
  <si>
    <t>4522133339.0593892543746517790780</t>
  </si>
  <si>
    <t>979185172.70320097042544225339583</t>
  </si>
  <si>
    <t>11299339634.432792373455119601944</t>
  </si>
  <si>
    <t>1258117687.6929921307836569267501</t>
  </si>
  <si>
    <t>q1_.05_zero_new_current_tax</t>
  </si>
  <si>
    <t>材料5%、零新增当期税边界</t>
  </si>
  <si>
    <t>-67205799.74993163988126746584181</t>
  </si>
  <si>
    <t>-83393370.72993163988126746584181</t>
  </si>
  <si>
    <t>146097300.84404986632164545795562</t>
  </si>
  <si>
    <t>266176641.7225491561236495891237</t>
  </si>
  <si>
    <t>11841724488.098292173543626952116</t>
  </si>
  <si>
    <t>3910366993.7900683601187325341582</t>
  </si>
  <si>
    <t>4476066416.5664935030208893011240</t>
  </si>
  <si>
    <t>3882190080.0500224839476320689498</t>
  </si>
  <si>
    <t>976127824.86999279282289343229217</t>
  </si>
  <si>
    <t>11283373112.466584347087253904232</t>
  </si>
  <si>
    <t>1171689289.0022276081975031714899</t>
  </si>
  <si>
    <t>q1_.05_tax_paid_same_quarter</t>
  </si>
  <si>
    <t>材料5%、当期税同季支付</t>
  </si>
  <si>
    <t>-68105543.52641160534576734550519</t>
  </si>
  <si>
    <t>-128283040.94750749575672624961478</t>
  </si>
  <si>
    <t>146997044.62052983178614533761900</t>
  </si>
  <si>
    <t>222186715.2814532657126906850140</t>
  </si>
  <si>
    <t>3865477323.5724925042432737503852</t>
  </si>
  <si>
    <t>4523355537.3172200438278549342122</t>
  </si>
  <si>
    <t>1249496855.5057919576342678071848</t>
  </si>
  <si>
    <t>q1_.05_no_other_income</t>
  </si>
  <si>
    <t>材料5%、未来利息补助现金和收益均不发生</t>
  </si>
  <si>
    <t>33037148.061796825612550302094818</t>
  </si>
  <si>
    <t>314718676.01179682561255030209482</t>
  </si>
  <si>
    <t>-107552115.44736128082759246924354</t>
  </si>
  <si>
    <t>-167729612.86845717123855137335313</t>
  </si>
  <si>
    <t>147426920.39415810644014277133836</t>
  </si>
  <si>
    <t>197886649.0707893991314383374608</t>
  </si>
  <si>
    <t>3826030751.6515428287614486266469</t>
  </si>
  <si>
    <t>4548085479.3015121850631047154848</t>
  </si>
  <si>
    <t>1289331453.7994500869461261222502</t>
  </si>
  <si>
    <t>ks_econ_q_chain</t>
  </si>
  <si>
    <t>keshun_economic_financing_rating_case_v2</t>
  </si>
  <si>
    <t>ks_econ_e_material, ks_econ_e_q1, ks_a_e_ar, ks_r_e_finance, ks_r_e_history, ks_credit_e_facilities, ks_econ_e_cash_tax</t>
  </si>
  <si>
    <t>ks_a_admin_2024, ks_a_admin_2025, ks_a_amort_2025, ks_a_amort_long_2025, ks_a_ap_2025, ks_a_arfin_notes_2025, ks_a_assetimp_2024, ks_a_assetimp_2025, ks_a_assets_2024, ks_a_assets_2025, ks_a_average_assets_2024, ks_a_average_assets_2025, ks_a_capex_2025, ks_a_cash_2025, ks_a_cashbook_2025, ks_a_cashlike_2024, ks_a_cashlike_2025, ks_a_cfo_2025, ks_a_cost_2024, ks_a_cost_2025, ks_a_creditimp_2024, ks_a_creditimp_2025, ks_a_currentliab_2024, ks_a_currentliab_2025, ks_a_customerscash_2024, ks_a_customerscash_2025, ks_a_debt_2024, ks_a_debt_2025, ks_a_dep_2025, ks_a_dep_rou_2025, ks_a_ebit_2024, ks_a_ebit_2025, ks_a_ebitda_2024, ks_a_ebitda_2025, ks_a_employeecash_2025, ks_a_equity_2024, ks_a_equity_2025, ks_a_interest_cap_2025, ks_a_interest_exp_2024, ks_a_interest_exp_2025, ks_a_interest_total_2024, ks_a_interest_total_2025, ks_a_missing_q1_freecash, ks_a_notes_ap_2025, ks_a_otheropcashin_2025, ks_a_otheropcashout_2025, ks_a_p_cash_2024, ks_a_p_cash_2025, ks_a_p_cashdelta_2025, ks_a_p_cff_2025, ks_a_p_cfi_2025, ks_a_p_cfo_2025, ks_a_p_fx_2025, ks_a_p_otherap_2025, ks_a_p_otherar_2025, ks_a_pbt_2024, ks_a_pbt_2025, ks_a_q1_ar, ks_a_q1_assetimp, ks_a_q1_assets, ks_a_q1_bonds, ks_a_q1_capex, ks_a_q1_cash, ks_a_q1_cashbook, ks_a_q1_cashdelta, ks_a_q1_cff, ks_a_q1_cfi, ks_a_q1_cfo, ks_a_q1_cost, ks_a_q1_creditimp, ks_a_q1_currentlongliab, ks_a_q1_equity, ks_a_q1_fxcash, ks_a_q1_lease, ks_a_q1_liab, ks_a_q1_ltborrow, ks_a_q1_netincome, ks_a_q1_notes_ap, ks_a_q1_revenue, ks_a_q1_stborrow, ks_a_rd_2025, ks_a_restricted_note_2025, ks_a_restrictedcash_2025, ks_a_revenue_2024, ks_a_revenue_2025, ks_a_selling_2024, ks_a_selling_2025, ks_a_specialcash_2025, ks_a_stborrow_2025, ks_a_stdebt_2024, ks_a_stdebt_2025, ks_a_supplier_ap_2025, ks_a_supplier_loan_2025, ks_a_supplier_noncash, ks_a_suppliercash_2025, ks_a_surtax_2024, ks_a_surtax_2025, ks_a_taxcash_2025, ks_a_taxcurrent, ks_a_taxrefund_2025, ks_d_f_coupon_3, ks_d_f_dividend_per_share, ks_d_f_face_2025, ks_d_f_face_q1, ks_d_f_fund_new_cap, ks_d_f_maturity_multiple, ks_d_l_f_2025_q2_cfo, ks_d_l_f_2025_q2_revenue, ks_d_l_f_2025_q3_cfo, ks_d_l_f_2025_q3_revenue, ks_d_l_f_2025_q4_cfo, ks_d_l_f_2025_q4_revenue, ks_d_l_f_current_lease_2025, ks_d_l_f_current_lt_interest_2025, ks_d_l_f_current_lt_mortgage_2025, ks_d_l_f_current_lt_principal_2025, ks_d_l_f_current_provision_2025, ks_d_l_f_dividend_shares, ks_d_l_f_parent_ap, ks_d_l_f_parent_bonds, ks_d_l_f_parent_cashbook, ks_d_l_f_parent_currentliab, ks_d_l_f_parent_currentlong, ks_d_l_f_parent_investment_cash, ks_d_l_f_parent_notes, ks_d_l_f_parent_stborrow, ks_d_l_f_q1_2025_borrowcash, ks_d_l_f_q1_2025_capex, ks_d_l_f_q1_2025_cfo, ks_d_l_f_q1_2025_customerscash, ks_d_l_f_q1_2025_divinterestcash, ks_d_l_f_q1_2025_employeecash, ks_d_l_f_q1_2025_otherfinin, ks_d_l_f_q1_2025_otherfinout, ks_d_l_f_q1_2025_otheropcashin, ks_d_l_f_q1_2025_otheropcashout, ks_d_l_f_q1_2025_repaycash, ks_d_l_f_q1_2025_revenue, ks_d_l_f_q1_2025_suppliercash, ks_d_l_f_q1_2025_taxcash, ks_d_l_f_q1_2026_borrowcash, ks_d_l_f_q1_2026_customerscash, ks_d_l_f_q1_2026_divinterestcash, ks_d_l_f_q1_2026_employeecash, ks_d_l_f_q1_2026_otherfinin, ks_d_l_f_q1_2026_otherfinout, ks_d_l_f_q1_2026_otheropcashin, ks_d_l_f_q1_2026_otheropcashout, ks_d_l_f_q1_2026_repaycash, ks_d_l_f_q1_2026_suppliercash, ks_d_l_f_q1_2026_taxcash, ks_d_l_f_q1_ap, ks_d_l_f_q1_trading, ks_d_l_f_st_accrued_2025, ks_d_l_f_taxrefund_2025, ks_d_l_f_unused_facility_2025, ks_econ_cash_grants_2025, ks_econ_cash_guarantee_2025, ks_econ_cash_interest_2025, ks_econ_cash_other_unknown_2025, ks_econ_cash_restricted_2025, ks_econ_cash_staff_2025, ks_econ_income_tax_payable_2025, ks_econ_material_direct_material_2024, ks_econ_material_direct_material_2025, ks_econ_material_freight_2024, ks_econ_material_freight_2025, ks_econ_material_fuel_2024, ks_econ_material_fuel_2025, ks_econ_material_labor_2024, ks_econ_material_labor_2025, ks_econ_material_manufacturing_2024, ks_econ_material_manufacturing_2025, ks_econ_material_revenue_2024, ks_econ_material_revenue_2025, ks_econ_q1_ap, ks_econ_q1_arfin, ks_econ_q1_currentliab, ks_econ_q1_interest_exp, ks_econ_q1_inventory, ks_econ_q1_notes_ar, ks_econ_q1_other_ar, ks_econ_q1_pbt, ks_econ_q1_tax_expense, ks_econ_q1_taxpay, ks_econ_q1_trading, ks_horizon_f_ar_merger_cash, ks_horizon_f_ar_premerger_profit, ks_horizon_f_decontrol_price, ks_horizon_f_h125_capex, ks_horizon_f_h125_cfo, ks_horizon_f_h125_customerscash, ks_horizon_f_h125_employeecash, ks_horizon_f_h125_opening_cce, ks_horizon_f_h125_otheropcashin, ks_horizon_f_h125_otheropcashout, ks_horizon_f_h125_suppliercash, ks_horizon_f_h125_taxcash, ks_horizon_f_h1_merger_cash, ks_horizon_f_h1_premerger_profit, ks_horizon_f_q125_opening_cce</t>
  </si>
  <si>
    <t>截至2026-06-30；2026Q1实际加后三季预算，后续收入=季节锚×98%；集团成本/OPEX结构取2025，不设提价、投资或处置收益。
材料增量成本=预测收入×2025材料/集团收入×5%；增量采购等于耗用，库存数量不变；80%当季付、20%次季付，未付款入应付。
Q1与2025减值强度各自延续，不选唯一中心；FY2025折旧按日预算，Q1资本化利息=FY2025/4，均为代理。
既有现金预算和版本桥保留；Δ_A、Δ_H、Γ实际未知，展示零修正条件；98%收入因子同步作用客户回款和普通采购付现。
未来其他经营收现按FY2025公开组别比例拆开：存款利息和补助/手续费同时入当期EBIT和现金；未知其他剔除；保证金/受限/员工款按现有账面资产池预算回收，逐季限额并减余额。另有未来利息补助均不发生分支，现金和利润同时剔除。
回收池=Q1货币资金−现金等价物+其他应收款净额7.6816649465亿元，仅为混合池账面上限代理，不证明可回收；没有加入现金或新融资。
非零当期税锚定FY2025公开58,386,629.64元按日延续，不依赖合并盈亏；不确认未来递延税收益。Q1所得税应付以FY2025末14,216,594.91元为代理，包含于Q1应交税费63,736,657.96元，不重复加负债。
历史现金税预算按FY2025当期税/现金税总额比例拆出代理所得税并剔除，再加入本季所得税支付；该比例并非披露的所得税现金拆分。展示分支上期应付本季支付、新计提次季支付；另跑同季支付和零新增当期税。
材料进项税13%同季抵现金税与全部递延均计算；未付款材料开票/抵扣递延。VAT和所得税分别桥接，现金税不是在毛额上叠加。
旧融资3.5%、新贷款4.5%、债券账面利息3.63%研究代理，未来全部费用化；循环求解季初提款对当期利息和资金需要。
Q1当前债务账面预算按3.73/3.73/4.34/2.636178/0亿元清偿，不等同合同本金；应计息代理0。新贷款三年期、窗口内无摊还；原长期新增转流动0。
15天经营付款底线；U=6.5亿元、P=0为条件，2026年底先预留至1月9日；实际U/P、发行人A、D/X未知。融资按需到位与累计5亿元上限均非银行承诺，未用47/10.8亿元不作提款。
财务预测金额20/30/50加权为研究适配，年度比率主路径另列；零分母为null及未决区间，负分母弱档与正负混合规则保留，不设零杠杆或自动强档。</t>
  </si>
  <si>
    <t>条件链已含损益型收现、存量资产回收和所得税滚动；其余基准非现金资产仍为间接法调节，不是完整独立应收/库存/应付周转预测，ROA分母依赖此约定。
未来利息补助构成、纳税主体利润、Q1所得税应付拆分、实际所得税现金、资产回收时点与能力尚未证实；当前税及收现分支不被选为唯一中心。
合并现金及假定新贷款不等于发行人可调度A；真实提款、合同清偿、Q1应计息/租赁、税抵扣、用途资金及版本修正未知。
3.63%借用年报借款费用资本化率为债券代理，并非债券精确EIR；Q1折旧与资本化利息代理不当实际事实。
资产质量3.5/2.5和再融资5/4.5及相邻±0.5为未唯一选定判断；历史档内联合范围跨F5/F4，预测无涨价F3与涨价F4仅是矩阵条件，不能当实际评级上调/下调。</t>
  </si>
  <si>
    <t>See quantitative-ks_econ_q_chain.json input_snapshot and method version</t>
  </si>
  <si>
    <t>ks_econ_fig_ebitda</t>
  </si>
  <si>
    <t>材料+5%及Q1减值延续条件：2026 EBITDA；artifact.rows[1].ebitda；{"entity":"科顺防水科技股份有限公司","scope":"合并条件研究；不等于发行人可调用资金","start":"2026-01-01","end":"2026-12-31","aggregation":"flow","basis":"共同底稿事实与明示预测条件；CNY原单位","measure":"money","currency":"CNY","scale":"1","physical_unit":null}</t>
  </si>
  <si>
    <t>ks_econ_fig_net_income</t>
  </si>
  <si>
    <t>材料+5%及Q1减值延续条件：2026净利润；artifact.rows[1].net_income；{"entity":"科顺防水科技股份有限公司","scope":"合并条件研究；不等于发行人可调用资金","start":"2026-01-01","end":"2026-12-31","aggregation":"flow","basis":"共同底稿事实与明示预测条件；CNY原单位","measure":"money","currency":"CNY","scale":"1","physical_unit":null}</t>
  </si>
  <si>
    <t>ks_econ_fig_cfo</t>
  </si>
  <si>
    <t>材料+5%及Q1减值延续条件：2026经营现金流；artifact.rows[1].cfo；{"entity":"科顺防水科技股份有限公司","scope":"合并条件研究；不等于发行人可调用资金","start":"2026-01-01","end":"2026-12-31","aggregation":"flow","basis":"共同底稿事实与明示预测条件；CNY原单位","measure":"money","currency":"CNY","scale":"1","physical_unit":null}</t>
  </si>
  <si>
    <t>ks_econ_fig_debt</t>
  </si>
  <si>
    <t>材料+5%及Q1减值延续条件：2026末全部债务；artifact.rows[1].debt；{"entity":"科顺防水科技股份有限公司","scope":"合并条件研究；不等于发行人可调用资金","start":null,"end":"2026-12-31","aggregation":"instant","basis":"共同底稿事实与明示预测条件；CNY原单位","measure":"money","currency":"CNY","scale":"1","physical_unit":null}</t>
  </si>
  <si>
    <t>ks_econ_fig_equity</t>
  </si>
  <si>
    <t>材料+5%及Q1减值延续条件：2026末权益；artifact.rows[1].equity；{"entity":"科顺防水科技股份有限公司","scope":"合并条件研究；不等于发行人可调用资金","start":null,"end":"2026-12-31","aggregation":"instant","basis":"共同底稿事实与明示预测条件；CNY原单位","measure":"money","currency":"CNY","scale":"1","physical_unit":null}</t>
  </si>
  <si>
    <t>ks_econ_fig_new_finance_h1_2027</t>
  </si>
  <si>
    <t>材料+5%及Q1减值延续条件：2027H1累计新增贷款；artifact.rows[1].new_finance_h1_2027；{"entity":"科顺防水科技股份有限公司","scope":"合并条件研究；不等于发行人可调用资金","start":"2026-04-01","end":"2027-06-30","aggregation":"flow","basis":"共同底稿事实与明示预测条件；CNY原单位","measure":"money","currency":"CNY","scale":"1","physical_unit":null}</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</si>
</sst>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theme" Target="theme/theme1.xml"/><Relationship Id="rId47" Type="http://schemas.openxmlformats.org/officeDocument/2006/relationships/styles" Target="styles.xml"/><Relationship Id="rId4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1"/>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row r="21" spans="1:2" ht="33" customHeight="1">
      <c r="A21" s="2" t="s">
        <v>23</v>
      </c>
      <c r="B21" s="2" t="s">
        <v>32</v>
      </c>
    </row>
  </sheetData>
  <autoFilter ref="A1:B21"/>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93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33</v>
      </c>
      <c r="B1" s="1" t="s">
        <v>34</v>
      </c>
      <c r="C1" s="1" t="s">
        <v>35</v>
      </c>
      <c r="D1" s="1" t="s">
        <v>36</v>
      </c>
      <c r="E1" s="1" t="s">
        <v>37</v>
      </c>
      <c r="F1" s="1" t="s">
        <v>38</v>
      </c>
      <c r="G1" s="1" t="s">
        <v>39</v>
      </c>
      <c r="H1" s="1" t="s">
        <v>40</v>
      </c>
      <c r="I1" s="1" t="s">
        <v>41</v>
      </c>
      <c r="J1" s="1" t="s">
        <v>8</v>
      </c>
      <c r="K1" s="1" t="s">
        <v>42</v>
      </c>
      <c r="L1" s="1" t="s">
        <v>43</v>
      </c>
      <c r="M1" s="1" t="s">
        <v>44</v>
      </c>
      <c r="N1" s="1" t="s">
        <v>45</v>
      </c>
      <c r="O1" s="1" t="s">
        <v>10</v>
      </c>
      <c r="P1" s="1" t="s">
        <v>46</v>
      </c>
      <c r="Q1" s="1" t="s">
        <v>47</v>
      </c>
      <c r="R1" s="1" t="s">
        <v>48</v>
      </c>
    </row>
    <row r="2" spans="1:18">
      <c r="A2" s="2" t="s">
        <v>49</v>
      </c>
      <c r="B2" s="2" t="s">
        <v>50</v>
      </c>
      <c r="C2" s="2" t="s">
        <v>51</v>
      </c>
      <c r="D2" s="2">
        <v>2319406225.62</v>
      </c>
      <c r="E2" s="2">
        <v>1</v>
      </c>
      <c r="F2" s="3">
        <f>IF(COUNT(D2,E2)=2,D2*E2,NA())</f>
        <v>2319406225.62</v>
      </c>
      <c r="G2" s="2" t="s">
        <v>52</v>
      </c>
      <c r="H2" s="2" t="s">
        <v>53</v>
      </c>
      <c r="I2" s="2" t="s">
        <v>54</v>
      </c>
      <c r="J2" s="2" t="s">
        <v>55</v>
      </c>
      <c r="K2" s="2"/>
      <c r="L2" s="2" t="s">
        <v>56</v>
      </c>
      <c r="M2" s="2" t="s">
        <v>57</v>
      </c>
      <c r="N2" s="2" t="s">
        <v>58</v>
      </c>
      <c r="O2" s="2" t="s">
        <v>59</v>
      </c>
      <c r="P2" s="2" t="s">
        <v>60</v>
      </c>
      <c r="Q2" s="2" t="s">
        <v>61</v>
      </c>
      <c r="R2" s="2"/>
    </row>
    <row r="3" spans="1:18">
      <c r="A3" s="2" t="s">
        <v>62</v>
      </c>
      <c r="B3" s="2" t="s">
        <v>50</v>
      </c>
      <c r="C3" s="2" t="s">
        <v>51</v>
      </c>
      <c r="D3" s="2">
        <v>3416078844.83</v>
      </c>
      <c r="E3" s="2">
        <v>1</v>
      </c>
      <c r="F3" s="3">
        <f>IF(COUNT(D3,E3)=2,D3*E3,NA())</f>
        <v>3416078844.83</v>
      </c>
      <c r="G3" s="2" t="s">
        <v>52</v>
      </c>
      <c r="H3" s="2" t="s">
        <v>53</v>
      </c>
      <c r="I3" s="2" t="s">
        <v>54</v>
      </c>
      <c r="J3" s="2" t="s">
        <v>55</v>
      </c>
      <c r="K3" s="2"/>
      <c r="L3" s="2" t="s">
        <v>63</v>
      </c>
      <c r="M3" s="2" t="s">
        <v>57</v>
      </c>
      <c r="N3" s="2" t="s">
        <v>64</v>
      </c>
      <c r="O3" s="2" t="s">
        <v>59</v>
      </c>
      <c r="P3" s="2" t="s">
        <v>65</v>
      </c>
      <c r="Q3" s="2" t="s">
        <v>61</v>
      </c>
      <c r="R3" s="2"/>
    </row>
    <row r="4" spans="1:18">
      <c r="A4" s="2" t="s">
        <v>66</v>
      </c>
      <c r="B4" s="2" t="s">
        <v>67</v>
      </c>
      <c r="C4" s="2" t="s">
        <v>51</v>
      </c>
      <c r="D4" s="2">
        <v>339930104.53</v>
      </c>
      <c r="E4" s="2">
        <v>1</v>
      </c>
      <c r="F4" s="3">
        <f>IF(COUNT(D4,E4)=2,D4*E4,NA())</f>
        <v>339930104.53</v>
      </c>
      <c r="G4" s="2" t="s">
        <v>52</v>
      </c>
      <c r="H4" s="2" t="s">
        <v>53</v>
      </c>
      <c r="I4" s="2" t="s">
        <v>54</v>
      </c>
      <c r="J4" s="2" t="s">
        <v>55</v>
      </c>
      <c r="K4" s="2"/>
      <c r="L4" s="2" t="s">
        <v>56</v>
      </c>
      <c r="M4" s="2" t="s">
        <v>57</v>
      </c>
      <c r="N4" s="2" t="s">
        <v>58</v>
      </c>
      <c r="O4" s="2" t="s">
        <v>59</v>
      </c>
      <c r="P4" s="2" t="s">
        <v>68</v>
      </c>
      <c r="Q4" s="2" t="s">
        <v>69</v>
      </c>
      <c r="R4" s="2"/>
    </row>
    <row r="5" spans="1:18">
      <c r="A5" s="2" t="s">
        <v>70</v>
      </c>
      <c r="B5" s="2" t="s">
        <v>67</v>
      </c>
      <c r="C5" s="2" t="s">
        <v>51</v>
      </c>
      <c r="D5" s="2">
        <v>266578153.07</v>
      </c>
      <c r="E5" s="2">
        <v>1</v>
      </c>
      <c r="F5" s="3">
        <f>IF(COUNT(D5,E5)=2,D5*E5,NA())</f>
        <v>266578153.07</v>
      </c>
      <c r="G5" s="2" t="s">
        <v>52</v>
      </c>
      <c r="H5" s="2" t="s">
        <v>53</v>
      </c>
      <c r="I5" s="2" t="s">
        <v>54</v>
      </c>
      <c r="J5" s="2" t="s">
        <v>55</v>
      </c>
      <c r="K5" s="2"/>
      <c r="L5" s="2" t="s">
        <v>63</v>
      </c>
      <c r="M5" s="2" t="s">
        <v>57</v>
      </c>
      <c r="N5" s="2" t="s">
        <v>64</v>
      </c>
      <c r="O5" s="2" t="s">
        <v>59</v>
      </c>
      <c r="P5" s="2" t="s">
        <v>71</v>
      </c>
      <c r="Q5" s="2" t="s">
        <v>69</v>
      </c>
      <c r="R5" s="2"/>
    </row>
    <row r="6" spans="1:18">
      <c r="A6" s="2" t="s">
        <v>72</v>
      </c>
      <c r="B6" s="2" t="s">
        <v>73</v>
      </c>
      <c r="C6" s="2" t="s">
        <v>51</v>
      </c>
      <c r="D6" s="2">
        <v>12214074.43</v>
      </c>
      <c r="E6" s="2">
        <v>1</v>
      </c>
      <c r="F6" s="3">
        <f>IF(COUNT(D6,E6)=2,D6*E6,NA())</f>
        <v>12214074.43</v>
      </c>
      <c r="G6" s="2" t="s">
        <v>52</v>
      </c>
      <c r="H6" s="2" t="s">
        <v>53</v>
      </c>
      <c r="I6" s="2" t="s">
        <v>54</v>
      </c>
      <c r="J6" s="2" t="s">
        <v>55</v>
      </c>
      <c r="K6" s="2"/>
      <c r="L6" s="2" t="s">
        <v>56</v>
      </c>
      <c r="M6" s="2" t="s">
        <v>57</v>
      </c>
      <c r="N6" s="2" t="s">
        <v>58</v>
      </c>
      <c r="O6" s="2" t="s">
        <v>59</v>
      </c>
      <c r="P6" s="2" t="s">
        <v>74</v>
      </c>
      <c r="Q6" s="2" t="s">
        <v>75</v>
      </c>
      <c r="R6" s="2"/>
    </row>
    <row r="7" spans="1:18">
      <c r="A7" s="2" t="s">
        <v>76</v>
      </c>
      <c r="B7" s="2" t="s">
        <v>73</v>
      </c>
      <c r="C7" s="2" t="s">
        <v>51</v>
      </c>
      <c r="D7" s="2">
        <v>17834987.93</v>
      </c>
      <c r="E7" s="2">
        <v>1</v>
      </c>
      <c r="F7" s="3">
        <f>IF(COUNT(D7,E7)=2,D7*E7,NA())</f>
        <v>17834987.93</v>
      </c>
      <c r="G7" s="2" t="s">
        <v>52</v>
      </c>
      <c r="H7" s="2" t="s">
        <v>53</v>
      </c>
      <c r="I7" s="2" t="s">
        <v>54</v>
      </c>
      <c r="J7" s="2" t="s">
        <v>55</v>
      </c>
      <c r="K7" s="2"/>
      <c r="L7" s="2" t="s">
        <v>63</v>
      </c>
      <c r="M7" s="2" t="s">
        <v>57</v>
      </c>
      <c r="N7" s="2" t="s">
        <v>64</v>
      </c>
      <c r="O7" s="2" t="s">
        <v>59</v>
      </c>
      <c r="P7" s="2" t="s">
        <v>77</v>
      </c>
      <c r="Q7" s="2" t="s">
        <v>75</v>
      </c>
      <c r="R7" s="2"/>
    </row>
    <row r="8" spans="1:18">
      <c r="A8" s="2" t="s">
        <v>78</v>
      </c>
      <c r="B8" s="2" t="s">
        <v>79</v>
      </c>
      <c r="C8" s="2" t="s">
        <v>51</v>
      </c>
      <c r="D8" s="2">
        <v>3294515959.2</v>
      </c>
      <c r="E8" s="2">
        <v>1</v>
      </c>
      <c r="F8" s="3">
        <f>IF(COUNT(D8,E8)=2,D8*E8,NA())</f>
        <v>3294515959.2</v>
      </c>
      <c r="G8" s="2" t="s">
        <v>52</v>
      </c>
      <c r="H8" s="2" t="s">
        <v>53</v>
      </c>
      <c r="I8" s="2" t="s">
        <v>54</v>
      </c>
      <c r="J8" s="2" t="s">
        <v>55</v>
      </c>
      <c r="K8" s="2"/>
      <c r="L8" s="2" t="s">
        <v>56</v>
      </c>
      <c r="M8" s="2" t="s">
        <v>57</v>
      </c>
      <c r="N8" s="2" t="s">
        <v>58</v>
      </c>
      <c r="O8" s="2" t="s">
        <v>59</v>
      </c>
      <c r="P8" s="2" t="s">
        <v>80</v>
      </c>
      <c r="Q8" s="2" t="s">
        <v>81</v>
      </c>
      <c r="R8" s="2"/>
    </row>
    <row r="9" spans="1:18">
      <c r="A9" s="2" t="s">
        <v>82</v>
      </c>
      <c r="B9" s="2" t="s">
        <v>79</v>
      </c>
      <c r="C9" s="2" t="s">
        <v>51</v>
      </c>
      <c r="D9" s="2">
        <v>4072793425.11</v>
      </c>
      <c r="E9" s="2">
        <v>1</v>
      </c>
      <c r="F9" s="3">
        <f>IF(COUNT(D9,E9)=2,D9*E9,NA())</f>
        <v>4072793425.11</v>
      </c>
      <c r="G9" s="2" t="s">
        <v>52</v>
      </c>
      <c r="H9" s="2" t="s">
        <v>53</v>
      </c>
      <c r="I9" s="2" t="s">
        <v>54</v>
      </c>
      <c r="J9" s="2" t="s">
        <v>55</v>
      </c>
      <c r="K9" s="2"/>
      <c r="L9" s="2" t="s">
        <v>63</v>
      </c>
      <c r="M9" s="2" t="s">
        <v>57</v>
      </c>
      <c r="N9" s="2" t="s">
        <v>64</v>
      </c>
      <c r="O9" s="2" t="s">
        <v>59</v>
      </c>
      <c r="P9" s="2" t="s">
        <v>83</v>
      </c>
      <c r="Q9" s="2" t="s">
        <v>81</v>
      </c>
      <c r="R9" s="2"/>
    </row>
    <row r="10" spans="1:18">
      <c r="A10" s="2" t="s">
        <v>84</v>
      </c>
      <c r="B10" s="2" t="s">
        <v>85</v>
      </c>
      <c r="C10" s="2" t="s">
        <v>51</v>
      </c>
      <c r="D10" s="2">
        <v>469474362.71</v>
      </c>
      <c r="E10" s="2">
        <v>1</v>
      </c>
      <c r="F10" s="3">
        <f>IF(COUNT(D10,E10)=2,D10*E10,NA())</f>
        <v>469474362.71</v>
      </c>
      <c r="G10" s="2" t="s">
        <v>52</v>
      </c>
      <c r="H10" s="2" t="s">
        <v>53</v>
      </c>
      <c r="I10" s="2" t="s">
        <v>54</v>
      </c>
      <c r="J10" s="2" t="s">
        <v>55</v>
      </c>
      <c r="K10" s="2"/>
      <c r="L10" s="2" t="s">
        <v>56</v>
      </c>
      <c r="M10" s="2" t="s">
        <v>57</v>
      </c>
      <c r="N10" s="2" t="s">
        <v>58</v>
      </c>
      <c r="O10" s="2" t="s">
        <v>59</v>
      </c>
      <c r="P10" s="2" t="s">
        <v>86</v>
      </c>
      <c r="Q10" s="2" t="s">
        <v>87</v>
      </c>
      <c r="R10" s="2"/>
    </row>
    <row r="11" spans="1:18">
      <c r="A11" s="2" t="s">
        <v>88</v>
      </c>
      <c r="B11" s="2" t="s">
        <v>85</v>
      </c>
      <c r="C11" s="2" t="s">
        <v>51</v>
      </c>
      <c r="D11" s="2">
        <v>493088175.58</v>
      </c>
      <c r="E11" s="2">
        <v>1</v>
      </c>
      <c r="F11" s="3">
        <f>IF(COUNT(D11,E11)=2,D11*E11,NA())</f>
        <v>493088175.58</v>
      </c>
      <c r="G11" s="2" t="s">
        <v>52</v>
      </c>
      <c r="H11" s="2" t="s">
        <v>53</v>
      </c>
      <c r="I11" s="2" t="s">
        <v>54</v>
      </c>
      <c r="J11" s="2" t="s">
        <v>55</v>
      </c>
      <c r="K11" s="2"/>
      <c r="L11" s="2" t="s">
        <v>63</v>
      </c>
      <c r="M11" s="2" t="s">
        <v>57</v>
      </c>
      <c r="N11" s="2" t="s">
        <v>64</v>
      </c>
      <c r="O11" s="2" t="s">
        <v>59</v>
      </c>
      <c r="P11" s="2" t="s">
        <v>89</v>
      </c>
      <c r="Q11" s="2" t="s">
        <v>87</v>
      </c>
      <c r="R11" s="2"/>
    </row>
    <row r="12" spans="1:18">
      <c r="A12" s="2" t="s">
        <v>90</v>
      </c>
      <c r="B12" s="2" t="s">
        <v>91</v>
      </c>
      <c r="C12" s="2" t="s">
        <v>51</v>
      </c>
      <c r="D12" s="2">
        <v>182790599.4</v>
      </c>
      <c r="E12" s="2">
        <v>1</v>
      </c>
      <c r="F12" s="3">
        <f>IF(COUNT(D12,E12)=2,D12*E12,NA())</f>
        <v>182790599.4</v>
      </c>
      <c r="G12" s="2" t="s">
        <v>52</v>
      </c>
      <c r="H12" s="2" t="s">
        <v>53</v>
      </c>
      <c r="I12" s="2" t="s">
        <v>54</v>
      </c>
      <c r="J12" s="2" t="s">
        <v>55</v>
      </c>
      <c r="K12" s="2"/>
      <c r="L12" s="2" t="s">
        <v>56</v>
      </c>
      <c r="M12" s="2" t="s">
        <v>57</v>
      </c>
      <c r="N12" s="2" t="s">
        <v>58</v>
      </c>
      <c r="O12" s="2" t="s">
        <v>59</v>
      </c>
      <c r="P12" s="2" t="s">
        <v>92</v>
      </c>
      <c r="Q12" s="2" t="s">
        <v>93</v>
      </c>
      <c r="R12" s="2"/>
    </row>
    <row r="13" spans="1:18">
      <c r="A13" s="2" t="s">
        <v>94</v>
      </c>
      <c r="B13" s="2" t="s">
        <v>91</v>
      </c>
      <c r="C13" s="2" t="s">
        <v>51</v>
      </c>
      <c r="D13" s="2">
        <v>166143752.33</v>
      </c>
      <c r="E13" s="2">
        <v>1</v>
      </c>
      <c r="F13" s="3">
        <f>IF(COUNT(D13,E13)=2,D13*E13,NA())</f>
        <v>166143752.33</v>
      </c>
      <c r="G13" s="2" t="s">
        <v>52</v>
      </c>
      <c r="H13" s="2" t="s">
        <v>53</v>
      </c>
      <c r="I13" s="2" t="s">
        <v>54</v>
      </c>
      <c r="J13" s="2" t="s">
        <v>55</v>
      </c>
      <c r="K13" s="2"/>
      <c r="L13" s="2" t="s">
        <v>63</v>
      </c>
      <c r="M13" s="2" t="s">
        <v>57</v>
      </c>
      <c r="N13" s="2" t="s">
        <v>64</v>
      </c>
      <c r="O13" s="2" t="s">
        <v>59</v>
      </c>
      <c r="P13" s="2" t="s">
        <v>95</v>
      </c>
      <c r="Q13" s="2" t="s">
        <v>93</v>
      </c>
      <c r="R13" s="2"/>
    </row>
    <row r="14" spans="1:18">
      <c r="A14" s="2" t="s">
        <v>96</v>
      </c>
      <c r="B14" s="2" t="s">
        <v>97</v>
      </c>
      <c r="C14" s="2" t="s">
        <v>51</v>
      </c>
      <c r="D14" s="2">
        <v>339665159.75</v>
      </c>
      <c r="E14" s="2">
        <v>1</v>
      </c>
      <c r="F14" s="3">
        <f>IF(COUNT(D14,E14)=2,D14*E14,NA())</f>
        <v>339665159.75</v>
      </c>
      <c r="G14" s="2" t="s">
        <v>52</v>
      </c>
      <c r="H14" s="2" t="s">
        <v>53</v>
      </c>
      <c r="I14" s="2" t="s">
        <v>54</v>
      </c>
      <c r="J14" s="2" t="s">
        <v>55</v>
      </c>
      <c r="K14" s="2"/>
      <c r="L14" s="2" t="s">
        <v>56</v>
      </c>
      <c r="M14" s="2" t="s">
        <v>57</v>
      </c>
      <c r="N14" s="2" t="s">
        <v>58</v>
      </c>
      <c r="O14" s="2" t="s">
        <v>59</v>
      </c>
      <c r="P14" s="2" t="s">
        <v>98</v>
      </c>
      <c r="Q14" s="2" t="s">
        <v>99</v>
      </c>
      <c r="R14" s="2"/>
    </row>
    <row r="15" spans="1:18">
      <c r="A15" s="2" t="s">
        <v>100</v>
      </c>
      <c r="B15" s="2" t="s">
        <v>97</v>
      </c>
      <c r="C15" s="2" t="s">
        <v>51</v>
      </c>
      <c r="D15" s="2">
        <v>338390689.3</v>
      </c>
      <c r="E15" s="2">
        <v>1</v>
      </c>
      <c r="F15" s="3">
        <f>IF(COUNT(D15,E15)=2,D15*E15,NA())</f>
        <v>338390689.3</v>
      </c>
      <c r="G15" s="2" t="s">
        <v>52</v>
      </c>
      <c r="H15" s="2" t="s">
        <v>53</v>
      </c>
      <c r="I15" s="2" t="s">
        <v>54</v>
      </c>
      <c r="J15" s="2" t="s">
        <v>55</v>
      </c>
      <c r="K15" s="2"/>
      <c r="L15" s="2" t="s">
        <v>63</v>
      </c>
      <c r="M15" s="2" t="s">
        <v>57</v>
      </c>
      <c r="N15" s="2" t="s">
        <v>64</v>
      </c>
      <c r="O15" s="2" t="s">
        <v>59</v>
      </c>
      <c r="P15" s="2" t="s">
        <v>101</v>
      </c>
      <c r="Q15" s="2" t="s">
        <v>99</v>
      </c>
      <c r="R15" s="2"/>
    </row>
    <row r="16" spans="1:18">
      <c r="A16" s="2" t="s">
        <v>102</v>
      </c>
      <c r="B16" s="2" t="s">
        <v>103</v>
      </c>
      <c r="C16" s="2" t="s">
        <v>51</v>
      </c>
      <c r="D16" s="2">
        <v>424169761.35</v>
      </c>
      <c r="E16" s="2">
        <v>1</v>
      </c>
      <c r="F16" s="3">
        <f>IF(COUNT(D16,E16)=2,D16*E16,NA())</f>
        <v>424169761.35</v>
      </c>
      <c r="G16" s="2" t="s">
        <v>52</v>
      </c>
      <c r="H16" s="2" t="s">
        <v>53</v>
      </c>
      <c r="I16" s="2" t="s">
        <v>54</v>
      </c>
      <c r="J16" s="2" t="s">
        <v>55</v>
      </c>
      <c r="K16" s="2"/>
      <c r="L16" s="2" t="s">
        <v>56</v>
      </c>
      <c r="M16" s="2" t="s">
        <v>57</v>
      </c>
      <c r="N16" s="2" t="s">
        <v>58</v>
      </c>
      <c r="O16" s="2" t="s">
        <v>59</v>
      </c>
      <c r="P16" s="2" t="s">
        <v>104</v>
      </c>
      <c r="Q16" s="2" t="s">
        <v>105</v>
      </c>
      <c r="R16" s="2"/>
    </row>
    <row r="17" spans="1:18">
      <c r="A17" s="2" t="s">
        <v>106</v>
      </c>
      <c r="B17" s="2" t="s">
        <v>103</v>
      </c>
      <c r="C17" s="2" t="s">
        <v>51</v>
      </c>
      <c r="D17" s="2">
        <v>501975812.22</v>
      </c>
      <c r="E17" s="2">
        <v>1</v>
      </c>
      <c r="F17" s="3">
        <f>IF(COUNT(D17,E17)=2,D17*E17,NA())</f>
        <v>501975812.22</v>
      </c>
      <c r="G17" s="2" t="s">
        <v>52</v>
      </c>
      <c r="H17" s="2" t="s">
        <v>53</v>
      </c>
      <c r="I17" s="2" t="s">
        <v>54</v>
      </c>
      <c r="J17" s="2" t="s">
        <v>55</v>
      </c>
      <c r="K17" s="2"/>
      <c r="L17" s="2" t="s">
        <v>63</v>
      </c>
      <c r="M17" s="2" t="s">
        <v>57</v>
      </c>
      <c r="N17" s="2" t="s">
        <v>64</v>
      </c>
      <c r="O17" s="2" t="s">
        <v>59</v>
      </c>
      <c r="P17" s="2" t="s">
        <v>107</v>
      </c>
      <c r="Q17" s="2" t="s">
        <v>105</v>
      </c>
      <c r="R17" s="2"/>
    </row>
    <row r="18" spans="1:18">
      <c r="A18" s="2" t="s">
        <v>108</v>
      </c>
      <c r="B18" s="2" t="s">
        <v>109</v>
      </c>
      <c r="C18" s="2" t="s">
        <v>51</v>
      </c>
      <c r="D18" s="2">
        <v>391302589.91</v>
      </c>
      <c r="E18" s="2">
        <v>1</v>
      </c>
      <c r="F18" s="3">
        <f>IF(COUNT(D18,E18)=2,D18*E18,NA())</f>
        <v>391302589.91</v>
      </c>
      <c r="G18" s="2" t="s">
        <v>52</v>
      </c>
      <c r="H18" s="2" t="s">
        <v>53</v>
      </c>
      <c r="I18" s="2" t="s">
        <v>54</v>
      </c>
      <c r="J18" s="2" t="s">
        <v>55</v>
      </c>
      <c r="K18" s="2"/>
      <c r="L18" s="2" t="s">
        <v>56</v>
      </c>
      <c r="M18" s="2" t="s">
        <v>57</v>
      </c>
      <c r="N18" s="2" t="s">
        <v>58</v>
      </c>
      <c r="O18" s="2" t="s">
        <v>59</v>
      </c>
      <c r="P18" s="2" t="s">
        <v>110</v>
      </c>
      <c r="Q18" s="2" t="s">
        <v>111</v>
      </c>
      <c r="R18" s="2"/>
    </row>
    <row r="19" spans="1:18">
      <c r="A19" s="2" t="s">
        <v>112</v>
      </c>
      <c r="B19" s="2" t="s">
        <v>109</v>
      </c>
      <c r="C19" s="2" t="s">
        <v>51</v>
      </c>
      <c r="D19" s="2">
        <v>374997920.64</v>
      </c>
      <c r="E19" s="2">
        <v>1</v>
      </c>
      <c r="F19" s="3">
        <f>IF(COUNT(D19,E19)=2,D19*E19,NA())</f>
        <v>374997920.64</v>
      </c>
      <c r="G19" s="2" t="s">
        <v>52</v>
      </c>
      <c r="H19" s="2" t="s">
        <v>53</v>
      </c>
      <c r="I19" s="2" t="s">
        <v>54</v>
      </c>
      <c r="J19" s="2" t="s">
        <v>55</v>
      </c>
      <c r="K19" s="2"/>
      <c r="L19" s="2" t="s">
        <v>63</v>
      </c>
      <c r="M19" s="2" t="s">
        <v>57</v>
      </c>
      <c r="N19" s="2" t="s">
        <v>64</v>
      </c>
      <c r="O19" s="2" t="s">
        <v>59</v>
      </c>
      <c r="P19" s="2" t="s">
        <v>113</v>
      </c>
      <c r="Q19" s="2" t="s">
        <v>111</v>
      </c>
      <c r="R19" s="2"/>
    </row>
    <row r="20" spans="1:18">
      <c r="A20" s="2" t="s">
        <v>114</v>
      </c>
      <c r="B20" s="2" t="s">
        <v>115</v>
      </c>
      <c r="C20" s="2" t="s">
        <v>51</v>
      </c>
      <c r="D20" s="2">
        <v>60449874.88</v>
      </c>
      <c r="E20" s="2">
        <v>1</v>
      </c>
      <c r="F20" s="3">
        <f>IF(COUNT(D20,E20)=2,D20*E20,NA())</f>
        <v>60449874.88</v>
      </c>
      <c r="G20" s="2" t="s">
        <v>52</v>
      </c>
      <c r="H20" s="2" t="s">
        <v>53</v>
      </c>
      <c r="I20" s="2" t="s">
        <v>54</v>
      </c>
      <c r="J20" s="2" t="s">
        <v>55</v>
      </c>
      <c r="K20" s="2"/>
      <c r="L20" s="2" t="s">
        <v>63</v>
      </c>
      <c r="M20" s="2" t="s">
        <v>57</v>
      </c>
      <c r="N20" s="2" t="s">
        <v>64</v>
      </c>
      <c r="O20" s="2" t="s">
        <v>59</v>
      </c>
      <c r="P20" s="2" t="s">
        <v>116</v>
      </c>
      <c r="Q20" s="2" t="s">
        <v>117</v>
      </c>
      <c r="R20" s="2"/>
    </row>
    <row r="21" spans="1:18">
      <c r="A21" s="2" t="s">
        <v>118</v>
      </c>
      <c r="B21" s="2" t="s">
        <v>119</v>
      </c>
      <c r="C21" s="2" t="s">
        <v>51</v>
      </c>
      <c r="D21" s="2">
        <v>214287426.97</v>
      </c>
      <c r="E21" s="2">
        <v>1</v>
      </c>
      <c r="F21" s="3">
        <f>IF(COUNT(D21,E21)=2,D21*E21,NA())</f>
        <v>214287426.97</v>
      </c>
      <c r="G21" s="2" t="s">
        <v>52</v>
      </c>
      <c r="H21" s="2" t="s">
        <v>53</v>
      </c>
      <c r="I21" s="2" t="s">
        <v>54</v>
      </c>
      <c r="J21" s="2" t="s">
        <v>55</v>
      </c>
      <c r="K21" s="2"/>
      <c r="L21" s="2" t="s">
        <v>56</v>
      </c>
      <c r="M21" s="2" t="s">
        <v>57</v>
      </c>
      <c r="N21" s="2" t="s">
        <v>58</v>
      </c>
      <c r="O21" s="2" t="s">
        <v>59</v>
      </c>
      <c r="P21" s="2" t="s">
        <v>120</v>
      </c>
      <c r="Q21" s="2" t="s">
        <v>121</v>
      </c>
      <c r="R21" s="2"/>
    </row>
    <row r="22" spans="1:18">
      <c r="A22" s="2" t="s">
        <v>122</v>
      </c>
      <c r="B22" s="2" t="s">
        <v>119</v>
      </c>
      <c r="C22" s="2" t="s">
        <v>51</v>
      </c>
      <c r="D22" s="2">
        <v>211689014.45</v>
      </c>
      <c r="E22" s="2">
        <v>1</v>
      </c>
      <c r="F22" s="3">
        <f>IF(COUNT(D22,E22)=2,D22*E22,NA())</f>
        <v>211689014.45</v>
      </c>
      <c r="G22" s="2" t="s">
        <v>52</v>
      </c>
      <c r="H22" s="2" t="s">
        <v>53</v>
      </c>
      <c r="I22" s="2" t="s">
        <v>54</v>
      </c>
      <c r="J22" s="2" t="s">
        <v>55</v>
      </c>
      <c r="K22" s="2"/>
      <c r="L22" s="2" t="s">
        <v>63</v>
      </c>
      <c r="M22" s="2" t="s">
        <v>57</v>
      </c>
      <c r="N22" s="2" t="s">
        <v>64</v>
      </c>
      <c r="O22" s="2" t="s">
        <v>59</v>
      </c>
      <c r="P22" s="2" t="s">
        <v>123</v>
      </c>
      <c r="Q22" s="2" t="s">
        <v>121</v>
      </c>
      <c r="R22" s="2"/>
    </row>
    <row r="23" spans="1:18">
      <c r="A23" s="2" t="s">
        <v>124</v>
      </c>
      <c r="B23" s="2" t="s">
        <v>125</v>
      </c>
      <c r="C23" s="2" t="s">
        <v>51</v>
      </c>
      <c r="D23" s="2">
        <v>7987756263.87</v>
      </c>
      <c r="E23" s="2">
        <v>1</v>
      </c>
      <c r="F23" s="3">
        <f>IF(COUNT(D23,E23)=2,D23*E23,NA())</f>
        <v>7987756263.87</v>
      </c>
      <c r="G23" s="2" t="s">
        <v>52</v>
      </c>
      <c r="H23" s="2" t="s">
        <v>53</v>
      </c>
      <c r="I23" s="2" t="s">
        <v>54</v>
      </c>
      <c r="J23" s="2" t="s">
        <v>55</v>
      </c>
      <c r="K23" s="2"/>
      <c r="L23" s="2" t="s">
        <v>56</v>
      </c>
      <c r="M23" s="2" t="s">
        <v>57</v>
      </c>
      <c r="N23" s="2" t="s">
        <v>58</v>
      </c>
      <c r="O23" s="2" t="s">
        <v>59</v>
      </c>
      <c r="P23" s="2" t="s">
        <v>126</v>
      </c>
      <c r="Q23" s="2" t="s">
        <v>127</v>
      </c>
      <c r="R23" s="2"/>
    </row>
    <row r="24" spans="1:18">
      <c r="A24" s="2" t="s">
        <v>128</v>
      </c>
      <c r="B24" s="2" t="s">
        <v>125</v>
      </c>
      <c r="C24" s="2" t="s">
        <v>51</v>
      </c>
      <c r="D24" s="2">
        <v>9920020650.34</v>
      </c>
      <c r="E24" s="2">
        <v>1</v>
      </c>
      <c r="F24" s="3">
        <f>IF(COUNT(D24,E24)=2,D24*E24,NA())</f>
        <v>9920020650.34</v>
      </c>
      <c r="G24" s="2" t="s">
        <v>52</v>
      </c>
      <c r="H24" s="2" t="s">
        <v>53</v>
      </c>
      <c r="I24" s="2" t="s">
        <v>54</v>
      </c>
      <c r="J24" s="2" t="s">
        <v>55</v>
      </c>
      <c r="K24" s="2"/>
      <c r="L24" s="2" t="s">
        <v>63</v>
      </c>
      <c r="M24" s="2" t="s">
        <v>57</v>
      </c>
      <c r="N24" s="2" t="s">
        <v>64</v>
      </c>
      <c r="O24" s="2" t="s">
        <v>59</v>
      </c>
      <c r="P24" s="2" t="s">
        <v>129</v>
      </c>
      <c r="Q24" s="2" t="s">
        <v>127</v>
      </c>
      <c r="R24" s="2"/>
    </row>
    <row r="25" spans="1:18">
      <c r="A25" s="2" t="s">
        <v>130</v>
      </c>
      <c r="B25" s="2" t="s">
        <v>131</v>
      </c>
      <c r="C25" s="2" t="s">
        <v>51</v>
      </c>
      <c r="D25" s="2">
        <v>57543529.44</v>
      </c>
      <c r="E25" s="2">
        <v>1</v>
      </c>
      <c r="F25" s="3">
        <f>IF(COUNT(D25,E25)=2,D25*E25,NA())</f>
        <v>57543529.44</v>
      </c>
      <c r="G25" s="2" t="s">
        <v>52</v>
      </c>
      <c r="H25" s="2" t="s">
        <v>53</v>
      </c>
      <c r="I25" s="2" t="s">
        <v>54</v>
      </c>
      <c r="J25" s="2" t="s">
        <v>55</v>
      </c>
      <c r="K25" s="2"/>
      <c r="L25" s="2" t="s">
        <v>63</v>
      </c>
      <c r="M25" s="2" t="s">
        <v>57</v>
      </c>
      <c r="N25" s="2" t="s">
        <v>64</v>
      </c>
      <c r="O25" s="2" t="s">
        <v>59</v>
      </c>
      <c r="P25" s="2" t="s">
        <v>132</v>
      </c>
      <c r="Q25" s="2" t="s">
        <v>133</v>
      </c>
      <c r="R25" s="2"/>
    </row>
    <row r="26" spans="1:18">
      <c r="A26" s="2" t="s">
        <v>134</v>
      </c>
      <c r="B26" s="2" t="s">
        <v>135</v>
      </c>
      <c r="C26" s="2" t="s">
        <v>51</v>
      </c>
      <c r="D26" s="2">
        <v>146664561.61</v>
      </c>
      <c r="E26" s="2">
        <v>1</v>
      </c>
      <c r="F26" s="3">
        <f>IF(COUNT(D26,E26)=2,D26*E26,NA())</f>
        <v>146664561.61</v>
      </c>
      <c r="G26" s="2" t="s">
        <v>52</v>
      </c>
      <c r="H26" s="2" t="s">
        <v>53</v>
      </c>
      <c r="I26" s="2" t="s">
        <v>54</v>
      </c>
      <c r="J26" s="2" t="s">
        <v>55</v>
      </c>
      <c r="K26" s="2"/>
      <c r="L26" s="2" t="s">
        <v>56</v>
      </c>
      <c r="M26" s="2" t="s">
        <v>57</v>
      </c>
      <c r="N26" s="2" t="s">
        <v>58</v>
      </c>
      <c r="O26" s="2" t="s">
        <v>59</v>
      </c>
      <c r="P26" s="2" t="s">
        <v>136</v>
      </c>
      <c r="Q26" s="2" t="s">
        <v>137</v>
      </c>
      <c r="R26" s="2"/>
    </row>
    <row r="27" spans="1:18">
      <c r="A27" s="2" t="s">
        <v>138</v>
      </c>
      <c r="B27" s="2" t="s">
        <v>135</v>
      </c>
      <c r="C27" s="2" t="s">
        <v>51</v>
      </c>
      <c r="D27" s="2">
        <v>30009582.5</v>
      </c>
      <c r="E27" s="2">
        <v>1</v>
      </c>
      <c r="F27" s="3">
        <f>IF(COUNT(D27,E27)=2,D27*E27,NA())</f>
        <v>30009582.5</v>
      </c>
      <c r="G27" s="2" t="s">
        <v>52</v>
      </c>
      <c r="H27" s="2" t="s">
        <v>53</v>
      </c>
      <c r="I27" s="2" t="s">
        <v>54</v>
      </c>
      <c r="J27" s="2" t="s">
        <v>55</v>
      </c>
      <c r="K27" s="2"/>
      <c r="L27" s="2" t="s">
        <v>63</v>
      </c>
      <c r="M27" s="2" t="s">
        <v>57</v>
      </c>
      <c r="N27" s="2" t="s">
        <v>64</v>
      </c>
      <c r="O27" s="2" t="s">
        <v>59</v>
      </c>
      <c r="P27" s="2" t="s">
        <v>139</v>
      </c>
      <c r="Q27" s="2" t="s">
        <v>137</v>
      </c>
      <c r="R27" s="2"/>
    </row>
    <row r="28" spans="1:18">
      <c r="A28" s="2" t="s">
        <v>140</v>
      </c>
      <c r="B28" s="2" t="s">
        <v>141</v>
      </c>
      <c r="C28" s="2" t="s">
        <v>51</v>
      </c>
      <c r="D28" s="2">
        <v>4439587.76</v>
      </c>
      <c r="E28" s="2">
        <v>1</v>
      </c>
      <c r="F28" s="3">
        <f>IF(COUNT(D28,E28)=2,D28*E28,NA())</f>
        <v>4439587.76</v>
      </c>
      <c r="G28" s="2" t="s">
        <v>52</v>
      </c>
      <c r="H28" s="2" t="s">
        <v>53</v>
      </c>
      <c r="I28" s="2" t="s">
        <v>54</v>
      </c>
      <c r="J28" s="2" t="s">
        <v>55</v>
      </c>
      <c r="K28" s="2"/>
      <c r="L28" s="2" t="s">
        <v>56</v>
      </c>
      <c r="M28" s="2" t="s">
        <v>57</v>
      </c>
      <c r="N28" s="2" t="s">
        <v>58</v>
      </c>
      <c r="O28" s="2" t="s">
        <v>59</v>
      </c>
      <c r="P28" s="2" t="s">
        <v>142</v>
      </c>
      <c r="Q28" s="2" t="s">
        <v>143</v>
      </c>
      <c r="R28" s="2"/>
    </row>
    <row r="29" spans="1:18">
      <c r="A29" s="2" t="s">
        <v>144</v>
      </c>
      <c r="B29" s="2" t="s">
        <v>141</v>
      </c>
      <c r="C29" s="2" t="s">
        <v>51</v>
      </c>
      <c r="D29" s="2">
        <v>4439587.76</v>
      </c>
      <c r="E29" s="2">
        <v>1</v>
      </c>
      <c r="F29" s="3">
        <f>IF(COUNT(D29,E29)=2,D29*E29,NA())</f>
        <v>4439587.76</v>
      </c>
      <c r="G29" s="2" t="s">
        <v>52</v>
      </c>
      <c r="H29" s="2" t="s">
        <v>53</v>
      </c>
      <c r="I29" s="2" t="s">
        <v>54</v>
      </c>
      <c r="J29" s="2" t="s">
        <v>55</v>
      </c>
      <c r="K29" s="2"/>
      <c r="L29" s="2" t="s">
        <v>63</v>
      </c>
      <c r="M29" s="2" t="s">
        <v>57</v>
      </c>
      <c r="N29" s="2" t="s">
        <v>64</v>
      </c>
      <c r="O29" s="2" t="s">
        <v>59</v>
      </c>
      <c r="P29" s="2" t="s">
        <v>145</v>
      </c>
      <c r="Q29" s="2" t="s">
        <v>143</v>
      </c>
      <c r="R29" s="2"/>
    </row>
    <row r="30" spans="1:18">
      <c r="A30" s="2" t="s">
        <v>146</v>
      </c>
      <c r="B30" s="2" t="s">
        <v>147</v>
      </c>
      <c r="C30" s="2" t="s">
        <v>51</v>
      </c>
      <c r="D30" s="2">
        <v>98677058.84</v>
      </c>
      <c r="E30" s="2">
        <v>1</v>
      </c>
      <c r="F30" s="3">
        <f>IF(COUNT(D30,E30)=2,D30*E30,NA())</f>
        <v>98677058.84</v>
      </c>
      <c r="G30" s="2" t="s">
        <v>52</v>
      </c>
      <c r="H30" s="2" t="s">
        <v>53</v>
      </c>
      <c r="I30" s="2" t="s">
        <v>54</v>
      </c>
      <c r="J30" s="2" t="s">
        <v>55</v>
      </c>
      <c r="K30" s="2"/>
      <c r="L30" s="2" t="s">
        <v>56</v>
      </c>
      <c r="M30" s="2" t="s">
        <v>57</v>
      </c>
      <c r="N30" s="2" t="s">
        <v>58</v>
      </c>
      <c r="O30" s="2" t="s">
        <v>59</v>
      </c>
      <c r="P30" s="2" t="s">
        <v>148</v>
      </c>
      <c r="Q30" s="2" t="s">
        <v>149</v>
      </c>
      <c r="R30" s="2"/>
    </row>
    <row r="31" spans="1:18">
      <c r="A31" s="2" t="s">
        <v>150</v>
      </c>
      <c r="B31" s="2" t="s">
        <v>147</v>
      </c>
      <c r="C31" s="2" t="s">
        <v>51</v>
      </c>
      <c r="D31" s="2">
        <v>110463390.53</v>
      </c>
      <c r="E31" s="2">
        <v>1</v>
      </c>
      <c r="F31" s="3">
        <f>IF(COUNT(D31,E31)=2,D31*E31,NA())</f>
        <v>110463390.53</v>
      </c>
      <c r="G31" s="2" t="s">
        <v>52</v>
      </c>
      <c r="H31" s="2" t="s">
        <v>53</v>
      </c>
      <c r="I31" s="2" t="s">
        <v>54</v>
      </c>
      <c r="J31" s="2" t="s">
        <v>55</v>
      </c>
      <c r="K31" s="2"/>
      <c r="L31" s="2" t="s">
        <v>63</v>
      </c>
      <c r="M31" s="2" t="s">
        <v>57</v>
      </c>
      <c r="N31" s="2" t="s">
        <v>64</v>
      </c>
      <c r="O31" s="2" t="s">
        <v>59</v>
      </c>
      <c r="P31" s="2" t="s">
        <v>151</v>
      </c>
      <c r="Q31" s="2" t="s">
        <v>149</v>
      </c>
      <c r="R31" s="2"/>
    </row>
    <row r="32" spans="1:18">
      <c r="A32" s="2" t="s">
        <v>152</v>
      </c>
      <c r="B32" s="2" t="s">
        <v>153</v>
      </c>
      <c r="C32" s="2" t="s">
        <v>51</v>
      </c>
      <c r="D32" s="2">
        <v>118376003.45</v>
      </c>
      <c r="E32" s="2">
        <v>1</v>
      </c>
      <c r="F32" s="3">
        <f>IF(COUNT(D32,E32)=2,D32*E32,NA())</f>
        <v>118376003.45</v>
      </c>
      <c r="G32" s="2" t="s">
        <v>52</v>
      </c>
      <c r="H32" s="2" t="s">
        <v>53</v>
      </c>
      <c r="I32" s="2" t="s">
        <v>54</v>
      </c>
      <c r="J32" s="2" t="s">
        <v>55</v>
      </c>
      <c r="K32" s="2"/>
      <c r="L32" s="2" t="s">
        <v>56</v>
      </c>
      <c r="M32" s="2" t="s">
        <v>57</v>
      </c>
      <c r="N32" s="2" t="s">
        <v>58</v>
      </c>
      <c r="O32" s="2" t="s">
        <v>59</v>
      </c>
      <c r="P32" s="2" t="s">
        <v>154</v>
      </c>
      <c r="Q32" s="2" t="s">
        <v>155</v>
      </c>
      <c r="R32" s="2"/>
    </row>
    <row r="33" spans="1:18">
      <c r="A33" s="2" t="s">
        <v>156</v>
      </c>
      <c r="B33" s="2" t="s">
        <v>153</v>
      </c>
      <c r="C33" s="2" t="s">
        <v>51</v>
      </c>
      <c r="D33" s="2">
        <v>91760694.69</v>
      </c>
      <c r="E33" s="2">
        <v>1</v>
      </c>
      <c r="F33" s="3">
        <f>IF(COUNT(D33,E33)=2,D33*E33,NA())</f>
        <v>91760694.69</v>
      </c>
      <c r="G33" s="2" t="s">
        <v>52</v>
      </c>
      <c r="H33" s="2" t="s">
        <v>53</v>
      </c>
      <c r="I33" s="2" t="s">
        <v>54</v>
      </c>
      <c r="J33" s="2" t="s">
        <v>55</v>
      </c>
      <c r="K33" s="2"/>
      <c r="L33" s="2" t="s">
        <v>63</v>
      </c>
      <c r="M33" s="2" t="s">
        <v>57</v>
      </c>
      <c r="N33" s="2" t="s">
        <v>64</v>
      </c>
      <c r="O33" s="2" t="s">
        <v>59</v>
      </c>
      <c r="P33" s="2" t="s">
        <v>157</v>
      </c>
      <c r="Q33" s="2" t="s">
        <v>155</v>
      </c>
      <c r="R33" s="2"/>
    </row>
    <row r="34" spans="1:18">
      <c r="A34" s="2" t="s">
        <v>158</v>
      </c>
      <c r="B34" s="2" t="s">
        <v>159</v>
      </c>
      <c r="C34" s="2" t="s">
        <v>51</v>
      </c>
      <c r="D34" s="2">
        <v>2202068790.08</v>
      </c>
      <c r="E34" s="2">
        <v>1</v>
      </c>
      <c r="F34" s="3">
        <f>IF(COUNT(D34,E34)=2,D34*E34,NA())</f>
        <v>2202068790.08</v>
      </c>
      <c r="G34" s="2" t="s">
        <v>52</v>
      </c>
      <c r="H34" s="2" t="s">
        <v>53</v>
      </c>
      <c r="I34" s="2" t="s">
        <v>54</v>
      </c>
      <c r="J34" s="2" t="s">
        <v>55</v>
      </c>
      <c r="K34" s="2"/>
      <c r="L34" s="2" t="s">
        <v>56</v>
      </c>
      <c r="M34" s="2" t="s">
        <v>57</v>
      </c>
      <c r="N34" s="2" t="s">
        <v>58</v>
      </c>
      <c r="O34" s="2" t="s">
        <v>59</v>
      </c>
      <c r="P34" s="2" t="s">
        <v>160</v>
      </c>
      <c r="Q34" s="2" t="s">
        <v>161</v>
      </c>
      <c r="R34" s="2"/>
    </row>
    <row r="35" spans="1:18">
      <c r="A35" s="2" t="s">
        <v>162</v>
      </c>
      <c r="B35" s="2" t="s">
        <v>159</v>
      </c>
      <c r="C35" s="2" t="s">
        <v>51</v>
      </c>
      <c r="D35" s="2">
        <v>2391715841.39</v>
      </c>
      <c r="E35" s="2">
        <v>1</v>
      </c>
      <c r="F35" s="3">
        <f>IF(COUNT(D35,E35)=2,D35*E35,NA())</f>
        <v>2391715841.39</v>
      </c>
      <c r="G35" s="2" t="s">
        <v>52</v>
      </c>
      <c r="H35" s="2" t="s">
        <v>53</v>
      </c>
      <c r="I35" s="2" t="s">
        <v>54</v>
      </c>
      <c r="J35" s="2" t="s">
        <v>55</v>
      </c>
      <c r="K35" s="2"/>
      <c r="L35" s="2" t="s">
        <v>63</v>
      </c>
      <c r="M35" s="2" t="s">
        <v>57</v>
      </c>
      <c r="N35" s="2" t="s">
        <v>64</v>
      </c>
      <c r="O35" s="2" t="s">
        <v>59</v>
      </c>
      <c r="P35" s="2" t="s">
        <v>163</v>
      </c>
      <c r="Q35" s="2" t="s">
        <v>161</v>
      </c>
      <c r="R35" s="2"/>
    </row>
    <row r="36" spans="1:18">
      <c r="A36" s="2" t="s">
        <v>164</v>
      </c>
      <c r="B36" s="2" t="s">
        <v>165</v>
      </c>
      <c r="C36" s="2" t="s">
        <v>51</v>
      </c>
      <c r="D36" s="2">
        <v>65262698.29</v>
      </c>
      <c r="E36" s="2">
        <v>1</v>
      </c>
      <c r="F36" s="3">
        <f>IF(COUNT(D36,E36)=2,D36*E36,NA())</f>
        <v>65262698.29</v>
      </c>
      <c r="G36" s="2" t="s">
        <v>52</v>
      </c>
      <c r="H36" s="2" t="s">
        <v>53</v>
      </c>
      <c r="I36" s="2" t="s">
        <v>54</v>
      </c>
      <c r="J36" s="2" t="s">
        <v>55</v>
      </c>
      <c r="K36" s="2"/>
      <c r="L36" s="2" t="s">
        <v>56</v>
      </c>
      <c r="M36" s="2" t="s">
        <v>57</v>
      </c>
      <c r="N36" s="2" t="s">
        <v>58</v>
      </c>
      <c r="O36" s="2" t="s">
        <v>59</v>
      </c>
      <c r="P36" s="2" t="s">
        <v>166</v>
      </c>
      <c r="Q36" s="2" t="s">
        <v>167</v>
      </c>
      <c r="R36" s="2"/>
    </row>
    <row r="37" spans="1:18">
      <c r="A37" s="2" t="s">
        <v>168</v>
      </c>
      <c r="B37" s="2" t="s">
        <v>165</v>
      </c>
      <c r="C37" s="2" t="s">
        <v>51</v>
      </c>
      <c r="D37" s="2">
        <v>98495238.09999999</v>
      </c>
      <c r="E37" s="2">
        <v>1</v>
      </c>
      <c r="F37" s="3">
        <f>IF(COUNT(D37,E37)=2,D37*E37,NA())</f>
        <v>98495238.1</v>
      </c>
      <c r="G37" s="2" t="s">
        <v>52</v>
      </c>
      <c r="H37" s="2" t="s">
        <v>53</v>
      </c>
      <c r="I37" s="2" t="s">
        <v>54</v>
      </c>
      <c r="J37" s="2" t="s">
        <v>55</v>
      </c>
      <c r="K37" s="2"/>
      <c r="L37" s="2" t="s">
        <v>63</v>
      </c>
      <c r="M37" s="2" t="s">
        <v>57</v>
      </c>
      <c r="N37" s="2" t="s">
        <v>64</v>
      </c>
      <c r="O37" s="2" t="s">
        <v>59</v>
      </c>
      <c r="P37" s="2" t="s">
        <v>169</v>
      </c>
      <c r="Q37" s="2" t="s">
        <v>167</v>
      </c>
      <c r="R37" s="2"/>
    </row>
    <row r="38" spans="1:18">
      <c r="A38" s="2" t="s">
        <v>170</v>
      </c>
      <c r="B38" s="2" t="s">
        <v>171</v>
      </c>
      <c r="C38" s="2" t="s">
        <v>51</v>
      </c>
      <c r="D38" s="2">
        <v>57114791.16</v>
      </c>
      <c r="E38" s="2">
        <v>1</v>
      </c>
      <c r="F38" s="3">
        <f>IF(COUNT(D38,E38)=2,D38*E38,NA())</f>
        <v>57114791.16</v>
      </c>
      <c r="G38" s="2" t="s">
        <v>52</v>
      </c>
      <c r="H38" s="2" t="s">
        <v>53</v>
      </c>
      <c r="I38" s="2" t="s">
        <v>54</v>
      </c>
      <c r="J38" s="2" t="s">
        <v>55</v>
      </c>
      <c r="K38" s="2"/>
      <c r="L38" s="2" t="s">
        <v>56</v>
      </c>
      <c r="M38" s="2" t="s">
        <v>57</v>
      </c>
      <c r="N38" s="2" t="s">
        <v>58</v>
      </c>
      <c r="O38" s="2" t="s">
        <v>59</v>
      </c>
      <c r="P38" s="2" t="s">
        <v>172</v>
      </c>
      <c r="Q38" s="2" t="s">
        <v>173</v>
      </c>
      <c r="R38" s="2"/>
    </row>
    <row r="39" spans="1:18">
      <c r="A39" s="2" t="s">
        <v>174</v>
      </c>
      <c r="B39" s="2" t="s">
        <v>171</v>
      </c>
      <c r="C39" s="2" t="s">
        <v>51</v>
      </c>
      <c r="D39" s="2">
        <v>46554514.18</v>
      </c>
      <c r="E39" s="2">
        <v>1</v>
      </c>
      <c r="F39" s="3">
        <f>IF(COUNT(D39,E39)=2,D39*E39,NA())</f>
        <v>46554514.18</v>
      </c>
      <c r="G39" s="2" t="s">
        <v>52</v>
      </c>
      <c r="H39" s="2" t="s">
        <v>53</v>
      </c>
      <c r="I39" s="2" t="s">
        <v>54</v>
      </c>
      <c r="J39" s="2" t="s">
        <v>55</v>
      </c>
      <c r="K39" s="2"/>
      <c r="L39" s="2" t="s">
        <v>63</v>
      </c>
      <c r="M39" s="2" t="s">
        <v>57</v>
      </c>
      <c r="N39" s="2" t="s">
        <v>64</v>
      </c>
      <c r="O39" s="2" t="s">
        <v>59</v>
      </c>
      <c r="P39" s="2" t="s">
        <v>175</v>
      </c>
      <c r="Q39" s="2" t="s">
        <v>173</v>
      </c>
      <c r="R39" s="2"/>
    </row>
    <row r="40" spans="1:18">
      <c r="A40" s="2" t="s">
        <v>176</v>
      </c>
      <c r="B40" s="2" t="s">
        <v>177</v>
      </c>
      <c r="C40" s="2" t="s">
        <v>51</v>
      </c>
      <c r="D40" s="2">
        <v>263674898.18</v>
      </c>
      <c r="E40" s="2">
        <v>1</v>
      </c>
      <c r="F40" s="3">
        <f>IF(COUNT(D40,E40)=2,D40*E40,NA())</f>
        <v>263674898.18</v>
      </c>
      <c r="G40" s="2" t="s">
        <v>52</v>
      </c>
      <c r="H40" s="2" t="s">
        <v>53</v>
      </c>
      <c r="I40" s="2" t="s">
        <v>54</v>
      </c>
      <c r="J40" s="2" t="s">
        <v>55</v>
      </c>
      <c r="K40" s="2"/>
      <c r="L40" s="2" t="s">
        <v>56</v>
      </c>
      <c r="M40" s="2" t="s">
        <v>57</v>
      </c>
      <c r="N40" s="2" t="s">
        <v>58</v>
      </c>
      <c r="O40" s="2" t="s">
        <v>59</v>
      </c>
      <c r="P40" s="2" t="s">
        <v>178</v>
      </c>
      <c r="Q40" s="2" t="s">
        <v>179</v>
      </c>
      <c r="R40" s="2"/>
    </row>
    <row r="41" spans="1:18">
      <c r="A41" s="2" t="s">
        <v>180</v>
      </c>
      <c r="B41" s="2" t="s">
        <v>177</v>
      </c>
      <c r="C41" s="2" t="s">
        <v>51</v>
      </c>
      <c r="D41" s="2">
        <v>276058209.31</v>
      </c>
      <c r="E41" s="2">
        <v>1</v>
      </c>
      <c r="F41" s="3">
        <f>IF(COUNT(D41,E41)=2,D41*E41,NA())</f>
        <v>276058209.31</v>
      </c>
      <c r="G41" s="2" t="s">
        <v>52</v>
      </c>
      <c r="H41" s="2" t="s">
        <v>53</v>
      </c>
      <c r="I41" s="2" t="s">
        <v>54</v>
      </c>
      <c r="J41" s="2" t="s">
        <v>55</v>
      </c>
      <c r="K41" s="2"/>
      <c r="L41" s="2" t="s">
        <v>63</v>
      </c>
      <c r="M41" s="2" t="s">
        <v>57</v>
      </c>
      <c r="N41" s="2" t="s">
        <v>64</v>
      </c>
      <c r="O41" s="2" t="s">
        <v>59</v>
      </c>
      <c r="P41" s="2" t="s">
        <v>181</v>
      </c>
      <c r="Q41" s="2" t="s">
        <v>179</v>
      </c>
      <c r="R41" s="2"/>
    </row>
    <row r="42" spans="1:18">
      <c r="A42" s="2" t="s">
        <v>182</v>
      </c>
      <c r="B42" s="2" t="s">
        <v>183</v>
      </c>
      <c r="C42" s="2" t="s">
        <v>51</v>
      </c>
      <c r="D42" s="2">
        <v>22954464.55</v>
      </c>
      <c r="E42" s="2">
        <v>1</v>
      </c>
      <c r="F42" s="3">
        <f>IF(COUNT(D42,E42)=2,D42*E42,NA())</f>
        <v>22954464.55</v>
      </c>
      <c r="G42" s="2" t="s">
        <v>52</v>
      </c>
      <c r="H42" s="2" t="s">
        <v>53</v>
      </c>
      <c r="I42" s="2" t="s">
        <v>54</v>
      </c>
      <c r="J42" s="2" t="s">
        <v>55</v>
      </c>
      <c r="K42" s="2"/>
      <c r="L42" s="2" t="s">
        <v>56</v>
      </c>
      <c r="M42" s="2" t="s">
        <v>57</v>
      </c>
      <c r="N42" s="2" t="s">
        <v>58</v>
      </c>
      <c r="O42" s="2" t="s">
        <v>59</v>
      </c>
      <c r="P42" s="2" t="s">
        <v>184</v>
      </c>
      <c r="Q42" s="2" t="s">
        <v>185</v>
      </c>
      <c r="R42" s="2"/>
    </row>
    <row r="43" spans="1:18">
      <c r="A43" s="2" t="s">
        <v>186</v>
      </c>
      <c r="B43" s="2" t="s">
        <v>183</v>
      </c>
      <c r="C43" s="2" t="s">
        <v>51</v>
      </c>
      <c r="D43" s="2">
        <v>22954464.55</v>
      </c>
      <c r="E43" s="2">
        <v>1</v>
      </c>
      <c r="F43" s="3">
        <f>IF(COUNT(D43,E43)=2,D43*E43,NA())</f>
        <v>22954464.55</v>
      </c>
      <c r="G43" s="2" t="s">
        <v>52</v>
      </c>
      <c r="H43" s="2" t="s">
        <v>53</v>
      </c>
      <c r="I43" s="2" t="s">
        <v>54</v>
      </c>
      <c r="J43" s="2" t="s">
        <v>55</v>
      </c>
      <c r="K43" s="2"/>
      <c r="L43" s="2" t="s">
        <v>63</v>
      </c>
      <c r="M43" s="2" t="s">
        <v>57</v>
      </c>
      <c r="N43" s="2" t="s">
        <v>64</v>
      </c>
      <c r="O43" s="2" t="s">
        <v>59</v>
      </c>
      <c r="P43" s="2" t="s">
        <v>187</v>
      </c>
      <c r="Q43" s="2" t="s">
        <v>185</v>
      </c>
      <c r="R43" s="2"/>
    </row>
    <row r="44" spans="1:18">
      <c r="A44" s="2" t="s">
        <v>188</v>
      </c>
      <c r="B44" s="2" t="s">
        <v>189</v>
      </c>
      <c r="C44" s="2" t="s">
        <v>51</v>
      </c>
      <c r="D44" s="2">
        <v>946018.85</v>
      </c>
      <c r="E44" s="2">
        <v>1</v>
      </c>
      <c r="F44" s="3">
        <f>IF(COUNT(D44,E44)=2,D44*E44,NA())</f>
        <v>946018.85</v>
      </c>
      <c r="G44" s="2" t="s">
        <v>52</v>
      </c>
      <c r="H44" s="2" t="s">
        <v>53</v>
      </c>
      <c r="I44" s="2" t="s">
        <v>54</v>
      </c>
      <c r="J44" s="2" t="s">
        <v>55</v>
      </c>
      <c r="K44" s="2"/>
      <c r="L44" s="2" t="s">
        <v>56</v>
      </c>
      <c r="M44" s="2" t="s">
        <v>57</v>
      </c>
      <c r="N44" s="2" t="s">
        <v>58</v>
      </c>
      <c r="O44" s="2" t="s">
        <v>59</v>
      </c>
      <c r="P44" s="2" t="s">
        <v>190</v>
      </c>
      <c r="Q44" s="2" t="s">
        <v>191</v>
      </c>
      <c r="R44" s="2"/>
    </row>
    <row r="45" spans="1:18">
      <c r="A45" s="2" t="s">
        <v>192</v>
      </c>
      <c r="B45" s="2" t="s">
        <v>189</v>
      </c>
      <c r="C45" s="2" t="s">
        <v>51</v>
      </c>
      <c r="D45" s="2">
        <v>1446345.61</v>
      </c>
      <c r="E45" s="2">
        <v>1</v>
      </c>
      <c r="F45" s="3">
        <f>IF(COUNT(D45,E45)=2,D45*E45,NA())</f>
        <v>1446345.61</v>
      </c>
      <c r="G45" s="2" t="s">
        <v>52</v>
      </c>
      <c r="H45" s="2" t="s">
        <v>53</v>
      </c>
      <c r="I45" s="2" t="s">
        <v>54</v>
      </c>
      <c r="J45" s="2" t="s">
        <v>55</v>
      </c>
      <c r="K45" s="2"/>
      <c r="L45" s="2" t="s">
        <v>63</v>
      </c>
      <c r="M45" s="2" t="s">
        <v>57</v>
      </c>
      <c r="N45" s="2" t="s">
        <v>64</v>
      </c>
      <c r="O45" s="2" t="s">
        <v>59</v>
      </c>
      <c r="P45" s="2" t="s">
        <v>193</v>
      </c>
      <c r="Q45" s="2" t="s">
        <v>191</v>
      </c>
      <c r="R45" s="2"/>
    </row>
    <row r="46" spans="1:18">
      <c r="A46" s="2" t="s">
        <v>194</v>
      </c>
      <c r="B46" s="2" t="s">
        <v>195</v>
      </c>
      <c r="C46" s="2" t="s">
        <v>196</v>
      </c>
      <c r="D46" s="2">
        <v>502848041.87</v>
      </c>
      <c r="E46" s="2">
        <v>1</v>
      </c>
      <c r="F46" s="3">
        <f>IF(COUNT(D46,E46)=2,D46*E46,NA())</f>
        <v>502848041.87</v>
      </c>
      <c r="G46" s="2" t="s">
        <v>52</v>
      </c>
      <c r="H46" s="2" t="s">
        <v>53</v>
      </c>
      <c r="I46" s="2" t="s">
        <v>54</v>
      </c>
      <c r="J46" s="2" t="s">
        <v>55</v>
      </c>
      <c r="K46" s="2"/>
      <c r="L46" s="2" t="s">
        <v>56</v>
      </c>
      <c r="M46" s="2" t="s">
        <v>57</v>
      </c>
      <c r="N46" s="2" t="s">
        <v>58</v>
      </c>
      <c r="O46" s="2" t="s">
        <v>59</v>
      </c>
      <c r="P46" s="2" t="s">
        <v>197</v>
      </c>
      <c r="Q46" s="2" t="s">
        <v>198</v>
      </c>
      <c r="R46" s="2"/>
    </row>
    <row r="47" spans="1:18">
      <c r="A47" s="2" t="s">
        <v>199</v>
      </c>
      <c r="B47" s="2" t="s">
        <v>195</v>
      </c>
      <c r="C47" s="2" t="s">
        <v>196</v>
      </c>
      <c r="D47" s="2">
        <v>409050999.27</v>
      </c>
      <c r="E47" s="2">
        <v>1</v>
      </c>
      <c r="F47" s="3">
        <f>IF(COUNT(D47,E47)=2,D47*E47,NA())</f>
        <v>409050999.27</v>
      </c>
      <c r="G47" s="2" t="s">
        <v>52</v>
      </c>
      <c r="H47" s="2" t="s">
        <v>53</v>
      </c>
      <c r="I47" s="2" t="s">
        <v>54</v>
      </c>
      <c r="J47" s="2" t="s">
        <v>55</v>
      </c>
      <c r="K47" s="2"/>
      <c r="L47" s="2" t="s">
        <v>63</v>
      </c>
      <c r="M47" s="2" t="s">
        <v>57</v>
      </c>
      <c r="N47" s="2" t="s">
        <v>64</v>
      </c>
      <c r="O47" s="2" t="s">
        <v>59</v>
      </c>
      <c r="P47" s="2" t="s">
        <v>197</v>
      </c>
      <c r="Q47" s="2" t="s">
        <v>198</v>
      </c>
      <c r="R47" s="2"/>
    </row>
    <row r="48" spans="1:18">
      <c r="A48" s="2" t="s">
        <v>200</v>
      </c>
      <c r="B48" s="2" t="s">
        <v>201</v>
      </c>
      <c r="C48" s="2" t="s">
        <v>51</v>
      </c>
      <c r="D48" s="2">
        <v>929292685.22</v>
      </c>
      <c r="E48" s="2">
        <v>1</v>
      </c>
      <c r="F48" s="3">
        <f>IF(COUNT(D48,E48)=2,D48*E48,NA())</f>
        <v>929292685.22</v>
      </c>
      <c r="G48" s="2" t="s">
        <v>52</v>
      </c>
      <c r="H48" s="2" t="s">
        <v>53</v>
      </c>
      <c r="I48" s="2" t="s">
        <v>54</v>
      </c>
      <c r="J48" s="2" t="s">
        <v>55</v>
      </c>
      <c r="K48" s="2"/>
      <c r="L48" s="2" t="s">
        <v>56</v>
      </c>
      <c r="M48" s="2" t="s">
        <v>57</v>
      </c>
      <c r="N48" s="2" t="s">
        <v>58</v>
      </c>
      <c r="O48" s="2" t="s">
        <v>59</v>
      </c>
      <c r="P48" s="2" t="s">
        <v>202</v>
      </c>
      <c r="Q48" s="2" t="s">
        <v>203</v>
      </c>
      <c r="R48" s="2"/>
    </row>
    <row r="49" spans="1:18">
      <c r="A49" s="2" t="s">
        <v>204</v>
      </c>
      <c r="B49" s="2" t="s">
        <v>201</v>
      </c>
      <c r="C49" s="2" t="s">
        <v>51</v>
      </c>
      <c r="D49" s="2">
        <v>684100060.13</v>
      </c>
      <c r="E49" s="2">
        <v>1</v>
      </c>
      <c r="F49" s="3">
        <f>IF(COUNT(D49,E49)=2,D49*E49,NA())</f>
        <v>684100060.13</v>
      </c>
      <c r="G49" s="2" t="s">
        <v>52</v>
      </c>
      <c r="H49" s="2" t="s">
        <v>53</v>
      </c>
      <c r="I49" s="2" t="s">
        <v>54</v>
      </c>
      <c r="J49" s="2" t="s">
        <v>55</v>
      </c>
      <c r="K49" s="2"/>
      <c r="L49" s="2" t="s">
        <v>63</v>
      </c>
      <c r="M49" s="2" t="s">
        <v>57</v>
      </c>
      <c r="N49" s="2" t="s">
        <v>64</v>
      </c>
      <c r="O49" s="2" t="s">
        <v>59</v>
      </c>
      <c r="P49" s="2" t="s">
        <v>205</v>
      </c>
      <c r="Q49" s="2" t="s">
        <v>203</v>
      </c>
      <c r="R49" s="2"/>
    </row>
    <row r="50" spans="1:18">
      <c r="A50" s="2" t="s">
        <v>206</v>
      </c>
      <c r="B50" s="2" t="s">
        <v>207</v>
      </c>
      <c r="C50" s="2" t="s">
        <v>51</v>
      </c>
      <c r="D50" s="2">
        <v>4412319599.86</v>
      </c>
      <c r="E50" s="2">
        <v>1</v>
      </c>
      <c r="F50" s="3">
        <f>IF(COUNT(D50,E50)=2,D50*E50,NA())</f>
        <v>4412319599.86</v>
      </c>
      <c r="G50" s="2" t="s">
        <v>52</v>
      </c>
      <c r="H50" s="2" t="s">
        <v>53</v>
      </c>
      <c r="I50" s="2" t="s">
        <v>54</v>
      </c>
      <c r="J50" s="2" t="s">
        <v>55</v>
      </c>
      <c r="K50" s="2"/>
      <c r="L50" s="2" t="s">
        <v>56</v>
      </c>
      <c r="M50" s="2" t="s">
        <v>57</v>
      </c>
      <c r="N50" s="2" t="s">
        <v>58</v>
      </c>
      <c r="O50" s="2" t="s">
        <v>59</v>
      </c>
      <c r="P50" s="2" t="s">
        <v>208</v>
      </c>
      <c r="Q50" s="2" t="s">
        <v>209</v>
      </c>
      <c r="R50" s="2"/>
    </row>
    <row r="51" spans="1:18">
      <c r="A51" s="2" t="s">
        <v>210</v>
      </c>
      <c r="B51" s="2" t="s">
        <v>207</v>
      </c>
      <c r="C51" s="2" t="s">
        <v>51</v>
      </c>
      <c r="D51" s="2">
        <v>4224592457.46</v>
      </c>
      <c r="E51" s="2">
        <v>1</v>
      </c>
      <c r="F51" s="3">
        <f>IF(COUNT(D51,E51)=2,D51*E51,NA())</f>
        <v>4224592457.46</v>
      </c>
      <c r="G51" s="2" t="s">
        <v>52</v>
      </c>
      <c r="H51" s="2" t="s">
        <v>53</v>
      </c>
      <c r="I51" s="2" t="s">
        <v>54</v>
      </c>
      <c r="J51" s="2" t="s">
        <v>55</v>
      </c>
      <c r="K51" s="2"/>
      <c r="L51" s="2" t="s">
        <v>63</v>
      </c>
      <c r="M51" s="2" t="s">
        <v>57</v>
      </c>
      <c r="N51" s="2" t="s">
        <v>64</v>
      </c>
      <c r="O51" s="2" t="s">
        <v>59</v>
      </c>
      <c r="P51" s="2" t="s">
        <v>211</v>
      </c>
      <c r="Q51" s="2" t="s">
        <v>209</v>
      </c>
      <c r="R51" s="2"/>
    </row>
    <row r="52" spans="1:18">
      <c r="A52" s="2" t="s">
        <v>212</v>
      </c>
      <c r="B52" s="2" t="s">
        <v>213</v>
      </c>
      <c r="C52" s="2" t="s">
        <v>51</v>
      </c>
      <c r="D52" s="2">
        <v>12400075863.73</v>
      </c>
      <c r="E52" s="2">
        <v>1</v>
      </c>
      <c r="F52" s="3">
        <f>IF(COUNT(D52,E52)=2,D52*E52,NA())</f>
        <v>12400075863.73</v>
      </c>
      <c r="G52" s="2" t="s">
        <v>52</v>
      </c>
      <c r="H52" s="2" t="s">
        <v>53</v>
      </c>
      <c r="I52" s="2" t="s">
        <v>54</v>
      </c>
      <c r="J52" s="2" t="s">
        <v>55</v>
      </c>
      <c r="K52" s="2"/>
      <c r="L52" s="2" t="s">
        <v>56</v>
      </c>
      <c r="M52" s="2" t="s">
        <v>57</v>
      </c>
      <c r="N52" s="2" t="s">
        <v>58</v>
      </c>
      <c r="O52" s="2" t="s">
        <v>59</v>
      </c>
      <c r="P52" s="2" t="s">
        <v>214</v>
      </c>
      <c r="Q52" s="2" t="s">
        <v>215</v>
      </c>
      <c r="R52" s="2"/>
    </row>
    <row r="53" spans="1:18">
      <c r="A53" s="2" t="s">
        <v>216</v>
      </c>
      <c r="B53" s="2" t="s">
        <v>213</v>
      </c>
      <c r="C53" s="2" t="s">
        <v>51</v>
      </c>
      <c r="D53" s="2">
        <v>14144613107.8</v>
      </c>
      <c r="E53" s="2">
        <v>1</v>
      </c>
      <c r="F53" s="3">
        <f>IF(COUNT(D53,E53)=2,D53*E53,NA())</f>
        <v>14144613107.8</v>
      </c>
      <c r="G53" s="2" t="s">
        <v>52</v>
      </c>
      <c r="H53" s="2" t="s">
        <v>53</v>
      </c>
      <c r="I53" s="2" t="s">
        <v>54</v>
      </c>
      <c r="J53" s="2" t="s">
        <v>55</v>
      </c>
      <c r="K53" s="2"/>
      <c r="L53" s="2" t="s">
        <v>63</v>
      </c>
      <c r="M53" s="2" t="s">
        <v>57</v>
      </c>
      <c r="N53" s="2" t="s">
        <v>64</v>
      </c>
      <c r="O53" s="2" t="s">
        <v>59</v>
      </c>
      <c r="P53" s="2" t="s">
        <v>217</v>
      </c>
      <c r="Q53" s="2" t="s">
        <v>215</v>
      </c>
      <c r="R53" s="2"/>
    </row>
    <row r="54" spans="1:18">
      <c r="A54" s="2" t="s">
        <v>218</v>
      </c>
      <c r="B54" s="2" t="s">
        <v>219</v>
      </c>
      <c r="C54" s="2" t="s">
        <v>51</v>
      </c>
      <c r="D54" s="2">
        <v>1487861948.5</v>
      </c>
      <c r="E54" s="2">
        <v>1</v>
      </c>
      <c r="F54" s="3">
        <f>IF(COUNT(D54,E54)=2,D54*E54,NA())</f>
        <v>1487861948.5</v>
      </c>
      <c r="G54" s="2" t="s">
        <v>52</v>
      </c>
      <c r="H54" s="2" t="s">
        <v>53</v>
      </c>
      <c r="I54" s="2" t="s">
        <v>54</v>
      </c>
      <c r="J54" s="2" t="s">
        <v>55</v>
      </c>
      <c r="K54" s="2"/>
      <c r="L54" s="2" t="s">
        <v>56</v>
      </c>
      <c r="M54" s="2" t="s">
        <v>57</v>
      </c>
      <c r="N54" s="2" t="s">
        <v>58</v>
      </c>
      <c r="O54" s="2" t="s">
        <v>59</v>
      </c>
      <c r="P54" s="2" t="s">
        <v>220</v>
      </c>
      <c r="Q54" s="2" t="s">
        <v>221</v>
      </c>
      <c r="R54" s="2"/>
    </row>
    <row r="55" spans="1:18">
      <c r="A55" s="2" t="s">
        <v>222</v>
      </c>
      <c r="B55" s="2" t="s">
        <v>219</v>
      </c>
      <c r="C55" s="2" t="s">
        <v>51</v>
      </c>
      <c r="D55" s="2">
        <v>1377572651.3</v>
      </c>
      <c r="E55" s="2">
        <v>1</v>
      </c>
      <c r="F55" s="3">
        <f>IF(COUNT(D55,E55)=2,D55*E55,NA())</f>
        <v>1377572651.3</v>
      </c>
      <c r="G55" s="2" t="s">
        <v>52</v>
      </c>
      <c r="H55" s="2" t="s">
        <v>53</v>
      </c>
      <c r="I55" s="2" t="s">
        <v>54</v>
      </c>
      <c r="J55" s="2" t="s">
        <v>55</v>
      </c>
      <c r="K55" s="2"/>
      <c r="L55" s="2" t="s">
        <v>63</v>
      </c>
      <c r="M55" s="2" t="s">
        <v>57</v>
      </c>
      <c r="N55" s="2" t="s">
        <v>64</v>
      </c>
      <c r="O55" s="2" t="s">
        <v>59</v>
      </c>
      <c r="P55" s="2" t="s">
        <v>223</v>
      </c>
      <c r="Q55" s="2" t="s">
        <v>221</v>
      </c>
      <c r="R55" s="2"/>
    </row>
    <row r="56" spans="1:18">
      <c r="A56" s="2" t="s">
        <v>224</v>
      </c>
      <c r="B56" s="2" t="s">
        <v>225</v>
      </c>
      <c r="C56" s="2" t="s">
        <v>51</v>
      </c>
      <c r="D56" s="2">
        <v>898693443.37</v>
      </c>
      <c r="E56" s="2">
        <v>1</v>
      </c>
      <c r="F56" s="3">
        <f>IF(COUNT(D56,E56)=2,D56*E56,NA())</f>
        <v>898693443.37</v>
      </c>
      <c r="G56" s="2" t="s">
        <v>52</v>
      </c>
      <c r="H56" s="2" t="s">
        <v>53</v>
      </c>
      <c r="I56" s="2" t="s">
        <v>54</v>
      </c>
      <c r="J56" s="2" t="s">
        <v>55</v>
      </c>
      <c r="K56" s="2"/>
      <c r="L56" s="2" t="s">
        <v>56</v>
      </c>
      <c r="M56" s="2" t="s">
        <v>57</v>
      </c>
      <c r="N56" s="2" t="s">
        <v>58</v>
      </c>
      <c r="O56" s="2" t="s">
        <v>59</v>
      </c>
      <c r="P56" s="2" t="s">
        <v>226</v>
      </c>
      <c r="Q56" s="2" t="s">
        <v>227</v>
      </c>
      <c r="R56" s="2"/>
    </row>
    <row r="57" spans="1:18">
      <c r="A57" s="2" t="s">
        <v>228</v>
      </c>
      <c r="B57" s="2" t="s">
        <v>225</v>
      </c>
      <c r="C57" s="2" t="s">
        <v>51</v>
      </c>
      <c r="D57" s="2">
        <v>1594500914.08</v>
      </c>
      <c r="E57" s="2">
        <v>1</v>
      </c>
      <c r="F57" s="3">
        <f>IF(COUNT(D57,E57)=2,D57*E57,NA())</f>
        <v>1594500914.08</v>
      </c>
      <c r="G57" s="2" t="s">
        <v>52</v>
      </c>
      <c r="H57" s="2" t="s">
        <v>53</v>
      </c>
      <c r="I57" s="2" t="s">
        <v>54</v>
      </c>
      <c r="J57" s="2" t="s">
        <v>55</v>
      </c>
      <c r="K57" s="2"/>
      <c r="L57" s="2" t="s">
        <v>63</v>
      </c>
      <c r="M57" s="2" t="s">
        <v>57</v>
      </c>
      <c r="N57" s="2" t="s">
        <v>64</v>
      </c>
      <c r="O57" s="2" t="s">
        <v>59</v>
      </c>
      <c r="P57" s="2" t="s">
        <v>229</v>
      </c>
      <c r="Q57" s="2" t="s">
        <v>227</v>
      </c>
      <c r="R57" s="2"/>
    </row>
    <row r="58" spans="1:18">
      <c r="A58" s="2" t="s">
        <v>230</v>
      </c>
      <c r="B58" s="2" t="s">
        <v>231</v>
      </c>
      <c r="C58" s="2" t="s">
        <v>51</v>
      </c>
      <c r="D58" s="2">
        <v>1574793698.72</v>
      </c>
      <c r="E58" s="2">
        <v>1</v>
      </c>
      <c r="F58" s="3">
        <f>IF(COUNT(D58,E58)=2,D58*E58,NA())</f>
        <v>1574793698.72</v>
      </c>
      <c r="G58" s="2" t="s">
        <v>52</v>
      </c>
      <c r="H58" s="2" t="s">
        <v>53</v>
      </c>
      <c r="I58" s="2" t="s">
        <v>54</v>
      </c>
      <c r="J58" s="2" t="s">
        <v>55</v>
      </c>
      <c r="K58" s="2"/>
      <c r="L58" s="2" t="s">
        <v>56</v>
      </c>
      <c r="M58" s="2" t="s">
        <v>57</v>
      </c>
      <c r="N58" s="2" t="s">
        <v>58</v>
      </c>
      <c r="O58" s="2" t="s">
        <v>59</v>
      </c>
      <c r="P58" s="2" t="s">
        <v>232</v>
      </c>
      <c r="Q58" s="2" t="s">
        <v>233</v>
      </c>
      <c r="R58" s="2"/>
    </row>
    <row r="59" spans="1:18">
      <c r="A59" s="2" t="s">
        <v>234</v>
      </c>
      <c r="B59" s="2" t="s">
        <v>231</v>
      </c>
      <c r="C59" s="2" t="s">
        <v>51</v>
      </c>
      <c r="D59" s="2">
        <v>1619897807.31</v>
      </c>
      <c r="E59" s="2">
        <v>1</v>
      </c>
      <c r="F59" s="3">
        <f>IF(COUNT(D59,E59)=2,D59*E59,NA())</f>
        <v>1619897807.31</v>
      </c>
      <c r="G59" s="2" t="s">
        <v>52</v>
      </c>
      <c r="H59" s="2" t="s">
        <v>53</v>
      </c>
      <c r="I59" s="2" t="s">
        <v>54</v>
      </c>
      <c r="J59" s="2" t="s">
        <v>55</v>
      </c>
      <c r="K59" s="2"/>
      <c r="L59" s="2" t="s">
        <v>63</v>
      </c>
      <c r="M59" s="2" t="s">
        <v>57</v>
      </c>
      <c r="N59" s="2" t="s">
        <v>64</v>
      </c>
      <c r="O59" s="2" t="s">
        <v>59</v>
      </c>
      <c r="P59" s="2" t="s">
        <v>235</v>
      </c>
      <c r="Q59" s="2" t="s">
        <v>233</v>
      </c>
      <c r="R59" s="2"/>
    </row>
    <row r="60" spans="1:18">
      <c r="A60" s="2" t="s">
        <v>236</v>
      </c>
      <c r="B60" s="2" t="s">
        <v>237</v>
      </c>
      <c r="C60" s="2" t="s">
        <v>51</v>
      </c>
      <c r="D60" s="2">
        <v>521091215.86</v>
      </c>
      <c r="E60" s="2">
        <v>1</v>
      </c>
      <c r="F60" s="3">
        <f>IF(COUNT(D60,E60)=2,D60*E60,NA())</f>
        <v>521091215.86</v>
      </c>
      <c r="G60" s="2" t="s">
        <v>52</v>
      </c>
      <c r="H60" s="2" t="s">
        <v>53</v>
      </c>
      <c r="I60" s="2" t="s">
        <v>54</v>
      </c>
      <c r="J60" s="2" t="s">
        <v>55</v>
      </c>
      <c r="K60" s="2"/>
      <c r="L60" s="2" t="s">
        <v>56</v>
      </c>
      <c r="M60" s="2" t="s">
        <v>57</v>
      </c>
      <c r="N60" s="2" t="s">
        <v>58</v>
      </c>
      <c r="O60" s="2" t="s">
        <v>59</v>
      </c>
      <c r="P60" s="2" t="s">
        <v>238</v>
      </c>
      <c r="Q60" s="2" t="s">
        <v>239</v>
      </c>
      <c r="R60" s="2"/>
    </row>
    <row r="61" spans="1:18">
      <c r="A61" s="2" t="s">
        <v>240</v>
      </c>
      <c r="B61" s="2" t="s">
        <v>237</v>
      </c>
      <c r="C61" s="2" t="s">
        <v>51</v>
      </c>
      <c r="D61" s="2">
        <v>483799414.9</v>
      </c>
      <c r="E61" s="2">
        <v>1</v>
      </c>
      <c r="F61" s="3">
        <f>IF(COUNT(D61,E61)=2,D61*E61,NA())</f>
        <v>483799414.9</v>
      </c>
      <c r="G61" s="2" t="s">
        <v>52</v>
      </c>
      <c r="H61" s="2" t="s">
        <v>53</v>
      </c>
      <c r="I61" s="2" t="s">
        <v>54</v>
      </c>
      <c r="J61" s="2" t="s">
        <v>55</v>
      </c>
      <c r="K61" s="2"/>
      <c r="L61" s="2" t="s">
        <v>63</v>
      </c>
      <c r="M61" s="2" t="s">
        <v>57</v>
      </c>
      <c r="N61" s="2" t="s">
        <v>64</v>
      </c>
      <c r="O61" s="2" t="s">
        <v>59</v>
      </c>
      <c r="P61" s="2" t="s">
        <v>241</v>
      </c>
      <c r="Q61" s="2" t="s">
        <v>239</v>
      </c>
      <c r="R61" s="2"/>
    </row>
    <row r="62" spans="1:18">
      <c r="A62" s="2" t="s">
        <v>242</v>
      </c>
      <c r="B62" s="2" t="s">
        <v>243</v>
      </c>
      <c r="C62" s="2" t="s">
        <v>51</v>
      </c>
      <c r="D62" s="2">
        <v>134006766.98</v>
      </c>
      <c r="E62" s="2">
        <v>1</v>
      </c>
      <c r="F62" s="3">
        <f>IF(COUNT(D62,E62)=2,D62*E62,NA())</f>
        <v>134006766.98</v>
      </c>
      <c r="G62" s="2" t="s">
        <v>52</v>
      </c>
      <c r="H62" s="2" t="s">
        <v>53</v>
      </c>
      <c r="I62" s="2" t="s">
        <v>54</v>
      </c>
      <c r="J62" s="2" t="s">
        <v>55</v>
      </c>
      <c r="K62" s="2"/>
      <c r="L62" s="2" t="s">
        <v>56</v>
      </c>
      <c r="M62" s="2" t="s">
        <v>57</v>
      </c>
      <c r="N62" s="2" t="s">
        <v>58</v>
      </c>
      <c r="O62" s="2" t="s">
        <v>59</v>
      </c>
      <c r="P62" s="2" t="s">
        <v>244</v>
      </c>
      <c r="Q62" s="2" t="s">
        <v>245</v>
      </c>
      <c r="R62" s="2"/>
    </row>
    <row r="63" spans="1:18">
      <c r="A63" s="2" t="s">
        <v>246</v>
      </c>
      <c r="B63" s="2" t="s">
        <v>243</v>
      </c>
      <c r="C63" s="2" t="s">
        <v>51</v>
      </c>
      <c r="D63" s="2">
        <v>148912257.71</v>
      </c>
      <c r="E63" s="2">
        <v>1</v>
      </c>
      <c r="F63" s="3">
        <f>IF(COUNT(D63,E63)=2,D63*E63,NA())</f>
        <v>148912257.71</v>
      </c>
      <c r="G63" s="2" t="s">
        <v>52</v>
      </c>
      <c r="H63" s="2" t="s">
        <v>53</v>
      </c>
      <c r="I63" s="2" t="s">
        <v>54</v>
      </c>
      <c r="J63" s="2" t="s">
        <v>55</v>
      </c>
      <c r="K63" s="2"/>
      <c r="L63" s="2" t="s">
        <v>63</v>
      </c>
      <c r="M63" s="2" t="s">
        <v>57</v>
      </c>
      <c r="N63" s="2" t="s">
        <v>64</v>
      </c>
      <c r="O63" s="2" t="s">
        <v>59</v>
      </c>
      <c r="P63" s="2" t="s">
        <v>247</v>
      </c>
      <c r="Q63" s="2" t="s">
        <v>245</v>
      </c>
      <c r="R63" s="2"/>
    </row>
    <row r="64" spans="1:18">
      <c r="A64" s="2" t="s">
        <v>248</v>
      </c>
      <c r="B64" s="2" t="s">
        <v>249</v>
      </c>
      <c r="C64" s="2" t="s">
        <v>51</v>
      </c>
      <c r="D64" s="2">
        <v>35042027.2</v>
      </c>
      <c r="E64" s="2">
        <v>1</v>
      </c>
      <c r="F64" s="3">
        <f>IF(COUNT(D64,E64)=2,D64*E64,NA())</f>
        <v>35042027.2</v>
      </c>
      <c r="G64" s="2" t="s">
        <v>52</v>
      </c>
      <c r="H64" s="2" t="s">
        <v>53</v>
      </c>
      <c r="I64" s="2" t="s">
        <v>54</v>
      </c>
      <c r="J64" s="2" t="s">
        <v>55</v>
      </c>
      <c r="K64" s="2"/>
      <c r="L64" s="2" t="s">
        <v>56</v>
      </c>
      <c r="M64" s="2" t="s">
        <v>57</v>
      </c>
      <c r="N64" s="2" t="s">
        <v>58</v>
      </c>
      <c r="O64" s="2" t="s">
        <v>59</v>
      </c>
      <c r="P64" s="2" t="s">
        <v>250</v>
      </c>
      <c r="Q64" s="2" t="s">
        <v>251</v>
      </c>
      <c r="R64" s="2"/>
    </row>
    <row r="65" spans="1:18">
      <c r="A65" s="2" t="s">
        <v>252</v>
      </c>
      <c r="B65" s="2" t="s">
        <v>249</v>
      </c>
      <c r="C65" s="2" t="s">
        <v>51</v>
      </c>
      <c r="D65" s="2">
        <v>65976843.89</v>
      </c>
      <c r="E65" s="2">
        <v>1</v>
      </c>
      <c r="F65" s="3">
        <f>IF(COUNT(D65,E65)=2,D65*E65,NA())</f>
        <v>65976843.89</v>
      </c>
      <c r="G65" s="2" t="s">
        <v>52</v>
      </c>
      <c r="H65" s="2" t="s">
        <v>53</v>
      </c>
      <c r="I65" s="2" t="s">
        <v>54</v>
      </c>
      <c r="J65" s="2" t="s">
        <v>55</v>
      </c>
      <c r="K65" s="2"/>
      <c r="L65" s="2" t="s">
        <v>63</v>
      </c>
      <c r="M65" s="2" t="s">
        <v>57</v>
      </c>
      <c r="N65" s="2" t="s">
        <v>64</v>
      </c>
      <c r="O65" s="2" t="s">
        <v>59</v>
      </c>
      <c r="P65" s="2" t="s">
        <v>253</v>
      </c>
      <c r="Q65" s="2" t="s">
        <v>251</v>
      </c>
      <c r="R65" s="2"/>
    </row>
    <row r="66" spans="1:18">
      <c r="A66" s="2" t="s">
        <v>254</v>
      </c>
      <c r="B66" s="2" t="s">
        <v>255</v>
      </c>
      <c r="C66" s="2" t="s">
        <v>51</v>
      </c>
      <c r="D66" s="2">
        <v>557565080.4299999</v>
      </c>
      <c r="E66" s="2">
        <v>1</v>
      </c>
      <c r="F66" s="3">
        <f>IF(COUNT(D66,E66)=2,D66*E66,NA())</f>
        <v>557565080.43</v>
      </c>
      <c r="G66" s="2" t="s">
        <v>52</v>
      </c>
      <c r="H66" s="2" t="s">
        <v>53</v>
      </c>
      <c r="I66" s="2" t="s">
        <v>54</v>
      </c>
      <c r="J66" s="2" t="s">
        <v>55</v>
      </c>
      <c r="K66" s="2"/>
      <c r="L66" s="2" t="s">
        <v>56</v>
      </c>
      <c r="M66" s="2" t="s">
        <v>57</v>
      </c>
      <c r="N66" s="2" t="s">
        <v>58</v>
      </c>
      <c r="O66" s="2" t="s">
        <v>59</v>
      </c>
      <c r="P66" s="2" t="s">
        <v>256</v>
      </c>
      <c r="Q66" s="2" t="s">
        <v>257</v>
      </c>
      <c r="R66" s="2"/>
    </row>
    <row r="67" spans="1:18">
      <c r="A67" s="2" t="s">
        <v>258</v>
      </c>
      <c r="B67" s="2" t="s">
        <v>255</v>
      </c>
      <c r="C67" s="2" t="s">
        <v>51</v>
      </c>
      <c r="D67" s="2">
        <v>482190756.75</v>
      </c>
      <c r="E67" s="2">
        <v>1</v>
      </c>
      <c r="F67" s="3">
        <f>IF(COUNT(D67,E67)=2,D67*E67,NA())</f>
        <v>482190756.75</v>
      </c>
      <c r="G67" s="2" t="s">
        <v>52</v>
      </c>
      <c r="H67" s="2" t="s">
        <v>53</v>
      </c>
      <c r="I67" s="2" t="s">
        <v>54</v>
      </c>
      <c r="J67" s="2" t="s">
        <v>55</v>
      </c>
      <c r="K67" s="2"/>
      <c r="L67" s="2" t="s">
        <v>63</v>
      </c>
      <c r="M67" s="2" t="s">
        <v>57</v>
      </c>
      <c r="N67" s="2" t="s">
        <v>64</v>
      </c>
      <c r="O67" s="2" t="s">
        <v>59</v>
      </c>
      <c r="P67" s="2" t="s">
        <v>259</v>
      </c>
      <c r="Q67" s="2" t="s">
        <v>257</v>
      </c>
      <c r="R67" s="2"/>
    </row>
    <row r="68" spans="1:18">
      <c r="A68" s="2" t="s">
        <v>260</v>
      </c>
      <c r="B68" s="2" t="s">
        <v>261</v>
      </c>
      <c r="C68" s="2" t="s">
        <v>51</v>
      </c>
      <c r="D68" s="2">
        <v>440432674.72</v>
      </c>
      <c r="E68" s="2">
        <v>1</v>
      </c>
      <c r="F68" s="3">
        <f>IF(COUNT(D68,E68)=2,D68*E68,NA())</f>
        <v>440432674.72</v>
      </c>
      <c r="G68" s="2" t="s">
        <v>52</v>
      </c>
      <c r="H68" s="2" t="s">
        <v>53</v>
      </c>
      <c r="I68" s="2" t="s">
        <v>54</v>
      </c>
      <c r="J68" s="2" t="s">
        <v>55</v>
      </c>
      <c r="K68" s="2"/>
      <c r="L68" s="2" t="s">
        <v>56</v>
      </c>
      <c r="M68" s="2" t="s">
        <v>57</v>
      </c>
      <c r="N68" s="2" t="s">
        <v>58</v>
      </c>
      <c r="O68" s="2" t="s">
        <v>59</v>
      </c>
      <c r="P68" s="2" t="s">
        <v>262</v>
      </c>
      <c r="Q68" s="2" t="s">
        <v>263</v>
      </c>
      <c r="R68" s="2"/>
    </row>
    <row r="69" spans="1:18">
      <c r="A69" s="2" t="s">
        <v>264</v>
      </c>
      <c r="B69" s="2" t="s">
        <v>261</v>
      </c>
      <c r="C69" s="2" t="s">
        <v>51</v>
      </c>
      <c r="D69" s="2">
        <v>327540859.85</v>
      </c>
      <c r="E69" s="2">
        <v>1</v>
      </c>
      <c r="F69" s="3">
        <f>IF(COUNT(D69,E69)=2,D69*E69,NA())</f>
        <v>327540859.85</v>
      </c>
      <c r="G69" s="2" t="s">
        <v>52</v>
      </c>
      <c r="H69" s="2" t="s">
        <v>53</v>
      </c>
      <c r="I69" s="2" t="s">
        <v>54</v>
      </c>
      <c r="J69" s="2" t="s">
        <v>55</v>
      </c>
      <c r="K69" s="2"/>
      <c r="L69" s="2" t="s">
        <v>63</v>
      </c>
      <c r="M69" s="2" t="s">
        <v>57</v>
      </c>
      <c r="N69" s="2" t="s">
        <v>64</v>
      </c>
      <c r="O69" s="2" t="s">
        <v>59</v>
      </c>
      <c r="P69" s="2" t="s">
        <v>265</v>
      </c>
      <c r="Q69" s="2" t="s">
        <v>263</v>
      </c>
      <c r="R69" s="2"/>
    </row>
    <row r="70" spans="1:18">
      <c r="A70" s="2" t="s">
        <v>266</v>
      </c>
      <c r="B70" s="2" t="s">
        <v>267</v>
      </c>
      <c r="C70" s="2" t="s">
        <v>51</v>
      </c>
      <c r="D70" s="2">
        <v>42918686.01</v>
      </c>
      <c r="E70" s="2">
        <v>1</v>
      </c>
      <c r="F70" s="3">
        <f>IF(COUNT(D70,E70)=2,D70*E70,NA())</f>
        <v>42918686.01</v>
      </c>
      <c r="G70" s="2" t="s">
        <v>52</v>
      </c>
      <c r="H70" s="2" t="s">
        <v>53</v>
      </c>
      <c r="I70" s="2" t="s">
        <v>54</v>
      </c>
      <c r="J70" s="2" t="s">
        <v>55</v>
      </c>
      <c r="K70" s="2"/>
      <c r="L70" s="2" t="s">
        <v>56</v>
      </c>
      <c r="M70" s="2" t="s">
        <v>57</v>
      </c>
      <c r="N70" s="2" t="s">
        <v>58</v>
      </c>
      <c r="O70" s="2" t="s">
        <v>59</v>
      </c>
      <c r="P70" s="2" t="s">
        <v>268</v>
      </c>
      <c r="Q70" s="2" t="s">
        <v>269</v>
      </c>
      <c r="R70" s="2"/>
    </row>
    <row r="71" spans="1:18">
      <c r="A71" s="2" t="s">
        <v>270</v>
      </c>
      <c r="B71" s="2" t="s">
        <v>267</v>
      </c>
      <c r="C71" s="2" t="s">
        <v>51</v>
      </c>
      <c r="D71" s="2">
        <v>35808361.36</v>
      </c>
      <c r="E71" s="2">
        <v>1</v>
      </c>
      <c r="F71" s="3">
        <f>IF(COUNT(D71,E71)=2,D71*E71,NA())</f>
        <v>35808361.36</v>
      </c>
      <c r="G71" s="2" t="s">
        <v>52</v>
      </c>
      <c r="H71" s="2" t="s">
        <v>53</v>
      </c>
      <c r="I71" s="2" t="s">
        <v>54</v>
      </c>
      <c r="J71" s="2" t="s">
        <v>55</v>
      </c>
      <c r="K71" s="2"/>
      <c r="L71" s="2" t="s">
        <v>63</v>
      </c>
      <c r="M71" s="2" t="s">
        <v>57</v>
      </c>
      <c r="N71" s="2" t="s">
        <v>64</v>
      </c>
      <c r="O71" s="2" t="s">
        <v>59</v>
      </c>
      <c r="P71" s="2" t="s">
        <v>271</v>
      </c>
      <c r="Q71" s="2" t="s">
        <v>269</v>
      </c>
      <c r="R71" s="2"/>
    </row>
    <row r="72" spans="1:18">
      <c r="A72" s="2" t="s">
        <v>272</v>
      </c>
      <c r="B72" s="2" t="s">
        <v>273</v>
      </c>
      <c r="C72" s="2" t="s">
        <v>51</v>
      </c>
      <c r="D72" s="2">
        <v>5692405541.79</v>
      </c>
      <c r="E72" s="2">
        <v>1</v>
      </c>
      <c r="F72" s="3">
        <f>IF(COUNT(D72,E72)=2,D72*E72,NA())</f>
        <v>5692405541.79</v>
      </c>
      <c r="G72" s="2" t="s">
        <v>52</v>
      </c>
      <c r="H72" s="2" t="s">
        <v>53</v>
      </c>
      <c r="I72" s="2" t="s">
        <v>54</v>
      </c>
      <c r="J72" s="2" t="s">
        <v>55</v>
      </c>
      <c r="K72" s="2"/>
      <c r="L72" s="2" t="s">
        <v>56</v>
      </c>
      <c r="M72" s="2" t="s">
        <v>57</v>
      </c>
      <c r="N72" s="2" t="s">
        <v>58</v>
      </c>
      <c r="O72" s="2" t="s">
        <v>59</v>
      </c>
      <c r="P72" s="2" t="s">
        <v>274</v>
      </c>
      <c r="Q72" s="2" t="s">
        <v>275</v>
      </c>
      <c r="R72" s="2"/>
    </row>
    <row r="73" spans="1:18">
      <c r="A73" s="2" t="s">
        <v>276</v>
      </c>
      <c r="B73" s="2" t="s">
        <v>273</v>
      </c>
      <c r="C73" s="2" t="s">
        <v>51</v>
      </c>
      <c r="D73" s="2">
        <v>6136199867.15</v>
      </c>
      <c r="E73" s="2">
        <v>1</v>
      </c>
      <c r="F73" s="3">
        <f>IF(COUNT(D73,E73)=2,D73*E73,NA())</f>
        <v>6136199867.15</v>
      </c>
      <c r="G73" s="2" t="s">
        <v>52</v>
      </c>
      <c r="H73" s="2" t="s">
        <v>53</v>
      </c>
      <c r="I73" s="2" t="s">
        <v>54</v>
      </c>
      <c r="J73" s="2" t="s">
        <v>55</v>
      </c>
      <c r="K73" s="2"/>
      <c r="L73" s="2" t="s">
        <v>63</v>
      </c>
      <c r="M73" s="2" t="s">
        <v>57</v>
      </c>
      <c r="N73" s="2" t="s">
        <v>64</v>
      </c>
      <c r="O73" s="2" t="s">
        <v>59</v>
      </c>
      <c r="P73" s="2" t="s">
        <v>277</v>
      </c>
      <c r="Q73" s="2" t="s">
        <v>275</v>
      </c>
      <c r="R73" s="2"/>
    </row>
    <row r="74" spans="1:18">
      <c r="A74" s="2" t="s">
        <v>278</v>
      </c>
      <c r="B74" s="2" t="s">
        <v>279</v>
      </c>
      <c r="C74" s="2" t="s">
        <v>51</v>
      </c>
      <c r="D74" s="2">
        <v>122440450.61</v>
      </c>
      <c r="E74" s="2">
        <v>1</v>
      </c>
      <c r="F74" s="3">
        <f>IF(COUNT(D74,E74)=2,D74*E74,NA())</f>
        <v>122440450.61</v>
      </c>
      <c r="G74" s="2" t="s">
        <v>52</v>
      </c>
      <c r="H74" s="2" t="s">
        <v>53</v>
      </c>
      <c r="I74" s="2" t="s">
        <v>54</v>
      </c>
      <c r="J74" s="2" t="s">
        <v>55</v>
      </c>
      <c r="K74" s="2"/>
      <c r="L74" s="2" t="s">
        <v>56</v>
      </c>
      <c r="M74" s="2" t="s">
        <v>57</v>
      </c>
      <c r="N74" s="2" t="s">
        <v>58</v>
      </c>
      <c r="O74" s="2" t="s">
        <v>59</v>
      </c>
      <c r="P74" s="2" t="s">
        <v>280</v>
      </c>
      <c r="Q74" s="2" t="s">
        <v>281</v>
      </c>
      <c r="R74" s="2"/>
    </row>
    <row r="75" spans="1:18">
      <c r="A75" s="2" t="s">
        <v>282</v>
      </c>
      <c r="B75" s="2" t="s">
        <v>279</v>
      </c>
      <c r="C75" s="2" t="s">
        <v>51</v>
      </c>
      <c r="D75" s="2">
        <v>487355542.35</v>
      </c>
      <c r="E75" s="2">
        <v>1</v>
      </c>
      <c r="F75" s="3">
        <f>IF(COUNT(D75,E75)=2,D75*E75,NA())</f>
        <v>487355542.35</v>
      </c>
      <c r="G75" s="2" t="s">
        <v>52</v>
      </c>
      <c r="H75" s="2" t="s">
        <v>53</v>
      </c>
      <c r="I75" s="2" t="s">
        <v>54</v>
      </c>
      <c r="J75" s="2" t="s">
        <v>55</v>
      </c>
      <c r="K75" s="2"/>
      <c r="L75" s="2" t="s">
        <v>63</v>
      </c>
      <c r="M75" s="2" t="s">
        <v>57</v>
      </c>
      <c r="N75" s="2" t="s">
        <v>64</v>
      </c>
      <c r="O75" s="2" t="s">
        <v>59</v>
      </c>
      <c r="P75" s="2" t="s">
        <v>283</v>
      </c>
      <c r="Q75" s="2" t="s">
        <v>281</v>
      </c>
      <c r="R75" s="2"/>
    </row>
    <row r="76" spans="1:18">
      <c r="A76" s="2" t="s">
        <v>284</v>
      </c>
      <c r="B76" s="2" t="s">
        <v>285</v>
      </c>
      <c r="C76" s="2" t="s">
        <v>51</v>
      </c>
      <c r="D76" s="2">
        <v>2313383227.05</v>
      </c>
      <c r="E76" s="2">
        <v>1</v>
      </c>
      <c r="F76" s="3">
        <f>IF(COUNT(D76,E76)=2,D76*E76,NA())</f>
        <v>2313383227.05</v>
      </c>
      <c r="G76" s="2" t="s">
        <v>52</v>
      </c>
      <c r="H76" s="2" t="s">
        <v>53</v>
      </c>
      <c r="I76" s="2" t="s">
        <v>54</v>
      </c>
      <c r="J76" s="2" t="s">
        <v>55</v>
      </c>
      <c r="K76" s="2"/>
      <c r="L76" s="2" t="s">
        <v>56</v>
      </c>
      <c r="M76" s="2" t="s">
        <v>57</v>
      </c>
      <c r="N76" s="2" t="s">
        <v>58</v>
      </c>
      <c r="O76" s="2" t="s">
        <v>59</v>
      </c>
      <c r="P76" s="2" t="s">
        <v>286</v>
      </c>
      <c r="Q76" s="2" t="s">
        <v>287</v>
      </c>
      <c r="R76" s="2"/>
    </row>
    <row r="77" spans="1:18">
      <c r="A77" s="2" t="s">
        <v>288</v>
      </c>
      <c r="B77" s="2" t="s">
        <v>285</v>
      </c>
      <c r="C77" s="2" t="s">
        <v>51</v>
      </c>
      <c r="D77" s="2">
        <v>2243045749.84</v>
      </c>
      <c r="E77" s="2">
        <v>1</v>
      </c>
      <c r="F77" s="3">
        <f>IF(COUNT(D77,E77)=2,D77*E77,NA())</f>
        <v>2243045749.84</v>
      </c>
      <c r="G77" s="2" t="s">
        <v>52</v>
      </c>
      <c r="H77" s="2" t="s">
        <v>53</v>
      </c>
      <c r="I77" s="2" t="s">
        <v>54</v>
      </c>
      <c r="J77" s="2" t="s">
        <v>55</v>
      </c>
      <c r="K77" s="2"/>
      <c r="L77" s="2" t="s">
        <v>63</v>
      </c>
      <c r="M77" s="2" t="s">
        <v>57</v>
      </c>
      <c r="N77" s="2" t="s">
        <v>64</v>
      </c>
      <c r="O77" s="2" t="s">
        <v>59</v>
      </c>
      <c r="P77" s="2" t="s">
        <v>289</v>
      </c>
      <c r="Q77" s="2" t="s">
        <v>287</v>
      </c>
      <c r="R77" s="2"/>
    </row>
    <row r="78" spans="1:18">
      <c r="A78" s="2" t="s">
        <v>290</v>
      </c>
      <c r="B78" s="2" t="s">
        <v>291</v>
      </c>
      <c r="C78" s="2" t="s">
        <v>51</v>
      </c>
      <c r="D78" s="2">
        <v>30968310.41</v>
      </c>
      <c r="E78" s="2">
        <v>1</v>
      </c>
      <c r="F78" s="3">
        <f>IF(COUNT(D78,E78)=2,D78*E78,NA())</f>
        <v>30968310.41</v>
      </c>
      <c r="G78" s="2" t="s">
        <v>52</v>
      </c>
      <c r="H78" s="2" t="s">
        <v>53</v>
      </c>
      <c r="I78" s="2" t="s">
        <v>54</v>
      </c>
      <c r="J78" s="2" t="s">
        <v>55</v>
      </c>
      <c r="K78" s="2"/>
      <c r="L78" s="2" t="s">
        <v>56</v>
      </c>
      <c r="M78" s="2" t="s">
        <v>57</v>
      </c>
      <c r="N78" s="2" t="s">
        <v>58</v>
      </c>
      <c r="O78" s="2" t="s">
        <v>59</v>
      </c>
      <c r="P78" s="2" t="s">
        <v>292</v>
      </c>
      <c r="Q78" s="2" t="s">
        <v>293</v>
      </c>
      <c r="R78" s="2"/>
    </row>
    <row r="79" spans="1:18">
      <c r="A79" s="2" t="s">
        <v>294</v>
      </c>
      <c r="B79" s="2" t="s">
        <v>291</v>
      </c>
      <c r="C79" s="2" t="s">
        <v>51</v>
      </c>
      <c r="D79" s="2">
        <v>20888270.38</v>
      </c>
      <c r="E79" s="2">
        <v>1</v>
      </c>
      <c r="F79" s="3">
        <f>IF(COUNT(D79,E79)=2,D79*E79,NA())</f>
        <v>20888270.38</v>
      </c>
      <c r="G79" s="2" t="s">
        <v>52</v>
      </c>
      <c r="H79" s="2" t="s">
        <v>53</v>
      </c>
      <c r="I79" s="2" t="s">
        <v>54</v>
      </c>
      <c r="J79" s="2" t="s">
        <v>55</v>
      </c>
      <c r="K79" s="2"/>
      <c r="L79" s="2" t="s">
        <v>63</v>
      </c>
      <c r="M79" s="2" t="s">
        <v>57</v>
      </c>
      <c r="N79" s="2" t="s">
        <v>64</v>
      </c>
      <c r="O79" s="2" t="s">
        <v>59</v>
      </c>
      <c r="P79" s="2" t="s">
        <v>295</v>
      </c>
      <c r="Q79" s="2" t="s">
        <v>293</v>
      </c>
      <c r="R79" s="2"/>
    </row>
    <row r="80" spans="1:18">
      <c r="A80" s="2" t="s">
        <v>296</v>
      </c>
      <c r="B80" s="2" t="s">
        <v>297</v>
      </c>
      <c r="C80" s="2" t="s">
        <v>51</v>
      </c>
      <c r="D80" s="2">
        <v>117125817.79</v>
      </c>
      <c r="E80" s="2">
        <v>1</v>
      </c>
      <c r="F80" s="3">
        <f>IF(COUNT(D80,E80)=2,D80*E80,NA())</f>
        <v>117125817.79</v>
      </c>
      <c r="G80" s="2" t="s">
        <v>52</v>
      </c>
      <c r="H80" s="2" t="s">
        <v>53</v>
      </c>
      <c r="I80" s="2" t="s">
        <v>54</v>
      </c>
      <c r="J80" s="2" t="s">
        <v>55</v>
      </c>
      <c r="K80" s="2"/>
      <c r="L80" s="2" t="s">
        <v>56</v>
      </c>
      <c r="M80" s="2" t="s">
        <v>57</v>
      </c>
      <c r="N80" s="2" t="s">
        <v>58</v>
      </c>
      <c r="O80" s="2" t="s">
        <v>59</v>
      </c>
      <c r="P80" s="2" t="s">
        <v>298</v>
      </c>
      <c r="Q80" s="2" t="s">
        <v>299</v>
      </c>
      <c r="R80" s="2"/>
    </row>
    <row r="81" spans="1:18">
      <c r="A81" s="2" t="s">
        <v>300</v>
      </c>
      <c r="B81" s="2" t="s">
        <v>297</v>
      </c>
      <c r="C81" s="2" t="s">
        <v>51</v>
      </c>
      <c r="D81" s="2">
        <v>109320745.08</v>
      </c>
      <c r="E81" s="2">
        <v>1</v>
      </c>
      <c r="F81" s="3">
        <f>IF(COUNT(D81,E81)=2,D81*E81,NA())</f>
        <v>109320745.08</v>
      </c>
      <c r="G81" s="2" t="s">
        <v>52</v>
      </c>
      <c r="H81" s="2" t="s">
        <v>53</v>
      </c>
      <c r="I81" s="2" t="s">
        <v>54</v>
      </c>
      <c r="J81" s="2" t="s">
        <v>55</v>
      </c>
      <c r="K81" s="2"/>
      <c r="L81" s="2" t="s">
        <v>63</v>
      </c>
      <c r="M81" s="2" t="s">
        <v>57</v>
      </c>
      <c r="N81" s="2" t="s">
        <v>64</v>
      </c>
      <c r="O81" s="2" t="s">
        <v>59</v>
      </c>
      <c r="P81" s="2" t="s">
        <v>301</v>
      </c>
      <c r="Q81" s="2" t="s">
        <v>299</v>
      </c>
      <c r="R81" s="2"/>
    </row>
    <row r="82" spans="1:18">
      <c r="A82" s="2" t="s">
        <v>302</v>
      </c>
      <c r="B82" s="2" t="s">
        <v>303</v>
      </c>
      <c r="C82" s="2" t="s">
        <v>51</v>
      </c>
      <c r="D82" s="2">
        <v>35170595.48</v>
      </c>
      <c r="E82" s="2">
        <v>1</v>
      </c>
      <c r="F82" s="3">
        <f>IF(COUNT(D82,E82)=2,D82*E82,NA())</f>
        <v>35170595.48</v>
      </c>
      <c r="G82" s="2" t="s">
        <v>52</v>
      </c>
      <c r="H82" s="2" t="s">
        <v>53</v>
      </c>
      <c r="I82" s="2" t="s">
        <v>54</v>
      </c>
      <c r="J82" s="2" t="s">
        <v>55</v>
      </c>
      <c r="K82" s="2"/>
      <c r="L82" s="2" t="s">
        <v>56</v>
      </c>
      <c r="M82" s="2" t="s">
        <v>57</v>
      </c>
      <c r="N82" s="2" t="s">
        <v>58</v>
      </c>
      <c r="O82" s="2" t="s">
        <v>59</v>
      </c>
      <c r="P82" s="2" t="s">
        <v>304</v>
      </c>
      <c r="Q82" s="2" t="s">
        <v>305</v>
      </c>
      <c r="R82" s="2"/>
    </row>
    <row r="83" spans="1:18">
      <c r="A83" s="2" t="s">
        <v>306</v>
      </c>
      <c r="B83" s="2" t="s">
        <v>303</v>
      </c>
      <c r="C83" s="2" t="s">
        <v>51</v>
      </c>
      <c r="D83" s="2">
        <v>41656479.97</v>
      </c>
      <c r="E83" s="2">
        <v>1</v>
      </c>
      <c r="F83" s="3">
        <f>IF(COUNT(D83,E83)=2,D83*E83,NA())</f>
        <v>41656479.97</v>
      </c>
      <c r="G83" s="2" t="s">
        <v>52</v>
      </c>
      <c r="H83" s="2" t="s">
        <v>53</v>
      </c>
      <c r="I83" s="2" t="s">
        <v>54</v>
      </c>
      <c r="J83" s="2" t="s">
        <v>55</v>
      </c>
      <c r="K83" s="2"/>
      <c r="L83" s="2" t="s">
        <v>63</v>
      </c>
      <c r="M83" s="2" t="s">
        <v>57</v>
      </c>
      <c r="N83" s="2" t="s">
        <v>64</v>
      </c>
      <c r="O83" s="2" t="s">
        <v>59</v>
      </c>
      <c r="P83" s="2" t="s">
        <v>307</v>
      </c>
      <c r="Q83" s="2" t="s">
        <v>305</v>
      </c>
      <c r="R83" s="2"/>
    </row>
    <row r="84" spans="1:18">
      <c r="A84" s="2" t="s">
        <v>308</v>
      </c>
      <c r="B84" s="2" t="s">
        <v>309</v>
      </c>
      <c r="C84" s="2" t="s">
        <v>196</v>
      </c>
      <c r="D84" s="2">
        <v>36508115.85</v>
      </c>
      <c r="E84" s="2">
        <v>1</v>
      </c>
      <c r="F84" s="3">
        <f>IF(COUNT(D84,E84)=2,D84*E84,NA())</f>
        <v>36508115.85</v>
      </c>
      <c r="G84" s="2" t="s">
        <v>52</v>
      </c>
      <c r="H84" s="2" t="s">
        <v>53</v>
      </c>
      <c r="I84" s="2" t="s">
        <v>54</v>
      </c>
      <c r="J84" s="2" t="s">
        <v>55</v>
      </c>
      <c r="K84" s="2"/>
      <c r="L84" s="2" t="s">
        <v>56</v>
      </c>
      <c r="M84" s="2" t="s">
        <v>57</v>
      </c>
      <c r="N84" s="2" t="s">
        <v>58</v>
      </c>
      <c r="O84" s="2" t="s">
        <v>59</v>
      </c>
      <c r="P84" s="2" t="s">
        <v>310</v>
      </c>
      <c r="Q84" s="2" t="s">
        <v>311</v>
      </c>
      <c r="R84" s="2"/>
    </row>
    <row r="85" spans="1:18">
      <c r="A85" s="2" t="s">
        <v>312</v>
      </c>
      <c r="B85" s="2" t="s">
        <v>309</v>
      </c>
      <c r="C85" s="2" t="s">
        <v>196</v>
      </c>
      <c r="D85" s="2">
        <v>39064016.52</v>
      </c>
      <c r="E85" s="2">
        <v>1</v>
      </c>
      <c r="F85" s="3">
        <f>IF(COUNT(D85,E85)=2,D85*E85,NA())</f>
        <v>39064016.52</v>
      </c>
      <c r="G85" s="2" t="s">
        <v>52</v>
      </c>
      <c r="H85" s="2" t="s">
        <v>53</v>
      </c>
      <c r="I85" s="2" t="s">
        <v>54</v>
      </c>
      <c r="J85" s="2" t="s">
        <v>55</v>
      </c>
      <c r="K85" s="2"/>
      <c r="L85" s="2" t="s">
        <v>63</v>
      </c>
      <c r="M85" s="2" t="s">
        <v>57</v>
      </c>
      <c r="N85" s="2" t="s">
        <v>64</v>
      </c>
      <c r="O85" s="2" t="s">
        <v>59</v>
      </c>
      <c r="P85" s="2" t="s">
        <v>310</v>
      </c>
      <c r="Q85" s="2" t="s">
        <v>311</v>
      </c>
      <c r="R85" s="2"/>
    </row>
    <row r="86" spans="1:18">
      <c r="A86" s="2" t="s">
        <v>313</v>
      </c>
      <c r="B86" s="2" t="s">
        <v>314</v>
      </c>
      <c r="C86" s="2" t="s">
        <v>51</v>
      </c>
      <c r="D86" s="2">
        <v>2655596517.19</v>
      </c>
      <c r="E86" s="2">
        <v>1</v>
      </c>
      <c r="F86" s="3">
        <f>IF(COUNT(D86,E86)=2,D86*E86,NA())</f>
        <v>2655596517.19</v>
      </c>
      <c r="G86" s="2" t="s">
        <v>52</v>
      </c>
      <c r="H86" s="2" t="s">
        <v>53</v>
      </c>
      <c r="I86" s="2" t="s">
        <v>54</v>
      </c>
      <c r="J86" s="2" t="s">
        <v>55</v>
      </c>
      <c r="K86" s="2"/>
      <c r="L86" s="2" t="s">
        <v>56</v>
      </c>
      <c r="M86" s="2" t="s">
        <v>57</v>
      </c>
      <c r="N86" s="2" t="s">
        <v>58</v>
      </c>
      <c r="O86" s="2" t="s">
        <v>59</v>
      </c>
      <c r="P86" s="2" t="s">
        <v>315</v>
      </c>
      <c r="Q86" s="2" t="s">
        <v>316</v>
      </c>
      <c r="R86" s="2"/>
    </row>
    <row r="87" spans="1:18">
      <c r="A87" s="2" t="s">
        <v>317</v>
      </c>
      <c r="B87" s="2" t="s">
        <v>314</v>
      </c>
      <c r="C87" s="2" t="s">
        <v>51</v>
      </c>
      <c r="D87" s="2">
        <v>2941330804.14</v>
      </c>
      <c r="E87" s="2">
        <v>1</v>
      </c>
      <c r="F87" s="3">
        <f>IF(COUNT(D87,E87)=2,D87*E87,NA())</f>
        <v>2941330804.14</v>
      </c>
      <c r="G87" s="2" t="s">
        <v>52</v>
      </c>
      <c r="H87" s="2" t="s">
        <v>53</v>
      </c>
      <c r="I87" s="2" t="s">
        <v>54</v>
      </c>
      <c r="J87" s="2" t="s">
        <v>55</v>
      </c>
      <c r="K87" s="2"/>
      <c r="L87" s="2" t="s">
        <v>63</v>
      </c>
      <c r="M87" s="2" t="s">
        <v>57</v>
      </c>
      <c r="N87" s="2" t="s">
        <v>64</v>
      </c>
      <c r="O87" s="2" t="s">
        <v>59</v>
      </c>
      <c r="P87" s="2" t="s">
        <v>318</v>
      </c>
      <c r="Q87" s="2" t="s">
        <v>316</v>
      </c>
      <c r="R87" s="2"/>
    </row>
    <row r="88" spans="1:18">
      <c r="A88" s="2" t="s">
        <v>319</v>
      </c>
      <c r="B88" s="2" t="s">
        <v>320</v>
      </c>
      <c r="C88" s="2" t="s">
        <v>51</v>
      </c>
      <c r="D88" s="2">
        <v>8348002058.98</v>
      </c>
      <c r="E88" s="2">
        <v>1</v>
      </c>
      <c r="F88" s="3">
        <f>IF(COUNT(D88,E88)=2,D88*E88,NA())</f>
        <v>8348002058.98</v>
      </c>
      <c r="G88" s="2" t="s">
        <v>52</v>
      </c>
      <c r="H88" s="2" t="s">
        <v>53</v>
      </c>
      <c r="I88" s="2" t="s">
        <v>54</v>
      </c>
      <c r="J88" s="2" t="s">
        <v>55</v>
      </c>
      <c r="K88" s="2"/>
      <c r="L88" s="2" t="s">
        <v>56</v>
      </c>
      <c r="M88" s="2" t="s">
        <v>57</v>
      </c>
      <c r="N88" s="2" t="s">
        <v>58</v>
      </c>
      <c r="O88" s="2" t="s">
        <v>59</v>
      </c>
      <c r="P88" s="2" t="s">
        <v>321</v>
      </c>
      <c r="Q88" s="2" t="s">
        <v>322</v>
      </c>
      <c r="R88" s="2"/>
    </row>
    <row r="89" spans="1:18">
      <c r="A89" s="2" t="s">
        <v>323</v>
      </c>
      <c r="B89" s="2" t="s">
        <v>320</v>
      </c>
      <c r="C89" s="2" t="s">
        <v>51</v>
      </c>
      <c r="D89" s="2">
        <v>9077530671.290001</v>
      </c>
      <c r="E89" s="2">
        <v>1</v>
      </c>
      <c r="F89" s="3">
        <f>IF(COUNT(D89,E89)=2,D89*E89,NA())</f>
        <v>9077530671.29</v>
      </c>
      <c r="G89" s="2" t="s">
        <v>52</v>
      </c>
      <c r="H89" s="2" t="s">
        <v>53</v>
      </c>
      <c r="I89" s="2" t="s">
        <v>54</v>
      </c>
      <c r="J89" s="2" t="s">
        <v>55</v>
      </c>
      <c r="K89" s="2"/>
      <c r="L89" s="2" t="s">
        <v>63</v>
      </c>
      <c r="M89" s="2" t="s">
        <v>57</v>
      </c>
      <c r="N89" s="2" t="s">
        <v>64</v>
      </c>
      <c r="O89" s="2" t="s">
        <v>59</v>
      </c>
      <c r="P89" s="2" t="s">
        <v>324</v>
      </c>
      <c r="Q89" s="2" t="s">
        <v>322</v>
      </c>
      <c r="R89" s="2"/>
    </row>
    <row r="90" spans="1:18">
      <c r="A90" s="2" t="s">
        <v>325</v>
      </c>
      <c r="B90" s="2" t="s">
        <v>326</v>
      </c>
      <c r="C90" s="2" t="s">
        <v>51</v>
      </c>
      <c r="D90" s="2">
        <v>1109970259</v>
      </c>
      <c r="E90" s="2">
        <v>1</v>
      </c>
      <c r="F90" s="3">
        <f>IF(COUNT(D90,E90)=2,D90*E90,NA())</f>
        <v>1109970259.0</v>
      </c>
      <c r="G90" s="2" t="s">
        <v>52</v>
      </c>
      <c r="H90" s="2" t="s">
        <v>53</v>
      </c>
      <c r="I90" s="2" t="s">
        <v>54</v>
      </c>
      <c r="J90" s="2" t="s">
        <v>55</v>
      </c>
      <c r="K90" s="2"/>
      <c r="L90" s="2" t="s">
        <v>56</v>
      </c>
      <c r="M90" s="2" t="s">
        <v>57</v>
      </c>
      <c r="N90" s="2" t="s">
        <v>58</v>
      </c>
      <c r="O90" s="2" t="s">
        <v>59</v>
      </c>
      <c r="P90" s="2" t="s">
        <v>327</v>
      </c>
      <c r="Q90" s="2" t="s">
        <v>328</v>
      </c>
      <c r="R90" s="2"/>
    </row>
    <row r="91" spans="1:18">
      <c r="A91" s="2" t="s">
        <v>329</v>
      </c>
      <c r="B91" s="2" t="s">
        <v>326</v>
      </c>
      <c r="C91" s="2" t="s">
        <v>51</v>
      </c>
      <c r="D91" s="2">
        <v>1109967662</v>
      </c>
      <c r="E91" s="2">
        <v>1</v>
      </c>
      <c r="F91" s="3">
        <f>IF(COUNT(D91,E91)=2,D91*E91,NA())</f>
        <v>1109967662.0</v>
      </c>
      <c r="G91" s="2" t="s">
        <v>52</v>
      </c>
      <c r="H91" s="2" t="s">
        <v>53</v>
      </c>
      <c r="I91" s="2" t="s">
        <v>54</v>
      </c>
      <c r="J91" s="2" t="s">
        <v>55</v>
      </c>
      <c r="K91" s="2"/>
      <c r="L91" s="2" t="s">
        <v>63</v>
      </c>
      <c r="M91" s="2" t="s">
        <v>57</v>
      </c>
      <c r="N91" s="2" t="s">
        <v>64</v>
      </c>
      <c r="O91" s="2" t="s">
        <v>59</v>
      </c>
      <c r="P91" s="2" t="s">
        <v>330</v>
      </c>
      <c r="Q91" s="2" t="s">
        <v>328</v>
      </c>
      <c r="R91" s="2"/>
    </row>
    <row r="92" spans="1:18">
      <c r="A92" s="2" t="s">
        <v>331</v>
      </c>
      <c r="B92" s="2" t="s">
        <v>332</v>
      </c>
      <c r="C92" s="2" t="s">
        <v>51</v>
      </c>
      <c r="D92" s="2">
        <v>36452055.01</v>
      </c>
      <c r="E92" s="2">
        <v>1</v>
      </c>
      <c r="F92" s="3">
        <f>IF(COUNT(D92,E92)=2,D92*E92,NA())</f>
        <v>36452055.01</v>
      </c>
      <c r="G92" s="2" t="s">
        <v>52</v>
      </c>
      <c r="H92" s="2" t="s">
        <v>53</v>
      </c>
      <c r="I92" s="2" t="s">
        <v>54</v>
      </c>
      <c r="J92" s="2" t="s">
        <v>55</v>
      </c>
      <c r="K92" s="2"/>
      <c r="L92" s="2" t="s">
        <v>56</v>
      </c>
      <c r="M92" s="2" t="s">
        <v>57</v>
      </c>
      <c r="N92" s="2" t="s">
        <v>58</v>
      </c>
      <c r="O92" s="2" t="s">
        <v>59</v>
      </c>
      <c r="P92" s="2" t="s">
        <v>333</v>
      </c>
      <c r="Q92" s="2" t="s">
        <v>334</v>
      </c>
      <c r="R92" s="2"/>
    </row>
    <row r="93" spans="1:18">
      <c r="A93" s="2" t="s">
        <v>335</v>
      </c>
      <c r="B93" s="2" t="s">
        <v>332</v>
      </c>
      <c r="C93" s="2" t="s">
        <v>51</v>
      </c>
      <c r="D93" s="2">
        <v>42885077.75</v>
      </c>
      <c r="E93" s="2">
        <v>1</v>
      </c>
      <c r="F93" s="3">
        <f>IF(COUNT(D93,E93)=2,D93*E93,NA())</f>
        <v>42885077.75</v>
      </c>
      <c r="G93" s="2" t="s">
        <v>52</v>
      </c>
      <c r="H93" s="2" t="s">
        <v>53</v>
      </c>
      <c r="I93" s="2" t="s">
        <v>54</v>
      </c>
      <c r="J93" s="2" t="s">
        <v>55</v>
      </c>
      <c r="K93" s="2"/>
      <c r="L93" s="2" t="s">
        <v>63</v>
      </c>
      <c r="M93" s="2" t="s">
        <v>57</v>
      </c>
      <c r="N93" s="2" t="s">
        <v>64</v>
      </c>
      <c r="O93" s="2" t="s">
        <v>59</v>
      </c>
      <c r="P93" s="2" t="s">
        <v>336</v>
      </c>
      <c r="Q93" s="2" t="s">
        <v>334</v>
      </c>
      <c r="R93" s="2"/>
    </row>
    <row r="94" spans="1:18">
      <c r="A94" s="2" t="s">
        <v>337</v>
      </c>
      <c r="B94" s="2" t="s">
        <v>338</v>
      </c>
      <c r="C94" s="2" t="s">
        <v>51</v>
      </c>
      <c r="D94" s="2">
        <v>1576158229.5</v>
      </c>
      <c r="E94" s="2">
        <v>1</v>
      </c>
      <c r="F94" s="3">
        <f>IF(COUNT(D94,E94)=2,D94*E94,NA())</f>
        <v>1576158229.5</v>
      </c>
      <c r="G94" s="2" t="s">
        <v>52</v>
      </c>
      <c r="H94" s="2" t="s">
        <v>53</v>
      </c>
      <c r="I94" s="2" t="s">
        <v>54</v>
      </c>
      <c r="J94" s="2" t="s">
        <v>55</v>
      </c>
      <c r="K94" s="2"/>
      <c r="L94" s="2" t="s">
        <v>56</v>
      </c>
      <c r="M94" s="2" t="s">
        <v>57</v>
      </c>
      <c r="N94" s="2" t="s">
        <v>58</v>
      </c>
      <c r="O94" s="2" t="s">
        <v>59</v>
      </c>
      <c r="P94" s="2" t="s">
        <v>339</v>
      </c>
      <c r="Q94" s="2" t="s">
        <v>340</v>
      </c>
      <c r="R94" s="2"/>
    </row>
    <row r="95" spans="1:18">
      <c r="A95" s="2" t="s">
        <v>341</v>
      </c>
      <c r="B95" s="2" t="s">
        <v>338</v>
      </c>
      <c r="C95" s="2" t="s">
        <v>51</v>
      </c>
      <c r="D95" s="2">
        <v>1661640719.61</v>
      </c>
      <c r="E95" s="2">
        <v>1</v>
      </c>
      <c r="F95" s="3">
        <f>IF(COUNT(D95,E95)=2,D95*E95,NA())</f>
        <v>1661640719.61</v>
      </c>
      <c r="G95" s="2" t="s">
        <v>52</v>
      </c>
      <c r="H95" s="2" t="s">
        <v>53</v>
      </c>
      <c r="I95" s="2" t="s">
        <v>54</v>
      </c>
      <c r="J95" s="2" t="s">
        <v>55</v>
      </c>
      <c r="K95" s="2"/>
      <c r="L95" s="2" t="s">
        <v>63</v>
      </c>
      <c r="M95" s="2" t="s">
        <v>57</v>
      </c>
      <c r="N95" s="2" t="s">
        <v>64</v>
      </c>
      <c r="O95" s="2" t="s">
        <v>59</v>
      </c>
      <c r="P95" s="2" t="s">
        <v>342</v>
      </c>
      <c r="Q95" s="2" t="s">
        <v>340</v>
      </c>
      <c r="R95" s="2"/>
    </row>
    <row r="96" spans="1:18">
      <c r="A96" s="2" t="s">
        <v>343</v>
      </c>
      <c r="B96" s="2" t="s">
        <v>344</v>
      </c>
      <c r="C96" s="2" t="s">
        <v>51</v>
      </c>
      <c r="D96" s="2">
        <v>-51584797.04</v>
      </c>
      <c r="E96" s="2">
        <v>1</v>
      </c>
      <c r="F96" s="3">
        <f>IF(COUNT(D96,E96)=2,D96*E96,NA())</f>
        <v>-51584797.04</v>
      </c>
      <c r="G96" s="2" t="s">
        <v>52</v>
      </c>
      <c r="H96" s="2" t="s">
        <v>53</v>
      </c>
      <c r="I96" s="2" t="s">
        <v>54</v>
      </c>
      <c r="J96" s="2" t="s">
        <v>55</v>
      </c>
      <c r="K96" s="2"/>
      <c r="L96" s="2" t="s">
        <v>56</v>
      </c>
      <c r="M96" s="2" t="s">
        <v>57</v>
      </c>
      <c r="N96" s="2" t="s">
        <v>58</v>
      </c>
      <c r="O96" s="2" t="s">
        <v>59</v>
      </c>
      <c r="P96" s="2" t="s">
        <v>345</v>
      </c>
      <c r="Q96" s="2" t="s">
        <v>346</v>
      </c>
      <c r="R96" s="2"/>
    </row>
    <row r="97" spans="1:18">
      <c r="A97" s="2" t="s">
        <v>347</v>
      </c>
      <c r="B97" s="2" t="s">
        <v>344</v>
      </c>
      <c r="C97" s="2" t="s">
        <v>51</v>
      </c>
      <c r="D97" s="2">
        <v>-37016511.9</v>
      </c>
      <c r="E97" s="2">
        <v>1</v>
      </c>
      <c r="F97" s="3">
        <f>IF(COUNT(D97,E97)=2,D97*E97,NA())</f>
        <v>-37016511.9</v>
      </c>
      <c r="G97" s="2" t="s">
        <v>52</v>
      </c>
      <c r="H97" s="2" t="s">
        <v>53</v>
      </c>
      <c r="I97" s="2" t="s">
        <v>54</v>
      </c>
      <c r="J97" s="2" t="s">
        <v>55</v>
      </c>
      <c r="K97" s="2"/>
      <c r="L97" s="2" t="s">
        <v>63</v>
      </c>
      <c r="M97" s="2" t="s">
        <v>57</v>
      </c>
      <c r="N97" s="2" t="s">
        <v>64</v>
      </c>
      <c r="O97" s="2" t="s">
        <v>59</v>
      </c>
      <c r="P97" s="2" t="s">
        <v>348</v>
      </c>
      <c r="Q97" s="2" t="s">
        <v>346</v>
      </c>
      <c r="R97" s="2"/>
    </row>
    <row r="98" spans="1:18">
      <c r="A98" s="2" t="s">
        <v>349</v>
      </c>
      <c r="B98" s="2" t="s">
        <v>350</v>
      </c>
      <c r="C98" s="2" t="s">
        <v>51</v>
      </c>
      <c r="D98" s="2">
        <v>113408833.76</v>
      </c>
      <c r="E98" s="2">
        <v>1</v>
      </c>
      <c r="F98" s="3">
        <f>IF(COUNT(D98,E98)=2,D98*E98,NA())</f>
        <v>113408833.76</v>
      </c>
      <c r="G98" s="2" t="s">
        <v>52</v>
      </c>
      <c r="H98" s="2" t="s">
        <v>53</v>
      </c>
      <c r="I98" s="2" t="s">
        <v>54</v>
      </c>
      <c r="J98" s="2" t="s">
        <v>55</v>
      </c>
      <c r="K98" s="2"/>
      <c r="L98" s="2" t="s">
        <v>56</v>
      </c>
      <c r="M98" s="2" t="s">
        <v>57</v>
      </c>
      <c r="N98" s="2" t="s">
        <v>58</v>
      </c>
      <c r="O98" s="2" t="s">
        <v>59</v>
      </c>
      <c r="P98" s="2" t="s">
        <v>351</v>
      </c>
      <c r="Q98" s="2" t="s">
        <v>352</v>
      </c>
      <c r="R98" s="2"/>
    </row>
    <row r="99" spans="1:18">
      <c r="A99" s="2" t="s">
        <v>353</v>
      </c>
      <c r="B99" s="2" t="s">
        <v>350</v>
      </c>
      <c r="C99" s="2" t="s">
        <v>51</v>
      </c>
      <c r="D99" s="2">
        <v>96798364.18000001</v>
      </c>
      <c r="E99" s="2">
        <v>1</v>
      </c>
      <c r="F99" s="3">
        <f>IF(COUNT(D99,E99)=2,D99*E99,NA())</f>
        <v>96798364.18</v>
      </c>
      <c r="G99" s="2" t="s">
        <v>52</v>
      </c>
      <c r="H99" s="2" t="s">
        <v>53</v>
      </c>
      <c r="I99" s="2" t="s">
        <v>54</v>
      </c>
      <c r="J99" s="2" t="s">
        <v>55</v>
      </c>
      <c r="K99" s="2"/>
      <c r="L99" s="2" t="s">
        <v>63</v>
      </c>
      <c r="M99" s="2" t="s">
        <v>57</v>
      </c>
      <c r="N99" s="2" t="s">
        <v>64</v>
      </c>
      <c r="O99" s="2" t="s">
        <v>59</v>
      </c>
      <c r="P99" s="2" t="s">
        <v>354</v>
      </c>
      <c r="Q99" s="2" t="s">
        <v>352</v>
      </c>
      <c r="R99" s="2"/>
    </row>
    <row r="100" spans="1:18">
      <c r="A100" s="2" t="s">
        <v>355</v>
      </c>
      <c r="B100" s="2" t="s">
        <v>356</v>
      </c>
      <c r="C100" s="2" t="s">
        <v>51</v>
      </c>
      <c r="D100" s="2">
        <v>245347970.51</v>
      </c>
      <c r="E100" s="2">
        <v>1</v>
      </c>
      <c r="F100" s="3">
        <f>IF(COUNT(D100,E100)=2,D100*E100,NA())</f>
        <v>245347970.51</v>
      </c>
      <c r="G100" s="2" t="s">
        <v>52</v>
      </c>
      <c r="H100" s="2" t="s">
        <v>53</v>
      </c>
      <c r="I100" s="2" t="s">
        <v>54</v>
      </c>
      <c r="J100" s="2" t="s">
        <v>55</v>
      </c>
      <c r="K100" s="2"/>
      <c r="L100" s="2" t="s">
        <v>56</v>
      </c>
      <c r="M100" s="2" t="s">
        <v>57</v>
      </c>
      <c r="N100" s="2" t="s">
        <v>58</v>
      </c>
      <c r="O100" s="2" t="s">
        <v>59</v>
      </c>
      <c r="P100" s="2" t="s">
        <v>357</v>
      </c>
      <c r="Q100" s="2" t="s">
        <v>358</v>
      </c>
      <c r="R100" s="2"/>
    </row>
    <row r="101" spans="1:18">
      <c r="A101" s="2" t="s">
        <v>359</v>
      </c>
      <c r="B101" s="2" t="s">
        <v>356</v>
      </c>
      <c r="C101" s="2" t="s">
        <v>51</v>
      </c>
      <c r="D101" s="2">
        <v>231199170.76</v>
      </c>
      <c r="E101" s="2">
        <v>1</v>
      </c>
      <c r="F101" s="3">
        <f>IF(COUNT(D101,E101)=2,D101*E101,NA())</f>
        <v>231199170.76</v>
      </c>
      <c r="G101" s="2" t="s">
        <v>52</v>
      </c>
      <c r="H101" s="2" t="s">
        <v>53</v>
      </c>
      <c r="I101" s="2" t="s">
        <v>54</v>
      </c>
      <c r="J101" s="2" t="s">
        <v>55</v>
      </c>
      <c r="K101" s="2"/>
      <c r="L101" s="2" t="s">
        <v>63</v>
      </c>
      <c r="M101" s="2" t="s">
        <v>57</v>
      </c>
      <c r="N101" s="2" t="s">
        <v>64</v>
      </c>
      <c r="O101" s="2" t="s">
        <v>59</v>
      </c>
      <c r="P101" s="2" t="s">
        <v>360</v>
      </c>
      <c r="Q101" s="2" t="s">
        <v>358</v>
      </c>
      <c r="R101" s="2"/>
    </row>
    <row r="102" spans="1:18">
      <c r="A102" s="2" t="s">
        <v>361</v>
      </c>
      <c r="B102" s="2" t="s">
        <v>362</v>
      </c>
      <c r="C102" s="2" t="s">
        <v>51</v>
      </c>
      <c r="D102" s="2">
        <v>1081329.95</v>
      </c>
      <c r="E102" s="2">
        <v>1</v>
      </c>
      <c r="F102" s="3">
        <f>IF(COUNT(D102,E102)=2,D102*E102,NA())</f>
        <v>1081329.95</v>
      </c>
      <c r="G102" s="2" t="s">
        <v>52</v>
      </c>
      <c r="H102" s="2" t="s">
        <v>53</v>
      </c>
      <c r="I102" s="2" t="s">
        <v>54</v>
      </c>
      <c r="J102" s="2" t="s">
        <v>55</v>
      </c>
      <c r="K102" s="2"/>
      <c r="L102" s="2" t="s">
        <v>63</v>
      </c>
      <c r="M102" s="2" t="s">
        <v>57</v>
      </c>
      <c r="N102" s="2" t="s">
        <v>64</v>
      </c>
      <c r="O102" s="2" t="s">
        <v>59</v>
      </c>
      <c r="P102" s="2" t="s">
        <v>363</v>
      </c>
      <c r="Q102" s="2" t="s">
        <v>364</v>
      </c>
      <c r="R102" s="2"/>
    </row>
    <row r="103" spans="1:18">
      <c r="A103" s="2" t="s">
        <v>365</v>
      </c>
      <c r="B103" s="2" t="s">
        <v>366</v>
      </c>
      <c r="C103" s="2" t="s">
        <v>51</v>
      </c>
      <c r="D103" s="2">
        <v>939044525.03</v>
      </c>
      <c r="E103" s="2">
        <v>1</v>
      </c>
      <c r="F103" s="3">
        <f>IF(COUNT(D103,E103)=2,D103*E103,NA())</f>
        <v>939044525.03</v>
      </c>
      <c r="G103" s="2" t="s">
        <v>52</v>
      </c>
      <c r="H103" s="2" t="s">
        <v>53</v>
      </c>
      <c r="I103" s="2" t="s">
        <v>54</v>
      </c>
      <c r="J103" s="2" t="s">
        <v>55</v>
      </c>
      <c r="K103" s="2"/>
      <c r="L103" s="2" t="s">
        <v>56</v>
      </c>
      <c r="M103" s="2" t="s">
        <v>57</v>
      </c>
      <c r="N103" s="2" t="s">
        <v>58</v>
      </c>
      <c r="O103" s="2" t="s">
        <v>59</v>
      </c>
      <c r="P103" s="2" t="s">
        <v>367</v>
      </c>
      <c r="Q103" s="2" t="s">
        <v>368</v>
      </c>
      <c r="R103" s="2"/>
    </row>
    <row r="104" spans="1:18">
      <c r="A104" s="2" t="s">
        <v>369</v>
      </c>
      <c r="B104" s="2" t="s">
        <v>366</v>
      </c>
      <c r="C104" s="2" t="s">
        <v>51</v>
      </c>
      <c r="D104" s="2">
        <v>1875943764.92</v>
      </c>
      <c r="E104" s="2">
        <v>1</v>
      </c>
      <c r="F104" s="3">
        <f>IF(COUNT(D104,E104)=2,D104*E104,NA())</f>
        <v>1875943764.92</v>
      </c>
      <c r="G104" s="2" t="s">
        <v>52</v>
      </c>
      <c r="H104" s="2" t="s">
        <v>53</v>
      </c>
      <c r="I104" s="2" t="s">
        <v>54</v>
      </c>
      <c r="J104" s="2" t="s">
        <v>55</v>
      </c>
      <c r="K104" s="2"/>
      <c r="L104" s="2" t="s">
        <v>63</v>
      </c>
      <c r="M104" s="2" t="s">
        <v>57</v>
      </c>
      <c r="N104" s="2" t="s">
        <v>64</v>
      </c>
      <c r="O104" s="2" t="s">
        <v>59</v>
      </c>
      <c r="P104" s="2" t="s">
        <v>370</v>
      </c>
      <c r="Q104" s="2" t="s">
        <v>368</v>
      </c>
      <c r="R104" s="2"/>
    </row>
    <row r="105" spans="1:18">
      <c r="A105" s="2" t="s">
        <v>371</v>
      </c>
      <c r="B105" s="2" t="s">
        <v>372</v>
      </c>
      <c r="C105" s="2" t="s">
        <v>51</v>
      </c>
      <c r="D105" s="2">
        <v>3968797075.77</v>
      </c>
      <c r="E105" s="2">
        <v>1</v>
      </c>
      <c r="F105" s="3">
        <f>IF(COUNT(D105,E105)=2,D105*E105,NA())</f>
        <v>3968797075.77</v>
      </c>
      <c r="G105" s="2" t="s">
        <v>52</v>
      </c>
      <c r="H105" s="2" t="s">
        <v>53</v>
      </c>
      <c r="I105" s="2" t="s">
        <v>54</v>
      </c>
      <c r="J105" s="2" t="s">
        <v>55</v>
      </c>
      <c r="K105" s="2"/>
      <c r="L105" s="2" t="s">
        <v>56</v>
      </c>
      <c r="M105" s="2" t="s">
        <v>57</v>
      </c>
      <c r="N105" s="2" t="s">
        <v>58</v>
      </c>
      <c r="O105" s="2" t="s">
        <v>59</v>
      </c>
      <c r="P105" s="2" t="s">
        <v>373</v>
      </c>
      <c r="Q105" s="2" t="s">
        <v>374</v>
      </c>
      <c r="R105" s="2"/>
    </row>
    <row r="106" spans="1:18">
      <c r="A106" s="2" t="s">
        <v>375</v>
      </c>
      <c r="B106" s="2" t="s">
        <v>372</v>
      </c>
      <c r="C106" s="2" t="s">
        <v>51</v>
      </c>
      <c r="D106" s="2">
        <v>4982499577.27</v>
      </c>
      <c r="E106" s="2">
        <v>1</v>
      </c>
      <c r="F106" s="3">
        <f>IF(COUNT(D106,E106)=2,D106*E106,NA())</f>
        <v>4982499577.27</v>
      </c>
      <c r="G106" s="2" t="s">
        <v>52</v>
      </c>
      <c r="H106" s="2" t="s">
        <v>53</v>
      </c>
      <c r="I106" s="2" t="s">
        <v>54</v>
      </c>
      <c r="J106" s="2" t="s">
        <v>55</v>
      </c>
      <c r="K106" s="2"/>
      <c r="L106" s="2" t="s">
        <v>63</v>
      </c>
      <c r="M106" s="2" t="s">
        <v>57</v>
      </c>
      <c r="N106" s="2" t="s">
        <v>64</v>
      </c>
      <c r="O106" s="2" t="s">
        <v>59</v>
      </c>
      <c r="P106" s="2" t="s">
        <v>376</v>
      </c>
      <c r="Q106" s="2" t="s">
        <v>374</v>
      </c>
      <c r="R106" s="2"/>
    </row>
    <row r="107" spans="1:18">
      <c r="A107" s="2" t="s">
        <v>377</v>
      </c>
      <c r="B107" s="2" t="s">
        <v>378</v>
      </c>
      <c r="C107" s="2" t="s">
        <v>51</v>
      </c>
      <c r="D107" s="2">
        <v>83276728.98</v>
      </c>
      <c r="E107" s="2">
        <v>1</v>
      </c>
      <c r="F107" s="3">
        <f>IF(COUNT(D107,E107)=2,D107*E107,NA())</f>
        <v>83276728.98</v>
      </c>
      <c r="G107" s="2" t="s">
        <v>52</v>
      </c>
      <c r="H107" s="2" t="s">
        <v>53</v>
      </c>
      <c r="I107" s="2" t="s">
        <v>54</v>
      </c>
      <c r="J107" s="2" t="s">
        <v>55</v>
      </c>
      <c r="K107" s="2"/>
      <c r="L107" s="2" t="s">
        <v>56</v>
      </c>
      <c r="M107" s="2" t="s">
        <v>57</v>
      </c>
      <c r="N107" s="2" t="s">
        <v>58</v>
      </c>
      <c r="O107" s="2" t="s">
        <v>59</v>
      </c>
      <c r="P107" s="2" t="s">
        <v>379</v>
      </c>
      <c r="Q107" s="2" t="s">
        <v>380</v>
      </c>
      <c r="R107" s="2"/>
    </row>
    <row r="108" spans="1:18">
      <c r="A108" s="2" t="s">
        <v>381</v>
      </c>
      <c r="B108" s="2" t="s">
        <v>378</v>
      </c>
      <c r="C108" s="2" t="s">
        <v>51</v>
      </c>
      <c r="D108" s="2">
        <v>84582859.23999999</v>
      </c>
      <c r="E108" s="2">
        <v>1</v>
      </c>
      <c r="F108" s="3">
        <f>IF(COUNT(D108,E108)=2,D108*E108,NA())</f>
        <v>84582859.24</v>
      </c>
      <c r="G108" s="2" t="s">
        <v>52</v>
      </c>
      <c r="H108" s="2" t="s">
        <v>53</v>
      </c>
      <c r="I108" s="2" t="s">
        <v>54</v>
      </c>
      <c r="J108" s="2" t="s">
        <v>55</v>
      </c>
      <c r="K108" s="2"/>
      <c r="L108" s="2" t="s">
        <v>63</v>
      </c>
      <c r="M108" s="2" t="s">
        <v>57</v>
      </c>
      <c r="N108" s="2" t="s">
        <v>64</v>
      </c>
      <c r="O108" s="2" t="s">
        <v>59</v>
      </c>
      <c r="P108" s="2" t="s">
        <v>382</v>
      </c>
      <c r="Q108" s="2" t="s">
        <v>380</v>
      </c>
      <c r="R108" s="2"/>
    </row>
    <row r="109" spans="1:18">
      <c r="A109" s="2" t="s">
        <v>383</v>
      </c>
      <c r="B109" s="2" t="s">
        <v>384</v>
      </c>
      <c r="C109" s="2" t="s">
        <v>51</v>
      </c>
      <c r="D109" s="2">
        <v>4052073804.75</v>
      </c>
      <c r="E109" s="2">
        <v>1</v>
      </c>
      <c r="F109" s="3">
        <f>IF(COUNT(D109,E109)=2,D109*E109,NA())</f>
        <v>4052073804.75</v>
      </c>
      <c r="G109" s="2" t="s">
        <v>52</v>
      </c>
      <c r="H109" s="2" t="s">
        <v>53</v>
      </c>
      <c r="I109" s="2" t="s">
        <v>54</v>
      </c>
      <c r="J109" s="2" t="s">
        <v>55</v>
      </c>
      <c r="K109" s="2"/>
      <c r="L109" s="2" t="s">
        <v>56</v>
      </c>
      <c r="M109" s="2" t="s">
        <v>57</v>
      </c>
      <c r="N109" s="2" t="s">
        <v>58</v>
      </c>
      <c r="O109" s="2" t="s">
        <v>59</v>
      </c>
      <c r="P109" s="2" t="s">
        <v>385</v>
      </c>
      <c r="Q109" s="2" t="s">
        <v>386</v>
      </c>
      <c r="R109" s="2"/>
    </row>
    <row r="110" spans="1:18">
      <c r="A110" s="2" t="s">
        <v>387</v>
      </c>
      <c r="B110" s="2" t="s">
        <v>384</v>
      </c>
      <c r="C110" s="2" t="s">
        <v>51</v>
      </c>
      <c r="D110" s="2">
        <v>5067082436.51</v>
      </c>
      <c r="E110" s="2">
        <v>1</v>
      </c>
      <c r="F110" s="3">
        <f>IF(COUNT(D110,E110)=2,D110*E110,NA())</f>
        <v>5067082436.51</v>
      </c>
      <c r="G110" s="2" t="s">
        <v>52</v>
      </c>
      <c r="H110" s="2" t="s">
        <v>53</v>
      </c>
      <c r="I110" s="2" t="s">
        <v>54</v>
      </c>
      <c r="J110" s="2" t="s">
        <v>55</v>
      </c>
      <c r="K110" s="2"/>
      <c r="L110" s="2" t="s">
        <v>63</v>
      </c>
      <c r="M110" s="2" t="s">
        <v>57</v>
      </c>
      <c r="N110" s="2" t="s">
        <v>64</v>
      </c>
      <c r="O110" s="2" t="s">
        <v>59</v>
      </c>
      <c r="P110" s="2" t="s">
        <v>388</v>
      </c>
      <c r="Q110" s="2" t="s">
        <v>386</v>
      </c>
      <c r="R110" s="2"/>
    </row>
    <row r="111" spans="1:18">
      <c r="A111" s="2" t="s">
        <v>389</v>
      </c>
      <c r="B111" s="2" t="s">
        <v>390</v>
      </c>
      <c r="C111" s="2" t="s">
        <v>391</v>
      </c>
      <c r="D111" s="2">
        <v>6044124793.41</v>
      </c>
      <c r="E111" s="2">
        <v>1</v>
      </c>
      <c r="F111" s="3">
        <f>IF(COUNT(D111,E111)=2,D111*E111,NA())</f>
        <v>6044124793.41</v>
      </c>
      <c r="G111" s="2" t="s">
        <v>52</v>
      </c>
      <c r="H111" s="2" t="s">
        <v>53</v>
      </c>
      <c r="I111" s="2" t="s">
        <v>54</v>
      </c>
      <c r="J111" s="2" t="s">
        <v>55</v>
      </c>
      <c r="K111" s="2" t="s">
        <v>392</v>
      </c>
      <c r="L111" s="2" t="s">
        <v>56</v>
      </c>
      <c r="M111" s="2" t="s">
        <v>393</v>
      </c>
      <c r="N111" s="2" t="s">
        <v>58</v>
      </c>
      <c r="O111" s="2" t="s">
        <v>59</v>
      </c>
      <c r="P111" s="2" t="s">
        <v>394</v>
      </c>
      <c r="Q111" s="2" t="s">
        <v>395</v>
      </c>
      <c r="R111" s="2"/>
    </row>
    <row r="112" spans="1:18">
      <c r="A112" s="2" t="s">
        <v>396</v>
      </c>
      <c r="B112" s="2" t="s">
        <v>390</v>
      </c>
      <c r="C112" s="2" t="s">
        <v>391</v>
      </c>
      <c r="D112" s="2">
        <v>6828803327.7</v>
      </c>
      <c r="E112" s="2">
        <v>1</v>
      </c>
      <c r="F112" s="3">
        <f>IF(COUNT(D112,E112)=2,D112*E112,NA())</f>
        <v>6828803327.7</v>
      </c>
      <c r="G112" s="2" t="s">
        <v>52</v>
      </c>
      <c r="H112" s="2" t="s">
        <v>53</v>
      </c>
      <c r="I112" s="2" t="s">
        <v>54</v>
      </c>
      <c r="J112" s="2" t="s">
        <v>55</v>
      </c>
      <c r="K112" s="2" t="s">
        <v>397</v>
      </c>
      <c r="L112" s="2" t="s">
        <v>63</v>
      </c>
      <c r="M112" s="2" t="s">
        <v>393</v>
      </c>
      <c r="N112" s="2" t="s">
        <v>64</v>
      </c>
      <c r="O112" s="2" t="s">
        <v>59</v>
      </c>
      <c r="P112" s="2" t="s">
        <v>398</v>
      </c>
      <c r="Q112" s="2" t="s">
        <v>395</v>
      </c>
      <c r="R112" s="2"/>
    </row>
    <row r="113" spans="1:18">
      <c r="A113" s="2" t="s">
        <v>399</v>
      </c>
      <c r="B113" s="2" t="s">
        <v>400</v>
      </c>
      <c r="C113" s="2" t="s">
        <v>391</v>
      </c>
      <c r="D113" s="2">
        <v>4581373263.48</v>
      </c>
      <c r="E113" s="2">
        <v>1</v>
      </c>
      <c r="F113" s="3">
        <f>IF(COUNT(D113,E113)=2,D113*E113,NA())</f>
        <v>4581373263.48</v>
      </c>
      <c r="G113" s="2" t="s">
        <v>52</v>
      </c>
      <c r="H113" s="2" t="s">
        <v>53</v>
      </c>
      <c r="I113" s="2" t="s">
        <v>54</v>
      </c>
      <c r="J113" s="2" t="s">
        <v>55</v>
      </c>
      <c r="K113" s="2" t="s">
        <v>392</v>
      </c>
      <c r="L113" s="2" t="s">
        <v>56</v>
      </c>
      <c r="M113" s="2" t="s">
        <v>393</v>
      </c>
      <c r="N113" s="2" t="s">
        <v>58</v>
      </c>
      <c r="O113" s="2" t="s">
        <v>59</v>
      </c>
      <c r="P113" s="2" t="s">
        <v>401</v>
      </c>
      <c r="Q113" s="2" t="s">
        <v>402</v>
      </c>
      <c r="R113" s="2"/>
    </row>
    <row r="114" spans="1:18">
      <c r="A114" s="2" t="s">
        <v>403</v>
      </c>
      <c r="B114" s="2" t="s">
        <v>400</v>
      </c>
      <c r="C114" s="2" t="s">
        <v>391</v>
      </c>
      <c r="D114" s="2">
        <v>5342243383.08</v>
      </c>
      <c r="E114" s="2">
        <v>1</v>
      </c>
      <c r="F114" s="3">
        <f>IF(COUNT(D114,E114)=2,D114*E114,NA())</f>
        <v>5342243383.08</v>
      </c>
      <c r="G114" s="2" t="s">
        <v>52</v>
      </c>
      <c r="H114" s="2" t="s">
        <v>53</v>
      </c>
      <c r="I114" s="2" t="s">
        <v>54</v>
      </c>
      <c r="J114" s="2" t="s">
        <v>55</v>
      </c>
      <c r="K114" s="2" t="s">
        <v>397</v>
      </c>
      <c r="L114" s="2" t="s">
        <v>63</v>
      </c>
      <c r="M114" s="2" t="s">
        <v>393</v>
      </c>
      <c r="N114" s="2" t="s">
        <v>64</v>
      </c>
      <c r="O114" s="2" t="s">
        <v>59</v>
      </c>
      <c r="P114" s="2" t="s">
        <v>404</v>
      </c>
      <c r="Q114" s="2" t="s">
        <v>402</v>
      </c>
      <c r="R114" s="2"/>
    </row>
    <row r="115" spans="1:18">
      <c r="A115" s="2" t="s">
        <v>405</v>
      </c>
      <c r="B115" s="2" t="s">
        <v>406</v>
      </c>
      <c r="C115" s="2" t="s">
        <v>391</v>
      </c>
      <c r="D115" s="2">
        <v>45777451.76</v>
      </c>
      <c r="E115" s="2">
        <v>1</v>
      </c>
      <c r="F115" s="3">
        <f>IF(COUNT(D115,E115)=2,D115*E115,NA())</f>
        <v>45777451.76</v>
      </c>
      <c r="G115" s="2" t="s">
        <v>52</v>
      </c>
      <c r="H115" s="2" t="s">
        <v>53</v>
      </c>
      <c r="I115" s="2" t="s">
        <v>54</v>
      </c>
      <c r="J115" s="2" t="s">
        <v>55</v>
      </c>
      <c r="K115" s="2" t="s">
        <v>392</v>
      </c>
      <c r="L115" s="2" t="s">
        <v>56</v>
      </c>
      <c r="M115" s="2" t="s">
        <v>393</v>
      </c>
      <c r="N115" s="2" t="s">
        <v>58</v>
      </c>
      <c r="O115" s="2" t="s">
        <v>59</v>
      </c>
      <c r="P115" s="2" t="s">
        <v>407</v>
      </c>
      <c r="Q115" s="2" t="s">
        <v>408</v>
      </c>
      <c r="R115" s="2"/>
    </row>
    <row r="116" spans="1:18">
      <c r="A116" s="2" t="s">
        <v>409</v>
      </c>
      <c r="B116" s="2" t="s">
        <v>406</v>
      </c>
      <c r="C116" s="2" t="s">
        <v>391</v>
      </c>
      <c r="D116" s="2">
        <v>43205943.63</v>
      </c>
      <c r="E116" s="2">
        <v>1</v>
      </c>
      <c r="F116" s="3">
        <f>IF(COUNT(D116,E116)=2,D116*E116,NA())</f>
        <v>43205943.63</v>
      </c>
      <c r="G116" s="2" t="s">
        <v>52</v>
      </c>
      <c r="H116" s="2" t="s">
        <v>53</v>
      </c>
      <c r="I116" s="2" t="s">
        <v>54</v>
      </c>
      <c r="J116" s="2" t="s">
        <v>55</v>
      </c>
      <c r="K116" s="2" t="s">
        <v>397</v>
      </c>
      <c r="L116" s="2" t="s">
        <v>63</v>
      </c>
      <c r="M116" s="2" t="s">
        <v>393</v>
      </c>
      <c r="N116" s="2" t="s">
        <v>64</v>
      </c>
      <c r="O116" s="2" t="s">
        <v>59</v>
      </c>
      <c r="P116" s="2" t="s">
        <v>410</v>
      </c>
      <c r="Q116" s="2" t="s">
        <v>408</v>
      </c>
      <c r="R116" s="2"/>
    </row>
    <row r="117" spans="1:18">
      <c r="A117" s="2" t="s">
        <v>411</v>
      </c>
      <c r="B117" s="2" t="s">
        <v>412</v>
      </c>
      <c r="C117" s="2" t="s">
        <v>391</v>
      </c>
      <c r="D117" s="2">
        <v>541890738.78</v>
      </c>
      <c r="E117" s="2">
        <v>1</v>
      </c>
      <c r="F117" s="3">
        <f>IF(COUNT(D117,E117)=2,D117*E117,NA())</f>
        <v>541890738.78</v>
      </c>
      <c r="G117" s="2" t="s">
        <v>52</v>
      </c>
      <c r="H117" s="2" t="s">
        <v>53</v>
      </c>
      <c r="I117" s="2" t="s">
        <v>54</v>
      </c>
      <c r="J117" s="2" t="s">
        <v>55</v>
      </c>
      <c r="K117" s="2" t="s">
        <v>392</v>
      </c>
      <c r="L117" s="2" t="s">
        <v>56</v>
      </c>
      <c r="M117" s="2" t="s">
        <v>393</v>
      </c>
      <c r="N117" s="2" t="s">
        <v>58</v>
      </c>
      <c r="O117" s="2" t="s">
        <v>59</v>
      </c>
      <c r="P117" s="2" t="s">
        <v>413</v>
      </c>
      <c r="Q117" s="2" t="s">
        <v>414</v>
      </c>
      <c r="R117" s="2"/>
    </row>
    <row r="118" spans="1:18">
      <c r="A118" s="2" t="s">
        <v>415</v>
      </c>
      <c r="B118" s="2" t="s">
        <v>412</v>
      </c>
      <c r="C118" s="2" t="s">
        <v>391</v>
      </c>
      <c r="D118" s="2">
        <v>619257108.4299999</v>
      </c>
      <c r="E118" s="2">
        <v>1</v>
      </c>
      <c r="F118" s="3">
        <f>IF(COUNT(D118,E118)=2,D118*E118,NA())</f>
        <v>619257108.43</v>
      </c>
      <c r="G118" s="2" t="s">
        <v>52</v>
      </c>
      <c r="H118" s="2" t="s">
        <v>53</v>
      </c>
      <c r="I118" s="2" t="s">
        <v>54</v>
      </c>
      <c r="J118" s="2" t="s">
        <v>55</v>
      </c>
      <c r="K118" s="2" t="s">
        <v>397</v>
      </c>
      <c r="L118" s="2" t="s">
        <v>63</v>
      </c>
      <c r="M118" s="2" t="s">
        <v>393</v>
      </c>
      <c r="N118" s="2" t="s">
        <v>64</v>
      </c>
      <c r="O118" s="2" t="s">
        <v>59</v>
      </c>
      <c r="P118" s="2" t="s">
        <v>416</v>
      </c>
      <c r="Q118" s="2" t="s">
        <v>414</v>
      </c>
      <c r="R118" s="2"/>
    </row>
    <row r="119" spans="1:18">
      <c r="A119" s="2" t="s">
        <v>417</v>
      </c>
      <c r="B119" s="2" t="s">
        <v>418</v>
      </c>
      <c r="C119" s="2" t="s">
        <v>391</v>
      </c>
      <c r="D119" s="2">
        <v>350512324.5</v>
      </c>
      <c r="E119" s="2">
        <v>1</v>
      </c>
      <c r="F119" s="3">
        <f>IF(COUNT(D119,E119)=2,D119*E119,NA())</f>
        <v>350512324.5</v>
      </c>
      <c r="G119" s="2" t="s">
        <v>52</v>
      </c>
      <c r="H119" s="2" t="s">
        <v>53</v>
      </c>
      <c r="I119" s="2" t="s">
        <v>54</v>
      </c>
      <c r="J119" s="2" t="s">
        <v>55</v>
      </c>
      <c r="K119" s="2" t="s">
        <v>392</v>
      </c>
      <c r="L119" s="2" t="s">
        <v>56</v>
      </c>
      <c r="M119" s="2" t="s">
        <v>393</v>
      </c>
      <c r="N119" s="2" t="s">
        <v>58</v>
      </c>
      <c r="O119" s="2" t="s">
        <v>59</v>
      </c>
      <c r="P119" s="2" t="s">
        <v>419</v>
      </c>
      <c r="Q119" s="2" t="s">
        <v>420</v>
      </c>
      <c r="R119" s="2"/>
    </row>
    <row r="120" spans="1:18">
      <c r="A120" s="2" t="s">
        <v>421</v>
      </c>
      <c r="B120" s="2" t="s">
        <v>418</v>
      </c>
      <c r="C120" s="2" t="s">
        <v>391</v>
      </c>
      <c r="D120" s="2">
        <v>362766985.25</v>
      </c>
      <c r="E120" s="2">
        <v>1</v>
      </c>
      <c r="F120" s="3">
        <f>IF(COUNT(D120,E120)=2,D120*E120,NA())</f>
        <v>362766985.25</v>
      </c>
      <c r="G120" s="2" t="s">
        <v>52</v>
      </c>
      <c r="H120" s="2" t="s">
        <v>53</v>
      </c>
      <c r="I120" s="2" t="s">
        <v>54</v>
      </c>
      <c r="J120" s="2" t="s">
        <v>55</v>
      </c>
      <c r="K120" s="2" t="s">
        <v>397</v>
      </c>
      <c r="L120" s="2" t="s">
        <v>63</v>
      </c>
      <c r="M120" s="2" t="s">
        <v>393</v>
      </c>
      <c r="N120" s="2" t="s">
        <v>64</v>
      </c>
      <c r="O120" s="2" t="s">
        <v>59</v>
      </c>
      <c r="P120" s="2" t="s">
        <v>422</v>
      </c>
      <c r="Q120" s="2" t="s">
        <v>420</v>
      </c>
      <c r="R120" s="2"/>
    </row>
    <row r="121" spans="1:18">
      <c r="A121" s="2" t="s">
        <v>423</v>
      </c>
      <c r="B121" s="2" t="s">
        <v>424</v>
      </c>
      <c r="C121" s="2" t="s">
        <v>391</v>
      </c>
      <c r="D121" s="2">
        <v>252838924.63</v>
      </c>
      <c r="E121" s="2">
        <v>1</v>
      </c>
      <c r="F121" s="3">
        <f>IF(COUNT(D121,E121)=2,D121*E121,NA())</f>
        <v>252838924.63</v>
      </c>
      <c r="G121" s="2" t="s">
        <v>52</v>
      </c>
      <c r="H121" s="2" t="s">
        <v>53</v>
      </c>
      <c r="I121" s="2" t="s">
        <v>54</v>
      </c>
      <c r="J121" s="2" t="s">
        <v>55</v>
      </c>
      <c r="K121" s="2" t="s">
        <v>392</v>
      </c>
      <c r="L121" s="2" t="s">
        <v>56</v>
      </c>
      <c r="M121" s="2" t="s">
        <v>393</v>
      </c>
      <c r="N121" s="2" t="s">
        <v>58</v>
      </c>
      <c r="O121" s="2" t="s">
        <v>59</v>
      </c>
      <c r="P121" s="2" t="s">
        <v>425</v>
      </c>
      <c r="Q121" s="2" t="s">
        <v>426</v>
      </c>
      <c r="R121" s="2"/>
    </row>
    <row r="122" spans="1:18">
      <c r="A122" s="2" t="s">
        <v>427</v>
      </c>
      <c r="B122" s="2" t="s">
        <v>424</v>
      </c>
      <c r="C122" s="2" t="s">
        <v>391</v>
      </c>
      <c r="D122" s="2">
        <v>275151105.86</v>
      </c>
      <c r="E122" s="2">
        <v>1</v>
      </c>
      <c r="F122" s="3">
        <f>IF(COUNT(D122,E122)=2,D122*E122,NA())</f>
        <v>275151105.86</v>
      </c>
      <c r="G122" s="2" t="s">
        <v>52</v>
      </c>
      <c r="H122" s="2" t="s">
        <v>53</v>
      </c>
      <c r="I122" s="2" t="s">
        <v>54</v>
      </c>
      <c r="J122" s="2" t="s">
        <v>55</v>
      </c>
      <c r="K122" s="2" t="s">
        <v>397</v>
      </c>
      <c r="L122" s="2" t="s">
        <v>63</v>
      </c>
      <c r="M122" s="2" t="s">
        <v>393</v>
      </c>
      <c r="N122" s="2" t="s">
        <v>64</v>
      </c>
      <c r="O122" s="2" t="s">
        <v>59</v>
      </c>
      <c r="P122" s="2" t="s">
        <v>428</v>
      </c>
      <c r="Q122" s="2" t="s">
        <v>426</v>
      </c>
      <c r="R122" s="2"/>
    </row>
    <row r="123" spans="1:18">
      <c r="A123" s="2" t="s">
        <v>429</v>
      </c>
      <c r="B123" s="2" t="s">
        <v>430</v>
      </c>
      <c r="C123" s="2" t="s">
        <v>391</v>
      </c>
      <c r="D123" s="2">
        <v>75454608.86</v>
      </c>
      <c r="E123" s="2">
        <v>1</v>
      </c>
      <c r="F123" s="3">
        <f>IF(COUNT(D123,E123)=2,D123*E123,NA())</f>
        <v>75454608.86</v>
      </c>
      <c r="G123" s="2" t="s">
        <v>52</v>
      </c>
      <c r="H123" s="2" t="s">
        <v>53</v>
      </c>
      <c r="I123" s="2" t="s">
        <v>54</v>
      </c>
      <c r="J123" s="2" t="s">
        <v>55</v>
      </c>
      <c r="K123" s="2" t="s">
        <v>392</v>
      </c>
      <c r="L123" s="2" t="s">
        <v>56</v>
      </c>
      <c r="M123" s="2" t="s">
        <v>393</v>
      </c>
      <c r="N123" s="2" t="s">
        <v>58</v>
      </c>
      <c r="O123" s="2" t="s">
        <v>59</v>
      </c>
      <c r="P123" s="2" t="s">
        <v>431</v>
      </c>
      <c r="Q123" s="2" t="s">
        <v>432</v>
      </c>
      <c r="R123" s="2"/>
    </row>
    <row r="124" spans="1:18">
      <c r="A124" s="2" t="s">
        <v>433</v>
      </c>
      <c r="B124" s="2" t="s">
        <v>430</v>
      </c>
      <c r="C124" s="2" t="s">
        <v>391</v>
      </c>
      <c r="D124" s="2">
        <v>81569933</v>
      </c>
      <c r="E124" s="2">
        <v>1</v>
      </c>
      <c r="F124" s="3">
        <f>IF(COUNT(D124,E124)=2,D124*E124,NA())</f>
        <v>81569933.0</v>
      </c>
      <c r="G124" s="2" t="s">
        <v>52</v>
      </c>
      <c r="H124" s="2" t="s">
        <v>53</v>
      </c>
      <c r="I124" s="2" t="s">
        <v>54</v>
      </c>
      <c r="J124" s="2" t="s">
        <v>55</v>
      </c>
      <c r="K124" s="2" t="s">
        <v>397</v>
      </c>
      <c r="L124" s="2" t="s">
        <v>63</v>
      </c>
      <c r="M124" s="2" t="s">
        <v>393</v>
      </c>
      <c r="N124" s="2" t="s">
        <v>64</v>
      </c>
      <c r="O124" s="2" t="s">
        <v>59</v>
      </c>
      <c r="P124" s="2" t="s">
        <v>434</v>
      </c>
      <c r="Q124" s="2" t="s">
        <v>432</v>
      </c>
      <c r="R124" s="2"/>
    </row>
    <row r="125" spans="1:18">
      <c r="A125" s="2" t="s">
        <v>435</v>
      </c>
      <c r="B125" s="2" t="s">
        <v>436</v>
      </c>
      <c r="C125" s="2" t="s">
        <v>391</v>
      </c>
      <c r="D125" s="2">
        <v>99603249.54000001</v>
      </c>
      <c r="E125" s="2">
        <v>1</v>
      </c>
      <c r="F125" s="3">
        <f>IF(COUNT(D125,E125)=2,D125*E125,NA())</f>
        <v>99603249.54</v>
      </c>
      <c r="G125" s="2" t="s">
        <v>52</v>
      </c>
      <c r="H125" s="2" t="s">
        <v>53</v>
      </c>
      <c r="I125" s="2" t="s">
        <v>54</v>
      </c>
      <c r="J125" s="2" t="s">
        <v>55</v>
      </c>
      <c r="K125" s="2" t="s">
        <v>392</v>
      </c>
      <c r="L125" s="2" t="s">
        <v>56</v>
      </c>
      <c r="M125" s="2" t="s">
        <v>393</v>
      </c>
      <c r="N125" s="2" t="s">
        <v>58</v>
      </c>
      <c r="O125" s="2" t="s">
        <v>59</v>
      </c>
      <c r="P125" s="2" t="s">
        <v>437</v>
      </c>
      <c r="Q125" s="2" t="s">
        <v>438</v>
      </c>
      <c r="R125" s="2"/>
    </row>
    <row r="126" spans="1:18">
      <c r="A126" s="2" t="s">
        <v>439</v>
      </c>
      <c r="B126" s="2" t="s">
        <v>436</v>
      </c>
      <c r="C126" s="2" t="s">
        <v>391</v>
      </c>
      <c r="D126" s="2">
        <v>108606169.27</v>
      </c>
      <c r="E126" s="2">
        <v>1</v>
      </c>
      <c r="F126" s="3">
        <f>IF(COUNT(D126,E126)=2,D126*E126,NA())</f>
        <v>108606169.27</v>
      </c>
      <c r="G126" s="2" t="s">
        <v>52</v>
      </c>
      <c r="H126" s="2" t="s">
        <v>53</v>
      </c>
      <c r="I126" s="2" t="s">
        <v>54</v>
      </c>
      <c r="J126" s="2" t="s">
        <v>55</v>
      </c>
      <c r="K126" s="2" t="s">
        <v>397</v>
      </c>
      <c r="L126" s="2" t="s">
        <v>63</v>
      </c>
      <c r="M126" s="2" t="s">
        <v>393</v>
      </c>
      <c r="N126" s="2" t="s">
        <v>64</v>
      </c>
      <c r="O126" s="2" t="s">
        <v>59</v>
      </c>
      <c r="P126" s="2" t="s">
        <v>440</v>
      </c>
      <c r="Q126" s="2" t="s">
        <v>438</v>
      </c>
      <c r="R126" s="2"/>
    </row>
    <row r="127" spans="1:18">
      <c r="A127" s="2" t="s">
        <v>441</v>
      </c>
      <c r="B127" s="2" t="s">
        <v>442</v>
      </c>
      <c r="C127" s="2" t="s">
        <v>391</v>
      </c>
      <c r="D127" s="2">
        <v>37573267.88</v>
      </c>
      <c r="E127" s="2">
        <v>1</v>
      </c>
      <c r="F127" s="3">
        <f>IF(COUNT(D127,E127)=2,D127*E127,NA())</f>
        <v>37573267.88</v>
      </c>
      <c r="G127" s="2" t="s">
        <v>52</v>
      </c>
      <c r="H127" s="2" t="s">
        <v>53</v>
      </c>
      <c r="I127" s="2" t="s">
        <v>54</v>
      </c>
      <c r="J127" s="2" t="s">
        <v>55</v>
      </c>
      <c r="K127" s="2" t="s">
        <v>392</v>
      </c>
      <c r="L127" s="2" t="s">
        <v>56</v>
      </c>
      <c r="M127" s="2" t="s">
        <v>393</v>
      </c>
      <c r="N127" s="2" t="s">
        <v>58</v>
      </c>
      <c r="O127" s="2" t="s">
        <v>59</v>
      </c>
      <c r="P127" s="2" t="s">
        <v>443</v>
      </c>
      <c r="Q127" s="2" t="s">
        <v>444</v>
      </c>
      <c r="R127" s="2"/>
    </row>
    <row r="128" spans="1:18">
      <c r="A128" s="2" t="s">
        <v>445</v>
      </c>
      <c r="B128" s="2" t="s">
        <v>442</v>
      </c>
      <c r="C128" s="2" t="s">
        <v>391</v>
      </c>
      <c r="D128" s="2">
        <v>32609987.86</v>
      </c>
      <c r="E128" s="2">
        <v>1</v>
      </c>
      <c r="F128" s="3">
        <f>IF(COUNT(D128,E128)=2,D128*E128,NA())</f>
        <v>32609987.86</v>
      </c>
      <c r="G128" s="2" t="s">
        <v>52</v>
      </c>
      <c r="H128" s="2" t="s">
        <v>53</v>
      </c>
      <c r="I128" s="2" t="s">
        <v>54</v>
      </c>
      <c r="J128" s="2" t="s">
        <v>55</v>
      </c>
      <c r="K128" s="2" t="s">
        <v>397</v>
      </c>
      <c r="L128" s="2" t="s">
        <v>63</v>
      </c>
      <c r="M128" s="2" t="s">
        <v>393</v>
      </c>
      <c r="N128" s="2" t="s">
        <v>64</v>
      </c>
      <c r="O128" s="2" t="s">
        <v>59</v>
      </c>
      <c r="P128" s="2" t="s">
        <v>446</v>
      </c>
      <c r="Q128" s="2" t="s">
        <v>444</v>
      </c>
      <c r="R128" s="2"/>
    </row>
    <row r="129" spans="1:18">
      <c r="A129" s="2" t="s">
        <v>447</v>
      </c>
      <c r="B129" s="2" t="s">
        <v>448</v>
      </c>
      <c r="C129" s="2" t="s">
        <v>391</v>
      </c>
      <c r="D129" s="2">
        <v>5847847312.01</v>
      </c>
      <c r="E129" s="2">
        <v>1</v>
      </c>
      <c r="F129" s="3">
        <f>IF(COUNT(D129,E129)=2,D129*E129,NA())</f>
        <v>5847847312.01</v>
      </c>
      <c r="G129" s="2" t="s">
        <v>52</v>
      </c>
      <c r="H129" s="2" t="s">
        <v>53</v>
      </c>
      <c r="I129" s="2" t="s">
        <v>54</v>
      </c>
      <c r="J129" s="2" t="s">
        <v>55</v>
      </c>
      <c r="K129" s="2" t="s">
        <v>392</v>
      </c>
      <c r="L129" s="2" t="s">
        <v>56</v>
      </c>
      <c r="M129" s="2" t="s">
        <v>393</v>
      </c>
      <c r="N129" s="2" t="s">
        <v>58</v>
      </c>
      <c r="O129" s="2" t="s">
        <v>59</v>
      </c>
      <c r="P129" s="2" t="s">
        <v>449</v>
      </c>
      <c r="Q129" s="2" t="s">
        <v>450</v>
      </c>
      <c r="R129" s="2"/>
    </row>
    <row r="130" spans="1:18">
      <c r="A130" s="2" t="s">
        <v>451</v>
      </c>
      <c r="B130" s="2" t="s">
        <v>448</v>
      </c>
      <c r="C130" s="2" t="s">
        <v>391</v>
      </c>
      <c r="D130" s="2">
        <v>6724194459.25</v>
      </c>
      <c r="E130" s="2">
        <v>1</v>
      </c>
      <c r="F130" s="3">
        <f>IF(COUNT(D130,E130)=2,D130*E130,NA())</f>
        <v>6724194459.25</v>
      </c>
      <c r="G130" s="2" t="s">
        <v>52</v>
      </c>
      <c r="H130" s="2" t="s">
        <v>53</v>
      </c>
      <c r="I130" s="2" t="s">
        <v>54</v>
      </c>
      <c r="J130" s="2" t="s">
        <v>55</v>
      </c>
      <c r="K130" s="2" t="s">
        <v>397</v>
      </c>
      <c r="L130" s="2" t="s">
        <v>63</v>
      </c>
      <c r="M130" s="2" t="s">
        <v>393</v>
      </c>
      <c r="N130" s="2" t="s">
        <v>64</v>
      </c>
      <c r="O130" s="2" t="s">
        <v>59</v>
      </c>
      <c r="P130" s="2" t="s">
        <v>452</v>
      </c>
      <c r="Q130" s="2" t="s">
        <v>450</v>
      </c>
      <c r="R130" s="2"/>
    </row>
    <row r="131" spans="1:18">
      <c r="A131" s="2" t="s">
        <v>453</v>
      </c>
      <c r="B131" s="2" t="s">
        <v>454</v>
      </c>
      <c r="C131" s="2" t="s">
        <v>391</v>
      </c>
      <c r="D131" s="2">
        <v>39777036.65</v>
      </c>
      <c r="E131" s="2">
        <v>1</v>
      </c>
      <c r="F131" s="3">
        <f>IF(COUNT(D131,E131)=2,D131*E131,NA())</f>
        <v>39777036.65</v>
      </c>
      <c r="G131" s="2" t="s">
        <v>52</v>
      </c>
      <c r="H131" s="2" t="s">
        <v>53</v>
      </c>
      <c r="I131" s="2" t="s">
        <v>54</v>
      </c>
      <c r="J131" s="2" t="s">
        <v>55</v>
      </c>
      <c r="K131" s="2" t="s">
        <v>392</v>
      </c>
      <c r="L131" s="2" t="s">
        <v>56</v>
      </c>
      <c r="M131" s="2" t="s">
        <v>393</v>
      </c>
      <c r="N131" s="2" t="s">
        <v>58</v>
      </c>
      <c r="O131" s="2" t="s">
        <v>59</v>
      </c>
      <c r="P131" s="2" t="s">
        <v>455</v>
      </c>
      <c r="Q131" s="2" t="s">
        <v>456</v>
      </c>
      <c r="R131" s="2"/>
    </row>
    <row r="132" spans="1:18">
      <c r="A132" s="2" t="s">
        <v>457</v>
      </c>
      <c r="B132" s="2" t="s">
        <v>454</v>
      </c>
      <c r="C132" s="2" t="s">
        <v>391</v>
      </c>
      <c r="D132" s="2">
        <v>67563032.87</v>
      </c>
      <c r="E132" s="2">
        <v>1</v>
      </c>
      <c r="F132" s="3">
        <f>IF(COUNT(D132,E132)=2,D132*E132,NA())</f>
        <v>67563032.87</v>
      </c>
      <c r="G132" s="2" t="s">
        <v>52</v>
      </c>
      <c r="H132" s="2" t="s">
        <v>53</v>
      </c>
      <c r="I132" s="2" t="s">
        <v>54</v>
      </c>
      <c r="J132" s="2" t="s">
        <v>55</v>
      </c>
      <c r="K132" s="2" t="s">
        <v>397</v>
      </c>
      <c r="L132" s="2" t="s">
        <v>63</v>
      </c>
      <c r="M132" s="2" t="s">
        <v>393</v>
      </c>
      <c r="N132" s="2" t="s">
        <v>64</v>
      </c>
      <c r="O132" s="2" t="s">
        <v>59</v>
      </c>
      <c r="P132" s="2" t="s">
        <v>458</v>
      </c>
      <c r="Q132" s="2" t="s">
        <v>456</v>
      </c>
      <c r="R132" s="2"/>
    </row>
    <row r="133" spans="1:18">
      <c r="A133" s="2" t="s">
        <v>459</v>
      </c>
      <c r="B133" s="2" t="s">
        <v>460</v>
      </c>
      <c r="C133" s="2" t="s">
        <v>391</v>
      </c>
      <c r="D133" s="2">
        <v>-20297935.68</v>
      </c>
      <c r="E133" s="2">
        <v>1</v>
      </c>
      <c r="F133" s="3">
        <f>IF(COUNT(D133,E133)=2,D133*E133,NA())</f>
        <v>-20297935.68</v>
      </c>
      <c r="G133" s="2" t="s">
        <v>52</v>
      </c>
      <c r="H133" s="2" t="s">
        <v>53</v>
      </c>
      <c r="I133" s="2" t="s">
        <v>54</v>
      </c>
      <c r="J133" s="2" t="s">
        <v>55</v>
      </c>
      <c r="K133" s="2" t="s">
        <v>392</v>
      </c>
      <c r="L133" s="2" t="s">
        <v>56</v>
      </c>
      <c r="M133" s="2" t="s">
        <v>393</v>
      </c>
      <c r="N133" s="2" t="s">
        <v>58</v>
      </c>
      <c r="O133" s="2" t="s">
        <v>59</v>
      </c>
      <c r="P133" s="2" t="s">
        <v>461</v>
      </c>
      <c r="Q133" s="2" t="s">
        <v>462</v>
      </c>
      <c r="R133" s="2"/>
    </row>
    <row r="134" spans="1:18">
      <c r="A134" s="2" t="s">
        <v>463</v>
      </c>
      <c r="B134" s="2" t="s">
        <v>460</v>
      </c>
      <c r="C134" s="2" t="s">
        <v>391</v>
      </c>
      <c r="D134" s="2">
        <v>10594948.07</v>
      </c>
      <c r="E134" s="2">
        <v>1</v>
      </c>
      <c r="F134" s="3">
        <f>IF(COUNT(D134,E134)=2,D134*E134,NA())</f>
        <v>10594948.07</v>
      </c>
      <c r="G134" s="2" t="s">
        <v>52</v>
      </c>
      <c r="H134" s="2" t="s">
        <v>53</v>
      </c>
      <c r="I134" s="2" t="s">
        <v>54</v>
      </c>
      <c r="J134" s="2" t="s">
        <v>55</v>
      </c>
      <c r="K134" s="2" t="s">
        <v>397</v>
      </c>
      <c r="L134" s="2" t="s">
        <v>63</v>
      </c>
      <c r="M134" s="2" t="s">
        <v>393</v>
      </c>
      <c r="N134" s="2" t="s">
        <v>64</v>
      </c>
      <c r="O134" s="2" t="s">
        <v>59</v>
      </c>
      <c r="P134" s="2" t="s">
        <v>464</v>
      </c>
      <c r="Q134" s="2" t="s">
        <v>462</v>
      </c>
      <c r="R134" s="2"/>
    </row>
    <row r="135" spans="1:18">
      <c r="A135" s="2" t="s">
        <v>465</v>
      </c>
      <c r="B135" s="2" t="s">
        <v>466</v>
      </c>
      <c r="C135" s="2" t="s">
        <v>391</v>
      </c>
      <c r="D135" s="2">
        <v>-4649032.54</v>
      </c>
      <c r="E135" s="2">
        <v>1</v>
      </c>
      <c r="F135" s="3">
        <f>IF(COUNT(D135,E135)=2,D135*E135,NA())</f>
        <v>-4649032.54</v>
      </c>
      <c r="G135" s="2" t="s">
        <v>52</v>
      </c>
      <c r="H135" s="2" t="s">
        <v>53</v>
      </c>
      <c r="I135" s="2" t="s">
        <v>54</v>
      </c>
      <c r="J135" s="2" t="s">
        <v>55</v>
      </c>
      <c r="K135" s="2" t="s">
        <v>392</v>
      </c>
      <c r="L135" s="2" t="s">
        <v>56</v>
      </c>
      <c r="M135" s="2" t="s">
        <v>393</v>
      </c>
      <c r="N135" s="2" t="s">
        <v>58</v>
      </c>
      <c r="O135" s="2" t="s">
        <v>59</v>
      </c>
      <c r="P135" s="2" t="s">
        <v>467</v>
      </c>
      <c r="Q135" s="2" t="s">
        <v>468</v>
      </c>
      <c r="R135" s="2"/>
    </row>
    <row r="136" spans="1:18">
      <c r="A136" s="2" t="s">
        <v>469</v>
      </c>
      <c r="B136" s="2" t="s">
        <v>466</v>
      </c>
      <c r="C136" s="2" t="s">
        <v>391</v>
      </c>
      <c r="D136" s="2">
        <v>152471970.46</v>
      </c>
      <c r="E136" s="2">
        <v>1</v>
      </c>
      <c r="F136" s="3">
        <f>IF(COUNT(D136,E136)=2,D136*E136,NA())</f>
        <v>152471970.46</v>
      </c>
      <c r="G136" s="2" t="s">
        <v>52</v>
      </c>
      <c r="H136" s="2" t="s">
        <v>53</v>
      </c>
      <c r="I136" s="2" t="s">
        <v>54</v>
      </c>
      <c r="J136" s="2" t="s">
        <v>55</v>
      </c>
      <c r="K136" s="2" t="s">
        <v>397</v>
      </c>
      <c r="L136" s="2" t="s">
        <v>63</v>
      </c>
      <c r="M136" s="2" t="s">
        <v>393</v>
      </c>
      <c r="N136" s="2" t="s">
        <v>64</v>
      </c>
      <c r="O136" s="2" t="s">
        <v>59</v>
      </c>
      <c r="P136" s="2" t="s">
        <v>470</v>
      </c>
      <c r="Q136" s="2" t="s">
        <v>468</v>
      </c>
      <c r="R136" s="2"/>
    </row>
    <row r="137" spans="1:18">
      <c r="A137" s="2" t="s">
        <v>471</v>
      </c>
      <c r="B137" s="2" t="s">
        <v>472</v>
      </c>
      <c r="C137" s="2" t="s">
        <v>391</v>
      </c>
      <c r="D137" s="2">
        <v>-603370594.47</v>
      </c>
      <c r="E137" s="2">
        <v>1</v>
      </c>
      <c r="F137" s="3">
        <f>IF(COUNT(D137,E137)=2,D137*E137,NA())</f>
        <v>-603370594.47</v>
      </c>
      <c r="G137" s="2" t="s">
        <v>52</v>
      </c>
      <c r="H137" s="2" t="s">
        <v>53</v>
      </c>
      <c r="I137" s="2" t="s">
        <v>54</v>
      </c>
      <c r="J137" s="2" t="s">
        <v>55</v>
      </c>
      <c r="K137" s="2" t="s">
        <v>392</v>
      </c>
      <c r="L137" s="2" t="s">
        <v>56</v>
      </c>
      <c r="M137" s="2" t="s">
        <v>393</v>
      </c>
      <c r="N137" s="2" t="s">
        <v>58</v>
      </c>
      <c r="O137" s="2" t="s">
        <v>59</v>
      </c>
      <c r="P137" s="2" t="s">
        <v>473</v>
      </c>
      <c r="Q137" s="2" t="s">
        <v>474</v>
      </c>
      <c r="R137" s="2"/>
    </row>
    <row r="138" spans="1:18">
      <c r="A138" s="2" t="s">
        <v>475</v>
      </c>
      <c r="B138" s="2" t="s">
        <v>472</v>
      </c>
      <c r="C138" s="2" t="s">
        <v>391</v>
      </c>
      <c r="D138" s="2">
        <v>-267824142.23</v>
      </c>
      <c r="E138" s="2">
        <v>1</v>
      </c>
      <c r="F138" s="3">
        <f>IF(COUNT(D138,E138)=2,D138*E138,NA())</f>
        <v>-267824142.23</v>
      </c>
      <c r="G138" s="2" t="s">
        <v>52</v>
      </c>
      <c r="H138" s="2" t="s">
        <v>53</v>
      </c>
      <c r="I138" s="2" t="s">
        <v>54</v>
      </c>
      <c r="J138" s="2" t="s">
        <v>55</v>
      </c>
      <c r="K138" s="2" t="s">
        <v>397</v>
      </c>
      <c r="L138" s="2" t="s">
        <v>63</v>
      </c>
      <c r="M138" s="2" t="s">
        <v>393</v>
      </c>
      <c r="N138" s="2" t="s">
        <v>64</v>
      </c>
      <c r="O138" s="2" t="s">
        <v>59</v>
      </c>
      <c r="P138" s="2" t="s">
        <v>476</v>
      </c>
      <c r="Q138" s="2" t="s">
        <v>474</v>
      </c>
      <c r="R138" s="2"/>
    </row>
    <row r="139" spans="1:18">
      <c r="A139" s="2" t="s">
        <v>477</v>
      </c>
      <c r="B139" s="2" t="s">
        <v>478</v>
      </c>
      <c r="C139" s="2" t="s">
        <v>391</v>
      </c>
      <c r="D139" s="2">
        <v>-183529695.12</v>
      </c>
      <c r="E139" s="2">
        <v>1</v>
      </c>
      <c r="F139" s="3">
        <f>IF(COUNT(D139,E139)=2,D139*E139,NA())</f>
        <v>-183529695.12</v>
      </c>
      <c r="G139" s="2" t="s">
        <v>52</v>
      </c>
      <c r="H139" s="2" t="s">
        <v>53</v>
      </c>
      <c r="I139" s="2" t="s">
        <v>54</v>
      </c>
      <c r="J139" s="2" t="s">
        <v>55</v>
      </c>
      <c r="K139" s="2" t="s">
        <v>392</v>
      </c>
      <c r="L139" s="2" t="s">
        <v>56</v>
      </c>
      <c r="M139" s="2" t="s">
        <v>393</v>
      </c>
      <c r="N139" s="2" t="s">
        <v>58</v>
      </c>
      <c r="O139" s="2" t="s">
        <v>59</v>
      </c>
      <c r="P139" s="2" t="s">
        <v>479</v>
      </c>
      <c r="Q139" s="2" t="s">
        <v>480</v>
      </c>
      <c r="R139" s="2"/>
    </row>
    <row r="140" spans="1:18">
      <c r="A140" s="2" t="s">
        <v>481</v>
      </c>
      <c r="B140" s="2" t="s">
        <v>478</v>
      </c>
      <c r="C140" s="2" t="s">
        <v>391</v>
      </c>
      <c r="D140" s="2">
        <v>-41942111.8</v>
      </c>
      <c r="E140" s="2">
        <v>1</v>
      </c>
      <c r="F140" s="3">
        <f>IF(COUNT(D140,E140)=2,D140*E140,NA())</f>
        <v>-41942111.8</v>
      </c>
      <c r="G140" s="2" t="s">
        <v>52</v>
      </c>
      <c r="H140" s="2" t="s">
        <v>53</v>
      </c>
      <c r="I140" s="2" t="s">
        <v>54</v>
      </c>
      <c r="J140" s="2" t="s">
        <v>55</v>
      </c>
      <c r="K140" s="2" t="s">
        <v>397</v>
      </c>
      <c r="L140" s="2" t="s">
        <v>63</v>
      </c>
      <c r="M140" s="2" t="s">
        <v>393</v>
      </c>
      <c r="N140" s="2" t="s">
        <v>64</v>
      </c>
      <c r="O140" s="2" t="s">
        <v>59</v>
      </c>
      <c r="P140" s="2" t="s">
        <v>482</v>
      </c>
      <c r="Q140" s="2" t="s">
        <v>480</v>
      </c>
      <c r="R140" s="2"/>
    </row>
    <row r="141" spans="1:18">
      <c r="A141" s="2" t="s">
        <v>483</v>
      </c>
      <c r="B141" s="2" t="s">
        <v>484</v>
      </c>
      <c r="C141" s="2" t="s">
        <v>391</v>
      </c>
      <c r="D141" s="2">
        <v>95900.89999999999</v>
      </c>
      <c r="E141" s="2">
        <v>1</v>
      </c>
      <c r="F141" s="3">
        <f>IF(COUNT(D141,E141)=2,D141*E141,NA())</f>
        <v>95900.9</v>
      </c>
      <c r="G141" s="2" t="s">
        <v>52</v>
      </c>
      <c r="H141" s="2" t="s">
        <v>53</v>
      </c>
      <c r="I141" s="2" t="s">
        <v>54</v>
      </c>
      <c r="J141" s="2" t="s">
        <v>55</v>
      </c>
      <c r="K141" s="2" t="s">
        <v>392</v>
      </c>
      <c r="L141" s="2" t="s">
        <v>56</v>
      </c>
      <c r="M141" s="2" t="s">
        <v>393</v>
      </c>
      <c r="N141" s="2" t="s">
        <v>58</v>
      </c>
      <c r="O141" s="2" t="s">
        <v>59</v>
      </c>
      <c r="P141" s="2" t="s">
        <v>485</v>
      </c>
      <c r="Q141" s="2" t="s">
        <v>486</v>
      </c>
      <c r="R141" s="2"/>
    </row>
    <row r="142" spans="1:18">
      <c r="A142" s="2" t="s">
        <v>487</v>
      </c>
      <c r="B142" s="2" t="s">
        <v>484</v>
      </c>
      <c r="C142" s="2" t="s">
        <v>391</v>
      </c>
      <c r="D142" s="2">
        <v>31246.02</v>
      </c>
      <c r="E142" s="2">
        <v>1</v>
      </c>
      <c r="F142" s="3">
        <f>IF(COUNT(D142,E142)=2,D142*E142,NA())</f>
        <v>31246.02</v>
      </c>
      <c r="G142" s="2" t="s">
        <v>52</v>
      </c>
      <c r="H142" s="2" t="s">
        <v>53</v>
      </c>
      <c r="I142" s="2" t="s">
        <v>54</v>
      </c>
      <c r="J142" s="2" t="s">
        <v>55</v>
      </c>
      <c r="K142" s="2" t="s">
        <v>397</v>
      </c>
      <c r="L142" s="2" t="s">
        <v>63</v>
      </c>
      <c r="M142" s="2" t="s">
        <v>393</v>
      </c>
      <c r="N142" s="2" t="s">
        <v>64</v>
      </c>
      <c r="O142" s="2" t="s">
        <v>59</v>
      </c>
      <c r="P142" s="2" t="s">
        <v>488</v>
      </c>
      <c r="Q142" s="2" t="s">
        <v>486</v>
      </c>
      <c r="R142" s="2"/>
    </row>
    <row r="143" spans="1:18">
      <c r="A143" s="2" t="s">
        <v>489</v>
      </c>
      <c r="B143" s="2" t="s">
        <v>490</v>
      </c>
      <c r="C143" s="2" t="s">
        <v>391</v>
      </c>
      <c r="D143" s="2">
        <v>-575696838.86</v>
      </c>
      <c r="E143" s="2">
        <v>1</v>
      </c>
      <c r="F143" s="3">
        <f>IF(COUNT(D143,E143)=2,D143*E143,NA())</f>
        <v>-575696838.86</v>
      </c>
      <c r="G143" s="2" t="s">
        <v>52</v>
      </c>
      <c r="H143" s="2" t="s">
        <v>53</v>
      </c>
      <c r="I143" s="2" t="s">
        <v>54</v>
      </c>
      <c r="J143" s="2" t="s">
        <v>55</v>
      </c>
      <c r="K143" s="2" t="s">
        <v>392</v>
      </c>
      <c r="L143" s="2" t="s">
        <v>56</v>
      </c>
      <c r="M143" s="2" t="s">
        <v>393</v>
      </c>
      <c r="N143" s="2" t="s">
        <v>58</v>
      </c>
      <c r="O143" s="2" t="s">
        <v>59</v>
      </c>
      <c r="P143" s="2" t="s">
        <v>491</v>
      </c>
      <c r="Q143" s="2" t="s">
        <v>492</v>
      </c>
      <c r="R143" s="2"/>
    </row>
    <row r="144" spans="1:18">
      <c r="A144" s="2" t="s">
        <v>493</v>
      </c>
      <c r="B144" s="2" t="s">
        <v>490</v>
      </c>
      <c r="C144" s="2" t="s">
        <v>391</v>
      </c>
      <c r="D144" s="2">
        <v>25503811.84</v>
      </c>
      <c r="E144" s="2">
        <v>1</v>
      </c>
      <c r="F144" s="3">
        <f>IF(COUNT(D144,E144)=2,D144*E144,NA())</f>
        <v>25503811.84</v>
      </c>
      <c r="G144" s="2" t="s">
        <v>52</v>
      </c>
      <c r="H144" s="2" t="s">
        <v>53</v>
      </c>
      <c r="I144" s="2" t="s">
        <v>54</v>
      </c>
      <c r="J144" s="2" t="s">
        <v>55</v>
      </c>
      <c r="K144" s="2" t="s">
        <v>397</v>
      </c>
      <c r="L144" s="2" t="s">
        <v>63</v>
      </c>
      <c r="M144" s="2" t="s">
        <v>393</v>
      </c>
      <c r="N144" s="2" t="s">
        <v>64</v>
      </c>
      <c r="O144" s="2" t="s">
        <v>59</v>
      </c>
      <c r="P144" s="2" t="s">
        <v>494</v>
      </c>
      <c r="Q144" s="2" t="s">
        <v>492</v>
      </c>
      <c r="R144" s="2"/>
    </row>
    <row r="145" spans="1:18">
      <c r="A145" s="2" t="s">
        <v>495</v>
      </c>
      <c r="B145" s="2" t="s">
        <v>496</v>
      </c>
      <c r="C145" s="2" t="s">
        <v>391</v>
      </c>
      <c r="D145" s="2">
        <v>10170953.98</v>
      </c>
      <c r="E145" s="2">
        <v>1</v>
      </c>
      <c r="F145" s="3">
        <f>IF(COUNT(D145,E145)=2,D145*E145,NA())</f>
        <v>10170953.98</v>
      </c>
      <c r="G145" s="2" t="s">
        <v>52</v>
      </c>
      <c r="H145" s="2" t="s">
        <v>53</v>
      </c>
      <c r="I145" s="2" t="s">
        <v>54</v>
      </c>
      <c r="J145" s="2" t="s">
        <v>55</v>
      </c>
      <c r="K145" s="2" t="s">
        <v>392</v>
      </c>
      <c r="L145" s="2" t="s">
        <v>56</v>
      </c>
      <c r="M145" s="2" t="s">
        <v>393</v>
      </c>
      <c r="N145" s="2" t="s">
        <v>58</v>
      </c>
      <c r="O145" s="2" t="s">
        <v>59</v>
      </c>
      <c r="P145" s="2" t="s">
        <v>497</v>
      </c>
      <c r="Q145" s="2" t="s">
        <v>498</v>
      </c>
      <c r="R145" s="2"/>
    </row>
    <row r="146" spans="1:18">
      <c r="A146" s="2" t="s">
        <v>499</v>
      </c>
      <c r="B146" s="2" t="s">
        <v>496</v>
      </c>
      <c r="C146" s="2" t="s">
        <v>391</v>
      </c>
      <c r="D146" s="2">
        <v>24250679.97</v>
      </c>
      <c r="E146" s="2">
        <v>1</v>
      </c>
      <c r="F146" s="3">
        <f>IF(COUNT(D146,E146)=2,D146*E146,NA())</f>
        <v>24250679.97</v>
      </c>
      <c r="G146" s="2" t="s">
        <v>52</v>
      </c>
      <c r="H146" s="2" t="s">
        <v>53</v>
      </c>
      <c r="I146" s="2" t="s">
        <v>54</v>
      </c>
      <c r="J146" s="2" t="s">
        <v>55</v>
      </c>
      <c r="K146" s="2" t="s">
        <v>397</v>
      </c>
      <c r="L146" s="2" t="s">
        <v>63</v>
      </c>
      <c r="M146" s="2" t="s">
        <v>393</v>
      </c>
      <c r="N146" s="2" t="s">
        <v>64</v>
      </c>
      <c r="O146" s="2" t="s">
        <v>59</v>
      </c>
      <c r="P146" s="2" t="s">
        <v>500</v>
      </c>
      <c r="Q146" s="2" t="s">
        <v>498</v>
      </c>
      <c r="R146" s="2"/>
    </row>
    <row r="147" spans="1:18">
      <c r="A147" s="2" t="s">
        <v>501</v>
      </c>
      <c r="B147" s="2" t="s">
        <v>502</v>
      </c>
      <c r="C147" s="2" t="s">
        <v>391</v>
      </c>
      <c r="D147" s="2">
        <v>26668321.68</v>
      </c>
      <c r="E147" s="2">
        <v>1</v>
      </c>
      <c r="F147" s="3">
        <f>IF(COUNT(D147,E147)=2,D147*E147,NA())</f>
        <v>26668321.68</v>
      </c>
      <c r="G147" s="2" t="s">
        <v>52</v>
      </c>
      <c r="H147" s="2" t="s">
        <v>53</v>
      </c>
      <c r="I147" s="2" t="s">
        <v>54</v>
      </c>
      <c r="J147" s="2" t="s">
        <v>55</v>
      </c>
      <c r="K147" s="2" t="s">
        <v>392</v>
      </c>
      <c r="L147" s="2" t="s">
        <v>56</v>
      </c>
      <c r="M147" s="2" t="s">
        <v>393</v>
      </c>
      <c r="N147" s="2" t="s">
        <v>58</v>
      </c>
      <c r="O147" s="2" t="s">
        <v>59</v>
      </c>
      <c r="P147" s="2" t="s">
        <v>503</v>
      </c>
      <c r="Q147" s="2" t="s">
        <v>504</v>
      </c>
      <c r="R147" s="2"/>
    </row>
    <row r="148" spans="1:18">
      <c r="A148" s="2" t="s">
        <v>505</v>
      </c>
      <c r="B148" s="2" t="s">
        <v>502</v>
      </c>
      <c r="C148" s="2" t="s">
        <v>391</v>
      </c>
      <c r="D148" s="2">
        <v>3026299.04</v>
      </c>
      <c r="E148" s="2">
        <v>1</v>
      </c>
      <c r="F148" s="3">
        <f>IF(COUNT(D148,E148)=2,D148*E148,NA())</f>
        <v>3026299.04</v>
      </c>
      <c r="G148" s="2" t="s">
        <v>52</v>
      </c>
      <c r="H148" s="2" t="s">
        <v>53</v>
      </c>
      <c r="I148" s="2" t="s">
        <v>54</v>
      </c>
      <c r="J148" s="2" t="s">
        <v>55</v>
      </c>
      <c r="K148" s="2" t="s">
        <v>397</v>
      </c>
      <c r="L148" s="2" t="s">
        <v>63</v>
      </c>
      <c r="M148" s="2" t="s">
        <v>393</v>
      </c>
      <c r="N148" s="2" t="s">
        <v>64</v>
      </c>
      <c r="O148" s="2" t="s">
        <v>59</v>
      </c>
      <c r="P148" s="2" t="s">
        <v>506</v>
      </c>
      <c r="Q148" s="2" t="s">
        <v>504</v>
      </c>
      <c r="R148" s="2"/>
    </row>
    <row r="149" spans="1:18">
      <c r="A149" s="2" t="s">
        <v>507</v>
      </c>
      <c r="B149" s="2" t="s">
        <v>508</v>
      </c>
      <c r="C149" s="2" t="s">
        <v>391</v>
      </c>
      <c r="D149" s="2">
        <v>-592194206.5599999</v>
      </c>
      <c r="E149" s="2">
        <v>1</v>
      </c>
      <c r="F149" s="3">
        <f>IF(COUNT(D149,E149)=2,D149*E149,NA())</f>
        <v>-592194206.56</v>
      </c>
      <c r="G149" s="2" t="s">
        <v>52</v>
      </c>
      <c r="H149" s="2" t="s">
        <v>53</v>
      </c>
      <c r="I149" s="2" t="s">
        <v>54</v>
      </c>
      <c r="J149" s="2" t="s">
        <v>55</v>
      </c>
      <c r="K149" s="2" t="s">
        <v>392</v>
      </c>
      <c r="L149" s="2" t="s">
        <v>56</v>
      </c>
      <c r="M149" s="2" t="s">
        <v>393</v>
      </c>
      <c r="N149" s="2" t="s">
        <v>58</v>
      </c>
      <c r="O149" s="2" t="s">
        <v>59</v>
      </c>
      <c r="P149" s="2" t="s">
        <v>509</v>
      </c>
      <c r="Q149" s="2" t="s">
        <v>510</v>
      </c>
      <c r="R149" s="2"/>
    </row>
    <row r="150" spans="1:18">
      <c r="A150" s="2" t="s">
        <v>511</v>
      </c>
      <c r="B150" s="2" t="s">
        <v>508</v>
      </c>
      <c r="C150" s="2" t="s">
        <v>391</v>
      </c>
      <c r="D150" s="2">
        <v>46728192.77</v>
      </c>
      <c r="E150" s="2">
        <v>1</v>
      </c>
      <c r="F150" s="3">
        <f>IF(COUNT(D150,E150)=2,D150*E150,NA())</f>
        <v>46728192.77</v>
      </c>
      <c r="G150" s="2" t="s">
        <v>52</v>
      </c>
      <c r="H150" s="2" t="s">
        <v>53</v>
      </c>
      <c r="I150" s="2" t="s">
        <v>54</v>
      </c>
      <c r="J150" s="2" t="s">
        <v>55</v>
      </c>
      <c r="K150" s="2" t="s">
        <v>397</v>
      </c>
      <c r="L150" s="2" t="s">
        <v>63</v>
      </c>
      <c r="M150" s="2" t="s">
        <v>393</v>
      </c>
      <c r="N150" s="2" t="s">
        <v>64</v>
      </c>
      <c r="O150" s="2" t="s">
        <v>59</v>
      </c>
      <c r="P150" s="2" t="s">
        <v>512</v>
      </c>
      <c r="Q150" s="2" t="s">
        <v>510</v>
      </c>
      <c r="R150" s="2"/>
    </row>
    <row r="151" spans="1:18">
      <c r="A151" s="2" t="s">
        <v>513</v>
      </c>
      <c r="B151" s="2" t="s">
        <v>514</v>
      </c>
      <c r="C151" s="2" t="s">
        <v>391</v>
      </c>
      <c r="D151" s="2">
        <v>-44398991.01</v>
      </c>
      <c r="E151" s="2">
        <v>1</v>
      </c>
      <c r="F151" s="3">
        <f>IF(COUNT(D151,E151)=2,D151*E151,NA())</f>
        <v>-44398991.01</v>
      </c>
      <c r="G151" s="2" t="s">
        <v>52</v>
      </c>
      <c r="H151" s="2" t="s">
        <v>53</v>
      </c>
      <c r="I151" s="2" t="s">
        <v>54</v>
      </c>
      <c r="J151" s="2" t="s">
        <v>55</v>
      </c>
      <c r="K151" s="2" t="s">
        <v>392</v>
      </c>
      <c r="L151" s="2" t="s">
        <v>56</v>
      </c>
      <c r="M151" s="2" t="s">
        <v>393</v>
      </c>
      <c r="N151" s="2" t="s">
        <v>58</v>
      </c>
      <c r="O151" s="2" t="s">
        <v>59</v>
      </c>
      <c r="P151" s="2" t="s">
        <v>515</v>
      </c>
      <c r="Q151" s="2" t="s">
        <v>516</v>
      </c>
      <c r="R151" s="2"/>
    </row>
    <row r="152" spans="1:18">
      <c r="A152" s="2" t="s">
        <v>517</v>
      </c>
      <c r="B152" s="2" t="s">
        <v>514</v>
      </c>
      <c r="C152" s="2" t="s">
        <v>391</v>
      </c>
      <c r="D152" s="2">
        <v>23722053.72</v>
      </c>
      <c r="E152" s="2">
        <v>1</v>
      </c>
      <c r="F152" s="3">
        <f>IF(COUNT(D152,E152)=2,D152*E152,NA())</f>
        <v>23722053.72</v>
      </c>
      <c r="G152" s="2" t="s">
        <v>52</v>
      </c>
      <c r="H152" s="2" t="s">
        <v>53</v>
      </c>
      <c r="I152" s="2" t="s">
        <v>54</v>
      </c>
      <c r="J152" s="2" t="s">
        <v>55</v>
      </c>
      <c r="K152" s="2" t="s">
        <v>397</v>
      </c>
      <c r="L152" s="2" t="s">
        <v>63</v>
      </c>
      <c r="M152" s="2" t="s">
        <v>393</v>
      </c>
      <c r="N152" s="2" t="s">
        <v>64</v>
      </c>
      <c r="O152" s="2" t="s">
        <v>59</v>
      </c>
      <c r="P152" s="2" t="s">
        <v>518</v>
      </c>
      <c r="Q152" s="2" t="s">
        <v>516</v>
      </c>
      <c r="R152" s="2"/>
    </row>
    <row r="153" spans="1:18">
      <c r="A153" s="2" t="s">
        <v>519</v>
      </c>
      <c r="B153" s="2" t="s">
        <v>520</v>
      </c>
      <c r="C153" s="2" t="s">
        <v>391</v>
      </c>
      <c r="D153" s="2">
        <v>-547795215.55</v>
      </c>
      <c r="E153" s="2">
        <v>1</v>
      </c>
      <c r="F153" s="3">
        <f>IF(COUNT(D153,E153)=2,D153*E153,NA())</f>
        <v>-547795215.55</v>
      </c>
      <c r="G153" s="2" t="s">
        <v>52</v>
      </c>
      <c r="H153" s="2" t="s">
        <v>53</v>
      </c>
      <c r="I153" s="2" t="s">
        <v>54</v>
      </c>
      <c r="J153" s="2" t="s">
        <v>55</v>
      </c>
      <c r="K153" s="2" t="s">
        <v>392</v>
      </c>
      <c r="L153" s="2" t="s">
        <v>56</v>
      </c>
      <c r="M153" s="2" t="s">
        <v>393</v>
      </c>
      <c r="N153" s="2" t="s">
        <v>58</v>
      </c>
      <c r="O153" s="2" t="s">
        <v>59</v>
      </c>
      <c r="P153" s="2" t="s">
        <v>521</v>
      </c>
      <c r="Q153" s="2" t="s">
        <v>522</v>
      </c>
      <c r="R153" s="2"/>
    </row>
    <row r="154" spans="1:18">
      <c r="A154" s="2" t="s">
        <v>523</v>
      </c>
      <c r="B154" s="2" t="s">
        <v>520</v>
      </c>
      <c r="C154" s="2" t="s">
        <v>391</v>
      </c>
      <c r="D154" s="2">
        <v>23006139.05</v>
      </c>
      <c r="E154" s="2">
        <v>1</v>
      </c>
      <c r="F154" s="3">
        <f>IF(COUNT(D154,E154)=2,D154*E154,NA())</f>
        <v>23006139.05</v>
      </c>
      <c r="G154" s="2" t="s">
        <v>52</v>
      </c>
      <c r="H154" s="2" t="s">
        <v>53</v>
      </c>
      <c r="I154" s="2" t="s">
        <v>54</v>
      </c>
      <c r="J154" s="2" t="s">
        <v>55</v>
      </c>
      <c r="K154" s="2" t="s">
        <v>397</v>
      </c>
      <c r="L154" s="2" t="s">
        <v>63</v>
      </c>
      <c r="M154" s="2" t="s">
        <v>393</v>
      </c>
      <c r="N154" s="2" t="s">
        <v>64</v>
      </c>
      <c r="O154" s="2" t="s">
        <v>59</v>
      </c>
      <c r="P154" s="2" t="s">
        <v>524</v>
      </c>
      <c r="Q154" s="2" t="s">
        <v>522</v>
      </c>
      <c r="R154" s="2"/>
    </row>
    <row r="155" spans="1:18">
      <c r="A155" s="2" t="s">
        <v>525</v>
      </c>
      <c r="B155" s="2" t="s">
        <v>526</v>
      </c>
      <c r="C155" s="2" t="s">
        <v>391</v>
      </c>
      <c r="D155" s="2">
        <v>-535342762.09</v>
      </c>
      <c r="E155" s="2">
        <v>1</v>
      </c>
      <c r="F155" s="3">
        <f>IF(COUNT(D155,E155)=2,D155*E155,NA())</f>
        <v>-535342762.09</v>
      </c>
      <c r="G155" s="2" t="s">
        <v>52</v>
      </c>
      <c r="H155" s="2" t="s">
        <v>53</v>
      </c>
      <c r="I155" s="2" t="s">
        <v>54</v>
      </c>
      <c r="J155" s="2" t="s">
        <v>55</v>
      </c>
      <c r="K155" s="2" t="s">
        <v>392</v>
      </c>
      <c r="L155" s="2" t="s">
        <v>56</v>
      </c>
      <c r="M155" s="2" t="s">
        <v>393</v>
      </c>
      <c r="N155" s="2" t="s">
        <v>58</v>
      </c>
      <c r="O155" s="2" t="s">
        <v>59</v>
      </c>
      <c r="P155" s="2" t="s">
        <v>527</v>
      </c>
      <c r="Q155" s="2" t="s">
        <v>528</v>
      </c>
      <c r="R155" s="2"/>
    </row>
    <row r="156" spans="1:18">
      <c r="A156" s="2" t="s">
        <v>529</v>
      </c>
      <c r="B156" s="2" t="s">
        <v>526</v>
      </c>
      <c r="C156" s="2" t="s">
        <v>391</v>
      </c>
      <c r="D156" s="2">
        <v>35453381.35</v>
      </c>
      <c r="E156" s="2">
        <v>1</v>
      </c>
      <c r="F156" s="3">
        <f>IF(COUNT(D156,E156)=2,D156*E156,NA())</f>
        <v>35453381.35</v>
      </c>
      <c r="G156" s="2" t="s">
        <v>52</v>
      </c>
      <c r="H156" s="2" t="s">
        <v>53</v>
      </c>
      <c r="I156" s="2" t="s">
        <v>54</v>
      </c>
      <c r="J156" s="2" t="s">
        <v>55</v>
      </c>
      <c r="K156" s="2" t="s">
        <v>397</v>
      </c>
      <c r="L156" s="2" t="s">
        <v>63</v>
      </c>
      <c r="M156" s="2" t="s">
        <v>393</v>
      </c>
      <c r="N156" s="2" t="s">
        <v>64</v>
      </c>
      <c r="O156" s="2" t="s">
        <v>59</v>
      </c>
      <c r="P156" s="2" t="s">
        <v>530</v>
      </c>
      <c r="Q156" s="2" t="s">
        <v>528</v>
      </c>
      <c r="R156" s="2"/>
    </row>
    <row r="157" spans="1:18">
      <c r="A157" s="2" t="s">
        <v>531</v>
      </c>
      <c r="B157" s="2" t="s">
        <v>532</v>
      </c>
      <c r="C157" s="2" t="s">
        <v>391</v>
      </c>
      <c r="D157" s="2">
        <v>-12452453.46</v>
      </c>
      <c r="E157" s="2">
        <v>1</v>
      </c>
      <c r="F157" s="3">
        <f>IF(COUNT(D157,E157)=2,D157*E157,NA())</f>
        <v>-12452453.46</v>
      </c>
      <c r="G157" s="2" t="s">
        <v>52</v>
      </c>
      <c r="H157" s="2" t="s">
        <v>53</v>
      </c>
      <c r="I157" s="2" t="s">
        <v>54</v>
      </c>
      <c r="J157" s="2" t="s">
        <v>55</v>
      </c>
      <c r="K157" s="2" t="s">
        <v>392</v>
      </c>
      <c r="L157" s="2" t="s">
        <v>56</v>
      </c>
      <c r="M157" s="2" t="s">
        <v>393</v>
      </c>
      <c r="N157" s="2" t="s">
        <v>58</v>
      </c>
      <c r="O157" s="2" t="s">
        <v>59</v>
      </c>
      <c r="P157" s="2" t="s">
        <v>533</v>
      </c>
      <c r="Q157" s="2" t="s">
        <v>534</v>
      </c>
      <c r="R157" s="2"/>
    </row>
    <row r="158" spans="1:18">
      <c r="A158" s="2" t="s">
        <v>535</v>
      </c>
      <c r="B158" s="2" t="s">
        <v>532</v>
      </c>
      <c r="C158" s="2" t="s">
        <v>391</v>
      </c>
      <c r="D158" s="2">
        <v>-12447242.3</v>
      </c>
      <c r="E158" s="2">
        <v>1</v>
      </c>
      <c r="F158" s="3">
        <f>IF(COUNT(D158,E158)=2,D158*E158,NA())</f>
        <v>-12447242.3</v>
      </c>
      <c r="G158" s="2" t="s">
        <v>52</v>
      </c>
      <c r="H158" s="2" t="s">
        <v>53</v>
      </c>
      <c r="I158" s="2" t="s">
        <v>54</v>
      </c>
      <c r="J158" s="2" t="s">
        <v>55</v>
      </c>
      <c r="K158" s="2" t="s">
        <v>397</v>
      </c>
      <c r="L158" s="2" t="s">
        <v>63</v>
      </c>
      <c r="M158" s="2" t="s">
        <v>393</v>
      </c>
      <c r="N158" s="2" t="s">
        <v>64</v>
      </c>
      <c r="O158" s="2" t="s">
        <v>59</v>
      </c>
      <c r="P158" s="2" t="s">
        <v>536</v>
      </c>
      <c r="Q158" s="2" t="s">
        <v>534</v>
      </c>
      <c r="R158" s="2"/>
    </row>
    <row r="159" spans="1:18">
      <c r="A159" s="2" t="s">
        <v>537</v>
      </c>
      <c r="B159" s="2" t="s">
        <v>538</v>
      </c>
      <c r="C159" s="2" t="s">
        <v>391</v>
      </c>
      <c r="D159" s="2">
        <v>-14568285.14</v>
      </c>
      <c r="E159" s="2">
        <v>1</v>
      </c>
      <c r="F159" s="3">
        <f>IF(COUNT(D159,E159)=2,D159*E159,NA())</f>
        <v>-14568285.14</v>
      </c>
      <c r="G159" s="2" t="s">
        <v>52</v>
      </c>
      <c r="H159" s="2" t="s">
        <v>53</v>
      </c>
      <c r="I159" s="2" t="s">
        <v>54</v>
      </c>
      <c r="J159" s="2" t="s">
        <v>55</v>
      </c>
      <c r="K159" s="2" t="s">
        <v>392</v>
      </c>
      <c r="L159" s="2" t="s">
        <v>56</v>
      </c>
      <c r="M159" s="2" t="s">
        <v>393</v>
      </c>
      <c r="N159" s="2" t="s">
        <v>58</v>
      </c>
      <c r="O159" s="2" t="s">
        <v>59</v>
      </c>
      <c r="P159" s="2" t="s">
        <v>539</v>
      </c>
      <c r="Q159" s="2" t="s">
        <v>540</v>
      </c>
      <c r="R159" s="2"/>
    </row>
    <row r="160" spans="1:18">
      <c r="A160" s="2" t="s">
        <v>541</v>
      </c>
      <c r="B160" s="2" t="s">
        <v>538</v>
      </c>
      <c r="C160" s="2" t="s">
        <v>391</v>
      </c>
      <c r="D160" s="2">
        <v>9852158.15</v>
      </c>
      <c r="E160" s="2">
        <v>1</v>
      </c>
      <c r="F160" s="3">
        <f>IF(COUNT(D160,E160)=2,D160*E160,NA())</f>
        <v>9852158.15</v>
      </c>
      <c r="G160" s="2" t="s">
        <v>52</v>
      </c>
      <c r="H160" s="2" t="s">
        <v>53</v>
      </c>
      <c r="I160" s="2" t="s">
        <v>54</v>
      </c>
      <c r="J160" s="2" t="s">
        <v>55</v>
      </c>
      <c r="K160" s="2" t="s">
        <v>397</v>
      </c>
      <c r="L160" s="2" t="s">
        <v>63</v>
      </c>
      <c r="M160" s="2" t="s">
        <v>393</v>
      </c>
      <c r="N160" s="2" t="s">
        <v>64</v>
      </c>
      <c r="O160" s="2" t="s">
        <v>59</v>
      </c>
      <c r="P160" s="2" t="s">
        <v>542</v>
      </c>
      <c r="Q160" s="2" t="s">
        <v>540</v>
      </c>
      <c r="R160" s="2"/>
    </row>
    <row r="161" spans="1:18">
      <c r="A161" s="2" t="s">
        <v>543</v>
      </c>
      <c r="B161" s="2" t="s">
        <v>544</v>
      </c>
      <c r="C161" s="2" t="s">
        <v>391</v>
      </c>
      <c r="D161" s="2">
        <v>-562363500.6900001</v>
      </c>
      <c r="E161" s="2">
        <v>1</v>
      </c>
      <c r="F161" s="3">
        <f>IF(COUNT(D161,E161)=2,D161*E161,NA())</f>
        <v>-562363500.69</v>
      </c>
      <c r="G161" s="2" t="s">
        <v>52</v>
      </c>
      <c r="H161" s="2" t="s">
        <v>53</v>
      </c>
      <c r="I161" s="2" t="s">
        <v>54</v>
      </c>
      <c r="J161" s="2" t="s">
        <v>55</v>
      </c>
      <c r="K161" s="2" t="s">
        <v>392</v>
      </c>
      <c r="L161" s="2" t="s">
        <v>56</v>
      </c>
      <c r="M161" s="2" t="s">
        <v>393</v>
      </c>
      <c r="N161" s="2" t="s">
        <v>58</v>
      </c>
      <c r="O161" s="2" t="s">
        <v>59</v>
      </c>
      <c r="P161" s="2" t="s">
        <v>545</v>
      </c>
      <c r="Q161" s="2" t="s">
        <v>546</v>
      </c>
      <c r="R161" s="2"/>
    </row>
    <row r="162" spans="1:18">
      <c r="A162" s="2" t="s">
        <v>547</v>
      </c>
      <c r="B162" s="2" t="s">
        <v>544</v>
      </c>
      <c r="C162" s="2" t="s">
        <v>391</v>
      </c>
      <c r="D162" s="2">
        <v>32858297.2</v>
      </c>
      <c r="E162" s="2">
        <v>1</v>
      </c>
      <c r="F162" s="3">
        <f>IF(COUNT(D162,E162)=2,D162*E162,NA())</f>
        <v>32858297.2</v>
      </c>
      <c r="G162" s="2" t="s">
        <v>52</v>
      </c>
      <c r="H162" s="2" t="s">
        <v>53</v>
      </c>
      <c r="I162" s="2" t="s">
        <v>54</v>
      </c>
      <c r="J162" s="2" t="s">
        <v>55</v>
      </c>
      <c r="K162" s="2" t="s">
        <v>397</v>
      </c>
      <c r="L162" s="2" t="s">
        <v>63</v>
      </c>
      <c r="M162" s="2" t="s">
        <v>393</v>
      </c>
      <c r="N162" s="2" t="s">
        <v>64</v>
      </c>
      <c r="O162" s="2" t="s">
        <v>59</v>
      </c>
      <c r="P162" s="2" t="s">
        <v>548</v>
      </c>
      <c r="Q162" s="2" t="s">
        <v>546</v>
      </c>
      <c r="R162" s="2"/>
    </row>
    <row r="163" spans="1:18">
      <c r="A163" s="2" t="s">
        <v>549</v>
      </c>
      <c r="B163" s="2" t="s">
        <v>550</v>
      </c>
      <c r="C163" s="2" t="s">
        <v>551</v>
      </c>
      <c r="D163" s="2">
        <v>7066047632.31</v>
      </c>
      <c r="E163" s="2">
        <v>1</v>
      </c>
      <c r="F163" s="3">
        <f>IF(COUNT(D163,E163)=2,D163*E163,NA())</f>
        <v>7066047632.31</v>
      </c>
      <c r="G163" s="2" t="s">
        <v>52</v>
      </c>
      <c r="H163" s="2" t="s">
        <v>53</v>
      </c>
      <c r="I163" s="2" t="s">
        <v>54</v>
      </c>
      <c r="J163" s="2" t="s">
        <v>55</v>
      </c>
      <c r="K163" s="2" t="s">
        <v>392</v>
      </c>
      <c r="L163" s="2" t="s">
        <v>56</v>
      </c>
      <c r="M163" s="2" t="s">
        <v>393</v>
      </c>
      <c r="N163" s="2" t="s">
        <v>58</v>
      </c>
      <c r="O163" s="2" t="s">
        <v>59</v>
      </c>
      <c r="P163" s="2" t="s">
        <v>552</v>
      </c>
      <c r="Q163" s="2" t="s">
        <v>553</v>
      </c>
      <c r="R163" s="2"/>
    </row>
    <row r="164" spans="1:18">
      <c r="A164" s="2" t="s">
        <v>554</v>
      </c>
      <c r="B164" s="2" t="s">
        <v>550</v>
      </c>
      <c r="C164" s="2" t="s">
        <v>551</v>
      </c>
      <c r="D164" s="2">
        <v>7353458975.47</v>
      </c>
      <c r="E164" s="2">
        <v>1</v>
      </c>
      <c r="F164" s="3">
        <f>IF(COUNT(D164,E164)=2,D164*E164,NA())</f>
        <v>7353458975.47</v>
      </c>
      <c r="G164" s="2" t="s">
        <v>52</v>
      </c>
      <c r="H164" s="2" t="s">
        <v>53</v>
      </c>
      <c r="I164" s="2" t="s">
        <v>54</v>
      </c>
      <c r="J164" s="2" t="s">
        <v>55</v>
      </c>
      <c r="K164" s="2" t="s">
        <v>397</v>
      </c>
      <c r="L164" s="2" t="s">
        <v>63</v>
      </c>
      <c r="M164" s="2" t="s">
        <v>393</v>
      </c>
      <c r="N164" s="2" t="s">
        <v>64</v>
      </c>
      <c r="O164" s="2" t="s">
        <v>59</v>
      </c>
      <c r="P164" s="2" t="s">
        <v>555</v>
      </c>
      <c r="Q164" s="2" t="s">
        <v>553</v>
      </c>
      <c r="R164" s="2"/>
    </row>
    <row r="165" spans="1:18">
      <c r="A165" s="2" t="s">
        <v>556</v>
      </c>
      <c r="B165" s="2" t="s">
        <v>557</v>
      </c>
      <c r="C165" s="2" t="s">
        <v>551</v>
      </c>
      <c r="D165" s="2">
        <v>953293.41</v>
      </c>
      <c r="E165" s="2">
        <v>1</v>
      </c>
      <c r="F165" s="3">
        <f>IF(COUNT(D165,E165)=2,D165*E165,NA())</f>
        <v>953293.41</v>
      </c>
      <c r="G165" s="2" t="s">
        <v>52</v>
      </c>
      <c r="H165" s="2" t="s">
        <v>53</v>
      </c>
      <c r="I165" s="2" t="s">
        <v>54</v>
      </c>
      <c r="J165" s="2" t="s">
        <v>55</v>
      </c>
      <c r="K165" s="2" t="s">
        <v>392</v>
      </c>
      <c r="L165" s="2" t="s">
        <v>56</v>
      </c>
      <c r="M165" s="2" t="s">
        <v>393</v>
      </c>
      <c r="N165" s="2" t="s">
        <v>58</v>
      </c>
      <c r="O165" s="2" t="s">
        <v>59</v>
      </c>
      <c r="P165" s="2" t="s">
        <v>558</v>
      </c>
      <c r="Q165" s="2" t="s">
        <v>559</v>
      </c>
      <c r="R165" s="2"/>
    </row>
    <row r="166" spans="1:18">
      <c r="A166" s="2" t="s">
        <v>560</v>
      </c>
      <c r="B166" s="2" t="s">
        <v>557</v>
      </c>
      <c r="C166" s="2" t="s">
        <v>551</v>
      </c>
      <c r="D166" s="2">
        <v>7591247.94</v>
      </c>
      <c r="E166" s="2">
        <v>1</v>
      </c>
      <c r="F166" s="3">
        <f>IF(COUNT(D166,E166)=2,D166*E166,NA())</f>
        <v>7591247.94</v>
      </c>
      <c r="G166" s="2" t="s">
        <v>52</v>
      </c>
      <c r="H166" s="2" t="s">
        <v>53</v>
      </c>
      <c r="I166" s="2" t="s">
        <v>54</v>
      </c>
      <c r="J166" s="2" t="s">
        <v>55</v>
      </c>
      <c r="K166" s="2" t="s">
        <v>397</v>
      </c>
      <c r="L166" s="2" t="s">
        <v>63</v>
      </c>
      <c r="M166" s="2" t="s">
        <v>393</v>
      </c>
      <c r="N166" s="2" t="s">
        <v>64</v>
      </c>
      <c r="O166" s="2" t="s">
        <v>59</v>
      </c>
      <c r="P166" s="2" t="s">
        <v>561</v>
      </c>
      <c r="Q166" s="2" t="s">
        <v>559</v>
      </c>
      <c r="R166" s="2"/>
    </row>
    <row r="167" spans="1:18">
      <c r="A167" s="2" t="s">
        <v>562</v>
      </c>
      <c r="B167" s="2" t="s">
        <v>563</v>
      </c>
      <c r="C167" s="2" t="s">
        <v>551</v>
      </c>
      <c r="D167" s="2">
        <v>375860933.08</v>
      </c>
      <c r="E167" s="2">
        <v>1</v>
      </c>
      <c r="F167" s="3">
        <f>IF(COUNT(D167,E167)=2,D167*E167,NA())</f>
        <v>375860933.08</v>
      </c>
      <c r="G167" s="2" t="s">
        <v>52</v>
      </c>
      <c r="H167" s="2" t="s">
        <v>53</v>
      </c>
      <c r="I167" s="2" t="s">
        <v>54</v>
      </c>
      <c r="J167" s="2" t="s">
        <v>55</v>
      </c>
      <c r="K167" s="2" t="s">
        <v>392</v>
      </c>
      <c r="L167" s="2" t="s">
        <v>56</v>
      </c>
      <c r="M167" s="2" t="s">
        <v>393</v>
      </c>
      <c r="N167" s="2" t="s">
        <v>58</v>
      </c>
      <c r="O167" s="2" t="s">
        <v>59</v>
      </c>
      <c r="P167" s="2" t="s">
        <v>564</v>
      </c>
      <c r="Q167" s="2" t="s">
        <v>565</v>
      </c>
      <c r="R167" s="2"/>
    </row>
    <row r="168" spans="1:18">
      <c r="A168" s="2" t="s">
        <v>566</v>
      </c>
      <c r="B168" s="2" t="s">
        <v>563</v>
      </c>
      <c r="C168" s="2" t="s">
        <v>551</v>
      </c>
      <c r="D168" s="2">
        <v>322637449.72</v>
      </c>
      <c r="E168" s="2">
        <v>1</v>
      </c>
      <c r="F168" s="3">
        <f>IF(COUNT(D168,E168)=2,D168*E168,NA())</f>
        <v>322637449.72</v>
      </c>
      <c r="G168" s="2" t="s">
        <v>52</v>
      </c>
      <c r="H168" s="2" t="s">
        <v>53</v>
      </c>
      <c r="I168" s="2" t="s">
        <v>54</v>
      </c>
      <c r="J168" s="2" t="s">
        <v>55</v>
      </c>
      <c r="K168" s="2" t="s">
        <v>397</v>
      </c>
      <c r="L168" s="2" t="s">
        <v>63</v>
      </c>
      <c r="M168" s="2" t="s">
        <v>393</v>
      </c>
      <c r="N168" s="2" t="s">
        <v>64</v>
      </c>
      <c r="O168" s="2" t="s">
        <v>59</v>
      </c>
      <c r="P168" s="2" t="s">
        <v>567</v>
      </c>
      <c r="Q168" s="2" t="s">
        <v>565</v>
      </c>
      <c r="R168" s="2"/>
    </row>
    <row r="169" spans="1:18">
      <c r="A169" s="2" t="s">
        <v>568</v>
      </c>
      <c r="B169" s="2" t="s">
        <v>569</v>
      </c>
      <c r="C169" s="2" t="s">
        <v>551</v>
      </c>
      <c r="D169" s="2">
        <v>7442861858.8</v>
      </c>
      <c r="E169" s="2">
        <v>1</v>
      </c>
      <c r="F169" s="3">
        <f>IF(COUNT(D169,E169)=2,D169*E169,NA())</f>
        <v>7442861858.8</v>
      </c>
      <c r="G169" s="2" t="s">
        <v>52</v>
      </c>
      <c r="H169" s="2" t="s">
        <v>53</v>
      </c>
      <c r="I169" s="2" t="s">
        <v>54</v>
      </c>
      <c r="J169" s="2" t="s">
        <v>55</v>
      </c>
      <c r="K169" s="2" t="s">
        <v>392</v>
      </c>
      <c r="L169" s="2" t="s">
        <v>56</v>
      </c>
      <c r="M169" s="2" t="s">
        <v>393</v>
      </c>
      <c r="N169" s="2" t="s">
        <v>58</v>
      </c>
      <c r="O169" s="2" t="s">
        <v>59</v>
      </c>
      <c r="P169" s="2" t="s">
        <v>570</v>
      </c>
      <c r="Q169" s="2" t="s">
        <v>571</v>
      </c>
      <c r="R169" s="2"/>
    </row>
    <row r="170" spans="1:18">
      <c r="A170" s="2" t="s">
        <v>572</v>
      </c>
      <c r="B170" s="2" t="s">
        <v>569</v>
      </c>
      <c r="C170" s="2" t="s">
        <v>551</v>
      </c>
      <c r="D170" s="2">
        <v>7683687673.13</v>
      </c>
      <c r="E170" s="2">
        <v>1</v>
      </c>
      <c r="F170" s="3">
        <f>IF(COUNT(D170,E170)=2,D170*E170,NA())</f>
        <v>7683687673.13</v>
      </c>
      <c r="G170" s="2" t="s">
        <v>52</v>
      </c>
      <c r="H170" s="2" t="s">
        <v>53</v>
      </c>
      <c r="I170" s="2" t="s">
        <v>54</v>
      </c>
      <c r="J170" s="2" t="s">
        <v>55</v>
      </c>
      <c r="K170" s="2" t="s">
        <v>397</v>
      </c>
      <c r="L170" s="2" t="s">
        <v>63</v>
      </c>
      <c r="M170" s="2" t="s">
        <v>393</v>
      </c>
      <c r="N170" s="2" t="s">
        <v>64</v>
      </c>
      <c r="O170" s="2" t="s">
        <v>59</v>
      </c>
      <c r="P170" s="2" t="s">
        <v>573</v>
      </c>
      <c r="Q170" s="2" t="s">
        <v>571</v>
      </c>
      <c r="R170" s="2"/>
    </row>
    <row r="171" spans="1:18">
      <c r="A171" s="2" t="s">
        <v>574</v>
      </c>
      <c r="B171" s="2" t="s">
        <v>575</v>
      </c>
      <c r="C171" s="2" t="s">
        <v>551</v>
      </c>
      <c r="D171" s="2">
        <v>5571190685.38</v>
      </c>
      <c r="E171" s="2">
        <v>1</v>
      </c>
      <c r="F171" s="3">
        <f>IF(COUNT(D171,E171)=2,D171*E171,NA())</f>
        <v>5571190685.38</v>
      </c>
      <c r="G171" s="2" t="s">
        <v>52</v>
      </c>
      <c r="H171" s="2" t="s">
        <v>53</v>
      </c>
      <c r="I171" s="2" t="s">
        <v>54</v>
      </c>
      <c r="J171" s="2" t="s">
        <v>55</v>
      </c>
      <c r="K171" s="2" t="s">
        <v>392</v>
      </c>
      <c r="L171" s="2" t="s">
        <v>56</v>
      </c>
      <c r="M171" s="2" t="s">
        <v>393</v>
      </c>
      <c r="N171" s="2" t="s">
        <v>58</v>
      </c>
      <c r="O171" s="2" t="s">
        <v>59</v>
      </c>
      <c r="P171" s="2" t="s">
        <v>576</v>
      </c>
      <c r="Q171" s="2" t="s">
        <v>577</v>
      </c>
      <c r="R171" s="2"/>
    </row>
    <row r="172" spans="1:18">
      <c r="A172" s="2" t="s">
        <v>578</v>
      </c>
      <c r="B172" s="2" t="s">
        <v>575</v>
      </c>
      <c r="C172" s="2" t="s">
        <v>551</v>
      </c>
      <c r="D172" s="2">
        <v>5634568088.7</v>
      </c>
      <c r="E172" s="2">
        <v>1</v>
      </c>
      <c r="F172" s="3">
        <f>IF(COUNT(D172,E172)=2,D172*E172,NA())</f>
        <v>5634568088.7</v>
      </c>
      <c r="G172" s="2" t="s">
        <v>52</v>
      </c>
      <c r="H172" s="2" t="s">
        <v>53</v>
      </c>
      <c r="I172" s="2" t="s">
        <v>54</v>
      </c>
      <c r="J172" s="2" t="s">
        <v>55</v>
      </c>
      <c r="K172" s="2" t="s">
        <v>397</v>
      </c>
      <c r="L172" s="2" t="s">
        <v>63</v>
      </c>
      <c r="M172" s="2" t="s">
        <v>393</v>
      </c>
      <c r="N172" s="2" t="s">
        <v>64</v>
      </c>
      <c r="O172" s="2" t="s">
        <v>59</v>
      </c>
      <c r="P172" s="2" t="s">
        <v>579</v>
      </c>
      <c r="Q172" s="2" t="s">
        <v>577</v>
      </c>
      <c r="R172" s="2"/>
    </row>
    <row r="173" spans="1:18">
      <c r="A173" s="2" t="s">
        <v>580</v>
      </c>
      <c r="B173" s="2" t="s">
        <v>581</v>
      </c>
      <c r="C173" s="2" t="s">
        <v>551</v>
      </c>
      <c r="D173" s="2">
        <v>727672271.98</v>
      </c>
      <c r="E173" s="2">
        <v>1</v>
      </c>
      <c r="F173" s="3">
        <f>IF(COUNT(D173,E173)=2,D173*E173,NA())</f>
        <v>727672271.98</v>
      </c>
      <c r="G173" s="2" t="s">
        <v>52</v>
      </c>
      <c r="H173" s="2" t="s">
        <v>53</v>
      </c>
      <c r="I173" s="2" t="s">
        <v>54</v>
      </c>
      <c r="J173" s="2" t="s">
        <v>55</v>
      </c>
      <c r="K173" s="2" t="s">
        <v>392</v>
      </c>
      <c r="L173" s="2" t="s">
        <v>56</v>
      </c>
      <c r="M173" s="2" t="s">
        <v>393</v>
      </c>
      <c r="N173" s="2" t="s">
        <v>58</v>
      </c>
      <c r="O173" s="2" t="s">
        <v>59</v>
      </c>
      <c r="P173" s="2" t="s">
        <v>582</v>
      </c>
      <c r="Q173" s="2" t="s">
        <v>583</v>
      </c>
      <c r="R173" s="2"/>
    </row>
    <row r="174" spans="1:18">
      <c r="A174" s="2" t="s">
        <v>584</v>
      </c>
      <c r="B174" s="2" t="s">
        <v>581</v>
      </c>
      <c r="C174" s="2" t="s">
        <v>551</v>
      </c>
      <c r="D174" s="2">
        <v>727313491.15</v>
      </c>
      <c r="E174" s="2">
        <v>1</v>
      </c>
      <c r="F174" s="3">
        <f>IF(COUNT(D174,E174)=2,D174*E174,NA())</f>
        <v>727313491.15</v>
      </c>
      <c r="G174" s="2" t="s">
        <v>52</v>
      </c>
      <c r="H174" s="2" t="s">
        <v>53</v>
      </c>
      <c r="I174" s="2" t="s">
        <v>54</v>
      </c>
      <c r="J174" s="2" t="s">
        <v>55</v>
      </c>
      <c r="K174" s="2" t="s">
        <v>397</v>
      </c>
      <c r="L174" s="2" t="s">
        <v>63</v>
      </c>
      <c r="M174" s="2" t="s">
        <v>393</v>
      </c>
      <c r="N174" s="2" t="s">
        <v>64</v>
      </c>
      <c r="O174" s="2" t="s">
        <v>59</v>
      </c>
      <c r="P174" s="2" t="s">
        <v>585</v>
      </c>
      <c r="Q174" s="2" t="s">
        <v>583</v>
      </c>
      <c r="R174" s="2"/>
    </row>
    <row r="175" spans="1:18">
      <c r="A175" s="2" t="s">
        <v>586</v>
      </c>
      <c r="B175" s="2" t="s">
        <v>587</v>
      </c>
      <c r="C175" s="2" t="s">
        <v>551</v>
      </c>
      <c r="D175" s="2">
        <v>301197217.77</v>
      </c>
      <c r="E175" s="2">
        <v>1</v>
      </c>
      <c r="F175" s="3">
        <f>IF(COUNT(D175,E175)=2,D175*E175,NA())</f>
        <v>301197217.77</v>
      </c>
      <c r="G175" s="2" t="s">
        <v>52</v>
      </c>
      <c r="H175" s="2" t="s">
        <v>53</v>
      </c>
      <c r="I175" s="2" t="s">
        <v>54</v>
      </c>
      <c r="J175" s="2" t="s">
        <v>55</v>
      </c>
      <c r="K175" s="2" t="s">
        <v>392</v>
      </c>
      <c r="L175" s="2" t="s">
        <v>56</v>
      </c>
      <c r="M175" s="2" t="s">
        <v>393</v>
      </c>
      <c r="N175" s="2" t="s">
        <v>58</v>
      </c>
      <c r="O175" s="2" t="s">
        <v>59</v>
      </c>
      <c r="P175" s="2" t="s">
        <v>588</v>
      </c>
      <c r="Q175" s="2" t="s">
        <v>589</v>
      </c>
      <c r="R175" s="2"/>
    </row>
    <row r="176" spans="1:18">
      <c r="A176" s="2" t="s">
        <v>590</v>
      </c>
      <c r="B176" s="2" t="s">
        <v>587</v>
      </c>
      <c r="C176" s="2" t="s">
        <v>551</v>
      </c>
      <c r="D176" s="2">
        <v>274014357.53</v>
      </c>
      <c r="E176" s="2">
        <v>1</v>
      </c>
      <c r="F176" s="3">
        <f>IF(COUNT(D176,E176)=2,D176*E176,NA())</f>
        <v>274014357.53</v>
      </c>
      <c r="G176" s="2" t="s">
        <v>52</v>
      </c>
      <c r="H176" s="2" t="s">
        <v>53</v>
      </c>
      <c r="I176" s="2" t="s">
        <v>54</v>
      </c>
      <c r="J176" s="2" t="s">
        <v>55</v>
      </c>
      <c r="K176" s="2" t="s">
        <v>397</v>
      </c>
      <c r="L176" s="2" t="s">
        <v>63</v>
      </c>
      <c r="M176" s="2" t="s">
        <v>393</v>
      </c>
      <c r="N176" s="2" t="s">
        <v>64</v>
      </c>
      <c r="O176" s="2" t="s">
        <v>59</v>
      </c>
      <c r="P176" s="2" t="s">
        <v>591</v>
      </c>
      <c r="Q176" s="2" t="s">
        <v>589</v>
      </c>
      <c r="R176" s="2"/>
    </row>
    <row r="177" spans="1:18">
      <c r="A177" s="2" t="s">
        <v>592</v>
      </c>
      <c r="B177" s="2" t="s">
        <v>593</v>
      </c>
      <c r="C177" s="2" t="s">
        <v>551</v>
      </c>
      <c r="D177" s="2">
        <v>523173663.02</v>
      </c>
      <c r="E177" s="2">
        <v>1</v>
      </c>
      <c r="F177" s="3">
        <f>IF(COUNT(D177,E177)=2,D177*E177,NA())</f>
        <v>523173663.02</v>
      </c>
      <c r="G177" s="2" t="s">
        <v>52</v>
      </c>
      <c r="H177" s="2" t="s">
        <v>53</v>
      </c>
      <c r="I177" s="2" t="s">
        <v>54</v>
      </c>
      <c r="J177" s="2" t="s">
        <v>55</v>
      </c>
      <c r="K177" s="2" t="s">
        <v>392</v>
      </c>
      <c r="L177" s="2" t="s">
        <v>56</v>
      </c>
      <c r="M177" s="2" t="s">
        <v>393</v>
      </c>
      <c r="N177" s="2" t="s">
        <v>58</v>
      </c>
      <c r="O177" s="2" t="s">
        <v>59</v>
      </c>
      <c r="P177" s="2" t="s">
        <v>594</v>
      </c>
      <c r="Q177" s="2" t="s">
        <v>595</v>
      </c>
      <c r="R177" s="2"/>
    </row>
    <row r="178" spans="1:18">
      <c r="A178" s="2" t="s">
        <v>596</v>
      </c>
      <c r="B178" s="2" t="s">
        <v>593</v>
      </c>
      <c r="C178" s="2" t="s">
        <v>551</v>
      </c>
      <c r="D178" s="2">
        <v>732700899.8200001</v>
      </c>
      <c r="E178" s="2">
        <v>1</v>
      </c>
      <c r="F178" s="3">
        <f>IF(COUNT(D178,E178)=2,D178*E178,NA())</f>
        <v>732700899.82</v>
      </c>
      <c r="G178" s="2" t="s">
        <v>52</v>
      </c>
      <c r="H178" s="2" t="s">
        <v>53</v>
      </c>
      <c r="I178" s="2" t="s">
        <v>54</v>
      </c>
      <c r="J178" s="2" t="s">
        <v>55</v>
      </c>
      <c r="K178" s="2" t="s">
        <v>397</v>
      </c>
      <c r="L178" s="2" t="s">
        <v>63</v>
      </c>
      <c r="M178" s="2" t="s">
        <v>393</v>
      </c>
      <c r="N178" s="2" t="s">
        <v>64</v>
      </c>
      <c r="O178" s="2" t="s">
        <v>59</v>
      </c>
      <c r="P178" s="2" t="s">
        <v>597</v>
      </c>
      <c r="Q178" s="2" t="s">
        <v>595</v>
      </c>
      <c r="R178" s="2"/>
    </row>
    <row r="179" spans="1:18">
      <c r="A179" s="2" t="s">
        <v>598</v>
      </c>
      <c r="B179" s="2" t="s">
        <v>599</v>
      </c>
      <c r="C179" s="2" t="s">
        <v>551</v>
      </c>
      <c r="D179" s="2">
        <v>7123233838.15</v>
      </c>
      <c r="E179" s="2">
        <v>1</v>
      </c>
      <c r="F179" s="3">
        <f>IF(COUNT(D179,E179)=2,D179*E179,NA())</f>
        <v>7123233838.15</v>
      </c>
      <c r="G179" s="2" t="s">
        <v>52</v>
      </c>
      <c r="H179" s="2" t="s">
        <v>53</v>
      </c>
      <c r="I179" s="2" t="s">
        <v>54</v>
      </c>
      <c r="J179" s="2" t="s">
        <v>55</v>
      </c>
      <c r="K179" s="2" t="s">
        <v>392</v>
      </c>
      <c r="L179" s="2" t="s">
        <v>56</v>
      </c>
      <c r="M179" s="2" t="s">
        <v>393</v>
      </c>
      <c r="N179" s="2" t="s">
        <v>58</v>
      </c>
      <c r="O179" s="2" t="s">
        <v>59</v>
      </c>
      <c r="P179" s="2" t="s">
        <v>600</v>
      </c>
      <c r="Q179" s="2" t="s">
        <v>601</v>
      </c>
      <c r="R179" s="2"/>
    </row>
    <row r="180" spans="1:18">
      <c r="A180" s="2" t="s">
        <v>602</v>
      </c>
      <c r="B180" s="2" t="s">
        <v>599</v>
      </c>
      <c r="C180" s="2" t="s">
        <v>551</v>
      </c>
      <c r="D180" s="2">
        <v>7368596837.2</v>
      </c>
      <c r="E180" s="2">
        <v>1</v>
      </c>
      <c r="F180" s="3">
        <f>IF(COUNT(D180,E180)=2,D180*E180,NA())</f>
        <v>7368596837.2</v>
      </c>
      <c r="G180" s="2" t="s">
        <v>52</v>
      </c>
      <c r="H180" s="2" t="s">
        <v>53</v>
      </c>
      <c r="I180" s="2" t="s">
        <v>54</v>
      </c>
      <c r="J180" s="2" t="s">
        <v>55</v>
      </c>
      <c r="K180" s="2" t="s">
        <v>397</v>
      </c>
      <c r="L180" s="2" t="s">
        <v>63</v>
      </c>
      <c r="M180" s="2" t="s">
        <v>393</v>
      </c>
      <c r="N180" s="2" t="s">
        <v>64</v>
      </c>
      <c r="O180" s="2" t="s">
        <v>59</v>
      </c>
      <c r="P180" s="2" t="s">
        <v>603</v>
      </c>
      <c r="Q180" s="2" t="s">
        <v>601</v>
      </c>
      <c r="R180" s="2"/>
    </row>
    <row r="181" spans="1:18">
      <c r="A181" s="2" t="s">
        <v>604</v>
      </c>
      <c r="B181" s="2" t="s">
        <v>605</v>
      </c>
      <c r="C181" s="2" t="s">
        <v>551</v>
      </c>
      <c r="D181" s="2">
        <v>319628020.65</v>
      </c>
      <c r="E181" s="2">
        <v>1</v>
      </c>
      <c r="F181" s="3">
        <f>IF(COUNT(D181,E181)=2,D181*E181,NA())</f>
        <v>319628020.65</v>
      </c>
      <c r="G181" s="2" t="s">
        <v>52</v>
      </c>
      <c r="H181" s="2" t="s">
        <v>53</v>
      </c>
      <c r="I181" s="2" t="s">
        <v>54</v>
      </c>
      <c r="J181" s="2" t="s">
        <v>55</v>
      </c>
      <c r="K181" s="2" t="s">
        <v>392</v>
      </c>
      <c r="L181" s="2" t="s">
        <v>56</v>
      </c>
      <c r="M181" s="2" t="s">
        <v>393</v>
      </c>
      <c r="N181" s="2" t="s">
        <v>58</v>
      </c>
      <c r="O181" s="2" t="s">
        <v>59</v>
      </c>
      <c r="P181" s="2" t="s">
        <v>606</v>
      </c>
      <c r="Q181" s="2" t="s">
        <v>607</v>
      </c>
      <c r="R181" s="2"/>
    </row>
    <row r="182" spans="1:18">
      <c r="A182" s="2" t="s">
        <v>608</v>
      </c>
      <c r="B182" s="2" t="s">
        <v>605</v>
      </c>
      <c r="C182" s="2" t="s">
        <v>551</v>
      </c>
      <c r="D182" s="2">
        <v>315090835.93</v>
      </c>
      <c r="E182" s="2">
        <v>1</v>
      </c>
      <c r="F182" s="3">
        <f>IF(COUNT(D182,E182)=2,D182*E182,NA())</f>
        <v>315090835.93</v>
      </c>
      <c r="G182" s="2" t="s">
        <v>52</v>
      </c>
      <c r="H182" s="2" t="s">
        <v>53</v>
      </c>
      <c r="I182" s="2" t="s">
        <v>54</v>
      </c>
      <c r="J182" s="2" t="s">
        <v>55</v>
      </c>
      <c r="K182" s="2" t="s">
        <v>397</v>
      </c>
      <c r="L182" s="2" t="s">
        <v>63</v>
      </c>
      <c r="M182" s="2" t="s">
        <v>393</v>
      </c>
      <c r="N182" s="2" t="s">
        <v>64</v>
      </c>
      <c r="O182" s="2" t="s">
        <v>59</v>
      </c>
      <c r="P182" s="2" t="s">
        <v>609</v>
      </c>
      <c r="Q182" s="2" t="s">
        <v>607</v>
      </c>
      <c r="R182" s="2"/>
    </row>
    <row r="183" spans="1:18">
      <c r="A183" s="2" t="s">
        <v>610</v>
      </c>
      <c r="B183" s="2" t="s">
        <v>611</v>
      </c>
      <c r="C183" s="2" t="s">
        <v>551</v>
      </c>
      <c r="D183" s="2">
        <v>3979135734.63</v>
      </c>
      <c r="E183" s="2">
        <v>1</v>
      </c>
      <c r="F183" s="3">
        <f>IF(COUNT(D183,E183)=2,D183*E183,NA())</f>
        <v>3979135734.63</v>
      </c>
      <c r="G183" s="2" t="s">
        <v>52</v>
      </c>
      <c r="H183" s="2" t="s">
        <v>53</v>
      </c>
      <c r="I183" s="2" t="s">
        <v>54</v>
      </c>
      <c r="J183" s="2" t="s">
        <v>55</v>
      </c>
      <c r="K183" s="2" t="s">
        <v>392</v>
      </c>
      <c r="L183" s="2" t="s">
        <v>56</v>
      </c>
      <c r="M183" s="2" t="s">
        <v>393</v>
      </c>
      <c r="N183" s="2" t="s">
        <v>58</v>
      </c>
      <c r="O183" s="2" t="s">
        <v>59</v>
      </c>
      <c r="P183" s="2" t="s">
        <v>612</v>
      </c>
      <c r="Q183" s="2" t="s">
        <v>613</v>
      </c>
      <c r="R183" s="2"/>
    </row>
    <row r="184" spans="1:18">
      <c r="A184" s="2" t="s">
        <v>614</v>
      </c>
      <c r="B184" s="2" t="s">
        <v>611</v>
      </c>
      <c r="C184" s="2" t="s">
        <v>551</v>
      </c>
      <c r="D184" s="2">
        <v>5357059183.41</v>
      </c>
      <c r="E184" s="2">
        <v>1</v>
      </c>
      <c r="F184" s="3">
        <f>IF(COUNT(D184,E184)=2,D184*E184,NA())</f>
        <v>5357059183.41</v>
      </c>
      <c r="G184" s="2" t="s">
        <v>52</v>
      </c>
      <c r="H184" s="2" t="s">
        <v>53</v>
      </c>
      <c r="I184" s="2" t="s">
        <v>54</v>
      </c>
      <c r="J184" s="2" t="s">
        <v>55</v>
      </c>
      <c r="K184" s="2" t="s">
        <v>397</v>
      </c>
      <c r="L184" s="2" t="s">
        <v>63</v>
      </c>
      <c r="M184" s="2" t="s">
        <v>393</v>
      </c>
      <c r="N184" s="2" t="s">
        <v>64</v>
      </c>
      <c r="O184" s="2" t="s">
        <v>59</v>
      </c>
      <c r="P184" s="2" t="s">
        <v>615</v>
      </c>
      <c r="Q184" s="2" t="s">
        <v>613</v>
      </c>
      <c r="R184" s="2"/>
    </row>
    <row r="185" spans="1:18">
      <c r="A185" s="2" t="s">
        <v>616</v>
      </c>
      <c r="B185" s="2" t="s">
        <v>617</v>
      </c>
      <c r="C185" s="2" t="s">
        <v>551</v>
      </c>
      <c r="D185" s="2">
        <v>14353150.35</v>
      </c>
      <c r="E185" s="2">
        <v>1</v>
      </c>
      <c r="F185" s="3">
        <f>IF(COUNT(D185,E185)=2,D185*E185,NA())</f>
        <v>14353150.35</v>
      </c>
      <c r="G185" s="2" t="s">
        <v>52</v>
      </c>
      <c r="H185" s="2" t="s">
        <v>53</v>
      </c>
      <c r="I185" s="2" t="s">
        <v>54</v>
      </c>
      <c r="J185" s="2" t="s">
        <v>55</v>
      </c>
      <c r="K185" s="2" t="s">
        <v>392</v>
      </c>
      <c r="L185" s="2" t="s">
        <v>56</v>
      </c>
      <c r="M185" s="2" t="s">
        <v>393</v>
      </c>
      <c r="N185" s="2" t="s">
        <v>58</v>
      </c>
      <c r="O185" s="2" t="s">
        <v>59</v>
      </c>
      <c r="P185" s="2" t="s">
        <v>618</v>
      </c>
      <c r="Q185" s="2" t="s">
        <v>619</v>
      </c>
      <c r="R185" s="2"/>
    </row>
    <row r="186" spans="1:18">
      <c r="A186" s="2" t="s">
        <v>620</v>
      </c>
      <c r="B186" s="2" t="s">
        <v>617</v>
      </c>
      <c r="C186" s="2" t="s">
        <v>551</v>
      </c>
      <c r="D186" s="2">
        <v>41987029.42</v>
      </c>
      <c r="E186" s="2">
        <v>1</v>
      </c>
      <c r="F186" s="3">
        <f>IF(COUNT(D186,E186)=2,D186*E186,NA())</f>
        <v>41987029.42</v>
      </c>
      <c r="G186" s="2" t="s">
        <v>52</v>
      </c>
      <c r="H186" s="2" t="s">
        <v>53</v>
      </c>
      <c r="I186" s="2" t="s">
        <v>54</v>
      </c>
      <c r="J186" s="2" t="s">
        <v>55</v>
      </c>
      <c r="K186" s="2" t="s">
        <v>397</v>
      </c>
      <c r="L186" s="2" t="s">
        <v>63</v>
      </c>
      <c r="M186" s="2" t="s">
        <v>393</v>
      </c>
      <c r="N186" s="2" t="s">
        <v>64</v>
      </c>
      <c r="O186" s="2" t="s">
        <v>59</v>
      </c>
      <c r="P186" s="2" t="s">
        <v>621</v>
      </c>
      <c r="Q186" s="2" t="s">
        <v>619</v>
      </c>
      <c r="R186" s="2"/>
    </row>
    <row r="187" spans="1:18">
      <c r="A187" s="2" t="s">
        <v>622</v>
      </c>
      <c r="B187" s="2" t="s">
        <v>623</v>
      </c>
      <c r="C187" s="2" t="s">
        <v>551</v>
      </c>
      <c r="D187" s="2">
        <v>7555466.72</v>
      </c>
      <c r="E187" s="2">
        <v>1</v>
      </c>
      <c r="F187" s="3">
        <f>IF(COUNT(D187,E187)=2,D187*E187,NA())</f>
        <v>7555466.72</v>
      </c>
      <c r="G187" s="2" t="s">
        <v>52</v>
      </c>
      <c r="H187" s="2" t="s">
        <v>53</v>
      </c>
      <c r="I187" s="2" t="s">
        <v>54</v>
      </c>
      <c r="J187" s="2" t="s">
        <v>55</v>
      </c>
      <c r="K187" s="2" t="s">
        <v>392</v>
      </c>
      <c r="L187" s="2" t="s">
        <v>56</v>
      </c>
      <c r="M187" s="2" t="s">
        <v>393</v>
      </c>
      <c r="N187" s="2" t="s">
        <v>58</v>
      </c>
      <c r="O187" s="2" t="s">
        <v>59</v>
      </c>
      <c r="P187" s="2" t="s">
        <v>624</v>
      </c>
      <c r="Q187" s="2" t="s">
        <v>625</v>
      </c>
      <c r="R187" s="2"/>
    </row>
    <row r="188" spans="1:18">
      <c r="A188" s="2" t="s">
        <v>626</v>
      </c>
      <c r="B188" s="2" t="s">
        <v>623</v>
      </c>
      <c r="C188" s="2" t="s">
        <v>551</v>
      </c>
      <c r="D188" s="2">
        <v>2212154.3</v>
      </c>
      <c r="E188" s="2">
        <v>1</v>
      </c>
      <c r="F188" s="3">
        <f>IF(COUNT(D188,E188)=2,D188*E188,NA())</f>
        <v>2212154.3</v>
      </c>
      <c r="G188" s="2" t="s">
        <v>52</v>
      </c>
      <c r="H188" s="2" t="s">
        <v>53</v>
      </c>
      <c r="I188" s="2" t="s">
        <v>54</v>
      </c>
      <c r="J188" s="2" t="s">
        <v>55</v>
      </c>
      <c r="K188" s="2" t="s">
        <v>397</v>
      </c>
      <c r="L188" s="2" t="s">
        <v>63</v>
      </c>
      <c r="M188" s="2" t="s">
        <v>393</v>
      </c>
      <c r="N188" s="2" t="s">
        <v>64</v>
      </c>
      <c r="O188" s="2" t="s">
        <v>59</v>
      </c>
      <c r="P188" s="2" t="s">
        <v>627</v>
      </c>
      <c r="Q188" s="2" t="s">
        <v>625</v>
      </c>
      <c r="R188" s="2"/>
    </row>
    <row r="189" spans="1:18">
      <c r="A189" s="2" t="s">
        <v>628</v>
      </c>
      <c r="B189" s="2" t="s">
        <v>629</v>
      </c>
      <c r="C189" s="2" t="s">
        <v>551</v>
      </c>
      <c r="D189" s="2">
        <v>-3607705.77</v>
      </c>
      <c r="E189" s="2">
        <v>1</v>
      </c>
      <c r="F189" s="3">
        <f>IF(COUNT(D189,E189)=2,D189*E189,NA())</f>
        <v>-3607705.77</v>
      </c>
      <c r="G189" s="2" t="s">
        <v>52</v>
      </c>
      <c r="H189" s="2" t="s">
        <v>53</v>
      </c>
      <c r="I189" s="2" t="s">
        <v>54</v>
      </c>
      <c r="J189" s="2" t="s">
        <v>55</v>
      </c>
      <c r="K189" s="2" t="s">
        <v>397</v>
      </c>
      <c r="L189" s="2" t="s">
        <v>63</v>
      </c>
      <c r="M189" s="2" t="s">
        <v>393</v>
      </c>
      <c r="N189" s="2" t="s">
        <v>64</v>
      </c>
      <c r="O189" s="2" t="s">
        <v>59</v>
      </c>
      <c r="P189" s="2" t="s">
        <v>630</v>
      </c>
      <c r="Q189" s="2" t="s">
        <v>631</v>
      </c>
      <c r="R189" s="2"/>
    </row>
    <row r="190" spans="1:18">
      <c r="A190" s="2" t="s">
        <v>632</v>
      </c>
      <c r="B190" s="2" t="s">
        <v>633</v>
      </c>
      <c r="C190" s="2" t="s">
        <v>551</v>
      </c>
      <c r="D190" s="2">
        <v>159651643.42</v>
      </c>
      <c r="E190" s="2">
        <v>1</v>
      </c>
      <c r="F190" s="3">
        <f>IF(COUNT(D190,E190)=2,D190*E190,NA())</f>
        <v>159651643.42</v>
      </c>
      <c r="G190" s="2" t="s">
        <v>52</v>
      </c>
      <c r="H190" s="2" t="s">
        <v>53</v>
      </c>
      <c r="I190" s="2" t="s">
        <v>54</v>
      </c>
      <c r="J190" s="2" t="s">
        <v>55</v>
      </c>
      <c r="K190" s="2" t="s">
        <v>392</v>
      </c>
      <c r="L190" s="2" t="s">
        <v>56</v>
      </c>
      <c r="M190" s="2" t="s">
        <v>393</v>
      </c>
      <c r="N190" s="2" t="s">
        <v>58</v>
      </c>
      <c r="O190" s="2" t="s">
        <v>59</v>
      </c>
      <c r="P190" s="2" t="s">
        <v>634</v>
      </c>
      <c r="Q190" s="2" t="s">
        <v>635</v>
      </c>
      <c r="R190" s="2"/>
    </row>
    <row r="191" spans="1:18">
      <c r="A191" s="2" t="s">
        <v>636</v>
      </c>
      <c r="B191" s="2" t="s">
        <v>633</v>
      </c>
      <c r="C191" s="2" t="s">
        <v>551</v>
      </c>
      <c r="D191" s="2">
        <v>4011645.17</v>
      </c>
      <c r="E191" s="2">
        <v>1</v>
      </c>
      <c r="F191" s="3">
        <f>IF(COUNT(D191,E191)=2,D191*E191,NA())</f>
        <v>4011645.17</v>
      </c>
      <c r="G191" s="2" t="s">
        <v>52</v>
      </c>
      <c r="H191" s="2" t="s">
        <v>53</v>
      </c>
      <c r="I191" s="2" t="s">
        <v>54</v>
      </c>
      <c r="J191" s="2" t="s">
        <v>55</v>
      </c>
      <c r="K191" s="2" t="s">
        <v>397</v>
      </c>
      <c r="L191" s="2" t="s">
        <v>63</v>
      </c>
      <c r="M191" s="2" t="s">
        <v>393</v>
      </c>
      <c r="N191" s="2" t="s">
        <v>64</v>
      </c>
      <c r="O191" s="2" t="s">
        <v>59</v>
      </c>
      <c r="P191" s="2" t="s">
        <v>637</v>
      </c>
      <c r="Q191" s="2" t="s">
        <v>635</v>
      </c>
      <c r="R191" s="2"/>
    </row>
    <row r="192" spans="1:18">
      <c r="A192" s="2" t="s">
        <v>638</v>
      </c>
      <c r="B192" s="2" t="s">
        <v>639</v>
      </c>
      <c r="C192" s="2" t="s">
        <v>551</v>
      </c>
      <c r="D192" s="2">
        <v>4157088289.35</v>
      </c>
      <c r="E192" s="2">
        <v>1</v>
      </c>
      <c r="F192" s="3">
        <f>IF(COUNT(D192,E192)=2,D192*E192,NA())</f>
        <v>4157088289.35</v>
      </c>
      <c r="G192" s="2" t="s">
        <v>52</v>
      </c>
      <c r="H192" s="2" t="s">
        <v>53</v>
      </c>
      <c r="I192" s="2" t="s">
        <v>54</v>
      </c>
      <c r="J192" s="2" t="s">
        <v>55</v>
      </c>
      <c r="K192" s="2" t="s">
        <v>392</v>
      </c>
      <c r="L192" s="2" t="s">
        <v>56</v>
      </c>
      <c r="M192" s="2" t="s">
        <v>393</v>
      </c>
      <c r="N192" s="2" t="s">
        <v>58</v>
      </c>
      <c r="O192" s="2" t="s">
        <v>59</v>
      </c>
      <c r="P192" s="2" t="s">
        <v>640</v>
      </c>
      <c r="Q192" s="2" t="s">
        <v>641</v>
      </c>
      <c r="R192" s="2"/>
    </row>
    <row r="193" spans="1:18">
      <c r="A193" s="2" t="s">
        <v>642</v>
      </c>
      <c r="B193" s="2" t="s">
        <v>639</v>
      </c>
      <c r="C193" s="2" t="s">
        <v>551</v>
      </c>
      <c r="D193" s="2">
        <v>5405270012.3</v>
      </c>
      <c r="E193" s="2">
        <v>1</v>
      </c>
      <c r="F193" s="3">
        <f>IF(COUNT(D193,E193)=2,D193*E193,NA())</f>
        <v>5405270012.3</v>
      </c>
      <c r="G193" s="2" t="s">
        <v>52</v>
      </c>
      <c r="H193" s="2" t="s">
        <v>53</v>
      </c>
      <c r="I193" s="2" t="s">
        <v>54</v>
      </c>
      <c r="J193" s="2" t="s">
        <v>55</v>
      </c>
      <c r="K193" s="2" t="s">
        <v>397</v>
      </c>
      <c r="L193" s="2" t="s">
        <v>63</v>
      </c>
      <c r="M193" s="2" t="s">
        <v>393</v>
      </c>
      <c r="N193" s="2" t="s">
        <v>64</v>
      </c>
      <c r="O193" s="2" t="s">
        <v>59</v>
      </c>
      <c r="P193" s="2" t="s">
        <v>643</v>
      </c>
      <c r="Q193" s="2" t="s">
        <v>641</v>
      </c>
      <c r="R193" s="2"/>
    </row>
    <row r="194" spans="1:18">
      <c r="A194" s="2" t="s">
        <v>644</v>
      </c>
      <c r="B194" s="2" t="s">
        <v>645</v>
      </c>
      <c r="C194" s="2" t="s">
        <v>551</v>
      </c>
      <c r="D194" s="2">
        <v>172502372.71</v>
      </c>
      <c r="E194" s="2">
        <v>1</v>
      </c>
      <c r="F194" s="3">
        <f>IF(COUNT(D194,E194)=2,D194*E194,NA())</f>
        <v>172502372.71</v>
      </c>
      <c r="G194" s="2" t="s">
        <v>52</v>
      </c>
      <c r="H194" s="2" t="s">
        <v>53</v>
      </c>
      <c r="I194" s="2" t="s">
        <v>54</v>
      </c>
      <c r="J194" s="2" t="s">
        <v>55</v>
      </c>
      <c r="K194" s="2" t="s">
        <v>392</v>
      </c>
      <c r="L194" s="2" t="s">
        <v>56</v>
      </c>
      <c r="M194" s="2" t="s">
        <v>393</v>
      </c>
      <c r="N194" s="2" t="s">
        <v>58</v>
      </c>
      <c r="O194" s="2" t="s">
        <v>59</v>
      </c>
      <c r="P194" s="2" t="s">
        <v>646</v>
      </c>
      <c r="Q194" s="2" t="s">
        <v>647</v>
      </c>
      <c r="R194" s="2"/>
    </row>
    <row r="195" spans="1:18">
      <c r="A195" s="2" t="s">
        <v>648</v>
      </c>
      <c r="B195" s="2" t="s">
        <v>645</v>
      </c>
      <c r="C195" s="2" t="s">
        <v>551</v>
      </c>
      <c r="D195" s="2">
        <v>251676662.29</v>
      </c>
      <c r="E195" s="2">
        <v>1</v>
      </c>
      <c r="F195" s="3">
        <f>IF(COUNT(D195,E195)=2,D195*E195,NA())</f>
        <v>251676662.29</v>
      </c>
      <c r="G195" s="2" t="s">
        <v>52</v>
      </c>
      <c r="H195" s="2" t="s">
        <v>53</v>
      </c>
      <c r="I195" s="2" t="s">
        <v>54</v>
      </c>
      <c r="J195" s="2" t="s">
        <v>55</v>
      </c>
      <c r="K195" s="2" t="s">
        <v>397</v>
      </c>
      <c r="L195" s="2" t="s">
        <v>63</v>
      </c>
      <c r="M195" s="2" t="s">
        <v>393</v>
      </c>
      <c r="N195" s="2" t="s">
        <v>64</v>
      </c>
      <c r="O195" s="2" t="s">
        <v>59</v>
      </c>
      <c r="P195" s="2" t="s">
        <v>649</v>
      </c>
      <c r="Q195" s="2" t="s">
        <v>647</v>
      </c>
      <c r="R195" s="2"/>
    </row>
    <row r="196" spans="1:18">
      <c r="A196" s="2" t="s">
        <v>650</v>
      </c>
      <c r="B196" s="2" t="s">
        <v>651</v>
      </c>
      <c r="C196" s="2" t="s">
        <v>551</v>
      </c>
      <c r="D196" s="2">
        <v>4220633627.5</v>
      </c>
      <c r="E196" s="2">
        <v>1</v>
      </c>
      <c r="F196" s="3">
        <f>IF(COUNT(D196,E196)=2,D196*E196,NA())</f>
        <v>4220633627.5</v>
      </c>
      <c r="G196" s="2" t="s">
        <v>52</v>
      </c>
      <c r="H196" s="2" t="s">
        <v>53</v>
      </c>
      <c r="I196" s="2" t="s">
        <v>54</v>
      </c>
      <c r="J196" s="2" t="s">
        <v>55</v>
      </c>
      <c r="K196" s="2" t="s">
        <v>392</v>
      </c>
      <c r="L196" s="2" t="s">
        <v>56</v>
      </c>
      <c r="M196" s="2" t="s">
        <v>393</v>
      </c>
      <c r="N196" s="2" t="s">
        <v>58</v>
      </c>
      <c r="O196" s="2" t="s">
        <v>59</v>
      </c>
      <c r="P196" s="2" t="s">
        <v>652</v>
      </c>
      <c r="Q196" s="2" t="s">
        <v>653</v>
      </c>
      <c r="R196" s="2"/>
    </row>
    <row r="197" spans="1:18">
      <c r="A197" s="2" t="s">
        <v>654</v>
      </c>
      <c r="B197" s="2" t="s">
        <v>651</v>
      </c>
      <c r="C197" s="2" t="s">
        <v>551</v>
      </c>
      <c r="D197" s="2">
        <v>4152800867.05</v>
      </c>
      <c r="E197" s="2">
        <v>1</v>
      </c>
      <c r="F197" s="3">
        <f>IF(COUNT(D197,E197)=2,D197*E197,NA())</f>
        <v>4152800867.05</v>
      </c>
      <c r="G197" s="2" t="s">
        <v>52</v>
      </c>
      <c r="H197" s="2" t="s">
        <v>53</v>
      </c>
      <c r="I197" s="2" t="s">
        <v>54</v>
      </c>
      <c r="J197" s="2" t="s">
        <v>55</v>
      </c>
      <c r="K197" s="2" t="s">
        <v>397</v>
      </c>
      <c r="L197" s="2" t="s">
        <v>63</v>
      </c>
      <c r="M197" s="2" t="s">
        <v>393</v>
      </c>
      <c r="N197" s="2" t="s">
        <v>64</v>
      </c>
      <c r="O197" s="2" t="s">
        <v>59</v>
      </c>
      <c r="P197" s="2" t="s">
        <v>655</v>
      </c>
      <c r="Q197" s="2" t="s">
        <v>653</v>
      </c>
      <c r="R197" s="2"/>
    </row>
    <row r="198" spans="1:18">
      <c r="A198" s="2" t="s">
        <v>656</v>
      </c>
      <c r="B198" s="2" t="s">
        <v>657</v>
      </c>
      <c r="C198" s="2" t="s">
        <v>551</v>
      </c>
      <c r="D198" s="2">
        <v>82000000</v>
      </c>
      <c r="E198" s="2">
        <v>1</v>
      </c>
      <c r="F198" s="3">
        <f>IF(COUNT(D198,E198)=2,D198*E198,NA())</f>
        <v>82000000.0</v>
      </c>
      <c r="G198" s="2" t="s">
        <v>52</v>
      </c>
      <c r="H198" s="2" t="s">
        <v>53</v>
      </c>
      <c r="I198" s="2" t="s">
        <v>54</v>
      </c>
      <c r="J198" s="2" t="s">
        <v>55</v>
      </c>
      <c r="K198" s="2" t="s">
        <v>392</v>
      </c>
      <c r="L198" s="2" t="s">
        <v>56</v>
      </c>
      <c r="M198" s="2" t="s">
        <v>393</v>
      </c>
      <c r="N198" s="2" t="s">
        <v>58</v>
      </c>
      <c r="O198" s="2" t="s">
        <v>59</v>
      </c>
      <c r="P198" s="2" t="s">
        <v>658</v>
      </c>
      <c r="Q198" s="2" t="s">
        <v>659</v>
      </c>
      <c r="R198" s="2"/>
    </row>
    <row r="199" spans="1:18">
      <c r="A199" s="2" t="s">
        <v>660</v>
      </c>
      <c r="B199" s="2" t="s">
        <v>657</v>
      </c>
      <c r="C199" s="2" t="s">
        <v>551</v>
      </c>
      <c r="D199" s="2">
        <v>10000</v>
      </c>
      <c r="E199" s="2">
        <v>1</v>
      </c>
      <c r="F199" s="3">
        <f>IF(COUNT(D199,E199)=2,D199*E199,NA())</f>
        <v>10000.0</v>
      </c>
      <c r="G199" s="2" t="s">
        <v>52</v>
      </c>
      <c r="H199" s="2" t="s">
        <v>53</v>
      </c>
      <c r="I199" s="2" t="s">
        <v>54</v>
      </c>
      <c r="J199" s="2" t="s">
        <v>55</v>
      </c>
      <c r="K199" s="2" t="s">
        <v>397</v>
      </c>
      <c r="L199" s="2" t="s">
        <v>63</v>
      </c>
      <c r="M199" s="2" t="s">
        <v>393</v>
      </c>
      <c r="N199" s="2" t="s">
        <v>64</v>
      </c>
      <c r="O199" s="2" t="s">
        <v>59</v>
      </c>
      <c r="P199" s="2" t="s">
        <v>661</v>
      </c>
      <c r="Q199" s="2" t="s">
        <v>659</v>
      </c>
      <c r="R199" s="2"/>
    </row>
    <row r="200" spans="1:18">
      <c r="A200" s="2" t="s">
        <v>662</v>
      </c>
      <c r="B200" s="2" t="s">
        <v>663</v>
      </c>
      <c r="C200" s="2" t="s">
        <v>551</v>
      </c>
      <c r="D200" s="2">
        <v>115259825.2</v>
      </c>
      <c r="E200" s="2">
        <v>1</v>
      </c>
      <c r="F200" s="3">
        <f>IF(COUNT(D200,E200)=2,D200*E200,NA())</f>
        <v>115259825.2</v>
      </c>
      <c r="G200" s="2" t="s">
        <v>52</v>
      </c>
      <c r="H200" s="2" t="s">
        <v>53</v>
      </c>
      <c r="I200" s="2" t="s">
        <v>54</v>
      </c>
      <c r="J200" s="2" t="s">
        <v>55</v>
      </c>
      <c r="K200" s="2" t="s">
        <v>392</v>
      </c>
      <c r="L200" s="2" t="s">
        <v>56</v>
      </c>
      <c r="M200" s="2" t="s">
        <v>393</v>
      </c>
      <c r="N200" s="2" t="s">
        <v>58</v>
      </c>
      <c r="O200" s="2" t="s">
        <v>59</v>
      </c>
      <c r="P200" s="2" t="s">
        <v>664</v>
      </c>
      <c r="Q200" s="2" t="s">
        <v>665</v>
      </c>
      <c r="R200" s="2"/>
    </row>
    <row r="201" spans="1:18">
      <c r="A201" s="2" t="s">
        <v>666</v>
      </c>
      <c r="B201" s="2" t="s">
        <v>663</v>
      </c>
      <c r="C201" s="2" t="s">
        <v>551</v>
      </c>
      <c r="D201" s="2">
        <v>87504678.53</v>
      </c>
      <c r="E201" s="2">
        <v>1</v>
      </c>
      <c r="F201" s="3">
        <f>IF(COUNT(D201,E201)=2,D201*E201,NA())</f>
        <v>87504678.53</v>
      </c>
      <c r="G201" s="2" t="s">
        <v>52</v>
      </c>
      <c r="H201" s="2" t="s">
        <v>53</v>
      </c>
      <c r="I201" s="2" t="s">
        <v>54</v>
      </c>
      <c r="J201" s="2" t="s">
        <v>55</v>
      </c>
      <c r="K201" s="2" t="s">
        <v>397</v>
      </c>
      <c r="L201" s="2" t="s">
        <v>63</v>
      </c>
      <c r="M201" s="2" t="s">
        <v>393</v>
      </c>
      <c r="N201" s="2" t="s">
        <v>64</v>
      </c>
      <c r="O201" s="2" t="s">
        <v>59</v>
      </c>
      <c r="P201" s="2" t="s">
        <v>667</v>
      </c>
      <c r="Q201" s="2" t="s">
        <v>665</v>
      </c>
      <c r="R201" s="2"/>
    </row>
    <row r="202" spans="1:18">
      <c r="A202" s="2" t="s">
        <v>668</v>
      </c>
      <c r="B202" s="2" t="s">
        <v>669</v>
      </c>
      <c r="C202" s="2" t="s">
        <v>551</v>
      </c>
      <c r="D202" s="2">
        <v>4590395825.41</v>
      </c>
      <c r="E202" s="2">
        <v>1</v>
      </c>
      <c r="F202" s="3">
        <f>IF(COUNT(D202,E202)=2,D202*E202,NA())</f>
        <v>4590395825.41</v>
      </c>
      <c r="G202" s="2" t="s">
        <v>52</v>
      </c>
      <c r="H202" s="2" t="s">
        <v>53</v>
      </c>
      <c r="I202" s="2" t="s">
        <v>54</v>
      </c>
      <c r="J202" s="2" t="s">
        <v>55</v>
      </c>
      <c r="K202" s="2" t="s">
        <v>392</v>
      </c>
      <c r="L202" s="2" t="s">
        <v>56</v>
      </c>
      <c r="M202" s="2" t="s">
        <v>393</v>
      </c>
      <c r="N202" s="2" t="s">
        <v>58</v>
      </c>
      <c r="O202" s="2" t="s">
        <v>59</v>
      </c>
      <c r="P202" s="2" t="s">
        <v>670</v>
      </c>
      <c r="Q202" s="2" t="s">
        <v>671</v>
      </c>
      <c r="R202" s="2"/>
    </row>
    <row r="203" spans="1:18">
      <c r="A203" s="2" t="s">
        <v>672</v>
      </c>
      <c r="B203" s="2" t="s">
        <v>669</v>
      </c>
      <c r="C203" s="2" t="s">
        <v>551</v>
      </c>
      <c r="D203" s="2">
        <v>4491992207.87</v>
      </c>
      <c r="E203" s="2">
        <v>1</v>
      </c>
      <c r="F203" s="3">
        <f>IF(COUNT(D203,E203)=2,D203*E203,NA())</f>
        <v>4491992207.87</v>
      </c>
      <c r="G203" s="2" t="s">
        <v>52</v>
      </c>
      <c r="H203" s="2" t="s">
        <v>53</v>
      </c>
      <c r="I203" s="2" t="s">
        <v>54</v>
      </c>
      <c r="J203" s="2" t="s">
        <v>55</v>
      </c>
      <c r="K203" s="2" t="s">
        <v>397</v>
      </c>
      <c r="L203" s="2" t="s">
        <v>63</v>
      </c>
      <c r="M203" s="2" t="s">
        <v>393</v>
      </c>
      <c r="N203" s="2" t="s">
        <v>64</v>
      </c>
      <c r="O203" s="2" t="s">
        <v>59</v>
      </c>
      <c r="P203" s="2" t="s">
        <v>673</v>
      </c>
      <c r="Q203" s="2" t="s">
        <v>671</v>
      </c>
      <c r="R203" s="2"/>
    </row>
    <row r="204" spans="1:18">
      <c r="A204" s="2" t="s">
        <v>674</v>
      </c>
      <c r="B204" s="2" t="s">
        <v>675</v>
      </c>
      <c r="C204" s="2" t="s">
        <v>551</v>
      </c>
      <c r="D204" s="2">
        <v>-433307536.06</v>
      </c>
      <c r="E204" s="2">
        <v>1</v>
      </c>
      <c r="F204" s="3">
        <f>IF(COUNT(D204,E204)=2,D204*E204,NA())</f>
        <v>-433307536.06</v>
      </c>
      <c r="G204" s="2" t="s">
        <v>52</v>
      </c>
      <c r="H204" s="2" t="s">
        <v>53</v>
      </c>
      <c r="I204" s="2" t="s">
        <v>54</v>
      </c>
      <c r="J204" s="2" t="s">
        <v>55</v>
      </c>
      <c r="K204" s="2" t="s">
        <v>392</v>
      </c>
      <c r="L204" s="2" t="s">
        <v>56</v>
      </c>
      <c r="M204" s="2" t="s">
        <v>393</v>
      </c>
      <c r="N204" s="2" t="s">
        <v>58</v>
      </c>
      <c r="O204" s="2" t="s">
        <v>59</v>
      </c>
      <c r="P204" s="2" t="s">
        <v>676</v>
      </c>
      <c r="Q204" s="2" t="s">
        <v>677</v>
      </c>
      <c r="R204" s="2"/>
    </row>
    <row r="205" spans="1:18">
      <c r="A205" s="2" t="s">
        <v>678</v>
      </c>
      <c r="B205" s="2" t="s">
        <v>675</v>
      </c>
      <c r="C205" s="2" t="s">
        <v>551</v>
      </c>
      <c r="D205" s="2">
        <v>913277804.4299999</v>
      </c>
      <c r="E205" s="2">
        <v>1</v>
      </c>
      <c r="F205" s="3">
        <f>IF(COUNT(D205,E205)=2,D205*E205,NA())</f>
        <v>913277804.43</v>
      </c>
      <c r="G205" s="2" t="s">
        <v>52</v>
      </c>
      <c r="H205" s="2" t="s">
        <v>53</v>
      </c>
      <c r="I205" s="2" t="s">
        <v>54</v>
      </c>
      <c r="J205" s="2" t="s">
        <v>55</v>
      </c>
      <c r="K205" s="2" t="s">
        <v>397</v>
      </c>
      <c r="L205" s="2" t="s">
        <v>63</v>
      </c>
      <c r="M205" s="2" t="s">
        <v>393</v>
      </c>
      <c r="N205" s="2" t="s">
        <v>64</v>
      </c>
      <c r="O205" s="2" t="s">
        <v>59</v>
      </c>
      <c r="P205" s="2" t="s">
        <v>679</v>
      </c>
      <c r="Q205" s="2" t="s">
        <v>677</v>
      </c>
      <c r="R205" s="2"/>
    </row>
    <row r="206" spans="1:18">
      <c r="A206" s="2" t="s">
        <v>680</v>
      </c>
      <c r="B206" s="2" t="s">
        <v>681</v>
      </c>
      <c r="C206" s="2" t="s">
        <v>551</v>
      </c>
      <c r="D206" s="2">
        <v>3400000</v>
      </c>
      <c r="E206" s="2">
        <v>1</v>
      </c>
      <c r="F206" s="3">
        <f>IF(COUNT(D206,E206)=2,D206*E206,NA())</f>
        <v>3400000.0</v>
      </c>
      <c r="G206" s="2" t="s">
        <v>52</v>
      </c>
      <c r="H206" s="2" t="s">
        <v>53</v>
      </c>
      <c r="I206" s="2" t="s">
        <v>54</v>
      </c>
      <c r="J206" s="2" t="s">
        <v>55</v>
      </c>
      <c r="K206" s="2" t="s">
        <v>392</v>
      </c>
      <c r="L206" s="2" t="s">
        <v>56</v>
      </c>
      <c r="M206" s="2" t="s">
        <v>393</v>
      </c>
      <c r="N206" s="2" t="s">
        <v>58</v>
      </c>
      <c r="O206" s="2" t="s">
        <v>59</v>
      </c>
      <c r="P206" s="2" t="s">
        <v>682</v>
      </c>
      <c r="Q206" s="2" t="s">
        <v>683</v>
      </c>
      <c r="R206" s="2"/>
    </row>
    <row r="207" spans="1:18">
      <c r="A207" s="2" t="s">
        <v>684</v>
      </c>
      <c r="B207" s="2" t="s">
        <v>681</v>
      </c>
      <c r="C207" s="2" t="s">
        <v>551</v>
      </c>
      <c r="D207" s="2">
        <v>15490000</v>
      </c>
      <c r="E207" s="2">
        <v>1</v>
      </c>
      <c r="F207" s="3">
        <f>IF(COUNT(D207,E207)=2,D207*E207,NA())</f>
        <v>15490000.0</v>
      </c>
      <c r="G207" s="2" t="s">
        <v>52</v>
      </c>
      <c r="H207" s="2" t="s">
        <v>53</v>
      </c>
      <c r="I207" s="2" t="s">
        <v>54</v>
      </c>
      <c r="J207" s="2" t="s">
        <v>55</v>
      </c>
      <c r="K207" s="2" t="s">
        <v>397</v>
      </c>
      <c r="L207" s="2" t="s">
        <v>63</v>
      </c>
      <c r="M207" s="2" t="s">
        <v>393</v>
      </c>
      <c r="N207" s="2" t="s">
        <v>64</v>
      </c>
      <c r="O207" s="2" t="s">
        <v>59</v>
      </c>
      <c r="P207" s="2" t="s">
        <v>685</v>
      </c>
      <c r="Q207" s="2" t="s">
        <v>683</v>
      </c>
      <c r="R207" s="2"/>
    </row>
    <row r="208" spans="1:18">
      <c r="A208" s="2" t="s">
        <v>686</v>
      </c>
      <c r="B208" s="2" t="s">
        <v>687</v>
      </c>
      <c r="C208" s="2" t="s">
        <v>551</v>
      </c>
      <c r="D208" s="2">
        <v>667504481.87</v>
      </c>
      <c r="E208" s="2">
        <v>1</v>
      </c>
      <c r="F208" s="3">
        <f>IF(COUNT(D208,E208)=2,D208*E208,NA())</f>
        <v>667504481.87</v>
      </c>
      <c r="G208" s="2" t="s">
        <v>52</v>
      </c>
      <c r="H208" s="2" t="s">
        <v>53</v>
      </c>
      <c r="I208" s="2" t="s">
        <v>54</v>
      </c>
      <c r="J208" s="2" t="s">
        <v>55</v>
      </c>
      <c r="K208" s="2" t="s">
        <v>392</v>
      </c>
      <c r="L208" s="2" t="s">
        <v>56</v>
      </c>
      <c r="M208" s="2" t="s">
        <v>393</v>
      </c>
      <c r="N208" s="2" t="s">
        <v>58</v>
      </c>
      <c r="O208" s="2" t="s">
        <v>59</v>
      </c>
      <c r="P208" s="2" t="s">
        <v>688</v>
      </c>
      <c r="Q208" s="2" t="s">
        <v>689</v>
      </c>
      <c r="R208" s="2"/>
    </row>
    <row r="209" spans="1:18">
      <c r="A209" s="2" t="s">
        <v>690</v>
      </c>
      <c r="B209" s="2" t="s">
        <v>687</v>
      </c>
      <c r="C209" s="2" t="s">
        <v>551</v>
      </c>
      <c r="D209" s="2">
        <v>1052547308.66</v>
      </c>
      <c r="E209" s="2">
        <v>1</v>
      </c>
      <c r="F209" s="3">
        <f>IF(COUNT(D209,E209)=2,D209*E209,NA())</f>
        <v>1052547308.66</v>
      </c>
      <c r="G209" s="2" t="s">
        <v>52</v>
      </c>
      <c r="H209" s="2" t="s">
        <v>53</v>
      </c>
      <c r="I209" s="2" t="s">
        <v>54</v>
      </c>
      <c r="J209" s="2" t="s">
        <v>55</v>
      </c>
      <c r="K209" s="2" t="s">
        <v>397</v>
      </c>
      <c r="L209" s="2" t="s">
        <v>63</v>
      </c>
      <c r="M209" s="2" t="s">
        <v>393</v>
      </c>
      <c r="N209" s="2" t="s">
        <v>64</v>
      </c>
      <c r="O209" s="2" t="s">
        <v>59</v>
      </c>
      <c r="P209" s="2" t="s">
        <v>691</v>
      </c>
      <c r="Q209" s="2" t="s">
        <v>689</v>
      </c>
      <c r="R209" s="2"/>
    </row>
    <row r="210" spans="1:18">
      <c r="A210" s="2" t="s">
        <v>692</v>
      </c>
      <c r="B210" s="2" t="s">
        <v>693</v>
      </c>
      <c r="C210" s="2" t="s">
        <v>551</v>
      </c>
      <c r="D210" s="2">
        <v>1018762534.01</v>
      </c>
      <c r="E210" s="2">
        <v>1</v>
      </c>
      <c r="F210" s="3">
        <f>IF(COUNT(D210,E210)=2,D210*E210,NA())</f>
        <v>1018762534.01</v>
      </c>
      <c r="G210" s="2" t="s">
        <v>52</v>
      </c>
      <c r="H210" s="2" t="s">
        <v>53</v>
      </c>
      <c r="I210" s="2" t="s">
        <v>54</v>
      </c>
      <c r="J210" s="2" t="s">
        <v>55</v>
      </c>
      <c r="K210" s="2" t="s">
        <v>392</v>
      </c>
      <c r="L210" s="2" t="s">
        <v>56</v>
      </c>
      <c r="M210" s="2" t="s">
        <v>393</v>
      </c>
      <c r="N210" s="2" t="s">
        <v>58</v>
      </c>
      <c r="O210" s="2" t="s">
        <v>59</v>
      </c>
      <c r="P210" s="2" t="s">
        <v>694</v>
      </c>
      <c r="Q210" s="2" t="s">
        <v>695</v>
      </c>
      <c r="R210" s="2"/>
    </row>
    <row r="211" spans="1:18">
      <c r="A211" s="2" t="s">
        <v>696</v>
      </c>
      <c r="B211" s="2" t="s">
        <v>693</v>
      </c>
      <c r="C211" s="2" t="s">
        <v>551</v>
      </c>
      <c r="D211" s="2">
        <v>1160106008.12</v>
      </c>
      <c r="E211" s="2">
        <v>1</v>
      </c>
      <c r="F211" s="3">
        <f>IF(COUNT(D211,E211)=2,D211*E211,NA())</f>
        <v>1160106008.12</v>
      </c>
      <c r="G211" s="2" t="s">
        <v>52</v>
      </c>
      <c r="H211" s="2" t="s">
        <v>53</v>
      </c>
      <c r="I211" s="2" t="s">
        <v>54</v>
      </c>
      <c r="J211" s="2" t="s">
        <v>55</v>
      </c>
      <c r="K211" s="2" t="s">
        <v>397</v>
      </c>
      <c r="L211" s="2" t="s">
        <v>63</v>
      </c>
      <c r="M211" s="2" t="s">
        <v>393</v>
      </c>
      <c r="N211" s="2" t="s">
        <v>64</v>
      </c>
      <c r="O211" s="2" t="s">
        <v>59</v>
      </c>
      <c r="P211" s="2" t="s">
        <v>697</v>
      </c>
      <c r="Q211" s="2" t="s">
        <v>695</v>
      </c>
      <c r="R211" s="2"/>
    </row>
    <row r="212" spans="1:18">
      <c r="A212" s="2" t="s">
        <v>698</v>
      </c>
      <c r="B212" s="2" t="s">
        <v>699</v>
      </c>
      <c r="C212" s="2" t="s">
        <v>551</v>
      </c>
      <c r="D212" s="2">
        <v>1689667015.88</v>
      </c>
      <c r="E212" s="2">
        <v>1</v>
      </c>
      <c r="F212" s="3">
        <f>IF(COUNT(D212,E212)=2,D212*E212,NA())</f>
        <v>1689667015.88</v>
      </c>
      <c r="G212" s="2" t="s">
        <v>52</v>
      </c>
      <c r="H212" s="2" t="s">
        <v>53</v>
      </c>
      <c r="I212" s="2" t="s">
        <v>54</v>
      </c>
      <c r="J212" s="2" t="s">
        <v>55</v>
      </c>
      <c r="K212" s="2" t="s">
        <v>392</v>
      </c>
      <c r="L212" s="2" t="s">
        <v>56</v>
      </c>
      <c r="M212" s="2" t="s">
        <v>393</v>
      </c>
      <c r="N212" s="2" t="s">
        <v>58</v>
      </c>
      <c r="O212" s="2" t="s">
        <v>59</v>
      </c>
      <c r="P212" s="2" t="s">
        <v>700</v>
      </c>
      <c r="Q212" s="2" t="s">
        <v>701</v>
      </c>
      <c r="R212" s="2"/>
    </row>
    <row r="213" spans="1:18">
      <c r="A213" s="2" t="s">
        <v>702</v>
      </c>
      <c r="B213" s="2" t="s">
        <v>699</v>
      </c>
      <c r="C213" s="2" t="s">
        <v>551</v>
      </c>
      <c r="D213" s="2">
        <v>2228143316.78</v>
      </c>
      <c r="E213" s="2">
        <v>1</v>
      </c>
      <c r="F213" s="3">
        <f>IF(COUNT(D213,E213)=2,D213*E213,NA())</f>
        <v>2228143316.78</v>
      </c>
      <c r="G213" s="2" t="s">
        <v>52</v>
      </c>
      <c r="H213" s="2" t="s">
        <v>53</v>
      </c>
      <c r="I213" s="2" t="s">
        <v>54</v>
      </c>
      <c r="J213" s="2" t="s">
        <v>55</v>
      </c>
      <c r="K213" s="2" t="s">
        <v>397</v>
      </c>
      <c r="L213" s="2" t="s">
        <v>63</v>
      </c>
      <c r="M213" s="2" t="s">
        <v>393</v>
      </c>
      <c r="N213" s="2" t="s">
        <v>64</v>
      </c>
      <c r="O213" s="2" t="s">
        <v>59</v>
      </c>
      <c r="P213" s="2" t="s">
        <v>703</v>
      </c>
      <c r="Q213" s="2" t="s">
        <v>701</v>
      </c>
      <c r="R213" s="2"/>
    </row>
    <row r="214" spans="1:18">
      <c r="A214" s="2" t="s">
        <v>704</v>
      </c>
      <c r="B214" s="2" t="s">
        <v>705</v>
      </c>
      <c r="C214" s="2" t="s">
        <v>551</v>
      </c>
      <c r="D214" s="2">
        <v>739675308.66</v>
      </c>
      <c r="E214" s="2">
        <v>1</v>
      </c>
      <c r="F214" s="3">
        <f>IF(COUNT(D214,E214)=2,D214*E214,NA())</f>
        <v>739675308.66</v>
      </c>
      <c r="G214" s="2" t="s">
        <v>52</v>
      </c>
      <c r="H214" s="2" t="s">
        <v>53</v>
      </c>
      <c r="I214" s="2" t="s">
        <v>54</v>
      </c>
      <c r="J214" s="2" t="s">
        <v>55</v>
      </c>
      <c r="K214" s="2" t="s">
        <v>392</v>
      </c>
      <c r="L214" s="2" t="s">
        <v>56</v>
      </c>
      <c r="M214" s="2" t="s">
        <v>393</v>
      </c>
      <c r="N214" s="2" t="s">
        <v>58</v>
      </c>
      <c r="O214" s="2" t="s">
        <v>59</v>
      </c>
      <c r="P214" s="2" t="s">
        <v>706</v>
      </c>
      <c r="Q214" s="2" t="s">
        <v>707</v>
      </c>
      <c r="R214" s="2"/>
    </row>
    <row r="215" spans="1:18">
      <c r="A215" s="2" t="s">
        <v>708</v>
      </c>
      <c r="B215" s="2" t="s">
        <v>705</v>
      </c>
      <c r="C215" s="2" t="s">
        <v>551</v>
      </c>
      <c r="D215" s="2">
        <v>1055536000</v>
      </c>
      <c r="E215" s="2">
        <v>1</v>
      </c>
      <c r="F215" s="3">
        <f>IF(COUNT(D215,E215)=2,D215*E215,NA())</f>
        <v>1055536000.0</v>
      </c>
      <c r="G215" s="2" t="s">
        <v>52</v>
      </c>
      <c r="H215" s="2" t="s">
        <v>53</v>
      </c>
      <c r="I215" s="2" t="s">
        <v>54</v>
      </c>
      <c r="J215" s="2" t="s">
        <v>55</v>
      </c>
      <c r="K215" s="2" t="s">
        <v>397</v>
      </c>
      <c r="L215" s="2" t="s">
        <v>63</v>
      </c>
      <c r="M215" s="2" t="s">
        <v>393</v>
      </c>
      <c r="N215" s="2" t="s">
        <v>64</v>
      </c>
      <c r="O215" s="2" t="s">
        <v>59</v>
      </c>
      <c r="P215" s="2" t="s">
        <v>709</v>
      </c>
      <c r="Q215" s="2" t="s">
        <v>707</v>
      </c>
      <c r="R215" s="2"/>
    </row>
    <row r="216" spans="1:18">
      <c r="A216" s="2" t="s">
        <v>710</v>
      </c>
      <c r="B216" s="2" t="s">
        <v>711</v>
      </c>
      <c r="C216" s="2" t="s">
        <v>551</v>
      </c>
      <c r="D216" s="2">
        <v>429768234.11</v>
      </c>
      <c r="E216" s="2">
        <v>1</v>
      </c>
      <c r="F216" s="3">
        <f>IF(COUNT(D216,E216)=2,D216*E216,NA())</f>
        <v>429768234.11</v>
      </c>
      <c r="G216" s="2" t="s">
        <v>52</v>
      </c>
      <c r="H216" s="2" t="s">
        <v>53</v>
      </c>
      <c r="I216" s="2" t="s">
        <v>54</v>
      </c>
      <c r="J216" s="2" t="s">
        <v>55</v>
      </c>
      <c r="K216" s="2" t="s">
        <v>392</v>
      </c>
      <c r="L216" s="2" t="s">
        <v>56</v>
      </c>
      <c r="M216" s="2" t="s">
        <v>393</v>
      </c>
      <c r="N216" s="2" t="s">
        <v>58</v>
      </c>
      <c r="O216" s="2" t="s">
        <v>59</v>
      </c>
      <c r="P216" s="2" t="s">
        <v>712</v>
      </c>
      <c r="Q216" s="2" t="s">
        <v>713</v>
      </c>
      <c r="R216" s="2"/>
    </row>
    <row r="217" spans="1:18">
      <c r="A217" s="2" t="s">
        <v>714</v>
      </c>
      <c r="B217" s="2" t="s">
        <v>711</v>
      </c>
      <c r="C217" s="2" t="s">
        <v>551</v>
      </c>
      <c r="D217" s="2">
        <v>135057204.44</v>
      </c>
      <c r="E217" s="2">
        <v>1</v>
      </c>
      <c r="F217" s="3">
        <f>IF(COUNT(D217,E217)=2,D217*E217,NA())</f>
        <v>135057204.44</v>
      </c>
      <c r="G217" s="2" t="s">
        <v>52</v>
      </c>
      <c r="H217" s="2" t="s">
        <v>53</v>
      </c>
      <c r="I217" s="2" t="s">
        <v>54</v>
      </c>
      <c r="J217" s="2" t="s">
        <v>55</v>
      </c>
      <c r="K217" s="2" t="s">
        <v>397</v>
      </c>
      <c r="L217" s="2" t="s">
        <v>63</v>
      </c>
      <c r="M217" s="2" t="s">
        <v>393</v>
      </c>
      <c r="N217" s="2" t="s">
        <v>64</v>
      </c>
      <c r="O217" s="2" t="s">
        <v>59</v>
      </c>
      <c r="P217" s="2" t="s">
        <v>715</v>
      </c>
      <c r="Q217" s="2" t="s">
        <v>713</v>
      </c>
      <c r="R217" s="2"/>
    </row>
    <row r="218" spans="1:18">
      <c r="A218" s="2" t="s">
        <v>716</v>
      </c>
      <c r="B218" s="2" t="s">
        <v>717</v>
      </c>
      <c r="C218" s="2" t="s">
        <v>551</v>
      </c>
      <c r="D218" s="2">
        <v>1121322895.45</v>
      </c>
      <c r="E218" s="2">
        <v>1</v>
      </c>
      <c r="F218" s="3">
        <f>IF(COUNT(D218,E218)=2,D218*E218,NA())</f>
        <v>1121322895.45</v>
      </c>
      <c r="G218" s="2" t="s">
        <v>52</v>
      </c>
      <c r="H218" s="2" t="s">
        <v>53</v>
      </c>
      <c r="I218" s="2" t="s">
        <v>54</v>
      </c>
      <c r="J218" s="2" t="s">
        <v>55</v>
      </c>
      <c r="K218" s="2" t="s">
        <v>392</v>
      </c>
      <c r="L218" s="2" t="s">
        <v>56</v>
      </c>
      <c r="M218" s="2" t="s">
        <v>393</v>
      </c>
      <c r="N218" s="2" t="s">
        <v>58</v>
      </c>
      <c r="O218" s="2" t="s">
        <v>59</v>
      </c>
      <c r="P218" s="2" t="s">
        <v>718</v>
      </c>
      <c r="Q218" s="2" t="s">
        <v>719</v>
      </c>
      <c r="R218" s="2"/>
    </row>
    <row r="219" spans="1:18">
      <c r="A219" s="2" t="s">
        <v>720</v>
      </c>
      <c r="B219" s="2" t="s">
        <v>717</v>
      </c>
      <c r="C219" s="2" t="s">
        <v>551</v>
      </c>
      <c r="D219" s="2">
        <v>1935339816.67</v>
      </c>
      <c r="E219" s="2">
        <v>1</v>
      </c>
      <c r="F219" s="3">
        <f>IF(COUNT(D219,E219)=2,D219*E219,NA())</f>
        <v>1935339816.67</v>
      </c>
      <c r="G219" s="2" t="s">
        <v>52</v>
      </c>
      <c r="H219" s="2" t="s">
        <v>53</v>
      </c>
      <c r="I219" s="2" t="s">
        <v>54</v>
      </c>
      <c r="J219" s="2" t="s">
        <v>55</v>
      </c>
      <c r="K219" s="2" t="s">
        <v>397</v>
      </c>
      <c r="L219" s="2" t="s">
        <v>63</v>
      </c>
      <c r="M219" s="2" t="s">
        <v>393</v>
      </c>
      <c r="N219" s="2" t="s">
        <v>64</v>
      </c>
      <c r="O219" s="2" t="s">
        <v>59</v>
      </c>
      <c r="P219" s="2" t="s">
        <v>721</v>
      </c>
      <c r="Q219" s="2" t="s">
        <v>719</v>
      </c>
      <c r="R219" s="2"/>
    </row>
    <row r="220" spans="1:18">
      <c r="A220" s="2" t="s">
        <v>722</v>
      </c>
      <c r="B220" s="2" t="s">
        <v>723</v>
      </c>
      <c r="C220" s="2" t="s">
        <v>551</v>
      </c>
      <c r="D220" s="2">
        <v>2290766438.22</v>
      </c>
      <c r="E220" s="2">
        <v>1</v>
      </c>
      <c r="F220" s="3">
        <f>IF(COUNT(D220,E220)=2,D220*E220,NA())</f>
        <v>2290766438.22</v>
      </c>
      <c r="G220" s="2" t="s">
        <v>52</v>
      </c>
      <c r="H220" s="2" t="s">
        <v>53</v>
      </c>
      <c r="I220" s="2" t="s">
        <v>54</v>
      </c>
      <c r="J220" s="2" t="s">
        <v>55</v>
      </c>
      <c r="K220" s="2" t="s">
        <v>392</v>
      </c>
      <c r="L220" s="2" t="s">
        <v>56</v>
      </c>
      <c r="M220" s="2" t="s">
        <v>393</v>
      </c>
      <c r="N220" s="2" t="s">
        <v>58</v>
      </c>
      <c r="O220" s="2" t="s">
        <v>59</v>
      </c>
      <c r="P220" s="2" t="s">
        <v>724</v>
      </c>
      <c r="Q220" s="2" t="s">
        <v>725</v>
      </c>
      <c r="R220" s="2"/>
    </row>
    <row r="221" spans="1:18">
      <c r="A221" s="2" t="s">
        <v>726</v>
      </c>
      <c r="B221" s="2" t="s">
        <v>723</v>
      </c>
      <c r="C221" s="2" t="s">
        <v>551</v>
      </c>
      <c r="D221" s="2">
        <v>3125933021.11</v>
      </c>
      <c r="E221" s="2">
        <v>1</v>
      </c>
      <c r="F221" s="3">
        <f>IF(COUNT(D221,E221)=2,D221*E221,NA())</f>
        <v>3125933021.11</v>
      </c>
      <c r="G221" s="2" t="s">
        <v>52</v>
      </c>
      <c r="H221" s="2" t="s">
        <v>53</v>
      </c>
      <c r="I221" s="2" t="s">
        <v>54</v>
      </c>
      <c r="J221" s="2" t="s">
        <v>55</v>
      </c>
      <c r="K221" s="2" t="s">
        <v>397</v>
      </c>
      <c r="L221" s="2" t="s">
        <v>63</v>
      </c>
      <c r="M221" s="2" t="s">
        <v>393</v>
      </c>
      <c r="N221" s="2" t="s">
        <v>64</v>
      </c>
      <c r="O221" s="2" t="s">
        <v>59</v>
      </c>
      <c r="P221" s="2" t="s">
        <v>727</v>
      </c>
      <c r="Q221" s="2" t="s">
        <v>725</v>
      </c>
      <c r="R221" s="2"/>
    </row>
    <row r="222" spans="1:18">
      <c r="A222" s="2" t="s">
        <v>728</v>
      </c>
      <c r="B222" s="2" t="s">
        <v>729</v>
      </c>
      <c r="C222" s="2" t="s">
        <v>551</v>
      </c>
      <c r="D222" s="2">
        <v>-601099422.34</v>
      </c>
      <c r="E222" s="2">
        <v>1</v>
      </c>
      <c r="F222" s="3">
        <f>IF(COUNT(D222,E222)=2,D222*E222,NA())</f>
        <v>-601099422.34</v>
      </c>
      <c r="G222" s="2" t="s">
        <v>52</v>
      </c>
      <c r="H222" s="2" t="s">
        <v>53</v>
      </c>
      <c r="I222" s="2" t="s">
        <v>54</v>
      </c>
      <c r="J222" s="2" t="s">
        <v>55</v>
      </c>
      <c r="K222" s="2" t="s">
        <v>392</v>
      </c>
      <c r="L222" s="2" t="s">
        <v>56</v>
      </c>
      <c r="M222" s="2" t="s">
        <v>393</v>
      </c>
      <c r="N222" s="2" t="s">
        <v>58</v>
      </c>
      <c r="O222" s="2" t="s">
        <v>59</v>
      </c>
      <c r="P222" s="2" t="s">
        <v>730</v>
      </c>
      <c r="Q222" s="2" t="s">
        <v>731</v>
      </c>
      <c r="R222" s="2"/>
    </row>
    <row r="223" spans="1:18">
      <c r="A223" s="2" t="s">
        <v>732</v>
      </c>
      <c r="B223" s="2" t="s">
        <v>729</v>
      </c>
      <c r="C223" s="2" t="s">
        <v>551</v>
      </c>
      <c r="D223" s="2">
        <v>-897789704.33</v>
      </c>
      <c r="E223" s="2">
        <v>1</v>
      </c>
      <c r="F223" s="3">
        <f>IF(COUNT(D223,E223)=2,D223*E223,NA())</f>
        <v>-897789704.33</v>
      </c>
      <c r="G223" s="2" t="s">
        <v>52</v>
      </c>
      <c r="H223" s="2" t="s">
        <v>53</v>
      </c>
      <c r="I223" s="2" t="s">
        <v>54</v>
      </c>
      <c r="J223" s="2" t="s">
        <v>55</v>
      </c>
      <c r="K223" s="2" t="s">
        <v>397</v>
      </c>
      <c r="L223" s="2" t="s">
        <v>63</v>
      </c>
      <c r="M223" s="2" t="s">
        <v>393</v>
      </c>
      <c r="N223" s="2" t="s">
        <v>64</v>
      </c>
      <c r="O223" s="2" t="s">
        <v>59</v>
      </c>
      <c r="P223" s="2" t="s">
        <v>733</v>
      </c>
      <c r="Q223" s="2" t="s">
        <v>731</v>
      </c>
      <c r="R223" s="2"/>
    </row>
    <row r="224" spans="1:18">
      <c r="A224" s="2" t="s">
        <v>734</v>
      </c>
      <c r="B224" s="2" t="s">
        <v>735</v>
      </c>
      <c r="C224" s="2" t="s">
        <v>551</v>
      </c>
      <c r="D224" s="2">
        <v>-7063603.36</v>
      </c>
      <c r="E224" s="2">
        <v>1</v>
      </c>
      <c r="F224" s="3">
        <f>IF(COUNT(D224,E224)=2,D224*E224,NA())</f>
        <v>-7063603.36</v>
      </c>
      <c r="G224" s="2" t="s">
        <v>52</v>
      </c>
      <c r="H224" s="2" t="s">
        <v>53</v>
      </c>
      <c r="I224" s="2" t="s">
        <v>54</v>
      </c>
      <c r="J224" s="2" t="s">
        <v>55</v>
      </c>
      <c r="K224" s="2" t="s">
        <v>392</v>
      </c>
      <c r="L224" s="2" t="s">
        <v>56</v>
      </c>
      <c r="M224" s="2" t="s">
        <v>393</v>
      </c>
      <c r="N224" s="2" t="s">
        <v>58</v>
      </c>
      <c r="O224" s="2" t="s">
        <v>59</v>
      </c>
      <c r="P224" s="2" t="s">
        <v>736</v>
      </c>
      <c r="Q224" s="2" t="s">
        <v>737</v>
      </c>
      <c r="R224" s="2"/>
    </row>
    <row r="225" spans="1:18">
      <c r="A225" s="2" t="s">
        <v>738</v>
      </c>
      <c r="B225" s="2" t="s">
        <v>735</v>
      </c>
      <c r="C225" s="2" t="s">
        <v>551</v>
      </c>
      <c r="D225" s="2">
        <v>2591522.59</v>
      </c>
      <c r="E225" s="2">
        <v>1</v>
      </c>
      <c r="F225" s="3">
        <f>IF(COUNT(D225,E225)=2,D225*E225,NA())</f>
        <v>2591522.59</v>
      </c>
      <c r="G225" s="2" t="s">
        <v>52</v>
      </c>
      <c r="H225" s="2" t="s">
        <v>53</v>
      </c>
      <c r="I225" s="2" t="s">
        <v>54</v>
      </c>
      <c r="J225" s="2" t="s">
        <v>55</v>
      </c>
      <c r="K225" s="2" t="s">
        <v>397</v>
      </c>
      <c r="L225" s="2" t="s">
        <v>63</v>
      </c>
      <c r="M225" s="2" t="s">
        <v>393</v>
      </c>
      <c r="N225" s="2" t="s">
        <v>64</v>
      </c>
      <c r="O225" s="2" t="s">
        <v>59</v>
      </c>
      <c r="P225" s="2" t="s">
        <v>739</v>
      </c>
      <c r="Q225" s="2" t="s">
        <v>737</v>
      </c>
      <c r="R225" s="2"/>
    </row>
    <row r="226" spans="1:18">
      <c r="A226" s="2" t="s">
        <v>740</v>
      </c>
      <c r="B226" s="2" t="s">
        <v>741</v>
      </c>
      <c r="C226" s="2" t="s">
        <v>551</v>
      </c>
      <c r="D226" s="2">
        <v>-721842541.11</v>
      </c>
      <c r="E226" s="2">
        <v>1</v>
      </c>
      <c r="F226" s="3">
        <f>IF(COUNT(D226,E226)=2,D226*E226,NA())</f>
        <v>-721842541.11</v>
      </c>
      <c r="G226" s="2" t="s">
        <v>52</v>
      </c>
      <c r="H226" s="2" t="s">
        <v>53</v>
      </c>
      <c r="I226" s="2" t="s">
        <v>54</v>
      </c>
      <c r="J226" s="2" t="s">
        <v>55</v>
      </c>
      <c r="K226" s="2" t="s">
        <v>392</v>
      </c>
      <c r="L226" s="2" t="s">
        <v>56</v>
      </c>
      <c r="M226" s="2" t="s">
        <v>393</v>
      </c>
      <c r="N226" s="2" t="s">
        <v>58</v>
      </c>
      <c r="O226" s="2" t="s">
        <v>59</v>
      </c>
      <c r="P226" s="2" t="s">
        <v>742</v>
      </c>
      <c r="Q226" s="2" t="s">
        <v>743</v>
      </c>
      <c r="R226" s="2"/>
    </row>
    <row r="227" spans="1:18">
      <c r="A227" s="2" t="s">
        <v>744</v>
      </c>
      <c r="B227" s="2" t="s">
        <v>741</v>
      </c>
      <c r="C227" s="2" t="s">
        <v>551</v>
      </c>
      <c r="D227" s="2">
        <v>333170458.62</v>
      </c>
      <c r="E227" s="2">
        <v>1</v>
      </c>
      <c r="F227" s="3">
        <f>IF(COUNT(D227,E227)=2,D227*E227,NA())</f>
        <v>333170458.62</v>
      </c>
      <c r="G227" s="2" t="s">
        <v>52</v>
      </c>
      <c r="H227" s="2" t="s">
        <v>53</v>
      </c>
      <c r="I227" s="2" t="s">
        <v>54</v>
      </c>
      <c r="J227" s="2" t="s">
        <v>55</v>
      </c>
      <c r="K227" s="2" t="s">
        <v>397</v>
      </c>
      <c r="L227" s="2" t="s">
        <v>63</v>
      </c>
      <c r="M227" s="2" t="s">
        <v>393</v>
      </c>
      <c r="N227" s="2" t="s">
        <v>64</v>
      </c>
      <c r="O227" s="2" t="s">
        <v>59</v>
      </c>
      <c r="P227" s="2" t="s">
        <v>745</v>
      </c>
      <c r="Q227" s="2" t="s">
        <v>743</v>
      </c>
      <c r="R227" s="2"/>
    </row>
    <row r="228" spans="1:18">
      <c r="A228" s="2" t="s">
        <v>746</v>
      </c>
      <c r="B228" s="2" t="s">
        <v>747</v>
      </c>
      <c r="C228" s="2" t="s">
        <v>748</v>
      </c>
      <c r="D228" s="2">
        <v>1607718678.61</v>
      </c>
      <c r="E228" s="2">
        <v>1</v>
      </c>
      <c r="F228" s="3">
        <f>IF(COUNT(D228,E228)=2,D228*E228,NA())</f>
        <v>1607718678.61</v>
      </c>
      <c r="G228" s="2" t="s">
        <v>52</v>
      </c>
      <c r="H228" s="2" t="s">
        <v>53</v>
      </c>
      <c r="I228" s="2" t="s">
        <v>54</v>
      </c>
      <c r="J228" s="2" t="s">
        <v>55</v>
      </c>
      <c r="K228" s="2"/>
      <c r="L228" s="2" t="s">
        <v>56</v>
      </c>
      <c r="M228" s="2" t="s">
        <v>57</v>
      </c>
      <c r="N228" s="2" t="s">
        <v>58</v>
      </c>
      <c r="O228" s="2" t="s">
        <v>59</v>
      </c>
      <c r="P228" s="2" t="s">
        <v>749</v>
      </c>
      <c r="Q228" s="2" t="s">
        <v>750</v>
      </c>
      <c r="R228" s="2"/>
    </row>
    <row r="229" spans="1:18">
      <c r="A229" s="2" t="s">
        <v>751</v>
      </c>
      <c r="B229" s="2" t="s">
        <v>747</v>
      </c>
      <c r="C229" s="2" t="s">
        <v>748</v>
      </c>
      <c r="D229" s="2">
        <v>2329561219.72</v>
      </c>
      <c r="E229" s="2">
        <v>1</v>
      </c>
      <c r="F229" s="3">
        <f>IF(COUNT(D229,E229)=2,D229*E229,NA())</f>
        <v>2329561219.72</v>
      </c>
      <c r="G229" s="2" t="s">
        <v>52</v>
      </c>
      <c r="H229" s="2" t="s">
        <v>53</v>
      </c>
      <c r="I229" s="2" t="s">
        <v>54</v>
      </c>
      <c r="J229" s="2" t="s">
        <v>55</v>
      </c>
      <c r="K229" s="2"/>
      <c r="L229" s="2" t="s">
        <v>63</v>
      </c>
      <c r="M229" s="2" t="s">
        <v>57</v>
      </c>
      <c r="N229" s="2" t="s">
        <v>64</v>
      </c>
      <c r="O229" s="2" t="s">
        <v>59</v>
      </c>
      <c r="P229" s="2" t="s">
        <v>752</v>
      </c>
      <c r="Q229" s="2" t="s">
        <v>750</v>
      </c>
      <c r="R229" s="2"/>
    </row>
    <row r="230" spans="1:18">
      <c r="A230" s="2" t="s">
        <v>753</v>
      </c>
      <c r="B230" s="2" t="s">
        <v>754</v>
      </c>
      <c r="C230" s="2" t="s">
        <v>748</v>
      </c>
      <c r="D230" s="2">
        <v>711687547.01</v>
      </c>
      <c r="E230" s="2">
        <v>1</v>
      </c>
      <c r="F230" s="3">
        <f>IF(COUNT(D230,E230)=2,D230*E230,NA())</f>
        <v>711687547.01</v>
      </c>
      <c r="G230" s="2" t="s">
        <v>52</v>
      </c>
      <c r="H230" s="2" t="s">
        <v>53</v>
      </c>
      <c r="I230" s="2" t="s">
        <v>54</v>
      </c>
      <c r="J230" s="2" t="s">
        <v>55</v>
      </c>
      <c r="K230" s="2"/>
      <c r="L230" s="2" t="s">
        <v>56</v>
      </c>
      <c r="M230" s="2" t="s">
        <v>57</v>
      </c>
      <c r="N230" s="2" t="s">
        <v>58</v>
      </c>
      <c r="O230" s="2" t="s">
        <v>59</v>
      </c>
      <c r="P230" s="2" t="s">
        <v>755</v>
      </c>
      <c r="Q230" s="2" t="s">
        <v>756</v>
      </c>
      <c r="R230" s="2"/>
    </row>
    <row r="231" spans="1:18">
      <c r="A231" s="2" t="s">
        <v>757</v>
      </c>
      <c r="B231" s="2" t="s">
        <v>754</v>
      </c>
      <c r="C231" s="2" t="s">
        <v>748</v>
      </c>
      <c r="D231" s="2">
        <v>1086517625.11</v>
      </c>
      <c r="E231" s="2">
        <v>1</v>
      </c>
      <c r="F231" s="3">
        <f>IF(COUNT(D231,E231)=2,D231*E231,NA())</f>
        <v>1086517625.11</v>
      </c>
      <c r="G231" s="2" t="s">
        <v>52</v>
      </c>
      <c r="H231" s="2" t="s">
        <v>53</v>
      </c>
      <c r="I231" s="2" t="s">
        <v>54</v>
      </c>
      <c r="J231" s="2" t="s">
        <v>55</v>
      </c>
      <c r="K231" s="2"/>
      <c r="L231" s="2" t="s">
        <v>63</v>
      </c>
      <c r="M231" s="2" t="s">
        <v>57</v>
      </c>
      <c r="N231" s="2" t="s">
        <v>64</v>
      </c>
      <c r="O231" s="2" t="s">
        <v>59</v>
      </c>
      <c r="P231" s="2" t="s">
        <v>758</v>
      </c>
      <c r="Q231" s="2" t="s">
        <v>756</v>
      </c>
      <c r="R231" s="2"/>
    </row>
    <row r="232" spans="1:18">
      <c r="A232" s="2" t="s">
        <v>759</v>
      </c>
      <c r="B232" s="2" t="s">
        <v>760</v>
      </c>
      <c r="C232" s="2" t="s">
        <v>748</v>
      </c>
      <c r="D232" s="2">
        <v>15883847.54</v>
      </c>
      <c r="E232" s="2">
        <v>1</v>
      </c>
      <c r="F232" s="3">
        <f>IF(COUNT(D232,E232)=2,D232*E232,NA())</f>
        <v>15883847.54</v>
      </c>
      <c r="G232" s="2" t="s">
        <v>52</v>
      </c>
      <c r="H232" s="2" t="s">
        <v>53</v>
      </c>
      <c r="I232" s="2" t="s">
        <v>54</v>
      </c>
      <c r="J232" s="2" t="s">
        <v>55</v>
      </c>
      <c r="K232" s="2"/>
      <c r="L232" s="2" t="s">
        <v>56</v>
      </c>
      <c r="M232" s="2" t="s">
        <v>57</v>
      </c>
      <c r="N232" s="2" t="s">
        <v>58</v>
      </c>
      <c r="O232" s="2" t="s">
        <v>59</v>
      </c>
      <c r="P232" s="2" t="s">
        <v>761</v>
      </c>
      <c r="Q232" s="2" t="s">
        <v>762</v>
      </c>
      <c r="R232" s="2"/>
    </row>
    <row r="233" spans="1:18">
      <c r="A233" s="2" t="s">
        <v>763</v>
      </c>
      <c r="B233" s="2" t="s">
        <v>760</v>
      </c>
      <c r="C233" s="2" t="s">
        <v>748</v>
      </c>
      <c r="D233" s="2">
        <v>25198074.93</v>
      </c>
      <c r="E233" s="2">
        <v>1</v>
      </c>
      <c r="F233" s="3">
        <f>IF(COUNT(D233,E233)=2,D233*E233,NA())</f>
        <v>25198074.93</v>
      </c>
      <c r="G233" s="2" t="s">
        <v>52</v>
      </c>
      <c r="H233" s="2" t="s">
        <v>53</v>
      </c>
      <c r="I233" s="2" t="s">
        <v>54</v>
      </c>
      <c r="J233" s="2" t="s">
        <v>55</v>
      </c>
      <c r="K233" s="2"/>
      <c r="L233" s="2" t="s">
        <v>63</v>
      </c>
      <c r="M233" s="2" t="s">
        <v>57</v>
      </c>
      <c r="N233" s="2" t="s">
        <v>64</v>
      </c>
      <c r="O233" s="2" t="s">
        <v>59</v>
      </c>
      <c r="P233" s="2" t="s">
        <v>764</v>
      </c>
      <c r="Q233" s="2" t="s">
        <v>762</v>
      </c>
      <c r="R233" s="2"/>
    </row>
    <row r="234" spans="1:18">
      <c r="A234" s="2" t="s">
        <v>765</v>
      </c>
      <c r="B234" s="2" t="s">
        <v>766</v>
      </c>
      <c r="C234" s="2" t="s">
        <v>748</v>
      </c>
      <c r="D234" s="2">
        <v>423522048</v>
      </c>
      <c r="E234" s="2">
        <v>1</v>
      </c>
      <c r="F234" s="3">
        <f>IF(COUNT(D234,E234)=2,D234*E234,NA())</f>
        <v>423522048.0</v>
      </c>
      <c r="G234" s="2" t="s">
        <v>52</v>
      </c>
      <c r="H234" s="2" t="s">
        <v>53</v>
      </c>
      <c r="I234" s="2" t="s">
        <v>54</v>
      </c>
      <c r="J234" s="2" t="s">
        <v>55</v>
      </c>
      <c r="K234" s="2"/>
      <c r="L234" s="2" t="s">
        <v>56</v>
      </c>
      <c r="M234" s="2" t="s">
        <v>57</v>
      </c>
      <c r="N234" s="2" t="s">
        <v>58</v>
      </c>
      <c r="O234" s="2" t="s">
        <v>59</v>
      </c>
      <c r="P234" s="2" t="s">
        <v>767</v>
      </c>
      <c r="Q234" s="2" t="s">
        <v>768</v>
      </c>
      <c r="R234" s="2"/>
    </row>
    <row r="235" spans="1:18">
      <c r="A235" s="2" t="s">
        <v>769</v>
      </c>
      <c r="B235" s="2" t="s">
        <v>766</v>
      </c>
      <c r="C235" s="2" t="s">
        <v>748</v>
      </c>
      <c r="D235" s="2">
        <v>582826000</v>
      </c>
      <c r="E235" s="2">
        <v>1</v>
      </c>
      <c r="F235" s="3">
        <f>IF(COUNT(D235,E235)=2,D235*E235,NA())</f>
        <v>582826000.0</v>
      </c>
      <c r="G235" s="2" t="s">
        <v>52</v>
      </c>
      <c r="H235" s="2" t="s">
        <v>53</v>
      </c>
      <c r="I235" s="2" t="s">
        <v>54</v>
      </c>
      <c r="J235" s="2" t="s">
        <v>55</v>
      </c>
      <c r="K235" s="2"/>
      <c r="L235" s="2" t="s">
        <v>63</v>
      </c>
      <c r="M235" s="2" t="s">
        <v>57</v>
      </c>
      <c r="N235" s="2" t="s">
        <v>64</v>
      </c>
      <c r="O235" s="2" t="s">
        <v>59</v>
      </c>
      <c r="P235" s="2" t="s">
        <v>770</v>
      </c>
      <c r="Q235" s="2" t="s">
        <v>768</v>
      </c>
      <c r="R235" s="2"/>
    </row>
    <row r="236" spans="1:18">
      <c r="A236" s="2" t="s">
        <v>771</v>
      </c>
      <c r="B236" s="2" t="s">
        <v>772</v>
      </c>
      <c r="C236" s="2" t="s">
        <v>748</v>
      </c>
      <c r="D236" s="2">
        <v>19327216.39</v>
      </c>
      <c r="E236" s="2">
        <v>1</v>
      </c>
      <c r="F236" s="3">
        <f>IF(COUNT(D236,E236)=2,D236*E236,NA())</f>
        <v>19327216.39</v>
      </c>
      <c r="G236" s="2" t="s">
        <v>52</v>
      </c>
      <c r="H236" s="2" t="s">
        <v>53</v>
      </c>
      <c r="I236" s="2" t="s">
        <v>54</v>
      </c>
      <c r="J236" s="2" t="s">
        <v>55</v>
      </c>
      <c r="K236" s="2"/>
      <c r="L236" s="2" t="s">
        <v>56</v>
      </c>
      <c r="M236" s="2" t="s">
        <v>57</v>
      </c>
      <c r="N236" s="2" t="s">
        <v>58</v>
      </c>
      <c r="O236" s="2" t="s">
        <v>59</v>
      </c>
      <c r="P236" s="2" t="s">
        <v>773</v>
      </c>
      <c r="Q236" s="2" t="s">
        <v>774</v>
      </c>
      <c r="R236" s="2"/>
    </row>
    <row r="237" spans="1:18">
      <c r="A237" s="2" t="s">
        <v>775</v>
      </c>
      <c r="B237" s="2" t="s">
        <v>772</v>
      </c>
      <c r="C237" s="2" t="s">
        <v>748</v>
      </c>
      <c r="D237" s="2">
        <v>15284768.1</v>
      </c>
      <c r="E237" s="2">
        <v>1</v>
      </c>
      <c r="F237" s="3">
        <f>IF(COUNT(D237,E237)=2,D237*E237,NA())</f>
        <v>15284768.1</v>
      </c>
      <c r="G237" s="2" t="s">
        <v>52</v>
      </c>
      <c r="H237" s="2" t="s">
        <v>53</v>
      </c>
      <c r="I237" s="2" t="s">
        <v>54</v>
      </c>
      <c r="J237" s="2" t="s">
        <v>55</v>
      </c>
      <c r="K237" s="2"/>
      <c r="L237" s="2" t="s">
        <v>63</v>
      </c>
      <c r="M237" s="2" t="s">
        <v>57</v>
      </c>
      <c r="N237" s="2" t="s">
        <v>64</v>
      </c>
      <c r="O237" s="2" t="s">
        <v>59</v>
      </c>
      <c r="P237" s="2" t="s">
        <v>776</v>
      </c>
      <c r="Q237" s="2" t="s">
        <v>774</v>
      </c>
      <c r="R237" s="2"/>
    </row>
    <row r="238" spans="1:18">
      <c r="A238" s="2" t="s">
        <v>777</v>
      </c>
      <c r="B238" s="2" t="s">
        <v>778</v>
      </c>
      <c r="C238" s="2" t="s">
        <v>748</v>
      </c>
      <c r="D238" s="2">
        <v>194673433.05</v>
      </c>
      <c r="E238" s="2">
        <v>1</v>
      </c>
      <c r="F238" s="3">
        <f>IF(COUNT(D238,E238)=2,D238*E238,NA())</f>
        <v>194673433.05</v>
      </c>
      <c r="G238" s="2" t="s">
        <v>52</v>
      </c>
      <c r="H238" s="2" t="s">
        <v>53</v>
      </c>
      <c r="I238" s="2" t="s">
        <v>54</v>
      </c>
      <c r="J238" s="2" t="s">
        <v>55</v>
      </c>
      <c r="K238" s="2"/>
      <c r="L238" s="2" t="s">
        <v>56</v>
      </c>
      <c r="M238" s="2" t="s">
        <v>57</v>
      </c>
      <c r="N238" s="2" t="s">
        <v>58</v>
      </c>
      <c r="O238" s="2" t="s">
        <v>59</v>
      </c>
      <c r="P238" s="2" t="s">
        <v>779</v>
      </c>
      <c r="Q238" s="2" t="s">
        <v>780</v>
      </c>
      <c r="R238" s="2"/>
    </row>
    <row r="239" spans="1:18">
      <c r="A239" s="2" t="s">
        <v>781</v>
      </c>
      <c r="B239" s="2" t="s">
        <v>778</v>
      </c>
      <c r="C239" s="2" t="s">
        <v>748</v>
      </c>
      <c r="D239" s="2">
        <v>391553468.37</v>
      </c>
      <c r="E239" s="2">
        <v>1</v>
      </c>
      <c r="F239" s="3">
        <f>IF(COUNT(D239,E239)=2,D239*E239,NA())</f>
        <v>391553468.37</v>
      </c>
      <c r="G239" s="2" t="s">
        <v>52</v>
      </c>
      <c r="H239" s="2" t="s">
        <v>53</v>
      </c>
      <c r="I239" s="2" t="s">
        <v>54</v>
      </c>
      <c r="J239" s="2" t="s">
        <v>55</v>
      </c>
      <c r="K239" s="2"/>
      <c r="L239" s="2" t="s">
        <v>63</v>
      </c>
      <c r="M239" s="2" t="s">
        <v>57</v>
      </c>
      <c r="N239" s="2" t="s">
        <v>64</v>
      </c>
      <c r="O239" s="2" t="s">
        <v>59</v>
      </c>
      <c r="P239" s="2" t="s">
        <v>782</v>
      </c>
      <c r="Q239" s="2" t="s">
        <v>780</v>
      </c>
      <c r="R239" s="2"/>
    </row>
    <row r="240" spans="1:18">
      <c r="A240" s="2" t="s">
        <v>783</v>
      </c>
      <c r="B240" s="2" t="s">
        <v>784</v>
      </c>
      <c r="C240" s="2" t="s">
        <v>748</v>
      </c>
      <c r="D240" s="2">
        <v>57563270</v>
      </c>
      <c r="E240" s="2">
        <v>1</v>
      </c>
      <c r="F240" s="3">
        <f>IF(COUNT(D240,E240)=2,D240*E240,NA())</f>
        <v>57563270.0</v>
      </c>
      <c r="G240" s="2" t="s">
        <v>52</v>
      </c>
      <c r="H240" s="2" t="s">
        <v>53</v>
      </c>
      <c r="I240" s="2" t="s">
        <v>54</v>
      </c>
      <c r="J240" s="2" t="s">
        <v>55</v>
      </c>
      <c r="K240" s="2"/>
      <c r="L240" s="2" t="s">
        <v>56</v>
      </c>
      <c r="M240" s="2" t="s">
        <v>57</v>
      </c>
      <c r="N240" s="2" t="s">
        <v>58</v>
      </c>
      <c r="O240" s="2" t="s">
        <v>59</v>
      </c>
      <c r="P240" s="2" t="s">
        <v>785</v>
      </c>
      <c r="Q240" s="2" t="s">
        <v>786</v>
      </c>
      <c r="R240" s="2"/>
    </row>
    <row r="241" spans="1:18">
      <c r="A241" s="2" t="s">
        <v>787</v>
      </c>
      <c r="B241" s="2" t="s">
        <v>784</v>
      </c>
      <c r="C241" s="2" t="s">
        <v>748</v>
      </c>
      <c r="D241" s="2">
        <v>70937581.68000001</v>
      </c>
      <c r="E241" s="2">
        <v>1</v>
      </c>
      <c r="F241" s="3">
        <f>IF(COUNT(D241,E241)=2,D241*E241,NA())</f>
        <v>70937581.68</v>
      </c>
      <c r="G241" s="2" t="s">
        <v>52</v>
      </c>
      <c r="H241" s="2" t="s">
        <v>53</v>
      </c>
      <c r="I241" s="2" t="s">
        <v>54</v>
      </c>
      <c r="J241" s="2" t="s">
        <v>55</v>
      </c>
      <c r="K241" s="2"/>
      <c r="L241" s="2" t="s">
        <v>63</v>
      </c>
      <c r="M241" s="2" t="s">
        <v>57</v>
      </c>
      <c r="N241" s="2" t="s">
        <v>64</v>
      </c>
      <c r="O241" s="2" t="s">
        <v>59</v>
      </c>
      <c r="P241" s="2" t="s">
        <v>788</v>
      </c>
      <c r="Q241" s="2" t="s">
        <v>786</v>
      </c>
      <c r="R241" s="2"/>
    </row>
    <row r="242" spans="1:18">
      <c r="A242" s="2" t="s">
        <v>789</v>
      </c>
      <c r="B242" s="2" t="s">
        <v>790</v>
      </c>
      <c r="C242" s="2" t="s">
        <v>748</v>
      </c>
      <c r="D242" s="2">
        <v>649732.03</v>
      </c>
      <c r="E242" s="2">
        <v>1</v>
      </c>
      <c r="F242" s="3">
        <f>IF(COUNT(D242,E242)=2,D242*E242,NA())</f>
        <v>649732.03</v>
      </c>
      <c r="G242" s="2" t="s">
        <v>52</v>
      </c>
      <c r="H242" s="2" t="s">
        <v>53</v>
      </c>
      <c r="I242" s="2" t="s">
        <v>54</v>
      </c>
      <c r="J242" s="2" t="s">
        <v>55</v>
      </c>
      <c r="K242" s="2"/>
      <c r="L242" s="2" t="s">
        <v>56</v>
      </c>
      <c r="M242" s="2" t="s">
        <v>57</v>
      </c>
      <c r="N242" s="2" t="s">
        <v>58</v>
      </c>
      <c r="O242" s="2" t="s">
        <v>59</v>
      </c>
      <c r="P242" s="2" t="s">
        <v>791</v>
      </c>
      <c r="Q242" s="2" t="s">
        <v>792</v>
      </c>
      <c r="R242" s="2"/>
    </row>
    <row r="243" spans="1:18">
      <c r="A243" s="2" t="s">
        <v>793</v>
      </c>
      <c r="B243" s="2" t="s">
        <v>790</v>
      </c>
      <c r="C243" s="2" t="s">
        <v>748</v>
      </c>
      <c r="D243" s="2">
        <v>649732.03</v>
      </c>
      <c r="E243" s="2">
        <v>1</v>
      </c>
      <c r="F243" s="3">
        <f>IF(COUNT(D243,E243)=2,D243*E243,NA())</f>
        <v>649732.03</v>
      </c>
      <c r="G243" s="2" t="s">
        <v>52</v>
      </c>
      <c r="H243" s="2" t="s">
        <v>53</v>
      </c>
      <c r="I243" s="2" t="s">
        <v>54</v>
      </c>
      <c r="J243" s="2" t="s">
        <v>55</v>
      </c>
      <c r="K243" s="2"/>
      <c r="L243" s="2" t="s">
        <v>63</v>
      </c>
      <c r="M243" s="2" t="s">
        <v>57</v>
      </c>
      <c r="N243" s="2" t="s">
        <v>64</v>
      </c>
      <c r="O243" s="2" t="s">
        <v>59</v>
      </c>
      <c r="P243" s="2" t="s">
        <v>794</v>
      </c>
      <c r="Q243" s="2" t="s">
        <v>792</v>
      </c>
      <c r="R243" s="2"/>
    </row>
    <row r="244" spans="1:18">
      <c r="A244" s="2" t="s">
        <v>795</v>
      </c>
      <c r="B244" s="2" t="s">
        <v>796</v>
      </c>
      <c r="C244" s="2" t="s">
        <v>748</v>
      </c>
      <c r="D244" s="2">
        <v>68000</v>
      </c>
      <c r="E244" s="2">
        <v>1</v>
      </c>
      <c r="F244" s="3">
        <f>IF(COUNT(D244,E244)=2,D244*E244,NA())</f>
        <v>68000.0</v>
      </c>
      <c r="G244" s="2" t="s">
        <v>52</v>
      </c>
      <c r="H244" s="2" t="s">
        <v>53</v>
      </c>
      <c r="I244" s="2" t="s">
        <v>54</v>
      </c>
      <c r="J244" s="2" t="s">
        <v>55</v>
      </c>
      <c r="K244" s="2"/>
      <c r="L244" s="2" t="s">
        <v>56</v>
      </c>
      <c r="M244" s="2" t="s">
        <v>57</v>
      </c>
      <c r="N244" s="2" t="s">
        <v>58</v>
      </c>
      <c r="O244" s="2" t="s">
        <v>59</v>
      </c>
      <c r="P244" s="2" t="s">
        <v>797</v>
      </c>
      <c r="Q244" s="2" t="s">
        <v>798</v>
      </c>
      <c r="R244" s="2"/>
    </row>
    <row r="245" spans="1:18">
      <c r="A245" s="2" t="s">
        <v>799</v>
      </c>
      <c r="B245" s="2" t="s">
        <v>796</v>
      </c>
      <c r="C245" s="2" t="s">
        <v>748</v>
      </c>
      <c r="D245" s="2">
        <v>68000</v>
      </c>
      <c r="E245" s="2">
        <v>1</v>
      </c>
      <c r="F245" s="3">
        <f>IF(COUNT(D245,E245)=2,D245*E245,NA())</f>
        <v>68000.0</v>
      </c>
      <c r="G245" s="2" t="s">
        <v>52</v>
      </c>
      <c r="H245" s="2" t="s">
        <v>53</v>
      </c>
      <c r="I245" s="2" t="s">
        <v>54</v>
      </c>
      <c r="J245" s="2" t="s">
        <v>55</v>
      </c>
      <c r="K245" s="2"/>
      <c r="L245" s="2" t="s">
        <v>63</v>
      </c>
      <c r="M245" s="2" t="s">
        <v>57</v>
      </c>
      <c r="N245" s="2" t="s">
        <v>64</v>
      </c>
      <c r="O245" s="2" t="s">
        <v>59</v>
      </c>
      <c r="P245" s="2" t="s">
        <v>800</v>
      </c>
      <c r="Q245" s="2" t="s">
        <v>798</v>
      </c>
      <c r="R245" s="2"/>
    </row>
    <row r="246" spans="1:18">
      <c r="A246" s="2" t="s">
        <v>801</v>
      </c>
      <c r="B246" s="2" t="s">
        <v>802</v>
      </c>
      <c r="C246" s="2" t="s">
        <v>748</v>
      </c>
      <c r="D246" s="2">
        <v>38944902.32</v>
      </c>
      <c r="E246" s="2">
        <v>1</v>
      </c>
      <c r="F246" s="3">
        <f>IF(COUNT(D246,E246)=2,D246*E246,NA())</f>
        <v>38944902.32</v>
      </c>
      <c r="G246" s="2" t="s">
        <v>52</v>
      </c>
      <c r="H246" s="2" t="s">
        <v>53</v>
      </c>
      <c r="I246" s="2" t="s">
        <v>54</v>
      </c>
      <c r="J246" s="2" t="s">
        <v>55</v>
      </c>
      <c r="K246" s="2"/>
      <c r="L246" s="2" t="s">
        <v>56</v>
      </c>
      <c r="M246" s="2" t="s">
        <v>57</v>
      </c>
      <c r="N246" s="2" t="s">
        <v>58</v>
      </c>
      <c r="O246" s="2" t="s">
        <v>59</v>
      </c>
      <c r="P246" s="2" t="s">
        <v>803</v>
      </c>
      <c r="Q246" s="2" t="s">
        <v>804</v>
      </c>
      <c r="R246" s="2"/>
    </row>
    <row r="247" spans="1:18">
      <c r="A247" s="2" t="s">
        <v>805</v>
      </c>
      <c r="B247" s="2" t="s">
        <v>802</v>
      </c>
      <c r="C247" s="2" t="s">
        <v>748</v>
      </c>
      <c r="D247" s="2">
        <v>57156478.42</v>
      </c>
      <c r="E247" s="2">
        <v>1</v>
      </c>
      <c r="F247" s="3">
        <f>IF(COUNT(D247,E247)=2,D247*E247,NA())</f>
        <v>57156478.42</v>
      </c>
      <c r="G247" s="2" t="s">
        <v>52</v>
      </c>
      <c r="H247" s="2" t="s">
        <v>53</v>
      </c>
      <c r="I247" s="2" t="s">
        <v>54</v>
      </c>
      <c r="J247" s="2" t="s">
        <v>55</v>
      </c>
      <c r="K247" s="2"/>
      <c r="L247" s="2" t="s">
        <v>63</v>
      </c>
      <c r="M247" s="2" t="s">
        <v>57</v>
      </c>
      <c r="N247" s="2" t="s">
        <v>64</v>
      </c>
      <c r="O247" s="2" t="s">
        <v>59</v>
      </c>
      <c r="P247" s="2" t="s">
        <v>806</v>
      </c>
      <c r="Q247" s="2" t="s">
        <v>804</v>
      </c>
      <c r="R247" s="2"/>
    </row>
    <row r="248" spans="1:18">
      <c r="A248" s="2" t="s">
        <v>807</v>
      </c>
      <c r="B248" s="2" t="s">
        <v>808</v>
      </c>
      <c r="C248" s="2" t="s">
        <v>748</v>
      </c>
      <c r="D248" s="2">
        <v>899782875.8200001</v>
      </c>
      <c r="E248" s="2">
        <v>1</v>
      </c>
      <c r="F248" s="3">
        <f>IF(COUNT(D248,E248)=2,D248*E248,NA())</f>
        <v>899782875.82</v>
      </c>
      <c r="G248" s="2" t="s">
        <v>52</v>
      </c>
      <c r="H248" s="2" t="s">
        <v>53</v>
      </c>
      <c r="I248" s="2" t="s">
        <v>54</v>
      </c>
      <c r="J248" s="2" t="s">
        <v>55</v>
      </c>
      <c r="K248" s="2"/>
      <c r="L248" s="2" t="s">
        <v>56</v>
      </c>
      <c r="M248" s="2" t="s">
        <v>57</v>
      </c>
      <c r="N248" s="2" t="s">
        <v>58</v>
      </c>
      <c r="O248" s="2" t="s">
        <v>59</v>
      </c>
      <c r="P248" s="2" t="s">
        <v>809</v>
      </c>
      <c r="Q248" s="2" t="s">
        <v>810</v>
      </c>
      <c r="R248" s="2"/>
    </row>
    <row r="249" spans="1:18">
      <c r="A249" s="2" t="s">
        <v>811</v>
      </c>
      <c r="B249" s="2" t="s">
        <v>808</v>
      </c>
      <c r="C249" s="2" t="s">
        <v>748</v>
      </c>
      <c r="D249" s="2">
        <v>1267388320.38</v>
      </c>
      <c r="E249" s="2">
        <v>1</v>
      </c>
      <c r="F249" s="3">
        <f>IF(COUNT(D249,E249)=2,D249*E249,NA())</f>
        <v>1267388320.38</v>
      </c>
      <c r="G249" s="2" t="s">
        <v>52</v>
      </c>
      <c r="H249" s="2" t="s">
        <v>53</v>
      </c>
      <c r="I249" s="2" t="s">
        <v>54</v>
      </c>
      <c r="J249" s="2" t="s">
        <v>55</v>
      </c>
      <c r="K249" s="2"/>
      <c r="L249" s="2" t="s">
        <v>63</v>
      </c>
      <c r="M249" s="2" t="s">
        <v>57</v>
      </c>
      <c r="N249" s="2" t="s">
        <v>64</v>
      </c>
      <c r="O249" s="2" t="s">
        <v>59</v>
      </c>
      <c r="P249" s="2" t="s">
        <v>812</v>
      </c>
      <c r="Q249" s="2" t="s">
        <v>810</v>
      </c>
      <c r="R249" s="2"/>
    </row>
    <row r="250" spans="1:18">
      <c r="A250" s="2" t="s">
        <v>813</v>
      </c>
      <c r="B250" s="2" t="s">
        <v>814</v>
      </c>
      <c r="C250" s="2" t="s">
        <v>551</v>
      </c>
      <c r="D250" s="2">
        <v>1996390761.1</v>
      </c>
      <c r="E250" s="2">
        <v>1</v>
      </c>
      <c r="F250" s="3">
        <f>IF(COUNT(D250,E250)=2,D250*E250,NA())</f>
        <v>1996390761.1</v>
      </c>
      <c r="G250" s="2" t="s">
        <v>52</v>
      </c>
      <c r="H250" s="2" t="s">
        <v>53</v>
      </c>
      <c r="I250" s="2" t="s">
        <v>54</v>
      </c>
      <c r="J250" s="2" t="s">
        <v>55</v>
      </c>
      <c r="K250" s="2"/>
      <c r="L250" s="2" t="s">
        <v>815</v>
      </c>
      <c r="M250" s="2" t="s">
        <v>57</v>
      </c>
      <c r="N250" s="2" t="s">
        <v>64</v>
      </c>
      <c r="O250" s="2" t="s">
        <v>59</v>
      </c>
      <c r="P250" s="2"/>
      <c r="Q250" s="2" t="s">
        <v>750</v>
      </c>
      <c r="R250" s="2"/>
    </row>
    <row r="251" spans="1:18">
      <c r="A251" s="2" t="s">
        <v>816</v>
      </c>
      <c r="B251" s="2" t="s">
        <v>817</v>
      </c>
      <c r="C251" s="2" t="s">
        <v>818</v>
      </c>
      <c r="D251" s="2">
        <v>406899970.48</v>
      </c>
      <c r="E251" s="2">
        <v>1</v>
      </c>
      <c r="F251" s="3">
        <f>IF(COUNT(D251,E251)=2,D251*E251,NA())</f>
        <v>406899970.48</v>
      </c>
      <c r="G251" s="2" t="s">
        <v>52</v>
      </c>
      <c r="H251" s="2" t="s">
        <v>53</v>
      </c>
      <c r="I251" s="2" t="s">
        <v>54</v>
      </c>
      <c r="J251" s="2" t="s">
        <v>55</v>
      </c>
      <c r="K251" s="2"/>
      <c r="L251" s="2" t="s">
        <v>56</v>
      </c>
      <c r="M251" s="2" t="s">
        <v>57</v>
      </c>
      <c r="N251" s="2" t="s">
        <v>58</v>
      </c>
      <c r="O251" s="2" t="s">
        <v>59</v>
      </c>
      <c r="P251" s="2" t="s">
        <v>819</v>
      </c>
      <c r="Q251" s="2" t="s">
        <v>820</v>
      </c>
      <c r="R251" s="2"/>
    </row>
    <row r="252" spans="1:18">
      <c r="A252" s="2" t="s">
        <v>821</v>
      </c>
      <c r="B252" s="2" t="s">
        <v>817</v>
      </c>
      <c r="C252" s="2" t="s">
        <v>818</v>
      </c>
      <c r="D252" s="2">
        <v>288396609.88</v>
      </c>
      <c r="E252" s="2">
        <v>1</v>
      </c>
      <c r="F252" s="3">
        <f>IF(COUNT(D252,E252)=2,D252*E252,NA())</f>
        <v>288396609.88</v>
      </c>
      <c r="G252" s="2" t="s">
        <v>52</v>
      </c>
      <c r="H252" s="2" t="s">
        <v>53</v>
      </c>
      <c r="I252" s="2" t="s">
        <v>54</v>
      </c>
      <c r="J252" s="2" t="s">
        <v>55</v>
      </c>
      <c r="K252" s="2"/>
      <c r="L252" s="2" t="s">
        <v>63</v>
      </c>
      <c r="M252" s="2" t="s">
        <v>57</v>
      </c>
      <c r="N252" s="2" t="s">
        <v>64</v>
      </c>
      <c r="O252" s="2" t="s">
        <v>59</v>
      </c>
      <c r="P252" s="2" t="s">
        <v>822</v>
      </c>
      <c r="Q252" s="2" t="s">
        <v>820</v>
      </c>
      <c r="R252" s="2"/>
    </row>
    <row r="253" spans="1:18">
      <c r="A253" s="2" t="s">
        <v>823</v>
      </c>
      <c r="B253" s="2" t="s">
        <v>824</v>
      </c>
      <c r="C253" s="2" t="s">
        <v>818</v>
      </c>
      <c r="D253" s="2">
        <v>11001813.71</v>
      </c>
      <c r="E253" s="2">
        <v>1</v>
      </c>
      <c r="F253" s="3">
        <f>IF(COUNT(D253,E253)=2,D253*E253,NA())</f>
        <v>11001813.71</v>
      </c>
      <c r="G253" s="2" t="s">
        <v>52</v>
      </c>
      <c r="H253" s="2" t="s">
        <v>53</v>
      </c>
      <c r="I253" s="2" t="s">
        <v>54</v>
      </c>
      <c r="J253" s="2" t="s">
        <v>55</v>
      </c>
      <c r="K253" s="2"/>
      <c r="L253" s="2" t="s">
        <v>56</v>
      </c>
      <c r="M253" s="2" t="s">
        <v>57</v>
      </c>
      <c r="N253" s="2" t="s">
        <v>58</v>
      </c>
      <c r="O253" s="2" t="s">
        <v>59</v>
      </c>
      <c r="P253" s="2" t="s">
        <v>825</v>
      </c>
      <c r="Q253" s="2" t="s">
        <v>826</v>
      </c>
      <c r="R253" s="2"/>
    </row>
    <row r="254" spans="1:18">
      <c r="A254" s="2" t="s">
        <v>827</v>
      </c>
      <c r="B254" s="2" t="s">
        <v>824</v>
      </c>
      <c r="C254" s="2" t="s">
        <v>818</v>
      </c>
      <c r="D254" s="2">
        <v>6443340.52</v>
      </c>
      <c r="E254" s="2">
        <v>1</v>
      </c>
      <c r="F254" s="3">
        <f>IF(COUNT(D254,E254)=2,D254*E254,NA())</f>
        <v>6443340.52</v>
      </c>
      <c r="G254" s="2" t="s">
        <v>52</v>
      </c>
      <c r="H254" s="2" t="s">
        <v>53</v>
      </c>
      <c r="I254" s="2" t="s">
        <v>54</v>
      </c>
      <c r="J254" s="2" t="s">
        <v>55</v>
      </c>
      <c r="K254" s="2"/>
      <c r="L254" s="2" t="s">
        <v>63</v>
      </c>
      <c r="M254" s="2" t="s">
        <v>57</v>
      </c>
      <c r="N254" s="2" t="s">
        <v>64</v>
      </c>
      <c r="O254" s="2" t="s">
        <v>59</v>
      </c>
      <c r="P254" s="2" t="s">
        <v>828</v>
      </c>
      <c r="Q254" s="2" t="s">
        <v>826</v>
      </c>
      <c r="R254" s="2"/>
    </row>
    <row r="255" spans="1:18">
      <c r="A255" s="2" t="s">
        <v>829</v>
      </c>
      <c r="B255" s="2" t="s">
        <v>830</v>
      </c>
      <c r="C255" s="2" t="s">
        <v>818</v>
      </c>
      <c r="D255" s="2">
        <v>17792864.1</v>
      </c>
      <c r="E255" s="2">
        <v>1</v>
      </c>
      <c r="F255" s="3">
        <f>IF(COUNT(D255,E255)=2,D255*E255,NA())</f>
        <v>17792864.1</v>
      </c>
      <c r="G255" s="2" t="s">
        <v>52</v>
      </c>
      <c r="H255" s="2" t="s">
        <v>53</v>
      </c>
      <c r="I255" s="2" t="s">
        <v>54</v>
      </c>
      <c r="J255" s="2" t="s">
        <v>55</v>
      </c>
      <c r="K255" s="2"/>
      <c r="L255" s="2" t="s">
        <v>63</v>
      </c>
      <c r="M255" s="2" t="s">
        <v>57</v>
      </c>
      <c r="N255" s="2" t="s">
        <v>64</v>
      </c>
      <c r="O255" s="2" t="s">
        <v>59</v>
      </c>
      <c r="P255" s="2" t="s">
        <v>831</v>
      </c>
      <c r="Q255" s="2" t="s">
        <v>832</v>
      </c>
      <c r="R255" s="2"/>
    </row>
    <row r="256" spans="1:18">
      <c r="A256" s="2" t="s">
        <v>833</v>
      </c>
      <c r="B256" s="2" t="s">
        <v>834</v>
      </c>
      <c r="C256" s="2" t="s">
        <v>818</v>
      </c>
      <c r="D256" s="2">
        <v>22530890.53</v>
      </c>
      <c r="E256" s="2">
        <v>1</v>
      </c>
      <c r="F256" s="3">
        <f>IF(COUNT(D256,E256)=2,D256*E256,NA())</f>
        <v>22530890.53</v>
      </c>
      <c r="G256" s="2" t="s">
        <v>52</v>
      </c>
      <c r="H256" s="2" t="s">
        <v>53</v>
      </c>
      <c r="I256" s="2" t="s">
        <v>54</v>
      </c>
      <c r="J256" s="2" t="s">
        <v>55</v>
      </c>
      <c r="K256" s="2"/>
      <c r="L256" s="2" t="s">
        <v>56</v>
      </c>
      <c r="M256" s="2" t="s">
        <v>57</v>
      </c>
      <c r="N256" s="2" t="s">
        <v>58</v>
      </c>
      <c r="O256" s="2" t="s">
        <v>59</v>
      </c>
      <c r="P256" s="2" t="s">
        <v>835</v>
      </c>
      <c r="Q256" s="2" t="s">
        <v>836</v>
      </c>
      <c r="R256" s="2"/>
    </row>
    <row r="257" spans="1:18">
      <c r="A257" s="2" t="s">
        <v>837</v>
      </c>
      <c r="B257" s="2" t="s">
        <v>834</v>
      </c>
      <c r="C257" s="2" t="s">
        <v>818</v>
      </c>
      <c r="D257" s="2">
        <v>14908045.35</v>
      </c>
      <c r="E257" s="2">
        <v>1</v>
      </c>
      <c r="F257" s="3">
        <f>IF(COUNT(D257,E257)=2,D257*E257,NA())</f>
        <v>14908045.35</v>
      </c>
      <c r="G257" s="2" t="s">
        <v>52</v>
      </c>
      <c r="H257" s="2" t="s">
        <v>53</v>
      </c>
      <c r="I257" s="2" t="s">
        <v>54</v>
      </c>
      <c r="J257" s="2" t="s">
        <v>55</v>
      </c>
      <c r="K257" s="2"/>
      <c r="L257" s="2" t="s">
        <v>63</v>
      </c>
      <c r="M257" s="2" t="s">
        <v>57</v>
      </c>
      <c r="N257" s="2" t="s">
        <v>64</v>
      </c>
      <c r="O257" s="2" t="s">
        <v>59</v>
      </c>
      <c r="P257" s="2" t="s">
        <v>838</v>
      </c>
      <c r="Q257" s="2" t="s">
        <v>836</v>
      </c>
      <c r="R257" s="2"/>
    </row>
    <row r="258" spans="1:18">
      <c r="A258" s="2" t="s">
        <v>839</v>
      </c>
      <c r="B258" s="2" t="s">
        <v>840</v>
      </c>
      <c r="C258" s="2" t="s">
        <v>818</v>
      </c>
      <c r="D258" s="2">
        <v>1803643.83</v>
      </c>
      <c r="E258" s="2">
        <v>1</v>
      </c>
      <c r="F258" s="3">
        <f>IF(COUNT(D258,E258)=2,D258*E258,NA())</f>
        <v>1803643.83</v>
      </c>
      <c r="G258" s="2" t="s">
        <v>52</v>
      </c>
      <c r="H258" s="2" t="s">
        <v>53</v>
      </c>
      <c r="I258" s="2" t="s">
        <v>54</v>
      </c>
      <c r="J258" s="2" t="s">
        <v>55</v>
      </c>
      <c r="K258" s="2"/>
      <c r="L258" s="2" t="s">
        <v>56</v>
      </c>
      <c r="M258" s="2" t="s">
        <v>57</v>
      </c>
      <c r="N258" s="2" t="s">
        <v>58</v>
      </c>
      <c r="O258" s="2" t="s">
        <v>59</v>
      </c>
      <c r="P258" s="2" t="s">
        <v>841</v>
      </c>
      <c r="Q258" s="2" t="s">
        <v>842</v>
      </c>
      <c r="R258" s="2"/>
    </row>
    <row r="259" spans="1:18">
      <c r="A259" s="2" t="s">
        <v>843</v>
      </c>
      <c r="B259" s="2" t="s">
        <v>840</v>
      </c>
      <c r="C259" s="2" t="s">
        <v>818</v>
      </c>
      <c r="D259" s="2">
        <v>10000000</v>
      </c>
      <c r="E259" s="2">
        <v>1</v>
      </c>
      <c r="F259" s="3">
        <f>IF(COUNT(D259,E259)=2,D259*E259,NA())</f>
        <v>10000000.0</v>
      </c>
      <c r="G259" s="2" t="s">
        <v>52</v>
      </c>
      <c r="H259" s="2" t="s">
        <v>53</v>
      </c>
      <c r="I259" s="2" t="s">
        <v>54</v>
      </c>
      <c r="J259" s="2" t="s">
        <v>55</v>
      </c>
      <c r="K259" s="2"/>
      <c r="L259" s="2" t="s">
        <v>63</v>
      </c>
      <c r="M259" s="2" t="s">
        <v>57</v>
      </c>
      <c r="N259" s="2" t="s">
        <v>64</v>
      </c>
      <c r="O259" s="2" t="s">
        <v>59</v>
      </c>
      <c r="P259" s="2" t="s">
        <v>844</v>
      </c>
      <c r="Q259" s="2" t="s">
        <v>842</v>
      </c>
      <c r="R259" s="2"/>
    </row>
    <row r="260" spans="1:18">
      <c r="A260" s="2" t="s">
        <v>845</v>
      </c>
      <c r="B260" s="2" t="s">
        <v>846</v>
      </c>
      <c r="C260" s="2" t="s">
        <v>818</v>
      </c>
      <c r="D260" s="2">
        <v>366141565.74</v>
      </c>
      <c r="E260" s="2">
        <v>1</v>
      </c>
      <c r="F260" s="3">
        <f>IF(COUNT(D260,E260)=2,D260*E260,NA())</f>
        <v>366141565.74</v>
      </c>
      <c r="G260" s="2" t="s">
        <v>52</v>
      </c>
      <c r="H260" s="2" t="s">
        <v>53</v>
      </c>
      <c r="I260" s="2" t="s">
        <v>54</v>
      </c>
      <c r="J260" s="2" t="s">
        <v>55</v>
      </c>
      <c r="K260" s="2"/>
      <c r="L260" s="2" t="s">
        <v>56</v>
      </c>
      <c r="M260" s="2" t="s">
        <v>57</v>
      </c>
      <c r="N260" s="2" t="s">
        <v>58</v>
      </c>
      <c r="O260" s="2" t="s">
        <v>59</v>
      </c>
      <c r="P260" s="2" t="s">
        <v>847</v>
      </c>
      <c r="Q260" s="2" t="s">
        <v>848</v>
      </c>
      <c r="R260" s="2"/>
    </row>
    <row r="261" spans="1:18">
      <c r="A261" s="2" t="s">
        <v>849</v>
      </c>
      <c r="B261" s="2" t="s">
        <v>846</v>
      </c>
      <c r="C261" s="2" t="s">
        <v>818</v>
      </c>
      <c r="D261" s="2">
        <v>289472862.3</v>
      </c>
      <c r="E261" s="2">
        <v>1</v>
      </c>
      <c r="F261" s="3">
        <f>IF(COUNT(D261,E261)=2,D261*E261,NA())</f>
        <v>289472862.3</v>
      </c>
      <c r="G261" s="2" t="s">
        <v>52</v>
      </c>
      <c r="H261" s="2" t="s">
        <v>53</v>
      </c>
      <c r="I261" s="2" t="s">
        <v>54</v>
      </c>
      <c r="J261" s="2" t="s">
        <v>55</v>
      </c>
      <c r="K261" s="2"/>
      <c r="L261" s="2" t="s">
        <v>63</v>
      </c>
      <c r="M261" s="2" t="s">
        <v>57</v>
      </c>
      <c r="N261" s="2" t="s">
        <v>64</v>
      </c>
      <c r="O261" s="2" t="s">
        <v>59</v>
      </c>
      <c r="P261" s="2" t="s">
        <v>850</v>
      </c>
      <c r="Q261" s="2" t="s">
        <v>848</v>
      </c>
      <c r="R261" s="2"/>
    </row>
    <row r="262" spans="1:18">
      <c r="A262" s="2" t="s">
        <v>851</v>
      </c>
      <c r="B262" s="2" t="s">
        <v>852</v>
      </c>
      <c r="C262" s="2" t="s">
        <v>818</v>
      </c>
      <c r="D262" s="2">
        <v>154949650.12</v>
      </c>
      <c r="E262" s="2">
        <v>1</v>
      </c>
      <c r="F262" s="3">
        <f>IF(COUNT(D262,E262)=2,D262*E262,NA())</f>
        <v>154949650.12</v>
      </c>
      <c r="G262" s="2" t="s">
        <v>52</v>
      </c>
      <c r="H262" s="2" t="s">
        <v>53</v>
      </c>
      <c r="I262" s="2" t="s">
        <v>54</v>
      </c>
      <c r="J262" s="2" t="s">
        <v>55</v>
      </c>
      <c r="K262" s="2"/>
      <c r="L262" s="2" t="s">
        <v>56</v>
      </c>
      <c r="M262" s="2" t="s">
        <v>57</v>
      </c>
      <c r="N262" s="2" t="s">
        <v>58</v>
      </c>
      <c r="O262" s="2" t="s">
        <v>59</v>
      </c>
      <c r="P262" s="2" t="s">
        <v>853</v>
      </c>
      <c r="Q262" s="2" t="s">
        <v>854</v>
      </c>
      <c r="R262" s="2"/>
    </row>
    <row r="263" spans="1:18">
      <c r="A263" s="2" t="s">
        <v>855</v>
      </c>
      <c r="B263" s="2" t="s">
        <v>852</v>
      </c>
      <c r="C263" s="2" t="s">
        <v>818</v>
      </c>
      <c r="D263" s="2">
        <v>194326552.6</v>
      </c>
      <c r="E263" s="2">
        <v>1</v>
      </c>
      <c r="F263" s="3">
        <f>IF(COUNT(D263,E263)=2,D263*E263,NA())</f>
        <v>194326552.6</v>
      </c>
      <c r="G263" s="2" t="s">
        <v>52</v>
      </c>
      <c r="H263" s="2" t="s">
        <v>53</v>
      </c>
      <c r="I263" s="2" t="s">
        <v>54</v>
      </c>
      <c r="J263" s="2" t="s">
        <v>55</v>
      </c>
      <c r="K263" s="2"/>
      <c r="L263" s="2" t="s">
        <v>63</v>
      </c>
      <c r="M263" s="2" t="s">
        <v>57</v>
      </c>
      <c r="N263" s="2" t="s">
        <v>64</v>
      </c>
      <c r="O263" s="2" t="s">
        <v>59</v>
      </c>
      <c r="P263" s="2" t="s">
        <v>856</v>
      </c>
      <c r="Q263" s="2" t="s">
        <v>854</v>
      </c>
      <c r="R263" s="2"/>
    </row>
    <row r="264" spans="1:18">
      <c r="A264" s="2" t="s">
        <v>857</v>
      </c>
      <c r="B264" s="2" t="s">
        <v>858</v>
      </c>
      <c r="C264" s="2" t="s">
        <v>859</v>
      </c>
      <c r="D264" s="2">
        <v>5161349798.41</v>
      </c>
      <c r="E264" s="2">
        <v>1</v>
      </c>
      <c r="F264" s="3">
        <f>IF(COUNT(D264,E264)=2,D264*E264,NA())</f>
        <v>5161349798.41</v>
      </c>
      <c r="G264" s="2" t="s">
        <v>52</v>
      </c>
      <c r="H264" s="2" t="s">
        <v>53</v>
      </c>
      <c r="I264" s="2" t="s">
        <v>54</v>
      </c>
      <c r="J264" s="2" t="s">
        <v>55</v>
      </c>
      <c r="K264" s="2"/>
      <c r="L264" s="2" t="s">
        <v>56</v>
      </c>
      <c r="M264" s="2" t="s">
        <v>57</v>
      </c>
      <c r="N264" s="2" t="s">
        <v>58</v>
      </c>
      <c r="O264" s="2" t="s">
        <v>59</v>
      </c>
      <c r="P264" s="2" t="s">
        <v>860</v>
      </c>
      <c r="Q264" s="2" t="s">
        <v>861</v>
      </c>
      <c r="R264" s="2"/>
    </row>
    <row r="265" spans="1:18">
      <c r="A265" s="2" t="s">
        <v>862</v>
      </c>
      <c r="B265" s="2" t="s">
        <v>858</v>
      </c>
      <c r="C265" s="2" t="s">
        <v>859</v>
      </c>
      <c r="D265" s="2">
        <v>5617470349.39</v>
      </c>
      <c r="E265" s="2">
        <v>1</v>
      </c>
      <c r="F265" s="3">
        <f>IF(COUNT(D265,E265)=2,D265*E265,NA())</f>
        <v>5617470349.39</v>
      </c>
      <c r="G265" s="2" t="s">
        <v>52</v>
      </c>
      <c r="H265" s="2" t="s">
        <v>53</v>
      </c>
      <c r="I265" s="2" t="s">
        <v>54</v>
      </c>
      <c r="J265" s="2" t="s">
        <v>55</v>
      </c>
      <c r="K265" s="2"/>
      <c r="L265" s="2" t="s">
        <v>63</v>
      </c>
      <c r="M265" s="2" t="s">
        <v>57</v>
      </c>
      <c r="N265" s="2" t="s">
        <v>64</v>
      </c>
      <c r="O265" s="2" t="s">
        <v>59</v>
      </c>
      <c r="P265" s="2" t="s">
        <v>863</v>
      </c>
      <c r="Q265" s="2" t="s">
        <v>861</v>
      </c>
      <c r="R265" s="2"/>
    </row>
    <row r="266" spans="1:18">
      <c r="A266" s="2" t="s">
        <v>864</v>
      </c>
      <c r="B266" s="2" t="s">
        <v>865</v>
      </c>
      <c r="C266" s="2" t="s">
        <v>859</v>
      </c>
      <c r="D266" s="2">
        <v>1866833839.21</v>
      </c>
      <c r="E266" s="2">
        <v>1</v>
      </c>
      <c r="F266" s="3">
        <f>IF(COUNT(D266,E266)=2,D266*E266,NA())</f>
        <v>1866833839.21</v>
      </c>
      <c r="G266" s="2" t="s">
        <v>52</v>
      </c>
      <c r="H266" s="2" t="s">
        <v>53</v>
      </c>
      <c r="I266" s="2" t="s">
        <v>54</v>
      </c>
      <c r="J266" s="2" t="s">
        <v>55</v>
      </c>
      <c r="K266" s="2"/>
      <c r="L266" s="2" t="s">
        <v>56</v>
      </c>
      <c r="M266" s="2" t="s">
        <v>57</v>
      </c>
      <c r="N266" s="2" t="s">
        <v>58</v>
      </c>
      <c r="O266" s="2" t="s">
        <v>59</v>
      </c>
      <c r="P266" s="2" t="s">
        <v>866</v>
      </c>
      <c r="Q266" s="2" t="s">
        <v>867</v>
      </c>
      <c r="R266" s="2"/>
    </row>
    <row r="267" spans="1:18">
      <c r="A267" s="2" t="s">
        <v>868</v>
      </c>
      <c r="B267" s="2" t="s">
        <v>865</v>
      </c>
      <c r="C267" s="2" t="s">
        <v>859</v>
      </c>
      <c r="D267" s="2">
        <v>1544676924.28</v>
      </c>
      <c r="E267" s="2">
        <v>1</v>
      </c>
      <c r="F267" s="3">
        <f>IF(COUNT(D267,E267)=2,D267*E267,NA())</f>
        <v>1544676924.28</v>
      </c>
      <c r="G267" s="2" t="s">
        <v>52</v>
      </c>
      <c r="H267" s="2" t="s">
        <v>53</v>
      </c>
      <c r="I267" s="2" t="s">
        <v>54</v>
      </c>
      <c r="J267" s="2" t="s">
        <v>55</v>
      </c>
      <c r="K267" s="2"/>
      <c r="L267" s="2" t="s">
        <v>63</v>
      </c>
      <c r="M267" s="2" t="s">
        <v>57</v>
      </c>
      <c r="N267" s="2" t="s">
        <v>64</v>
      </c>
      <c r="O267" s="2" t="s">
        <v>59</v>
      </c>
      <c r="P267" s="2" t="s">
        <v>869</v>
      </c>
      <c r="Q267" s="2" t="s">
        <v>867</v>
      </c>
      <c r="R267" s="2"/>
    </row>
    <row r="268" spans="1:18">
      <c r="A268" s="2" t="s">
        <v>870</v>
      </c>
      <c r="B268" s="2" t="s">
        <v>871</v>
      </c>
      <c r="C268" s="2" t="s">
        <v>859</v>
      </c>
      <c r="D268" s="2">
        <v>1670586320.58</v>
      </c>
      <c r="E268" s="2">
        <v>1</v>
      </c>
      <c r="F268" s="3">
        <f>IF(COUNT(D268,E268)=2,D268*E268,NA())</f>
        <v>1670586320.58</v>
      </c>
      <c r="G268" s="2" t="s">
        <v>52</v>
      </c>
      <c r="H268" s="2" t="s">
        <v>53</v>
      </c>
      <c r="I268" s="2" t="s">
        <v>54</v>
      </c>
      <c r="J268" s="2" t="s">
        <v>55</v>
      </c>
      <c r="K268" s="2"/>
      <c r="L268" s="2" t="s">
        <v>56</v>
      </c>
      <c r="M268" s="2" t="s">
        <v>57</v>
      </c>
      <c r="N268" s="2" t="s">
        <v>58</v>
      </c>
      <c r="O268" s="2" t="s">
        <v>59</v>
      </c>
      <c r="P268" s="2" t="s">
        <v>872</v>
      </c>
      <c r="Q268" s="2" t="s">
        <v>873</v>
      </c>
      <c r="R268" s="2"/>
    </row>
    <row r="269" spans="1:18">
      <c r="A269" s="2" t="s">
        <v>874</v>
      </c>
      <c r="B269" s="2" t="s">
        <v>871</v>
      </c>
      <c r="C269" s="2" t="s">
        <v>859</v>
      </c>
      <c r="D269" s="2">
        <v>2243552257.23</v>
      </c>
      <c r="E269" s="2">
        <v>1</v>
      </c>
      <c r="F269" s="3">
        <f>IF(COUNT(D269,E269)=2,D269*E269,NA())</f>
        <v>2243552257.23</v>
      </c>
      <c r="G269" s="2" t="s">
        <v>52</v>
      </c>
      <c r="H269" s="2" t="s">
        <v>53</v>
      </c>
      <c r="I269" s="2" t="s">
        <v>54</v>
      </c>
      <c r="J269" s="2" t="s">
        <v>55</v>
      </c>
      <c r="K269" s="2"/>
      <c r="L269" s="2" t="s">
        <v>63</v>
      </c>
      <c r="M269" s="2" t="s">
        <v>57</v>
      </c>
      <c r="N269" s="2" t="s">
        <v>64</v>
      </c>
      <c r="O269" s="2" t="s">
        <v>59</v>
      </c>
      <c r="P269" s="2" t="s">
        <v>875</v>
      </c>
      <c r="Q269" s="2" t="s">
        <v>873</v>
      </c>
      <c r="R269" s="2"/>
    </row>
    <row r="270" spans="1:18">
      <c r="A270" s="2" t="s">
        <v>876</v>
      </c>
      <c r="B270" s="2" t="s">
        <v>877</v>
      </c>
      <c r="C270" s="2" t="s">
        <v>859</v>
      </c>
      <c r="D270" s="2">
        <v>972390895.14</v>
      </c>
      <c r="E270" s="2">
        <v>1</v>
      </c>
      <c r="F270" s="3">
        <f>IF(COUNT(D270,E270)=2,D270*E270,NA())</f>
        <v>972390895.14</v>
      </c>
      <c r="G270" s="2" t="s">
        <v>52</v>
      </c>
      <c r="H270" s="2" t="s">
        <v>53</v>
      </c>
      <c r="I270" s="2" t="s">
        <v>54</v>
      </c>
      <c r="J270" s="2" t="s">
        <v>55</v>
      </c>
      <c r="K270" s="2"/>
      <c r="L270" s="2" t="s">
        <v>56</v>
      </c>
      <c r="M270" s="2" t="s">
        <v>57</v>
      </c>
      <c r="N270" s="2" t="s">
        <v>58</v>
      </c>
      <c r="O270" s="2" t="s">
        <v>59</v>
      </c>
      <c r="P270" s="2" t="s">
        <v>878</v>
      </c>
      <c r="Q270" s="2" t="s">
        <v>879</v>
      </c>
      <c r="R270" s="2"/>
    </row>
    <row r="271" spans="1:18">
      <c r="A271" s="2" t="s">
        <v>880</v>
      </c>
      <c r="B271" s="2" t="s">
        <v>877</v>
      </c>
      <c r="C271" s="2" t="s">
        <v>859</v>
      </c>
      <c r="D271" s="2">
        <v>1257375830.96</v>
      </c>
      <c r="E271" s="2">
        <v>1</v>
      </c>
      <c r="F271" s="3">
        <f>IF(COUNT(D271,E271)=2,D271*E271,NA())</f>
        <v>1257375830.96</v>
      </c>
      <c r="G271" s="2" t="s">
        <v>52</v>
      </c>
      <c r="H271" s="2" t="s">
        <v>53</v>
      </c>
      <c r="I271" s="2" t="s">
        <v>54</v>
      </c>
      <c r="J271" s="2" t="s">
        <v>55</v>
      </c>
      <c r="K271" s="2"/>
      <c r="L271" s="2" t="s">
        <v>63</v>
      </c>
      <c r="M271" s="2" t="s">
        <v>57</v>
      </c>
      <c r="N271" s="2" t="s">
        <v>64</v>
      </c>
      <c r="O271" s="2" t="s">
        <v>59</v>
      </c>
      <c r="P271" s="2" t="s">
        <v>881</v>
      </c>
      <c r="Q271" s="2" t="s">
        <v>879</v>
      </c>
      <c r="R271" s="2"/>
    </row>
    <row r="272" spans="1:18">
      <c r="A272" s="2" t="s">
        <v>882</v>
      </c>
      <c r="B272" s="2" t="s">
        <v>883</v>
      </c>
      <c r="C272" s="2" t="s">
        <v>859</v>
      </c>
      <c r="D272" s="2">
        <v>838045604.61</v>
      </c>
      <c r="E272" s="2">
        <v>1</v>
      </c>
      <c r="F272" s="3">
        <f>IF(COUNT(D272,E272)=2,D272*E272,NA())</f>
        <v>838045604.61</v>
      </c>
      <c r="G272" s="2" t="s">
        <v>52</v>
      </c>
      <c r="H272" s="2" t="s">
        <v>53</v>
      </c>
      <c r="I272" s="2" t="s">
        <v>54</v>
      </c>
      <c r="J272" s="2" t="s">
        <v>55</v>
      </c>
      <c r="K272" s="2"/>
      <c r="L272" s="2" t="s">
        <v>56</v>
      </c>
      <c r="M272" s="2" t="s">
        <v>57</v>
      </c>
      <c r="N272" s="2" t="s">
        <v>58</v>
      </c>
      <c r="O272" s="2" t="s">
        <v>59</v>
      </c>
      <c r="P272" s="2" t="s">
        <v>884</v>
      </c>
      <c r="Q272" s="2" t="s">
        <v>885</v>
      </c>
      <c r="R272" s="2"/>
    </row>
    <row r="273" spans="1:18">
      <c r="A273" s="2" t="s">
        <v>886</v>
      </c>
      <c r="B273" s="2" t="s">
        <v>883</v>
      </c>
      <c r="C273" s="2" t="s">
        <v>859</v>
      </c>
      <c r="D273" s="2">
        <v>780677482.95</v>
      </c>
      <c r="E273" s="2">
        <v>1</v>
      </c>
      <c r="F273" s="3">
        <f>IF(COUNT(D273,E273)=2,D273*E273,NA())</f>
        <v>780677482.95</v>
      </c>
      <c r="G273" s="2" t="s">
        <v>52</v>
      </c>
      <c r="H273" s="2" t="s">
        <v>53</v>
      </c>
      <c r="I273" s="2" t="s">
        <v>54</v>
      </c>
      <c r="J273" s="2" t="s">
        <v>55</v>
      </c>
      <c r="K273" s="2"/>
      <c r="L273" s="2" t="s">
        <v>63</v>
      </c>
      <c r="M273" s="2" t="s">
        <v>57</v>
      </c>
      <c r="N273" s="2" t="s">
        <v>64</v>
      </c>
      <c r="O273" s="2" t="s">
        <v>59</v>
      </c>
      <c r="P273" s="2" t="s">
        <v>887</v>
      </c>
      <c r="Q273" s="2" t="s">
        <v>885</v>
      </c>
      <c r="R273" s="2"/>
    </row>
    <row r="274" spans="1:18">
      <c r="A274" s="2" t="s">
        <v>888</v>
      </c>
      <c r="B274" s="2" t="s">
        <v>889</v>
      </c>
      <c r="C274" s="2" t="s">
        <v>859</v>
      </c>
      <c r="D274" s="2">
        <v>1680326978.08</v>
      </c>
      <c r="E274" s="2">
        <v>1</v>
      </c>
      <c r="F274" s="3">
        <f>IF(COUNT(D274,E274)=2,D274*E274,NA())</f>
        <v>1680326978.08</v>
      </c>
      <c r="G274" s="2" t="s">
        <v>52</v>
      </c>
      <c r="H274" s="2" t="s">
        <v>53</v>
      </c>
      <c r="I274" s="2" t="s">
        <v>54</v>
      </c>
      <c r="J274" s="2" t="s">
        <v>55</v>
      </c>
      <c r="K274" s="2"/>
      <c r="L274" s="2" t="s">
        <v>56</v>
      </c>
      <c r="M274" s="2" t="s">
        <v>57</v>
      </c>
      <c r="N274" s="2" t="s">
        <v>58</v>
      </c>
      <c r="O274" s="2" t="s">
        <v>59</v>
      </c>
      <c r="P274" s="2" t="s">
        <v>890</v>
      </c>
      <c r="Q274" s="2" t="s">
        <v>891</v>
      </c>
      <c r="R274" s="2"/>
    </row>
    <row r="275" spans="1:18">
      <c r="A275" s="2" t="s">
        <v>892</v>
      </c>
      <c r="B275" s="2" t="s">
        <v>889</v>
      </c>
      <c r="C275" s="2" t="s">
        <v>859</v>
      </c>
      <c r="D275" s="2">
        <v>1335864778.25</v>
      </c>
      <c r="E275" s="2">
        <v>1</v>
      </c>
      <c r="F275" s="3">
        <f>IF(COUNT(D275,E275)=2,D275*E275,NA())</f>
        <v>1335864778.25</v>
      </c>
      <c r="G275" s="2" t="s">
        <v>52</v>
      </c>
      <c r="H275" s="2" t="s">
        <v>53</v>
      </c>
      <c r="I275" s="2" t="s">
        <v>54</v>
      </c>
      <c r="J275" s="2" t="s">
        <v>55</v>
      </c>
      <c r="K275" s="2"/>
      <c r="L275" s="2" t="s">
        <v>63</v>
      </c>
      <c r="M275" s="2" t="s">
        <v>57</v>
      </c>
      <c r="N275" s="2" t="s">
        <v>64</v>
      </c>
      <c r="O275" s="2" t="s">
        <v>59</v>
      </c>
      <c r="P275" s="2" t="s">
        <v>893</v>
      </c>
      <c r="Q275" s="2" t="s">
        <v>891</v>
      </c>
      <c r="R275" s="2"/>
    </row>
    <row r="276" spans="1:18">
      <c r="A276" s="2" t="s">
        <v>894</v>
      </c>
      <c r="B276" s="2" t="s">
        <v>895</v>
      </c>
      <c r="C276" s="2" t="s">
        <v>859</v>
      </c>
      <c r="D276" s="2">
        <v>563243856.76</v>
      </c>
      <c r="E276" s="2">
        <v>1</v>
      </c>
      <c r="F276" s="3">
        <f>IF(COUNT(D276,E276)=2,D276*E276,NA())</f>
        <v>563243856.76</v>
      </c>
      <c r="G276" s="2" t="s">
        <v>52</v>
      </c>
      <c r="H276" s="2" t="s">
        <v>53</v>
      </c>
      <c r="I276" s="2" t="s">
        <v>54</v>
      </c>
      <c r="J276" s="2" t="s">
        <v>55</v>
      </c>
      <c r="K276" s="2"/>
      <c r="L276" s="2" t="s">
        <v>56</v>
      </c>
      <c r="M276" s="2" t="s">
        <v>57</v>
      </c>
      <c r="N276" s="2" t="s">
        <v>58</v>
      </c>
      <c r="O276" s="2" t="s">
        <v>59</v>
      </c>
      <c r="P276" s="2" t="s">
        <v>896</v>
      </c>
      <c r="Q276" s="2" t="s">
        <v>897</v>
      </c>
      <c r="R276" s="2"/>
    </row>
    <row r="277" spans="1:18">
      <c r="A277" s="2" t="s">
        <v>898</v>
      </c>
      <c r="B277" s="2" t="s">
        <v>895</v>
      </c>
      <c r="C277" s="2" t="s">
        <v>859</v>
      </c>
      <c r="D277" s="2">
        <v>759681301.65</v>
      </c>
      <c r="E277" s="2">
        <v>1</v>
      </c>
      <c r="F277" s="3">
        <f>IF(COUNT(D277,E277)=2,D277*E277,NA())</f>
        <v>759681301.65</v>
      </c>
      <c r="G277" s="2" t="s">
        <v>52</v>
      </c>
      <c r="H277" s="2" t="s">
        <v>53</v>
      </c>
      <c r="I277" s="2" t="s">
        <v>54</v>
      </c>
      <c r="J277" s="2" t="s">
        <v>55</v>
      </c>
      <c r="K277" s="2"/>
      <c r="L277" s="2" t="s">
        <v>63</v>
      </c>
      <c r="M277" s="2" t="s">
        <v>57</v>
      </c>
      <c r="N277" s="2" t="s">
        <v>64</v>
      </c>
      <c r="O277" s="2" t="s">
        <v>59</v>
      </c>
      <c r="P277" s="2" t="s">
        <v>899</v>
      </c>
      <c r="Q277" s="2" t="s">
        <v>897</v>
      </c>
      <c r="R277" s="2"/>
    </row>
    <row r="278" spans="1:18">
      <c r="A278" s="2" t="s">
        <v>900</v>
      </c>
      <c r="B278" s="2" t="s">
        <v>901</v>
      </c>
      <c r="C278" s="2" t="s">
        <v>859</v>
      </c>
      <c r="D278" s="2">
        <v>664850022.8099999</v>
      </c>
      <c r="E278" s="2">
        <v>1</v>
      </c>
      <c r="F278" s="3">
        <f>IF(COUNT(D278,E278)=2,D278*E278,NA())</f>
        <v>664850022.81</v>
      </c>
      <c r="G278" s="2" t="s">
        <v>52</v>
      </c>
      <c r="H278" s="2" t="s">
        <v>53</v>
      </c>
      <c r="I278" s="2" t="s">
        <v>54</v>
      </c>
      <c r="J278" s="2" t="s">
        <v>55</v>
      </c>
      <c r="K278" s="2"/>
      <c r="L278" s="2" t="s">
        <v>56</v>
      </c>
      <c r="M278" s="2" t="s">
        <v>57</v>
      </c>
      <c r="N278" s="2" t="s">
        <v>58</v>
      </c>
      <c r="O278" s="2" t="s">
        <v>59</v>
      </c>
      <c r="P278" s="2" t="s">
        <v>902</v>
      </c>
      <c r="Q278" s="2" t="s">
        <v>903</v>
      </c>
      <c r="R278" s="2"/>
    </row>
    <row r="279" spans="1:18">
      <c r="A279" s="2" t="s">
        <v>904</v>
      </c>
      <c r="B279" s="2" t="s">
        <v>901</v>
      </c>
      <c r="C279" s="2" t="s">
        <v>859</v>
      </c>
      <c r="D279" s="2">
        <v>373230996.58</v>
      </c>
      <c r="E279" s="2">
        <v>1</v>
      </c>
      <c r="F279" s="3">
        <f>IF(COUNT(D279,E279)=2,D279*E279,NA())</f>
        <v>373230996.58</v>
      </c>
      <c r="G279" s="2" t="s">
        <v>52</v>
      </c>
      <c r="H279" s="2" t="s">
        <v>53</v>
      </c>
      <c r="I279" s="2" t="s">
        <v>54</v>
      </c>
      <c r="J279" s="2" t="s">
        <v>55</v>
      </c>
      <c r="K279" s="2"/>
      <c r="L279" s="2" t="s">
        <v>63</v>
      </c>
      <c r="M279" s="2" t="s">
        <v>57</v>
      </c>
      <c r="N279" s="2" t="s">
        <v>64</v>
      </c>
      <c r="O279" s="2" t="s">
        <v>59</v>
      </c>
      <c r="P279" s="2" t="s">
        <v>905</v>
      </c>
      <c r="Q279" s="2" t="s">
        <v>903</v>
      </c>
      <c r="R279" s="2"/>
    </row>
    <row r="280" spans="1:18">
      <c r="A280" s="2" t="s">
        <v>906</v>
      </c>
      <c r="B280" s="2" t="s">
        <v>907</v>
      </c>
      <c r="C280" s="2" t="s">
        <v>859</v>
      </c>
      <c r="D280" s="2">
        <v>452233098.51</v>
      </c>
      <c r="E280" s="2">
        <v>1</v>
      </c>
      <c r="F280" s="3">
        <f>IF(COUNT(D280,E280)=2,D280*E280,NA())</f>
        <v>452233098.51</v>
      </c>
      <c r="G280" s="2" t="s">
        <v>52</v>
      </c>
      <c r="H280" s="2" t="s">
        <v>53</v>
      </c>
      <c r="I280" s="2" t="s">
        <v>54</v>
      </c>
      <c r="J280" s="2" t="s">
        <v>55</v>
      </c>
      <c r="K280" s="2"/>
      <c r="L280" s="2" t="s">
        <v>56</v>
      </c>
      <c r="M280" s="2" t="s">
        <v>57</v>
      </c>
      <c r="N280" s="2" t="s">
        <v>58</v>
      </c>
      <c r="O280" s="2" t="s">
        <v>59</v>
      </c>
      <c r="P280" s="2" t="s">
        <v>908</v>
      </c>
      <c r="Q280" s="2" t="s">
        <v>909</v>
      </c>
      <c r="R280" s="2"/>
    </row>
    <row r="281" spans="1:18">
      <c r="A281" s="2" t="s">
        <v>910</v>
      </c>
      <c r="B281" s="2" t="s">
        <v>907</v>
      </c>
      <c r="C281" s="2" t="s">
        <v>859</v>
      </c>
      <c r="D281" s="2">
        <v>202952480.02</v>
      </c>
      <c r="E281" s="2">
        <v>1</v>
      </c>
      <c r="F281" s="3">
        <f>IF(COUNT(D281,E281)=2,D281*E281,NA())</f>
        <v>202952480.02</v>
      </c>
      <c r="G281" s="2" t="s">
        <v>52</v>
      </c>
      <c r="H281" s="2" t="s">
        <v>53</v>
      </c>
      <c r="I281" s="2" t="s">
        <v>54</v>
      </c>
      <c r="J281" s="2" t="s">
        <v>55</v>
      </c>
      <c r="K281" s="2"/>
      <c r="L281" s="2" t="s">
        <v>63</v>
      </c>
      <c r="M281" s="2" t="s">
        <v>57</v>
      </c>
      <c r="N281" s="2" t="s">
        <v>64</v>
      </c>
      <c r="O281" s="2" t="s">
        <v>59</v>
      </c>
      <c r="P281" s="2" t="s">
        <v>911</v>
      </c>
      <c r="Q281" s="2" t="s">
        <v>909</v>
      </c>
      <c r="R281" s="2"/>
    </row>
    <row r="282" spans="1:18">
      <c r="A282" s="2" t="s">
        <v>912</v>
      </c>
      <c r="B282" s="2" t="s">
        <v>913</v>
      </c>
      <c r="C282" s="2" t="s">
        <v>859</v>
      </c>
      <c r="D282" s="2">
        <v>1153688108.46</v>
      </c>
      <c r="E282" s="2">
        <v>1</v>
      </c>
      <c r="F282" s="3">
        <f>IF(COUNT(D282,E282)=2,D282*E282,NA())</f>
        <v>1153688108.46</v>
      </c>
      <c r="G282" s="2" t="s">
        <v>52</v>
      </c>
      <c r="H282" s="2" t="s">
        <v>53</v>
      </c>
      <c r="I282" s="2" t="s">
        <v>54</v>
      </c>
      <c r="J282" s="2" t="s">
        <v>55</v>
      </c>
      <c r="K282" s="2"/>
      <c r="L282" s="2" t="s">
        <v>56</v>
      </c>
      <c r="M282" s="2" t="s">
        <v>57</v>
      </c>
      <c r="N282" s="2" t="s">
        <v>58</v>
      </c>
      <c r="O282" s="2" t="s">
        <v>59</v>
      </c>
      <c r="P282" s="2" t="s">
        <v>914</v>
      </c>
      <c r="Q282" s="2" t="s">
        <v>915</v>
      </c>
      <c r="R282" s="2"/>
    </row>
    <row r="283" spans="1:18">
      <c r="A283" s="2" t="s">
        <v>916</v>
      </c>
      <c r="B283" s="2" t="s">
        <v>913</v>
      </c>
      <c r="C283" s="2" t="s">
        <v>859</v>
      </c>
      <c r="D283" s="2">
        <v>1193876832.54</v>
      </c>
      <c r="E283" s="2">
        <v>1</v>
      </c>
      <c r="F283" s="3">
        <f>IF(COUNT(D283,E283)=2,D283*E283,NA())</f>
        <v>1193876832.54</v>
      </c>
      <c r="G283" s="2" t="s">
        <v>52</v>
      </c>
      <c r="H283" s="2" t="s">
        <v>53</v>
      </c>
      <c r="I283" s="2" t="s">
        <v>54</v>
      </c>
      <c r="J283" s="2" t="s">
        <v>55</v>
      </c>
      <c r="K283" s="2"/>
      <c r="L283" s="2" t="s">
        <v>63</v>
      </c>
      <c r="M283" s="2" t="s">
        <v>57</v>
      </c>
      <c r="N283" s="2" t="s">
        <v>64</v>
      </c>
      <c r="O283" s="2" t="s">
        <v>59</v>
      </c>
      <c r="P283" s="2" t="s">
        <v>917</v>
      </c>
      <c r="Q283" s="2" t="s">
        <v>915</v>
      </c>
      <c r="R283" s="2"/>
    </row>
    <row r="284" spans="1:18">
      <c r="A284" s="2" t="s">
        <v>918</v>
      </c>
      <c r="B284" s="2" t="s">
        <v>919</v>
      </c>
      <c r="C284" s="2" t="s">
        <v>859</v>
      </c>
      <c r="D284" s="2">
        <v>927278953.47</v>
      </c>
      <c r="E284" s="2">
        <v>1</v>
      </c>
      <c r="F284" s="3">
        <f>IF(COUNT(D284,E284)=2,D284*E284,NA())</f>
        <v>927278953.47</v>
      </c>
      <c r="G284" s="2" t="s">
        <v>52</v>
      </c>
      <c r="H284" s="2" t="s">
        <v>53</v>
      </c>
      <c r="I284" s="2" t="s">
        <v>54</v>
      </c>
      <c r="J284" s="2" t="s">
        <v>55</v>
      </c>
      <c r="K284" s="2"/>
      <c r="L284" s="2" t="s">
        <v>56</v>
      </c>
      <c r="M284" s="2" t="s">
        <v>57</v>
      </c>
      <c r="N284" s="2" t="s">
        <v>58</v>
      </c>
      <c r="O284" s="2" t="s">
        <v>59</v>
      </c>
      <c r="P284" s="2" t="s">
        <v>920</v>
      </c>
      <c r="Q284" s="2" t="s">
        <v>921</v>
      </c>
      <c r="R284" s="2"/>
    </row>
    <row r="285" spans="1:18">
      <c r="A285" s="2" t="s">
        <v>922</v>
      </c>
      <c r="B285" s="2" t="s">
        <v>919</v>
      </c>
      <c r="C285" s="2" t="s">
        <v>859</v>
      </c>
      <c r="D285" s="2">
        <v>756527141.5700001</v>
      </c>
      <c r="E285" s="2">
        <v>1</v>
      </c>
      <c r="F285" s="3">
        <f>IF(COUNT(D285,E285)=2,D285*E285,NA())</f>
        <v>756527141.57</v>
      </c>
      <c r="G285" s="2" t="s">
        <v>52</v>
      </c>
      <c r="H285" s="2" t="s">
        <v>53</v>
      </c>
      <c r="I285" s="2" t="s">
        <v>54</v>
      </c>
      <c r="J285" s="2" t="s">
        <v>55</v>
      </c>
      <c r="K285" s="2"/>
      <c r="L285" s="2" t="s">
        <v>63</v>
      </c>
      <c r="M285" s="2" t="s">
        <v>57</v>
      </c>
      <c r="N285" s="2" t="s">
        <v>64</v>
      </c>
      <c r="O285" s="2" t="s">
        <v>59</v>
      </c>
      <c r="P285" s="2" t="s">
        <v>923</v>
      </c>
      <c r="Q285" s="2" t="s">
        <v>921</v>
      </c>
      <c r="R285" s="2"/>
    </row>
    <row r="286" spans="1:18">
      <c r="A286" s="2" t="s">
        <v>924</v>
      </c>
      <c r="B286" s="2" t="s">
        <v>925</v>
      </c>
      <c r="C286" s="2" t="s">
        <v>859</v>
      </c>
      <c r="D286" s="2">
        <v>4007661689.95</v>
      </c>
      <c r="E286" s="2">
        <v>1</v>
      </c>
      <c r="F286" s="3">
        <f>IF(COUNT(D286,E286)=2,D286*E286,NA())</f>
        <v>4007661689.95</v>
      </c>
      <c r="G286" s="2" t="s">
        <v>52</v>
      </c>
      <c r="H286" s="2" t="s">
        <v>53</v>
      </c>
      <c r="I286" s="2" t="s">
        <v>54</v>
      </c>
      <c r="J286" s="2" t="s">
        <v>55</v>
      </c>
      <c r="K286" s="2"/>
      <c r="L286" s="2" t="s">
        <v>56</v>
      </c>
      <c r="M286" s="2" t="s">
        <v>57</v>
      </c>
      <c r="N286" s="2" t="s">
        <v>58</v>
      </c>
      <c r="O286" s="2" t="s">
        <v>59</v>
      </c>
      <c r="P286" s="2" t="s">
        <v>926</v>
      </c>
      <c r="Q286" s="2" t="s">
        <v>927</v>
      </c>
      <c r="R286" s="2"/>
    </row>
    <row r="287" spans="1:18">
      <c r="A287" s="2" t="s">
        <v>928</v>
      </c>
      <c r="B287" s="2" t="s">
        <v>925</v>
      </c>
      <c r="C287" s="2" t="s">
        <v>859</v>
      </c>
      <c r="D287" s="2">
        <v>4423593516.85</v>
      </c>
      <c r="E287" s="2">
        <v>1</v>
      </c>
      <c r="F287" s="3">
        <f>IF(COUNT(D287,E287)=2,D287*E287,NA())</f>
        <v>4423593516.85</v>
      </c>
      <c r="G287" s="2" t="s">
        <v>52</v>
      </c>
      <c r="H287" s="2" t="s">
        <v>53</v>
      </c>
      <c r="I287" s="2" t="s">
        <v>54</v>
      </c>
      <c r="J287" s="2" t="s">
        <v>55</v>
      </c>
      <c r="K287" s="2"/>
      <c r="L287" s="2" t="s">
        <v>63</v>
      </c>
      <c r="M287" s="2" t="s">
        <v>57</v>
      </c>
      <c r="N287" s="2" t="s">
        <v>64</v>
      </c>
      <c r="O287" s="2" t="s">
        <v>59</v>
      </c>
      <c r="P287" s="2" t="s">
        <v>929</v>
      </c>
      <c r="Q287" s="2" t="s">
        <v>927</v>
      </c>
      <c r="R287" s="2"/>
    </row>
    <row r="288" spans="1:18">
      <c r="A288" s="2" t="s">
        <v>930</v>
      </c>
      <c r="B288" s="2" t="s">
        <v>931</v>
      </c>
      <c r="C288" s="2" t="s">
        <v>859</v>
      </c>
      <c r="D288" s="2">
        <v>939554885.74</v>
      </c>
      <c r="E288" s="2">
        <v>1</v>
      </c>
      <c r="F288" s="3">
        <f>IF(COUNT(D288,E288)=2,D288*E288,NA())</f>
        <v>939554885.74</v>
      </c>
      <c r="G288" s="2" t="s">
        <v>52</v>
      </c>
      <c r="H288" s="2" t="s">
        <v>53</v>
      </c>
      <c r="I288" s="2" t="s">
        <v>54</v>
      </c>
      <c r="J288" s="2" t="s">
        <v>55</v>
      </c>
      <c r="K288" s="2"/>
      <c r="L288" s="2" t="s">
        <v>56</v>
      </c>
      <c r="M288" s="2" t="s">
        <v>57</v>
      </c>
      <c r="N288" s="2" t="s">
        <v>58</v>
      </c>
      <c r="O288" s="2" t="s">
        <v>59</v>
      </c>
      <c r="P288" s="2" t="s">
        <v>932</v>
      </c>
      <c r="Q288" s="2" t="s">
        <v>933</v>
      </c>
      <c r="R288" s="2"/>
    </row>
    <row r="289" spans="1:18">
      <c r="A289" s="2" t="s">
        <v>934</v>
      </c>
      <c r="B289" s="2" t="s">
        <v>931</v>
      </c>
      <c r="C289" s="2" t="s">
        <v>859</v>
      </c>
      <c r="D289" s="2">
        <v>788149782.71</v>
      </c>
      <c r="E289" s="2">
        <v>1</v>
      </c>
      <c r="F289" s="3">
        <f>IF(COUNT(D289,E289)=2,D289*E289,NA())</f>
        <v>788149782.71</v>
      </c>
      <c r="G289" s="2" t="s">
        <v>52</v>
      </c>
      <c r="H289" s="2" t="s">
        <v>53</v>
      </c>
      <c r="I289" s="2" t="s">
        <v>54</v>
      </c>
      <c r="J289" s="2" t="s">
        <v>55</v>
      </c>
      <c r="K289" s="2"/>
      <c r="L289" s="2" t="s">
        <v>63</v>
      </c>
      <c r="M289" s="2" t="s">
        <v>57</v>
      </c>
      <c r="N289" s="2" t="s">
        <v>64</v>
      </c>
      <c r="O289" s="2" t="s">
        <v>59</v>
      </c>
      <c r="P289" s="2" t="s">
        <v>935</v>
      </c>
      <c r="Q289" s="2" t="s">
        <v>933</v>
      </c>
      <c r="R289" s="2"/>
    </row>
    <row r="290" spans="1:18">
      <c r="A290" s="2" t="s">
        <v>936</v>
      </c>
      <c r="B290" s="2" t="s">
        <v>937</v>
      </c>
      <c r="C290" s="2" t="s">
        <v>938</v>
      </c>
      <c r="D290" s="2">
        <v>503173450.39</v>
      </c>
      <c r="E290" s="2">
        <v>1</v>
      </c>
      <c r="F290" s="3">
        <f>IF(COUNT(D290,E290)=2,D290*E290,NA())</f>
        <v>503173450.39</v>
      </c>
      <c r="G290" s="2" t="s">
        <v>52</v>
      </c>
      <c r="H290" s="2" t="s">
        <v>53</v>
      </c>
      <c r="I290" s="2" t="s">
        <v>54</v>
      </c>
      <c r="J290" s="2" t="s">
        <v>55</v>
      </c>
      <c r="K290" s="2"/>
      <c r="L290" s="2" t="s">
        <v>56</v>
      </c>
      <c r="M290" s="2" t="s">
        <v>57</v>
      </c>
      <c r="N290" s="2" t="s">
        <v>58</v>
      </c>
      <c r="O290" s="2" t="s">
        <v>59</v>
      </c>
      <c r="P290" s="2" t="s">
        <v>939</v>
      </c>
      <c r="Q290" s="2" t="s">
        <v>940</v>
      </c>
      <c r="R290" s="2"/>
    </row>
    <row r="291" spans="1:18">
      <c r="A291" s="2" t="s">
        <v>941</v>
      </c>
      <c r="B291" s="2" t="s">
        <v>937</v>
      </c>
      <c r="C291" s="2" t="s">
        <v>938</v>
      </c>
      <c r="D291" s="2">
        <v>454998441.29</v>
      </c>
      <c r="E291" s="2">
        <v>1</v>
      </c>
      <c r="F291" s="3">
        <f>IF(COUNT(D291,E291)=2,D291*E291,NA())</f>
        <v>454998441.29</v>
      </c>
      <c r="G291" s="2" t="s">
        <v>52</v>
      </c>
      <c r="H291" s="2" t="s">
        <v>53</v>
      </c>
      <c r="I291" s="2" t="s">
        <v>54</v>
      </c>
      <c r="J291" s="2" t="s">
        <v>55</v>
      </c>
      <c r="K291" s="2"/>
      <c r="L291" s="2" t="s">
        <v>63</v>
      </c>
      <c r="M291" s="2" t="s">
        <v>57</v>
      </c>
      <c r="N291" s="2" t="s">
        <v>64</v>
      </c>
      <c r="O291" s="2" t="s">
        <v>59</v>
      </c>
      <c r="P291" s="2" t="s">
        <v>942</v>
      </c>
      <c r="Q291" s="2" t="s">
        <v>940</v>
      </c>
      <c r="R291" s="2"/>
    </row>
    <row r="292" spans="1:18">
      <c r="A292" s="2" t="s">
        <v>943</v>
      </c>
      <c r="B292" s="2" t="s">
        <v>944</v>
      </c>
      <c r="C292" s="2" t="s">
        <v>938</v>
      </c>
      <c r="D292" s="2">
        <v>111870860.48</v>
      </c>
      <c r="E292" s="2">
        <v>1</v>
      </c>
      <c r="F292" s="3">
        <f>IF(COUNT(D292,E292)=2,D292*E292,NA())</f>
        <v>111870860.48</v>
      </c>
      <c r="G292" s="2" t="s">
        <v>52</v>
      </c>
      <c r="H292" s="2" t="s">
        <v>53</v>
      </c>
      <c r="I292" s="2" t="s">
        <v>54</v>
      </c>
      <c r="J292" s="2" t="s">
        <v>55</v>
      </c>
      <c r="K292" s="2"/>
      <c r="L292" s="2" t="s">
        <v>56</v>
      </c>
      <c r="M292" s="2" t="s">
        <v>57</v>
      </c>
      <c r="N292" s="2" t="s">
        <v>58</v>
      </c>
      <c r="O292" s="2" t="s">
        <v>59</v>
      </c>
      <c r="P292" s="2" t="s">
        <v>945</v>
      </c>
      <c r="Q292" s="2" t="s">
        <v>946</v>
      </c>
      <c r="R292" s="2"/>
    </row>
    <row r="293" spans="1:18">
      <c r="A293" s="2" t="s">
        <v>947</v>
      </c>
      <c r="B293" s="2" t="s">
        <v>944</v>
      </c>
      <c r="C293" s="2" t="s">
        <v>938</v>
      </c>
      <c r="D293" s="2">
        <v>80000520.65000001</v>
      </c>
      <c r="E293" s="2">
        <v>1</v>
      </c>
      <c r="F293" s="3">
        <f>IF(COUNT(D293,E293)=2,D293*E293,NA())</f>
        <v>80000520.65</v>
      </c>
      <c r="G293" s="2" t="s">
        <v>52</v>
      </c>
      <c r="H293" s="2" t="s">
        <v>53</v>
      </c>
      <c r="I293" s="2" t="s">
        <v>54</v>
      </c>
      <c r="J293" s="2" t="s">
        <v>55</v>
      </c>
      <c r="K293" s="2"/>
      <c r="L293" s="2" t="s">
        <v>63</v>
      </c>
      <c r="M293" s="2" t="s">
        <v>57</v>
      </c>
      <c r="N293" s="2" t="s">
        <v>64</v>
      </c>
      <c r="O293" s="2" t="s">
        <v>59</v>
      </c>
      <c r="P293" s="2" t="s">
        <v>948</v>
      </c>
      <c r="Q293" s="2" t="s">
        <v>946</v>
      </c>
      <c r="R293" s="2"/>
    </row>
    <row r="294" spans="1:18">
      <c r="A294" s="2" t="s">
        <v>949</v>
      </c>
      <c r="B294" s="2" t="s">
        <v>950</v>
      </c>
      <c r="C294" s="2" t="s">
        <v>938</v>
      </c>
      <c r="D294" s="2">
        <v>95494156.15000001</v>
      </c>
      <c r="E294" s="2">
        <v>1</v>
      </c>
      <c r="F294" s="3">
        <f>IF(COUNT(D294,E294)=2,D294*E294,NA())</f>
        <v>95494156.15</v>
      </c>
      <c r="G294" s="2" t="s">
        <v>52</v>
      </c>
      <c r="H294" s="2" t="s">
        <v>53</v>
      </c>
      <c r="I294" s="2" t="s">
        <v>54</v>
      </c>
      <c r="J294" s="2" t="s">
        <v>55</v>
      </c>
      <c r="K294" s="2"/>
      <c r="L294" s="2" t="s">
        <v>56</v>
      </c>
      <c r="M294" s="2" t="s">
        <v>57</v>
      </c>
      <c r="N294" s="2" t="s">
        <v>58</v>
      </c>
      <c r="O294" s="2" t="s">
        <v>59</v>
      </c>
      <c r="P294" s="2" t="s">
        <v>951</v>
      </c>
      <c r="Q294" s="2" t="s">
        <v>952</v>
      </c>
      <c r="R294" s="2"/>
    </row>
    <row r="295" spans="1:18">
      <c r="A295" s="2" t="s">
        <v>953</v>
      </c>
      <c r="B295" s="2" t="s">
        <v>950</v>
      </c>
      <c r="C295" s="2" t="s">
        <v>938</v>
      </c>
      <c r="D295" s="2">
        <v>99066645.90000001</v>
      </c>
      <c r="E295" s="2">
        <v>1</v>
      </c>
      <c r="F295" s="3">
        <f>IF(COUNT(D295,E295)=2,D295*E295,NA())</f>
        <v>99066645.9</v>
      </c>
      <c r="G295" s="2" t="s">
        <v>52</v>
      </c>
      <c r="H295" s="2" t="s">
        <v>53</v>
      </c>
      <c r="I295" s="2" t="s">
        <v>54</v>
      </c>
      <c r="J295" s="2" t="s">
        <v>55</v>
      </c>
      <c r="K295" s="2"/>
      <c r="L295" s="2" t="s">
        <v>63</v>
      </c>
      <c r="M295" s="2" t="s">
        <v>57</v>
      </c>
      <c r="N295" s="2" t="s">
        <v>64</v>
      </c>
      <c r="O295" s="2" t="s">
        <v>59</v>
      </c>
      <c r="P295" s="2" t="s">
        <v>954</v>
      </c>
      <c r="Q295" s="2" t="s">
        <v>952</v>
      </c>
      <c r="R295" s="2"/>
    </row>
    <row r="296" spans="1:18">
      <c r="A296" s="2" t="s">
        <v>955</v>
      </c>
      <c r="B296" s="2" t="s">
        <v>956</v>
      </c>
      <c r="C296" s="2" t="s">
        <v>938</v>
      </c>
      <c r="D296" s="2">
        <v>11656472.34</v>
      </c>
      <c r="E296" s="2">
        <v>1</v>
      </c>
      <c r="F296" s="3">
        <f>IF(COUNT(D296,E296)=2,D296*E296,NA())</f>
        <v>11656472.34</v>
      </c>
      <c r="G296" s="2" t="s">
        <v>52</v>
      </c>
      <c r="H296" s="2" t="s">
        <v>53</v>
      </c>
      <c r="I296" s="2" t="s">
        <v>54</v>
      </c>
      <c r="J296" s="2" t="s">
        <v>55</v>
      </c>
      <c r="K296" s="2"/>
      <c r="L296" s="2" t="s">
        <v>56</v>
      </c>
      <c r="M296" s="2" t="s">
        <v>57</v>
      </c>
      <c r="N296" s="2" t="s">
        <v>58</v>
      </c>
      <c r="O296" s="2" t="s">
        <v>59</v>
      </c>
      <c r="P296" s="2" t="s">
        <v>957</v>
      </c>
      <c r="Q296" s="2" t="s">
        <v>958</v>
      </c>
      <c r="R296" s="2"/>
    </row>
    <row r="297" spans="1:18">
      <c r="A297" s="2" t="s">
        <v>959</v>
      </c>
      <c r="B297" s="2" t="s">
        <v>956</v>
      </c>
      <c r="C297" s="2" t="s">
        <v>938</v>
      </c>
      <c r="D297" s="2">
        <v>10325705.75</v>
      </c>
      <c r="E297" s="2">
        <v>1</v>
      </c>
      <c r="F297" s="3">
        <f>IF(COUNT(D297,E297)=2,D297*E297,NA())</f>
        <v>10325705.75</v>
      </c>
      <c r="G297" s="2" t="s">
        <v>52</v>
      </c>
      <c r="H297" s="2" t="s">
        <v>53</v>
      </c>
      <c r="I297" s="2" t="s">
        <v>54</v>
      </c>
      <c r="J297" s="2" t="s">
        <v>55</v>
      </c>
      <c r="K297" s="2"/>
      <c r="L297" s="2" t="s">
        <v>63</v>
      </c>
      <c r="M297" s="2" t="s">
        <v>57</v>
      </c>
      <c r="N297" s="2" t="s">
        <v>64</v>
      </c>
      <c r="O297" s="2" t="s">
        <v>59</v>
      </c>
      <c r="P297" s="2" t="s">
        <v>960</v>
      </c>
      <c r="Q297" s="2" t="s">
        <v>958</v>
      </c>
      <c r="R297" s="2"/>
    </row>
    <row r="298" spans="1:18">
      <c r="A298" s="2" t="s">
        <v>961</v>
      </c>
      <c r="B298" s="2" t="s">
        <v>962</v>
      </c>
      <c r="C298" s="2" t="s">
        <v>938</v>
      </c>
      <c r="D298" s="2">
        <v>83837683.81</v>
      </c>
      <c r="E298" s="2">
        <v>1</v>
      </c>
      <c r="F298" s="3">
        <f>IF(COUNT(D298,E298)=2,D298*E298,NA())</f>
        <v>83837683.81</v>
      </c>
      <c r="G298" s="2" t="s">
        <v>52</v>
      </c>
      <c r="H298" s="2" t="s">
        <v>53</v>
      </c>
      <c r="I298" s="2" t="s">
        <v>54</v>
      </c>
      <c r="J298" s="2" t="s">
        <v>55</v>
      </c>
      <c r="K298" s="2"/>
      <c r="L298" s="2" t="s">
        <v>56</v>
      </c>
      <c r="M298" s="2" t="s">
        <v>57</v>
      </c>
      <c r="N298" s="2" t="s">
        <v>58</v>
      </c>
      <c r="O298" s="2" t="s">
        <v>59</v>
      </c>
      <c r="P298" s="2" t="s">
        <v>963</v>
      </c>
      <c r="Q298" s="2" t="s">
        <v>964</v>
      </c>
      <c r="R298" s="2"/>
    </row>
    <row r="299" spans="1:18">
      <c r="A299" s="2" t="s">
        <v>965</v>
      </c>
      <c r="B299" s="2" t="s">
        <v>962</v>
      </c>
      <c r="C299" s="2" t="s">
        <v>938</v>
      </c>
      <c r="D299" s="2">
        <v>88740940.15000001</v>
      </c>
      <c r="E299" s="2">
        <v>1</v>
      </c>
      <c r="F299" s="3">
        <f>IF(COUNT(D299,E299)=2,D299*E299,NA())</f>
        <v>88740940.15</v>
      </c>
      <c r="G299" s="2" t="s">
        <v>52</v>
      </c>
      <c r="H299" s="2" t="s">
        <v>53</v>
      </c>
      <c r="I299" s="2" t="s">
        <v>54</v>
      </c>
      <c r="J299" s="2" t="s">
        <v>55</v>
      </c>
      <c r="K299" s="2"/>
      <c r="L299" s="2" t="s">
        <v>63</v>
      </c>
      <c r="M299" s="2" t="s">
        <v>57</v>
      </c>
      <c r="N299" s="2" t="s">
        <v>64</v>
      </c>
      <c r="O299" s="2" t="s">
        <v>59</v>
      </c>
      <c r="P299" s="2" t="s">
        <v>966</v>
      </c>
      <c r="Q299" s="2" t="s">
        <v>964</v>
      </c>
      <c r="R299" s="2"/>
    </row>
    <row r="300" spans="1:18">
      <c r="A300" s="2" t="s">
        <v>967</v>
      </c>
      <c r="B300" s="2" t="s">
        <v>968</v>
      </c>
      <c r="C300" s="2" t="s">
        <v>938</v>
      </c>
      <c r="D300" s="2">
        <v>598667606.54</v>
      </c>
      <c r="E300" s="2">
        <v>1</v>
      </c>
      <c r="F300" s="3">
        <f>IF(COUNT(D300,E300)=2,D300*E300,NA())</f>
        <v>598667606.54</v>
      </c>
      <c r="G300" s="2" t="s">
        <v>52</v>
      </c>
      <c r="H300" s="2" t="s">
        <v>53</v>
      </c>
      <c r="I300" s="2" t="s">
        <v>54</v>
      </c>
      <c r="J300" s="2" t="s">
        <v>55</v>
      </c>
      <c r="K300" s="2"/>
      <c r="L300" s="2" t="s">
        <v>56</v>
      </c>
      <c r="M300" s="2" t="s">
        <v>57</v>
      </c>
      <c r="N300" s="2" t="s">
        <v>58</v>
      </c>
      <c r="O300" s="2" t="s">
        <v>59</v>
      </c>
      <c r="P300" s="2" t="s">
        <v>969</v>
      </c>
      <c r="Q300" s="2" t="s">
        <v>970</v>
      </c>
      <c r="R300" s="2"/>
    </row>
    <row r="301" spans="1:18">
      <c r="A301" s="2" t="s">
        <v>971</v>
      </c>
      <c r="B301" s="2" t="s">
        <v>968</v>
      </c>
      <c r="C301" s="2" t="s">
        <v>938</v>
      </c>
      <c r="D301" s="2">
        <v>554065087.1900001</v>
      </c>
      <c r="E301" s="2">
        <v>1</v>
      </c>
      <c r="F301" s="3">
        <f>IF(COUNT(D301,E301)=2,D301*E301,NA())</f>
        <v>554065087.19</v>
      </c>
      <c r="G301" s="2" t="s">
        <v>52</v>
      </c>
      <c r="H301" s="2" t="s">
        <v>53</v>
      </c>
      <c r="I301" s="2" t="s">
        <v>54</v>
      </c>
      <c r="J301" s="2" t="s">
        <v>55</v>
      </c>
      <c r="K301" s="2"/>
      <c r="L301" s="2" t="s">
        <v>63</v>
      </c>
      <c r="M301" s="2" t="s">
        <v>57</v>
      </c>
      <c r="N301" s="2" t="s">
        <v>64</v>
      </c>
      <c r="O301" s="2" t="s">
        <v>59</v>
      </c>
      <c r="P301" s="2" t="s">
        <v>972</v>
      </c>
      <c r="Q301" s="2" t="s">
        <v>970</v>
      </c>
      <c r="R301" s="2"/>
    </row>
    <row r="302" spans="1:18">
      <c r="A302" s="2" t="s">
        <v>973</v>
      </c>
      <c r="B302" s="2" t="s">
        <v>974</v>
      </c>
      <c r="C302" s="2" t="s">
        <v>938</v>
      </c>
      <c r="D302" s="2">
        <v>123527332.82</v>
      </c>
      <c r="E302" s="2">
        <v>1</v>
      </c>
      <c r="F302" s="3">
        <f>IF(COUNT(D302,E302)=2,D302*E302,NA())</f>
        <v>123527332.82</v>
      </c>
      <c r="G302" s="2" t="s">
        <v>52</v>
      </c>
      <c r="H302" s="2" t="s">
        <v>53</v>
      </c>
      <c r="I302" s="2" t="s">
        <v>54</v>
      </c>
      <c r="J302" s="2" t="s">
        <v>55</v>
      </c>
      <c r="K302" s="2"/>
      <c r="L302" s="2" t="s">
        <v>56</v>
      </c>
      <c r="M302" s="2" t="s">
        <v>57</v>
      </c>
      <c r="N302" s="2" t="s">
        <v>58</v>
      </c>
      <c r="O302" s="2" t="s">
        <v>59</v>
      </c>
      <c r="P302" s="2" t="s">
        <v>975</v>
      </c>
      <c r="Q302" s="2" t="s">
        <v>976</v>
      </c>
      <c r="R302" s="2"/>
    </row>
    <row r="303" spans="1:18">
      <c r="A303" s="2" t="s">
        <v>977</v>
      </c>
      <c r="B303" s="2" t="s">
        <v>974</v>
      </c>
      <c r="C303" s="2" t="s">
        <v>938</v>
      </c>
      <c r="D303" s="2">
        <v>90326226.40000001</v>
      </c>
      <c r="E303" s="2">
        <v>1</v>
      </c>
      <c r="F303" s="3">
        <f>IF(COUNT(D303,E303)=2,D303*E303,NA())</f>
        <v>90326226.4</v>
      </c>
      <c r="G303" s="2" t="s">
        <v>52</v>
      </c>
      <c r="H303" s="2" t="s">
        <v>53</v>
      </c>
      <c r="I303" s="2" t="s">
        <v>54</v>
      </c>
      <c r="J303" s="2" t="s">
        <v>55</v>
      </c>
      <c r="K303" s="2"/>
      <c r="L303" s="2" t="s">
        <v>63</v>
      </c>
      <c r="M303" s="2" t="s">
        <v>57</v>
      </c>
      <c r="N303" s="2" t="s">
        <v>64</v>
      </c>
      <c r="O303" s="2" t="s">
        <v>59</v>
      </c>
      <c r="P303" s="2" t="s">
        <v>978</v>
      </c>
      <c r="Q303" s="2" t="s">
        <v>976</v>
      </c>
      <c r="R303" s="2"/>
    </row>
    <row r="304" spans="1:18">
      <c r="A304" s="2" t="s">
        <v>979</v>
      </c>
      <c r="B304" s="2" t="s">
        <v>980</v>
      </c>
      <c r="C304" s="2" t="s">
        <v>981</v>
      </c>
      <c r="D304" s="2">
        <v>625926809.46</v>
      </c>
      <c r="E304" s="2">
        <v>1</v>
      </c>
      <c r="F304" s="3">
        <f>IF(COUNT(D304,E304)=2,D304*E304,NA())</f>
        <v>625926809.46</v>
      </c>
      <c r="G304" s="2" t="s">
        <v>52</v>
      </c>
      <c r="H304" s="2" t="s">
        <v>53</v>
      </c>
      <c r="I304" s="2" t="s">
        <v>54</v>
      </c>
      <c r="J304" s="2" t="s">
        <v>55</v>
      </c>
      <c r="K304" s="2"/>
      <c r="L304" s="2" t="s">
        <v>56</v>
      </c>
      <c r="M304" s="2" t="s">
        <v>57</v>
      </c>
      <c r="N304" s="2" t="s">
        <v>58</v>
      </c>
      <c r="O304" s="2" t="s">
        <v>59</v>
      </c>
      <c r="P304" s="2" t="s">
        <v>982</v>
      </c>
      <c r="Q304" s="2" t="s">
        <v>983</v>
      </c>
      <c r="R304" s="2"/>
    </row>
    <row r="305" spans="1:18">
      <c r="A305" s="2" t="s">
        <v>984</v>
      </c>
      <c r="B305" s="2" t="s">
        <v>980</v>
      </c>
      <c r="C305" s="2" t="s">
        <v>981</v>
      </c>
      <c r="D305" s="2">
        <v>482940460</v>
      </c>
      <c r="E305" s="2">
        <v>1</v>
      </c>
      <c r="F305" s="3">
        <f>IF(COUNT(D305,E305)=2,D305*E305,NA())</f>
        <v>482940460.0</v>
      </c>
      <c r="G305" s="2" t="s">
        <v>52</v>
      </c>
      <c r="H305" s="2" t="s">
        <v>53</v>
      </c>
      <c r="I305" s="2" t="s">
        <v>54</v>
      </c>
      <c r="J305" s="2" t="s">
        <v>55</v>
      </c>
      <c r="K305" s="2"/>
      <c r="L305" s="2" t="s">
        <v>63</v>
      </c>
      <c r="M305" s="2" t="s">
        <v>57</v>
      </c>
      <c r="N305" s="2" t="s">
        <v>64</v>
      </c>
      <c r="O305" s="2" t="s">
        <v>59</v>
      </c>
      <c r="P305" s="2" t="s">
        <v>985</v>
      </c>
      <c r="Q305" s="2" t="s">
        <v>983</v>
      </c>
      <c r="R305" s="2"/>
    </row>
    <row r="306" spans="1:18">
      <c r="A306" s="2" t="s">
        <v>986</v>
      </c>
      <c r="B306" s="2" t="s">
        <v>987</v>
      </c>
      <c r="C306" s="2" t="s">
        <v>981</v>
      </c>
      <c r="D306" s="2">
        <v>286261649.71</v>
      </c>
      <c r="E306" s="2">
        <v>1</v>
      </c>
      <c r="F306" s="3">
        <f>IF(COUNT(D306,E306)=2,D306*E306,NA())</f>
        <v>286261649.71</v>
      </c>
      <c r="G306" s="2" t="s">
        <v>52</v>
      </c>
      <c r="H306" s="2" t="s">
        <v>53</v>
      </c>
      <c r="I306" s="2" t="s">
        <v>54</v>
      </c>
      <c r="J306" s="2" t="s">
        <v>55</v>
      </c>
      <c r="K306" s="2"/>
      <c r="L306" s="2" t="s">
        <v>56</v>
      </c>
      <c r="M306" s="2" t="s">
        <v>57</v>
      </c>
      <c r="N306" s="2" t="s">
        <v>58</v>
      </c>
      <c r="O306" s="2" t="s">
        <v>59</v>
      </c>
      <c r="P306" s="2" t="s">
        <v>988</v>
      </c>
      <c r="Q306" s="2" t="s">
        <v>989</v>
      </c>
      <c r="R306" s="2"/>
    </row>
    <row r="307" spans="1:18">
      <c r="A307" s="2" t="s">
        <v>990</v>
      </c>
      <c r="B307" s="2" t="s">
        <v>987</v>
      </c>
      <c r="C307" s="2" t="s">
        <v>981</v>
      </c>
      <c r="D307" s="2">
        <v>144549770.7</v>
      </c>
      <c r="E307" s="2">
        <v>1</v>
      </c>
      <c r="F307" s="3">
        <f>IF(COUNT(D307,E307)=2,D307*E307,NA())</f>
        <v>144549770.7</v>
      </c>
      <c r="G307" s="2" t="s">
        <v>52</v>
      </c>
      <c r="H307" s="2" t="s">
        <v>53</v>
      </c>
      <c r="I307" s="2" t="s">
        <v>54</v>
      </c>
      <c r="J307" s="2" t="s">
        <v>55</v>
      </c>
      <c r="K307" s="2"/>
      <c r="L307" s="2" t="s">
        <v>63</v>
      </c>
      <c r="M307" s="2" t="s">
        <v>57</v>
      </c>
      <c r="N307" s="2" t="s">
        <v>64</v>
      </c>
      <c r="O307" s="2" t="s">
        <v>59</v>
      </c>
      <c r="P307" s="2" t="s">
        <v>991</v>
      </c>
      <c r="Q307" s="2" t="s">
        <v>989</v>
      </c>
      <c r="R307" s="2"/>
    </row>
    <row r="308" spans="1:18">
      <c r="A308" s="2" t="s">
        <v>992</v>
      </c>
      <c r="B308" s="2" t="s">
        <v>993</v>
      </c>
      <c r="C308" s="2" t="s">
        <v>981</v>
      </c>
      <c r="D308" s="2">
        <v>117550000</v>
      </c>
      <c r="E308" s="2">
        <v>1</v>
      </c>
      <c r="F308" s="3">
        <f>IF(COUNT(D308,E308)=2,D308*E308,NA())</f>
        <v>117550000.0</v>
      </c>
      <c r="G308" s="2" t="s">
        <v>52</v>
      </c>
      <c r="H308" s="2" t="s">
        <v>53</v>
      </c>
      <c r="I308" s="2" t="s">
        <v>54</v>
      </c>
      <c r="J308" s="2" t="s">
        <v>55</v>
      </c>
      <c r="K308" s="2"/>
      <c r="L308" s="2" t="s">
        <v>56</v>
      </c>
      <c r="M308" s="2" t="s">
        <v>57</v>
      </c>
      <c r="N308" s="2" t="s">
        <v>58</v>
      </c>
      <c r="O308" s="2" t="s">
        <v>59</v>
      </c>
      <c r="P308" s="2" t="s">
        <v>994</v>
      </c>
      <c r="Q308" s="2" t="s">
        <v>995</v>
      </c>
      <c r="R308" s="2"/>
    </row>
    <row r="309" spans="1:18">
      <c r="A309" s="2" t="s">
        <v>996</v>
      </c>
      <c r="B309" s="2" t="s">
        <v>993</v>
      </c>
      <c r="C309" s="2" t="s">
        <v>981</v>
      </c>
      <c r="D309" s="2">
        <v>117550000</v>
      </c>
      <c r="E309" s="2">
        <v>1</v>
      </c>
      <c r="F309" s="3">
        <f>IF(COUNT(D309,E309)=2,D309*E309,NA())</f>
        <v>117550000.0</v>
      </c>
      <c r="G309" s="2" t="s">
        <v>52</v>
      </c>
      <c r="H309" s="2" t="s">
        <v>53</v>
      </c>
      <c r="I309" s="2" t="s">
        <v>54</v>
      </c>
      <c r="J309" s="2" t="s">
        <v>55</v>
      </c>
      <c r="K309" s="2"/>
      <c r="L309" s="2" t="s">
        <v>63</v>
      </c>
      <c r="M309" s="2" t="s">
        <v>57</v>
      </c>
      <c r="N309" s="2" t="s">
        <v>64</v>
      </c>
      <c r="O309" s="2" t="s">
        <v>59</v>
      </c>
      <c r="P309" s="2" t="s">
        <v>997</v>
      </c>
      <c r="Q309" s="2" t="s">
        <v>995</v>
      </c>
      <c r="R309" s="2"/>
    </row>
    <row r="310" spans="1:18">
      <c r="A310" s="2" t="s">
        <v>998</v>
      </c>
      <c r="B310" s="2" t="s">
        <v>999</v>
      </c>
      <c r="C310" s="2" t="s">
        <v>981</v>
      </c>
      <c r="D310" s="2">
        <v>94040000</v>
      </c>
      <c r="E310" s="2">
        <v>1</v>
      </c>
      <c r="F310" s="3">
        <f>IF(COUNT(D310,E310)=2,D310*E310,NA())</f>
        <v>94040000.0</v>
      </c>
      <c r="G310" s="2" t="s">
        <v>52</v>
      </c>
      <c r="H310" s="2" t="s">
        <v>53</v>
      </c>
      <c r="I310" s="2" t="s">
        <v>54</v>
      </c>
      <c r="J310" s="2" t="s">
        <v>55</v>
      </c>
      <c r="K310" s="2"/>
      <c r="L310" s="2" t="s">
        <v>56</v>
      </c>
      <c r="M310" s="2" t="s">
        <v>57</v>
      </c>
      <c r="N310" s="2" t="s">
        <v>58</v>
      </c>
      <c r="O310" s="2" t="s">
        <v>59</v>
      </c>
      <c r="P310" s="2" t="s">
        <v>1000</v>
      </c>
      <c r="Q310" s="2" t="s">
        <v>1001</v>
      </c>
      <c r="R310" s="2"/>
    </row>
    <row r="311" spans="1:18">
      <c r="A311" s="2" t="s">
        <v>1002</v>
      </c>
      <c r="B311" s="2" t="s">
        <v>999</v>
      </c>
      <c r="C311" s="2" t="s">
        <v>981</v>
      </c>
      <c r="D311" s="2">
        <v>35265000</v>
      </c>
      <c r="E311" s="2">
        <v>1</v>
      </c>
      <c r="F311" s="3">
        <f>IF(COUNT(D311,E311)=2,D311*E311,NA())</f>
        <v>35265000.0</v>
      </c>
      <c r="G311" s="2" t="s">
        <v>52</v>
      </c>
      <c r="H311" s="2" t="s">
        <v>53</v>
      </c>
      <c r="I311" s="2" t="s">
        <v>54</v>
      </c>
      <c r="J311" s="2" t="s">
        <v>55</v>
      </c>
      <c r="K311" s="2"/>
      <c r="L311" s="2" t="s">
        <v>63</v>
      </c>
      <c r="M311" s="2" t="s">
        <v>57</v>
      </c>
      <c r="N311" s="2" t="s">
        <v>64</v>
      </c>
      <c r="O311" s="2" t="s">
        <v>59</v>
      </c>
      <c r="P311" s="2" t="s">
        <v>1003</v>
      </c>
      <c r="Q311" s="2" t="s">
        <v>1001</v>
      </c>
      <c r="R311" s="2"/>
    </row>
    <row r="312" spans="1:18">
      <c r="A312" s="2" t="s">
        <v>1004</v>
      </c>
      <c r="B312" s="2" t="s">
        <v>1005</v>
      </c>
      <c r="C312" s="2" t="s">
        <v>1006</v>
      </c>
      <c r="D312" s="2">
        <v>467554042.12</v>
      </c>
      <c r="E312" s="2">
        <v>1</v>
      </c>
      <c r="F312" s="3">
        <f>IF(COUNT(D312,E312)=2,D312*E312,NA())</f>
        <v>467554042.12</v>
      </c>
      <c r="G312" s="2" t="s">
        <v>52</v>
      </c>
      <c r="H312" s="2" t="s">
        <v>53</v>
      </c>
      <c r="I312" s="2" t="s">
        <v>54</v>
      </c>
      <c r="J312" s="2" t="s">
        <v>55</v>
      </c>
      <c r="K312" s="2"/>
      <c r="L312" s="2" t="s">
        <v>56</v>
      </c>
      <c r="M312" s="2" t="s">
        <v>57</v>
      </c>
      <c r="N312" s="2" t="s">
        <v>58</v>
      </c>
      <c r="O312" s="2" t="s">
        <v>59</v>
      </c>
      <c r="P312" s="2" t="s">
        <v>1007</v>
      </c>
      <c r="Q312" s="2" t="s">
        <v>1008</v>
      </c>
      <c r="R312" s="2"/>
    </row>
    <row r="313" spans="1:18">
      <c r="A313" s="2" t="s">
        <v>1009</v>
      </c>
      <c r="B313" s="2" t="s">
        <v>1005</v>
      </c>
      <c r="C313" s="2" t="s">
        <v>1006</v>
      </c>
      <c r="D313" s="2">
        <v>535416478.31</v>
      </c>
      <c r="E313" s="2">
        <v>1</v>
      </c>
      <c r="F313" s="3">
        <f>IF(COUNT(D313,E313)=2,D313*E313,NA())</f>
        <v>535416478.31</v>
      </c>
      <c r="G313" s="2" t="s">
        <v>52</v>
      </c>
      <c r="H313" s="2" t="s">
        <v>53</v>
      </c>
      <c r="I313" s="2" t="s">
        <v>54</v>
      </c>
      <c r="J313" s="2" t="s">
        <v>55</v>
      </c>
      <c r="K313" s="2"/>
      <c r="L313" s="2" t="s">
        <v>63</v>
      </c>
      <c r="M313" s="2" t="s">
        <v>57</v>
      </c>
      <c r="N313" s="2" t="s">
        <v>64</v>
      </c>
      <c r="O313" s="2" t="s">
        <v>59</v>
      </c>
      <c r="P313" s="2" t="s">
        <v>1010</v>
      </c>
      <c r="Q313" s="2" t="s">
        <v>1008</v>
      </c>
      <c r="R313" s="2"/>
    </row>
    <row r="314" spans="1:18">
      <c r="A314" s="2" t="s">
        <v>1011</v>
      </c>
      <c r="B314" s="2" t="s">
        <v>1012</v>
      </c>
      <c r="C314" s="2" t="s">
        <v>1006</v>
      </c>
      <c r="D314" s="2">
        <v>43384280.77</v>
      </c>
      <c r="E314" s="2">
        <v>1</v>
      </c>
      <c r="F314" s="3">
        <f>IF(COUNT(D314,E314)=2,D314*E314,NA())</f>
        <v>43384280.77</v>
      </c>
      <c r="G314" s="2" t="s">
        <v>52</v>
      </c>
      <c r="H314" s="2" t="s">
        <v>53</v>
      </c>
      <c r="I314" s="2" t="s">
        <v>54</v>
      </c>
      <c r="J314" s="2" t="s">
        <v>55</v>
      </c>
      <c r="K314" s="2"/>
      <c r="L314" s="2" t="s">
        <v>56</v>
      </c>
      <c r="M314" s="2" t="s">
        <v>57</v>
      </c>
      <c r="N314" s="2" t="s">
        <v>58</v>
      </c>
      <c r="O314" s="2" t="s">
        <v>59</v>
      </c>
      <c r="P314" s="2" t="s">
        <v>1013</v>
      </c>
      <c r="Q314" s="2" t="s">
        <v>1014</v>
      </c>
      <c r="R314" s="2"/>
    </row>
    <row r="315" spans="1:18">
      <c r="A315" s="2" t="s">
        <v>1015</v>
      </c>
      <c r="B315" s="2" t="s">
        <v>1012</v>
      </c>
      <c r="C315" s="2" t="s">
        <v>1006</v>
      </c>
      <c r="D315" s="2">
        <v>33440666.09</v>
      </c>
      <c r="E315" s="2">
        <v>1</v>
      </c>
      <c r="F315" s="3">
        <f>IF(COUNT(D315,E315)=2,D315*E315,NA())</f>
        <v>33440666.09</v>
      </c>
      <c r="G315" s="2" t="s">
        <v>52</v>
      </c>
      <c r="H315" s="2" t="s">
        <v>53</v>
      </c>
      <c r="I315" s="2" t="s">
        <v>54</v>
      </c>
      <c r="J315" s="2" t="s">
        <v>55</v>
      </c>
      <c r="K315" s="2"/>
      <c r="L315" s="2" t="s">
        <v>63</v>
      </c>
      <c r="M315" s="2" t="s">
        <v>57</v>
      </c>
      <c r="N315" s="2" t="s">
        <v>64</v>
      </c>
      <c r="O315" s="2" t="s">
        <v>59</v>
      </c>
      <c r="P315" s="2" t="s">
        <v>1016</v>
      </c>
      <c r="Q315" s="2" t="s">
        <v>1014</v>
      </c>
      <c r="R315" s="2"/>
    </row>
    <row r="316" spans="1:18">
      <c r="A316" s="2" t="s">
        <v>1017</v>
      </c>
      <c r="B316" s="2" t="s">
        <v>1018</v>
      </c>
      <c r="C316" s="2" t="s">
        <v>1019</v>
      </c>
      <c r="D316" s="2">
        <v>882916645.17</v>
      </c>
      <c r="E316" s="2">
        <v>1</v>
      </c>
      <c r="F316" s="3">
        <f>IF(COUNT(D316,E316)=2,D316*E316,NA())</f>
        <v>882916645.17</v>
      </c>
      <c r="G316" s="2" t="s">
        <v>52</v>
      </c>
      <c r="H316" s="2" t="s">
        <v>53</v>
      </c>
      <c r="I316" s="2" t="s">
        <v>54</v>
      </c>
      <c r="J316" s="2" t="s">
        <v>55</v>
      </c>
      <c r="K316" s="2"/>
      <c r="L316" s="2" t="s">
        <v>56</v>
      </c>
      <c r="M316" s="2" t="s">
        <v>57</v>
      </c>
      <c r="N316" s="2" t="s">
        <v>58</v>
      </c>
      <c r="O316" s="2" t="s">
        <v>59</v>
      </c>
      <c r="P316" s="2" t="s">
        <v>1020</v>
      </c>
      <c r="Q316" s="2" t="s">
        <v>1021</v>
      </c>
      <c r="R316" s="2"/>
    </row>
    <row r="317" spans="1:18">
      <c r="A317" s="2" t="s">
        <v>1022</v>
      </c>
      <c r="B317" s="2" t="s">
        <v>1018</v>
      </c>
      <c r="C317" s="2" t="s">
        <v>1019</v>
      </c>
      <c r="D317" s="2">
        <v>552029316.5599999</v>
      </c>
      <c r="E317" s="2">
        <v>1</v>
      </c>
      <c r="F317" s="3">
        <f>IF(COUNT(D317,E317)=2,D317*E317,NA())</f>
        <v>552029316.56</v>
      </c>
      <c r="G317" s="2" t="s">
        <v>52</v>
      </c>
      <c r="H317" s="2" t="s">
        <v>53</v>
      </c>
      <c r="I317" s="2" t="s">
        <v>54</v>
      </c>
      <c r="J317" s="2" t="s">
        <v>55</v>
      </c>
      <c r="K317" s="2"/>
      <c r="L317" s="2" t="s">
        <v>63</v>
      </c>
      <c r="M317" s="2" t="s">
        <v>57</v>
      </c>
      <c r="N317" s="2" t="s">
        <v>64</v>
      </c>
      <c r="O317" s="2" t="s">
        <v>59</v>
      </c>
      <c r="P317" s="2" t="s">
        <v>1023</v>
      </c>
      <c r="Q317" s="2" t="s">
        <v>1021</v>
      </c>
      <c r="R317" s="2"/>
    </row>
    <row r="318" spans="1:18">
      <c r="A318" s="2" t="s">
        <v>1024</v>
      </c>
      <c r="B318" s="2" t="s">
        <v>1025</v>
      </c>
      <c r="C318" s="2" t="s">
        <v>1019</v>
      </c>
      <c r="D318" s="2">
        <v>96775205.78</v>
      </c>
      <c r="E318" s="2">
        <v>1</v>
      </c>
      <c r="F318" s="3">
        <f>IF(COUNT(D318,E318)=2,D318*E318,NA())</f>
        <v>96775205.78</v>
      </c>
      <c r="G318" s="2" t="s">
        <v>52</v>
      </c>
      <c r="H318" s="2" t="s">
        <v>53</v>
      </c>
      <c r="I318" s="2" t="s">
        <v>54</v>
      </c>
      <c r="J318" s="2" t="s">
        <v>55</v>
      </c>
      <c r="K318" s="2"/>
      <c r="L318" s="2" t="s">
        <v>56</v>
      </c>
      <c r="M318" s="2" t="s">
        <v>57</v>
      </c>
      <c r="N318" s="2" t="s">
        <v>58</v>
      </c>
      <c r="O318" s="2" t="s">
        <v>59</v>
      </c>
      <c r="P318" s="2" t="s">
        <v>1026</v>
      </c>
      <c r="Q318" s="2" t="s">
        <v>1027</v>
      </c>
      <c r="R318" s="2"/>
    </row>
    <row r="319" spans="1:18">
      <c r="A319" s="2" t="s">
        <v>1028</v>
      </c>
      <c r="B319" s="2" t="s">
        <v>1025</v>
      </c>
      <c r="C319" s="2" t="s">
        <v>1019</v>
      </c>
      <c r="D319" s="2">
        <v>20992106.57</v>
      </c>
      <c r="E319" s="2">
        <v>1</v>
      </c>
      <c r="F319" s="3">
        <f>IF(COUNT(D319,E319)=2,D319*E319,NA())</f>
        <v>20992106.57</v>
      </c>
      <c r="G319" s="2" t="s">
        <v>52</v>
      </c>
      <c r="H319" s="2" t="s">
        <v>53</v>
      </c>
      <c r="I319" s="2" t="s">
        <v>54</v>
      </c>
      <c r="J319" s="2" t="s">
        <v>55</v>
      </c>
      <c r="K319" s="2"/>
      <c r="L319" s="2" t="s">
        <v>63</v>
      </c>
      <c r="M319" s="2" t="s">
        <v>57</v>
      </c>
      <c r="N319" s="2" t="s">
        <v>64</v>
      </c>
      <c r="O319" s="2" t="s">
        <v>59</v>
      </c>
      <c r="P319" s="2" t="s">
        <v>1029</v>
      </c>
      <c r="Q319" s="2" t="s">
        <v>1027</v>
      </c>
      <c r="R319" s="2"/>
    </row>
    <row r="320" spans="1:18">
      <c r="A320" s="2" t="s">
        <v>1030</v>
      </c>
      <c r="B320" s="2" t="s">
        <v>1031</v>
      </c>
      <c r="C320" s="2" t="s">
        <v>1019</v>
      </c>
      <c r="D320" s="2">
        <v>786141439.39</v>
      </c>
      <c r="E320" s="2">
        <v>1</v>
      </c>
      <c r="F320" s="3">
        <f>IF(COUNT(D320,E320)=2,D320*E320,NA())</f>
        <v>786141439.39</v>
      </c>
      <c r="G320" s="2" t="s">
        <v>52</v>
      </c>
      <c r="H320" s="2" t="s">
        <v>53</v>
      </c>
      <c r="I320" s="2" t="s">
        <v>54</v>
      </c>
      <c r="J320" s="2" t="s">
        <v>55</v>
      </c>
      <c r="K320" s="2"/>
      <c r="L320" s="2" t="s">
        <v>56</v>
      </c>
      <c r="M320" s="2" t="s">
        <v>57</v>
      </c>
      <c r="N320" s="2" t="s">
        <v>58</v>
      </c>
      <c r="O320" s="2" t="s">
        <v>59</v>
      </c>
      <c r="P320" s="2" t="s">
        <v>1032</v>
      </c>
      <c r="Q320" s="2" t="s">
        <v>1033</v>
      </c>
      <c r="R320" s="2"/>
    </row>
    <row r="321" spans="1:18">
      <c r="A321" s="2" t="s">
        <v>1034</v>
      </c>
      <c r="B321" s="2" t="s">
        <v>1031</v>
      </c>
      <c r="C321" s="2" t="s">
        <v>1019</v>
      </c>
      <c r="D321" s="2">
        <v>531037209.99</v>
      </c>
      <c r="E321" s="2">
        <v>1</v>
      </c>
      <c r="F321" s="3">
        <f>IF(COUNT(D321,E321)=2,D321*E321,NA())</f>
        <v>531037209.99</v>
      </c>
      <c r="G321" s="2" t="s">
        <v>52</v>
      </c>
      <c r="H321" s="2" t="s">
        <v>53</v>
      </c>
      <c r="I321" s="2" t="s">
        <v>54</v>
      </c>
      <c r="J321" s="2" t="s">
        <v>55</v>
      </c>
      <c r="K321" s="2"/>
      <c r="L321" s="2" t="s">
        <v>63</v>
      </c>
      <c r="M321" s="2" t="s">
        <v>57</v>
      </c>
      <c r="N321" s="2" t="s">
        <v>64</v>
      </c>
      <c r="O321" s="2" t="s">
        <v>59</v>
      </c>
      <c r="P321" s="2" t="s">
        <v>1035</v>
      </c>
      <c r="Q321" s="2" t="s">
        <v>1033</v>
      </c>
      <c r="R321" s="2"/>
    </row>
    <row r="322" spans="1:18">
      <c r="A322" s="2" t="s">
        <v>1036</v>
      </c>
      <c r="B322" s="2" t="s">
        <v>1037</v>
      </c>
      <c r="C322" s="2" t="s">
        <v>1019</v>
      </c>
      <c r="D322" s="2">
        <v>3467081100.22</v>
      </c>
      <c r="E322" s="2">
        <v>1</v>
      </c>
      <c r="F322" s="3">
        <f>IF(COUNT(D322,E322)=2,D322*E322,NA())</f>
        <v>3467081100.22</v>
      </c>
      <c r="G322" s="2" t="s">
        <v>52</v>
      </c>
      <c r="H322" s="2" t="s">
        <v>53</v>
      </c>
      <c r="I322" s="2" t="s">
        <v>54</v>
      </c>
      <c r="J322" s="2" t="s">
        <v>55</v>
      </c>
      <c r="K322" s="2"/>
      <c r="L322" s="2" t="s">
        <v>56</v>
      </c>
      <c r="M322" s="2" t="s">
        <v>57</v>
      </c>
      <c r="N322" s="2" t="s">
        <v>58</v>
      </c>
      <c r="O322" s="2" t="s">
        <v>59</v>
      </c>
      <c r="P322" s="2" t="s">
        <v>1038</v>
      </c>
      <c r="Q322" s="2" t="s">
        <v>1039</v>
      </c>
      <c r="R322" s="2"/>
    </row>
    <row r="323" spans="1:18">
      <c r="A323" s="2" t="s">
        <v>1040</v>
      </c>
      <c r="B323" s="2" t="s">
        <v>1037</v>
      </c>
      <c r="C323" s="2" t="s">
        <v>1019</v>
      </c>
      <c r="D323" s="2">
        <v>3411055710.86</v>
      </c>
      <c r="E323" s="2">
        <v>1</v>
      </c>
      <c r="F323" s="3">
        <f>IF(COUNT(D323,E323)=2,D323*E323,NA())</f>
        <v>3411055710.86</v>
      </c>
      <c r="G323" s="2" t="s">
        <v>52</v>
      </c>
      <c r="H323" s="2" t="s">
        <v>53</v>
      </c>
      <c r="I323" s="2" t="s">
        <v>54</v>
      </c>
      <c r="J323" s="2" t="s">
        <v>55</v>
      </c>
      <c r="K323" s="2"/>
      <c r="L323" s="2" t="s">
        <v>63</v>
      </c>
      <c r="M323" s="2" t="s">
        <v>57</v>
      </c>
      <c r="N323" s="2" t="s">
        <v>64</v>
      </c>
      <c r="O323" s="2" t="s">
        <v>59</v>
      </c>
      <c r="P323" s="2" t="s">
        <v>1041</v>
      </c>
      <c r="Q323" s="2" t="s">
        <v>1039</v>
      </c>
      <c r="R323" s="2"/>
    </row>
    <row r="324" spans="1:18">
      <c r="A324" s="2" t="s">
        <v>1042</v>
      </c>
      <c r="B324" s="2" t="s">
        <v>1043</v>
      </c>
      <c r="C324" s="2" t="s">
        <v>1019</v>
      </c>
      <c r="D324" s="2">
        <v>1219258212.39</v>
      </c>
      <c r="E324" s="2">
        <v>1</v>
      </c>
      <c r="F324" s="3">
        <f>IF(COUNT(D324,E324)=2,D324*E324,NA())</f>
        <v>1219258212.39</v>
      </c>
      <c r="G324" s="2" t="s">
        <v>52</v>
      </c>
      <c r="H324" s="2" t="s">
        <v>53</v>
      </c>
      <c r="I324" s="2" t="s">
        <v>54</v>
      </c>
      <c r="J324" s="2" t="s">
        <v>55</v>
      </c>
      <c r="K324" s="2"/>
      <c r="L324" s="2" t="s">
        <v>56</v>
      </c>
      <c r="M324" s="2" t="s">
        <v>57</v>
      </c>
      <c r="N324" s="2" t="s">
        <v>58</v>
      </c>
      <c r="O324" s="2" t="s">
        <v>59</v>
      </c>
      <c r="P324" s="2" t="s">
        <v>1044</v>
      </c>
      <c r="Q324" s="2" t="s">
        <v>1045</v>
      </c>
      <c r="R324" s="2"/>
    </row>
    <row r="325" spans="1:18">
      <c r="A325" s="2" t="s">
        <v>1046</v>
      </c>
      <c r="B325" s="2" t="s">
        <v>1043</v>
      </c>
      <c r="C325" s="2" t="s">
        <v>1019</v>
      </c>
      <c r="D325" s="2">
        <v>1009122262.76</v>
      </c>
      <c r="E325" s="2">
        <v>1</v>
      </c>
      <c r="F325" s="3">
        <f>IF(COUNT(D325,E325)=2,D325*E325,NA())</f>
        <v>1009122262.76</v>
      </c>
      <c r="G325" s="2" t="s">
        <v>52</v>
      </c>
      <c r="H325" s="2" t="s">
        <v>53</v>
      </c>
      <c r="I325" s="2" t="s">
        <v>54</v>
      </c>
      <c r="J325" s="2" t="s">
        <v>55</v>
      </c>
      <c r="K325" s="2"/>
      <c r="L325" s="2" t="s">
        <v>63</v>
      </c>
      <c r="M325" s="2" t="s">
        <v>57</v>
      </c>
      <c r="N325" s="2" t="s">
        <v>64</v>
      </c>
      <c r="O325" s="2" t="s">
        <v>59</v>
      </c>
      <c r="P325" s="2" t="s">
        <v>1047</v>
      </c>
      <c r="Q325" s="2" t="s">
        <v>1045</v>
      </c>
      <c r="R325" s="2"/>
    </row>
    <row r="326" spans="1:18">
      <c r="A326" s="2" t="s">
        <v>1048</v>
      </c>
      <c r="B326" s="2" t="s">
        <v>1049</v>
      </c>
      <c r="C326" s="2" t="s">
        <v>1019</v>
      </c>
      <c r="D326" s="2">
        <v>45754097.75</v>
      </c>
      <c r="E326" s="2">
        <v>1</v>
      </c>
      <c r="F326" s="3">
        <f>IF(COUNT(D326,E326)=2,D326*E326,NA())</f>
        <v>45754097.75</v>
      </c>
      <c r="G326" s="2" t="s">
        <v>52</v>
      </c>
      <c r="H326" s="2" t="s">
        <v>53</v>
      </c>
      <c r="I326" s="2" t="s">
        <v>54</v>
      </c>
      <c r="J326" s="2" t="s">
        <v>55</v>
      </c>
      <c r="K326" s="2"/>
      <c r="L326" s="2" t="s">
        <v>56</v>
      </c>
      <c r="M326" s="2" t="s">
        <v>57</v>
      </c>
      <c r="N326" s="2" t="s">
        <v>58</v>
      </c>
      <c r="O326" s="2" t="s">
        <v>59</v>
      </c>
      <c r="P326" s="2" t="s">
        <v>1050</v>
      </c>
      <c r="Q326" s="2" t="s">
        <v>1051</v>
      </c>
      <c r="R326" s="2"/>
    </row>
    <row r="327" spans="1:18">
      <c r="A327" s="2" t="s">
        <v>1052</v>
      </c>
      <c r="B327" s="2" t="s">
        <v>1049</v>
      </c>
      <c r="C327" s="2" t="s">
        <v>1019</v>
      </c>
      <c r="D327" s="2">
        <v>10217606.71</v>
      </c>
      <c r="E327" s="2">
        <v>1</v>
      </c>
      <c r="F327" s="3">
        <f>IF(COUNT(D327,E327)=2,D327*E327,NA())</f>
        <v>10217606.71</v>
      </c>
      <c r="G327" s="2" t="s">
        <v>52</v>
      </c>
      <c r="H327" s="2" t="s">
        <v>53</v>
      </c>
      <c r="I327" s="2" t="s">
        <v>54</v>
      </c>
      <c r="J327" s="2" t="s">
        <v>55</v>
      </c>
      <c r="K327" s="2"/>
      <c r="L327" s="2" t="s">
        <v>63</v>
      </c>
      <c r="M327" s="2" t="s">
        <v>57</v>
      </c>
      <c r="N327" s="2" t="s">
        <v>64</v>
      </c>
      <c r="O327" s="2" t="s">
        <v>59</v>
      </c>
      <c r="P327" s="2" t="s">
        <v>1053</v>
      </c>
      <c r="Q327" s="2" t="s">
        <v>1051</v>
      </c>
      <c r="R327" s="2"/>
    </row>
    <row r="328" spans="1:18">
      <c r="A328" s="2" t="s">
        <v>1054</v>
      </c>
      <c r="B328" s="2" t="s">
        <v>1055</v>
      </c>
      <c r="C328" s="2" t="s">
        <v>1056</v>
      </c>
      <c r="D328" s="2">
        <v>536817370.37</v>
      </c>
      <c r="E328" s="2">
        <v>1</v>
      </c>
      <c r="F328" s="3">
        <f>IF(COUNT(D328,E328)=2,D328*E328,NA())</f>
        <v>536817370.37</v>
      </c>
      <c r="G328" s="2" t="s">
        <v>52</v>
      </c>
      <c r="H328" s="2" t="s">
        <v>53</v>
      </c>
      <c r="I328" s="2" t="s">
        <v>54</v>
      </c>
      <c r="J328" s="2" t="s">
        <v>55</v>
      </c>
      <c r="K328" s="2"/>
      <c r="L328" s="2" t="s">
        <v>56</v>
      </c>
      <c r="M328" s="2" t="s">
        <v>57</v>
      </c>
      <c r="N328" s="2" t="s">
        <v>58</v>
      </c>
      <c r="O328" s="2" t="s">
        <v>59</v>
      </c>
      <c r="P328" s="2" t="s">
        <v>1057</v>
      </c>
      <c r="Q328" s="2" t="s">
        <v>1058</v>
      </c>
      <c r="R328" s="2"/>
    </row>
    <row r="329" spans="1:18">
      <c r="A329" s="2" t="s">
        <v>1059</v>
      </c>
      <c r="B329" s="2" t="s">
        <v>1055</v>
      </c>
      <c r="C329" s="2" t="s">
        <v>1056</v>
      </c>
      <c r="D329" s="2">
        <v>443944713.69</v>
      </c>
      <c r="E329" s="2">
        <v>1</v>
      </c>
      <c r="F329" s="3">
        <f>IF(COUNT(D329,E329)=2,D329*E329,NA())</f>
        <v>443944713.69</v>
      </c>
      <c r="G329" s="2" t="s">
        <v>52</v>
      </c>
      <c r="H329" s="2" t="s">
        <v>53</v>
      </c>
      <c r="I329" s="2" t="s">
        <v>54</v>
      </c>
      <c r="J329" s="2" t="s">
        <v>55</v>
      </c>
      <c r="K329" s="2"/>
      <c r="L329" s="2" t="s">
        <v>63</v>
      </c>
      <c r="M329" s="2" t="s">
        <v>57</v>
      </c>
      <c r="N329" s="2" t="s">
        <v>64</v>
      </c>
      <c r="O329" s="2" t="s">
        <v>59</v>
      </c>
      <c r="P329" s="2" t="s">
        <v>1060</v>
      </c>
      <c r="Q329" s="2" t="s">
        <v>1058</v>
      </c>
      <c r="R329" s="2"/>
    </row>
    <row r="330" spans="1:18">
      <c r="A330" s="2" t="s">
        <v>1061</v>
      </c>
      <c r="B330" s="2" t="s">
        <v>1062</v>
      </c>
      <c r="C330" s="2" t="s">
        <v>1063</v>
      </c>
      <c r="D330" s="2">
        <v>3071546311.9</v>
      </c>
      <c r="E330" s="2">
        <v>1</v>
      </c>
      <c r="F330" s="3">
        <f>IF(COUNT(D330,E330)=2,D330*E330,NA())</f>
        <v>3071546311.9</v>
      </c>
      <c r="G330" s="2" t="s">
        <v>52</v>
      </c>
      <c r="H330" s="2" t="s">
        <v>53</v>
      </c>
      <c r="I330" s="2" t="s">
        <v>54</v>
      </c>
      <c r="J330" s="2" t="s">
        <v>55</v>
      </c>
      <c r="K330" s="2" t="s">
        <v>392</v>
      </c>
      <c r="L330" s="2" t="s">
        <v>56</v>
      </c>
      <c r="M330" s="2" t="s">
        <v>393</v>
      </c>
      <c r="N330" s="2" t="s">
        <v>58</v>
      </c>
      <c r="O330" s="2" t="s">
        <v>59</v>
      </c>
      <c r="P330" s="2" t="s">
        <v>1064</v>
      </c>
      <c r="Q330" s="2" t="s">
        <v>1065</v>
      </c>
      <c r="R330" s="2"/>
    </row>
    <row r="331" spans="1:18">
      <c r="A331" s="2" t="s">
        <v>1066</v>
      </c>
      <c r="B331" s="2" t="s">
        <v>1062</v>
      </c>
      <c r="C331" s="2" t="s">
        <v>1063</v>
      </c>
      <c r="D331" s="2">
        <v>3555232856.16</v>
      </c>
      <c r="E331" s="2">
        <v>1</v>
      </c>
      <c r="F331" s="3">
        <f>IF(COUNT(D331,E331)=2,D331*E331,NA())</f>
        <v>3555232856.16</v>
      </c>
      <c r="G331" s="2" t="s">
        <v>52</v>
      </c>
      <c r="H331" s="2" t="s">
        <v>53</v>
      </c>
      <c r="I331" s="2" t="s">
        <v>54</v>
      </c>
      <c r="J331" s="2" t="s">
        <v>55</v>
      </c>
      <c r="K331" s="2" t="s">
        <v>397</v>
      </c>
      <c r="L331" s="2" t="s">
        <v>63</v>
      </c>
      <c r="M331" s="2" t="s">
        <v>393</v>
      </c>
      <c r="N331" s="2" t="s">
        <v>64</v>
      </c>
      <c r="O331" s="2" t="s">
        <v>59</v>
      </c>
      <c r="P331" s="2" t="s">
        <v>1067</v>
      </c>
      <c r="Q331" s="2" t="s">
        <v>1065</v>
      </c>
      <c r="R331" s="2"/>
    </row>
    <row r="332" spans="1:18">
      <c r="A332" s="2" t="s">
        <v>1068</v>
      </c>
      <c r="B332" s="2" t="s">
        <v>1069</v>
      </c>
      <c r="C332" s="2" t="s">
        <v>1063</v>
      </c>
      <c r="D332" s="2">
        <v>2326860274.61</v>
      </c>
      <c r="E332" s="2">
        <v>1</v>
      </c>
      <c r="F332" s="3">
        <f>IF(COUNT(D332,E332)=2,D332*E332,NA())</f>
        <v>2326860274.61</v>
      </c>
      <c r="G332" s="2" t="s">
        <v>52</v>
      </c>
      <c r="H332" s="2" t="s">
        <v>53</v>
      </c>
      <c r="I332" s="2" t="s">
        <v>54</v>
      </c>
      <c r="J332" s="2" t="s">
        <v>55</v>
      </c>
      <c r="K332" s="2" t="s">
        <v>392</v>
      </c>
      <c r="L332" s="2" t="s">
        <v>56</v>
      </c>
      <c r="M332" s="2" t="s">
        <v>393</v>
      </c>
      <c r="N332" s="2" t="s">
        <v>58</v>
      </c>
      <c r="O332" s="2" t="s">
        <v>59</v>
      </c>
      <c r="P332" s="2" t="s">
        <v>1070</v>
      </c>
      <c r="Q332" s="2" t="s">
        <v>1071</v>
      </c>
      <c r="R332" s="2"/>
    </row>
    <row r="333" spans="1:18">
      <c r="A333" s="2" t="s">
        <v>1072</v>
      </c>
      <c r="B333" s="2" t="s">
        <v>1069</v>
      </c>
      <c r="C333" s="2" t="s">
        <v>1063</v>
      </c>
      <c r="D333" s="2">
        <v>2871725482.13</v>
      </c>
      <c r="E333" s="2">
        <v>1</v>
      </c>
      <c r="F333" s="3">
        <f>IF(COUNT(D333,E333)=2,D333*E333,NA())</f>
        <v>2871725482.13</v>
      </c>
      <c r="G333" s="2" t="s">
        <v>52</v>
      </c>
      <c r="H333" s="2" t="s">
        <v>53</v>
      </c>
      <c r="I333" s="2" t="s">
        <v>54</v>
      </c>
      <c r="J333" s="2" t="s">
        <v>55</v>
      </c>
      <c r="K333" s="2" t="s">
        <v>397</v>
      </c>
      <c r="L333" s="2" t="s">
        <v>63</v>
      </c>
      <c r="M333" s="2" t="s">
        <v>393</v>
      </c>
      <c r="N333" s="2" t="s">
        <v>64</v>
      </c>
      <c r="O333" s="2" t="s">
        <v>59</v>
      </c>
      <c r="P333" s="2" t="s">
        <v>1073</v>
      </c>
      <c r="Q333" s="2" t="s">
        <v>1071</v>
      </c>
      <c r="R333" s="2"/>
    </row>
    <row r="334" spans="1:18">
      <c r="A334" s="2" t="s">
        <v>1074</v>
      </c>
      <c r="B334" s="2" t="s">
        <v>1075</v>
      </c>
      <c r="C334" s="2" t="s">
        <v>1063</v>
      </c>
      <c r="D334" s="2">
        <v>1587983607.78</v>
      </c>
      <c r="E334" s="2">
        <v>1</v>
      </c>
      <c r="F334" s="3">
        <f>IF(COUNT(D334,E334)=2,D334*E334,NA())</f>
        <v>1587983607.78</v>
      </c>
      <c r="G334" s="2" t="s">
        <v>52</v>
      </c>
      <c r="H334" s="2" t="s">
        <v>53</v>
      </c>
      <c r="I334" s="2" t="s">
        <v>54</v>
      </c>
      <c r="J334" s="2" t="s">
        <v>55</v>
      </c>
      <c r="K334" s="2" t="s">
        <v>392</v>
      </c>
      <c r="L334" s="2" t="s">
        <v>56</v>
      </c>
      <c r="M334" s="2" t="s">
        <v>393</v>
      </c>
      <c r="N334" s="2" t="s">
        <v>58</v>
      </c>
      <c r="O334" s="2" t="s">
        <v>59</v>
      </c>
      <c r="P334" s="2" t="s">
        <v>1076</v>
      </c>
      <c r="Q334" s="2" t="s">
        <v>1077</v>
      </c>
      <c r="R334" s="2"/>
    </row>
    <row r="335" spans="1:18">
      <c r="A335" s="2" t="s">
        <v>1078</v>
      </c>
      <c r="B335" s="2" t="s">
        <v>1075</v>
      </c>
      <c r="C335" s="2" t="s">
        <v>1063</v>
      </c>
      <c r="D335" s="2">
        <v>1786928335</v>
      </c>
      <c r="E335" s="2">
        <v>1</v>
      </c>
      <c r="F335" s="3">
        <f>IF(COUNT(D335,E335)=2,D335*E335,NA())</f>
        <v>1786928335.0</v>
      </c>
      <c r="G335" s="2" t="s">
        <v>52</v>
      </c>
      <c r="H335" s="2" t="s">
        <v>53</v>
      </c>
      <c r="I335" s="2" t="s">
        <v>54</v>
      </c>
      <c r="J335" s="2" t="s">
        <v>55</v>
      </c>
      <c r="K335" s="2" t="s">
        <v>397</v>
      </c>
      <c r="L335" s="2" t="s">
        <v>63</v>
      </c>
      <c r="M335" s="2" t="s">
        <v>393</v>
      </c>
      <c r="N335" s="2" t="s">
        <v>64</v>
      </c>
      <c r="O335" s="2" t="s">
        <v>59</v>
      </c>
      <c r="P335" s="2" t="s">
        <v>1079</v>
      </c>
      <c r="Q335" s="2" t="s">
        <v>1077</v>
      </c>
      <c r="R335" s="2"/>
    </row>
    <row r="336" spans="1:18">
      <c r="A336" s="2" t="s">
        <v>1080</v>
      </c>
      <c r="B336" s="2" t="s">
        <v>1081</v>
      </c>
      <c r="C336" s="2" t="s">
        <v>1063</v>
      </c>
      <c r="D336" s="2">
        <v>997013975.17</v>
      </c>
      <c r="E336" s="2">
        <v>1</v>
      </c>
      <c r="F336" s="3">
        <f>IF(COUNT(D336,E336)=2,D336*E336,NA())</f>
        <v>997013975.17</v>
      </c>
      <c r="G336" s="2" t="s">
        <v>52</v>
      </c>
      <c r="H336" s="2" t="s">
        <v>53</v>
      </c>
      <c r="I336" s="2" t="s">
        <v>54</v>
      </c>
      <c r="J336" s="2" t="s">
        <v>55</v>
      </c>
      <c r="K336" s="2" t="s">
        <v>392</v>
      </c>
      <c r="L336" s="2" t="s">
        <v>56</v>
      </c>
      <c r="M336" s="2" t="s">
        <v>393</v>
      </c>
      <c r="N336" s="2" t="s">
        <v>58</v>
      </c>
      <c r="O336" s="2" t="s">
        <v>59</v>
      </c>
      <c r="P336" s="2" t="s">
        <v>1082</v>
      </c>
      <c r="Q336" s="2" t="s">
        <v>1083</v>
      </c>
      <c r="R336" s="2"/>
    </row>
    <row r="337" spans="1:18">
      <c r="A337" s="2" t="s">
        <v>1084</v>
      </c>
      <c r="B337" s="2" t="s">
        <v>1081</v>
      </c>
      <c r="C337" s="2" t="s">
        <v>1063</v>
      </c>
      <c r="D337" s="2">
        <v>1185191166.19</v>
      </c>
      <c r="E337" s="2">
        <v>1</v>
      </c>
      <c r="F337" s="3">
        <f>IF(COUNT(D337,E337)=2,D337*E337,NA())</f>
        <v>1185191166.19</v>
      </c>
      <c r="G337" s="2" t="s">
        <v>52</v>
      </c>
      <c r="H337" s="2" t="s">
        <v>53</v>
      </c>
      <c r="I337" s="2" t="s">
        <v>54</v>
      </c>
      <c r="J337" s="2" t="s">
        <v>55</v>
      </c>
      <c r="K337" s="2" t="s">
        <v>397</v>
      </c>
      <c r="L337" s="2" t="s">
        <v>63</v>
      </c>
      <c r="M337" s="2" t="s">
        <v>393</v>
      </c>
      <c r="N337" s="2" t="s">
        <v>64</v>
      </c>
      <c r="O337" s="2" t="s">
        <v>59</v>
      </c>
      <c r="P337" s="2" t="s">
        <v>1085</v>
      </c>
      <c r="Q337" s="2" t="s">
        <v>1083</v>
      </c>
      <c r="R337" s="2"/>
    </row>
    <row r="338" spans="1:18">
      <c r="A338" s="2" t="s">
        <v>1086</v>
      </c>
      <c r="B338" s="2" t="s">
        <v>1087</v>
      </c>
      <c r="C338" s="2" t="s">
        <v>1063</v>
      </c>
      <c r="D338" s="2">
        <v>1084199413.32</v>
      </c>
      <c r="E338" s="2">
        <v>1</v>
      </c>
      <c r="F338" s="3">
        <f>IF(COUNT(D338,E338)=2,D338*E338,NA())</f>
        <v>1084199413.32</v>
      </c>
      <c r="G338" s="2" t="s">
        <v>52</v>
      </c>
      <c r="H338" s="2" t="s">
        <v>53</v>
      </c>
      <c r="I338" s="2" t="s">
        <v>54</v>
      </c>
      <c r="J338" s="2" t="s">
        <v>55</v>
      </c>
      <c r="K338" s="2" t="s">
        <v>392</v>
      </c>
      <c r="L338" s="2" t="s">
        <v>56</v>
      </c>
      <c r="M338" s="2" t="s">
        <v>393</v>
      </c>
      <c r="N338" s="2" t="s">
        <v>58</v>
      </c>
      <c r="O338" s="2" t="s">
        <v>59</v>
      </c>
      <c r="P338" s="2" t="s">
        <v>1088</v>
      </c>
      <c r="Q338" s="2" t="s">
        <v>1089</v>
      </c>
      <c r="R338" s="2"/>
    </row>
    <row r="339" spans="1:18">
      <c r="A339" s="2" t="s">
        <v>1090</v>
      </c>
      <c r="B339" s="2" t="s">
        <v>1087</v>
      </c>
      <c r="C339" s="2" t="s">
        <v>1063</v>
      </c>
      <c r="D339" s="2">
        <v>1213798246.1</v>
      </c>
      <c r="E339" s="2">
        <v>1</v>
      </c>
      <c r="F339" s="3">
        <f>IF(COUNT(D339,E339)=2,D339*E339,NA())</f>
        <v>1213798246.1</v>
      </c>
      <c r="G339" s="2" t="s">
        <v>52</v>
      </c>
      <c r="H339" s="2" t="s">
        <v>53</v>
      </c>
      <c r="I339" s="2" t="s">
        <v>54</v>
      </c>
      <c r="J339" s="2" t="s">
        <v>55</v>
      </c>
      <c r="K339" s="2" t="s">
        <v>397</v>
      </c>
      <c r="L339" s="2" t="s">
        <v>63</v>
      </c>
      <c r="M339" s="2" t="s">
        <v>393</v>
      </c>
      <c r="N339" s="2" t="s">
        <v>64</v>
      </c>
      <c r="O339" s="2" t="s">
        <v>59</v>
      </c>
      <c r="P339" s="2" t="s">
        <v>1091</v>
      </c>
      <c r="Q339" s="2" t="s">
        <v>1089</v>
      </c>
      <c r="R339" s="2"/>
    </row>
    <row r="340" spans="1:18">
      <c r="A340" s="2" t="s">
        <v>1092</v>
      </c>
      <c r="B340" s="2" t="s">
        <v>1093</v>
      </c>
      <c r="C340" s="2" t="s">
        <v>1063</v>
      </c>
      <c r="D340" s="2">
        <v>1016446869.93</v>
      </c>
      <c r="E340" s="2">
        <v>1</v>
      </c>
      <c r="F340" s="3">
        <f>IF(COUNT(D340,E340)=2,D340*E340,NA())</f>
        <v>1016446869.93</v>
      </c>
      <c r="G340" s="2" t="s">
        <v>52</v>
      </c>
      <c r="H340" s="2" t="s">
        <v>53</v>
      </c>
      <c r="I340" s="2" t="s">
        <v>54</v>
      </c>
      <c r="J340" s="2" t="s">
        <v>55</v>
      </c>
      <c r="K340" s="2" t="s">
        <v>392</v>
      </c>
      <c r="L340" s="2" t="s">
        <v>56</v>
      </c>
      <c r="M340" s="2" t="s">
        <v>393</v>
      </c>
      <c r="N340" s="2" t="s">
        <v>58</v>
      </c>
      <c r="O340" s="2" t="s">
        <v>59</v>
      </c>
      <c r="P340" s="2" t="s">
        <v>1094</v>
      </c>
      <c r="Q340" s="2" t="s">
        <v>1095</v>
      </c>
      <c r="R340" s="2"/>
    </row>
    <row r="341" spans="1:18">
      <c r="A341" s="2" t="s">
        <v>1096</v>
      </c>
      <c r="B341" s="2" t="s">
        <v>1093</v>
      </c>
      <c r="C341" s="2" t="s">
        <v>1063</v>
      </c>
      <c r="D341" s="2">
        <v>1075202335.46</v>
      </c>
      <c r="E341" s="2">
        <v>1</v>
      </c>
      <c r="F341" s="3">
        <f>IF(COUNT(D341,E341)=2,D341*E341,NA())</f>
        <v>1075202335.46</v>
      </c>
      <c r="G341" s="2" t="s">
        <v>52</v>
      </c>
      <c r="H341" s="2" t="s">
        <v>53</v>
      </c>
      <c r="I341" s="2" t="s">
        <v>54</v>
      </c>
      <c r="J341" s="2" t="s">
        <v>55</v>
      </c>
      <c r="K341" s="2" t="s">
        <v>397</v>
      </c>
      <c r="L341" s="2" t="s">
        <v>63</v>
      </c>
      <c r="M341" s="2" t="s">
        <v>393</v>
      </c>
      <c r="N341" s="2" t="s">
        <v>64</v>
      </c>
      <c r="O341" s="2" t="s">
        <v>59</v>
      </c>
      <c r="P341" s="2" t="s">
        <v>1097</v>
      </c>
      <c r="Q341" s="2" t="s">
        <v>1095</v>
      </c>
      <c r="R341" s="2"/>
    </row>
    <row r="342" spans="1:18">
      <c r="A342" s="2" t="s">
        <v>1098</v>
      </c>
      <c r="B342" s="2" t="s">
        <v>1099</v>
      </c>
      <c r="C342" s="2" t="s">
        <v>1063</v>
      </c>
      <c r="D342" s="2">
        <v>160946272.69</v>
      </c>
      <c r="E342" s="2">
        <v>1</v>
      </c>
      <c r="F342" s="3">
        <f>IF(COUNT(D342,E342)=2,D342*E342,NA())</f>
        <v>160946272.69</v>
      </c>
      <c r="G342" s="2" t="s">
        <v>52</v>
      </c>
      <c r="H342" s="2" t="s">
        <v>53</v>
      </c>
      <c r="I342" s="2" t="s">
        <v>54</v>
      </c>
      <c r="J342" s="2" t="s">
        <v>55</v>
      </c>
      <c r="K342" s="2" t="s">
        <v>392</v>
      </c>
      <c r="L342" s="2" t="s">
        <v>56</v>
      </c>
      <c r="M342" s="2" t="s">
        <v>393</v>
      </c>
      <c r="N342" s="2" t="s">
        <v>58</v>
      </c>
      <c r="O342" s="2" t="s">
        <v>59</v>
      </c>
      <c r="P342" s="2" t="s">
        <v>1100</v>
      </c>
      <c r="Q342" s="2" t="s">
        <v>1101</v>
      </c>
      <c r="R342" s="2"/>
    </row>
    <row r="343" spans="1:18">
      <c r="A343" s="2" t="s">
        <v>1102</v>
      </c>
      <c r="B343" s="2" t="s">
        <v>1099</v>
      </c>
      <c r="C343" s="2" t="s">
        <v>1063</v>
      </c>
      <c r="D343" s="2">
        <v>114218789.59</v>
      </c>
      <c r="E343" s="2">
        <v>1</v>
      </c>
      <c r="F343" s="3">
        <f>IF(COUNT(D343,E343)=2,D343*E343,NA())</f>
        <v>114218789.59</v>
      </c>
      <c r="G343" s="2" t="s">
        <v>52</v>
      </c>
      <c r="H343" s="2" t="s">
        <v>53</v>
      </c>
      <c r="I343" s="2" t="s">
        <v>54</v>
      </c>
      <c r="J343" s="2" t="s">
        <v>55</v>
      </c>
      <c r="K343" s="2" t="s">
        <v>397</v>
      </c>
      <c r="L343" s="2" t="s">
        <v>63</v>
      </c>
      <c r="M343" s="2" t="s">
        <v>393</v>
      </c>
      <c r="N343" s="2" t="s">
        <v>64</v>
      </c>
      <c r="O343" s="2" t="s">
        <v>59</v>
      </c>
      <c r="P343" s="2" t="s">
        <v>1103</v>
      </c>
      <c r="Q343" s="2" t="s">
        <v>1101</v>
      </c>
      <c r="R343" s="2"/>
    </row>
    <row r="344" spans="1:18">
      <c r="A344" s="2" t="s">
        <v>1104</v>
      </c>
      <c r="B344" s="2" t="s">
        <v>1105</v>
      </c>
      <c r="C344" s="2" t="s">
        <v>1063</v>
      </c>
      <c r="D344" s="2">
        <v>142619742.36</v>
      </c>
      <c r="E344" s="2">
        <v>1</v>
      </c>
      <c r="F344" s="3">
        <f>IF(COUNT(D344,E344)=2,D344*E344,NA())</f>
        <v>142619742.36</v>
      </c>
      <c r="G344" s="2" t="s">
        <v>52</v>
      </c>
      <c r="H344" s="2" t="s">
        <v>53</v>
      </c>
      <c r="I344" s="2" t="s">
        <v>54</v>
      </c>
      <c r="J344" s="2" t="s">
        <v>55</v>
      </c>
      <c r="K344" s="2" t="s">
        <v>392</v>
      </c>
      <c r="L344" s="2" t="s">
        <v>56</v>
      </c>
      <c r="M344" s="2" t="s">
        <v>393</v>
      </c>
      <c r="N344" s="2" t="s">
        <v>58</v>
      </c>
      <c r="O344" s="2" t="s">
        <v>59</v>
      </c>
      <c r="P344" s="2" t="s">
        <v>1106</v>
      </c>
      <c r="Q344" s="2" t="s">
        <v>1107</v>
      </c>
      <c r="R344" s="2"/>
    </row>
    <row r="345" spans="1:18">
      <c r="A345" s="2" t="s">
        <v>1108</v>
      </c>
      <c r="B345" s="2" t="s">
        <v>1105</v>
      </c>
      <c r="C345" s="2" t="s">
        <v>1063</v>
      </c>
      <c r="D345" s="2">
        <v>100320659.21</v>
      </c>
      <c r="E345" s="2">
        <v>1</v>
      </c>
      <c r="F345" s="3">
        <f>IF(COUNT(D345,E345)=2,D345*E345,NA())</f>
        <v>100320659.21</v>
      </c>
      <c r="G345" s="2" t="s">
        <v>52</v>
      </c>
      <c r="H345" s="2" t="s">
        <v>53</v>
      </c>
      <c r="I345" s="2" t="s">
        <v>54</v>
      </c>
      <c r="J345" s="2" t="s">
        <v>55</v>
      </c>
      <c r="K345" s="2" t="s">
        <v>397</v>
      </c>
      <c r="L345" s="2" t="s">
        <v>63</v>
      </c>
      <c r="M345" s="2" t="s">
        <v>393</v>
      </c>
      <c r="N345" s="2" t="s">
        <v>64</v>
      </c>
      <c r="O345" s="2" t="s">
        <v>59</v>
      </c>
      <c r="P345" s="2" t="s">
        <v>1109</v>
      </c>
      <c r="Q345" s="2" t="s">
        <v>1107</v>
      </c>
      <c r="R345" s="2"/>
    </row>
    <row r="346" spans="1:18">
      <c r="A346" s="2" t="s">
        <v>1110</v>
      </c>
      <c r="B346" s="2" t="s">
        <v>1111</v>
      </c>
      <c r="C346" s="2" t="s">
        <v>1063</v>
      </c>
      <c r="D346" s="2">
        <v>69865917.23</v>
      </c>
      <c r="E346" s="2">
        <v>1</v>
      </c>
      <c r="F346" s="3">
        <f>IF(COUNT(D346,E346)=2,D346*E346,NA())</f>
        <v>69865917.23</v>
      </c>
      <c r="G346" s="2" t="s">
        <v>52</v>
      </c>
      <c r="H346" s="2" t="s">
        <v>53</v>
      </c>
      <c r="I346" s="2" t="s">
        <v>54</v>
      </c>
      <c r="J346" s="2" t="s">
        <v>55</v>
      </c>
      <c r="K346" s="2" t="s">
        <v>392</v>
      </c>
      <c r="L346" s="2" t="s">
        <v>56</v>
      </c>
      <c r="M346" s="2" t="s">
        <v>393</v>
      </c>
      <c r="N346" s="2" t="s">
        <v>58</v>
      </c>
      <c r="O346" s="2" t="s">
        <v>59</v>
      </c>
      <c r="P346" s="2" t="s">
        <v>1112</v>
      </c>
      <c r="Q346" s="2" t="s">
        <v>1113</v>
      </c>
      <c r="R346" s="2"/>
    </row>
    <row r="347" spans="1:18">
      <c r="A347" s="2" t="s">
        <v>1114</v>
      </c>
      <c r="B347" s="2" t="s">
        <v>1111</v>
      </c>
      <c r="C347" s="2" t="s">
        <v>1063</v>
      </c>
      <c r="D347" s="2">
        <v>107473661.26</v>
      </c>
      <c r="E347" s="2">
        <v>1</v>
      </c>
      <c r="F347" s="3">
        <f>IF(COUNT(D347,E347)=2,D347*E347,NA())</f>
        <v>107473661.26</v>
      </c>
      <c r="G347" s="2" t="s">
        <v>52</v>
      </c>
      <c r="H347" s="2" t="s">
        <v>53</v>
      </c>
      <c r="I347" s="2" t="s">
        <v>54</v>
      </c>
      <c r="J347" s="2" t="s">
        <v>55</v>
      </c>
      <c r="K347" s="2" t="s">
        <v>397</v>
      </c>
      <c r="L347" s="2" t="s">
        <v>63</v>
      </c>
      <c r="M347" s="2" t="s">
        <v>393</v>
      </c>
      <c r="N347" s="2" t="s">
        <v>64</v>
      </c>
      <c r="O347" s="2" t="s">
        <v>59</v>
      </c>
      <c r="P347" s="2" t="s">
        <v>1115</v>
      </c>
      <c r="Q347" s="2" t="s">
        <v>1113</v>
      </c>
      <c r="R347" s="2"/>
    </row>
    <row r="348" spans="1:18">
      <c r="A348" s="2" t="s">
        <v>1116</v>
      </c>
      <c r="B348" s="2" t="s">
        <v>1117</v>
      </c>
      <c r="C348" s="2" t="s">
        <v>1063</v>
      </c>
      <c r="D348" s="2">
        <v>44705003.44</v>
      </c>
      <c r="E348" s="2">
        <v>1</v>
      </c>
      <c r="F348" s="3">
        <f>IF(COUNT(D348,E348)=2,D348*E348,NA())</f>
        <v>44705003.44</v>
      </c>
      <c r="G348" s="2" t="s">
        <v>52</v>
      </c>
      <c r="H348" s="2" t="s">
        <v>53</v>
      </c>
      <c r="I348" s="2" t="s">
        <v>54</v>
      </c>
      <c r="J348" s="2" t="s">
        <v>55</v>
      </c>
      <c r="K348" s="2" t="s">
        <v>392</v>
      </c>
      <c r="L348" s="2" t="s">
        <v>56</v>
      </c>
      <c r="M348" s="2" t="s">
        <v>393</v>
      </c>
      <c r="N348" s="2" t="s">
        <v>58</v>
      </c>
      <c r="O348" s="2" t="s">
        <v>59</v>
      </c>
      <c r="P348" s="2" t="s">
        <v>1118</v>
      </c>
      <c r="Q348" s="2" t="s">
        <v>1119</v>
      </c>
      <c r="R348" s="2"/>
    </row>
    <row r="349" spans="1:18">
      <c r="A349" s="2" t="s">
        <v>1120</v>
      </c>
      <c r="B349" s="2" t="s">
        <v>1117</v>
      </c>
      <c r="C349" s="2" t="s">
        <v>1063</v>
      </c>
      <c r="D349" s="2">
        <v>76652910.94</v>
      </c>
      <c r="E349" s="2">
        <v>1</v>
      </c>
      <c r="F349" s="3">
        <f>IF(COUNT(D349,E349)=2,D349*E349,NA())</f>
        <v>76652910.94</v>
      </c>
      <c r="G349" s="2" t="s">
        <v>52</v>
      </c>
      <c r="H349" s="2" t="s">
        <v>53</v>
      </c>
      <c r="I349" s="2" t="s">
        <v>54</v>
      </c>
      <c r="J349" s="2" t="s">
        <v>55</v>
      </c>
      <c r="K349" s="2" t="s">
        <v>397</v>
      </c>
      <c r="L349" s="2" t="s">
        <v>63</v>
      </c>
      <c r="M349" s="2" t="s">
        <v>393</v>
      </c>
      <c r="N349" s="2" t="s">
        <v>64</v>
      </c>
      <c r="O349" s="2" t="s">
        <v>59</v>
      </c>
      <c r="P349" s="2" t="s">
        <v>1121</v>
      </c>
      <c r="Q349" s="2" t="s">
        <v>1119</v>
      </c>
      <c r="R349" s="2"/>
    </row>
    <row r="350" spans="1:18">
      <c r="A350" s="2" t="s">
        <v>1122</v>
      </c>
      <c r="B350" s="2" t="s">
        <v>1123</v>
      </c>
      <c r="C350" s="2" t="s">
        <v>1063</v>
      </c>
      <c r="D350" s="2">
        <v>69583270.48999999</v>
      </c>
      <c r="E350" s="2">
        <v>1</v>
      </c>
      <c r="F350" s="3">
        <f>IF(COUNT(D350,E350)=2,D350*E350,NA())</f>
        <v>69583270.49</v>
      </c>
      <c r="G350" s="2" t="s">
        <v>52</v>
      </c>
      <c r="H350" s="2" t="s">
        <v>53</v>
      </c>
      <c r="I350" s="2" t="s">
        <v>54</v>
      </c>
      <c r="J350" s="2" t="s">
        <v>55</v>
      </c>
      <c r="K350" s="2" t="s">
        <v>392</v>
      </c>
      <c r="L350" s="2" t="s">
        <v>56</v>
      </c>
      <c r="M350" s="2" t="s">
        <v>393</v>
      </c>
      <c r="N350" s="2" t="s">
        <v>58</v>
      </c>
      <c r="O350" s="2" t="s">
        <v>59</v>
      </c>
      <c r="P350" s="2" t="s">
        <v>1124</v>
      </c>
      <c r="Q350" s="2" t="s">
        <v>1125</v>
      </c>
      <c r="R350" s="2"/>
    </row>
    <row r="351" spans="1:18">
      <c r="A351" s="2" t="s">
        <v>1126</v>
      </c>
      <c r="B351" s="2" t="s">
        <v>1123</v>
      </c>
      <c r="C351" s="2" t="s">
        <v>1063</v>
      </c>
      <c r="D351" s="2">
        <v>51151439.59</v>
      </c>
      <c r="E351" s="2">
        <v>1</v>
      </c>
      <c r="F351" s="3">
        <f>IF(COUNT(D351,E351)=2,D351*E351,NA())</f>
        <v>51151439.59</v>
      </c>
      <c r="G351" s="2" t="s">
        <v>52</v>
      </c>
      <c r="H351" s="2" t="s">
        <v>53</v>
      </c>
      <c r="I351" s="2" t="s">
        <v>54</v>
      </c>
      <c r="J351" s="2" t="s">
        <v>55</v>
      </c>
      <c r="K351" s="2" t="s">
        <v>397</v>
      </c>
      <c r="L351" s="2" t="s">
        <v>63</v>
      </c>
      <c r="M351" s="2" t="s">
        <v>393</v>
      </c>
      <c r="N351" s="2" t="s">
        <v>64</v>
      </c>
      <c r="O351" s="2" t="s">
        <v>59</v>
      </c>
      <c r="P351" s="2" t="s">
        <v>1127</v>
      </c>
      <c r="Q351" s="2" t="s">
        <v>1125</v>
      </c>
      <c r="R351" s="2"/>
    </row>
    <row r="352" spans="1:18">
      <c r="A352" s="2" t="s">
        <v>1128</v>
      </c>
      <c r="B352" s="2" t="s">
        <v>1129</v>
      </c>
      <c r="C352" s="2" t="s">
        <v>1063</v>
      </c>
      <c r="D352" s="2">
        <v>53727397.97</v>
      </c>
      <c r="E352" s="2">
        <v>1</v>
      </c>
      <c r="F352" s="3">
        <f>IF(COUNT(D352,E352)=2,D352*E352,NA())</f>
        <v>53727397.97</v>
      </c>
      <c r="G352" s="2" t="s">
        <v>52</v>
      </c>
      <c r="H352" s="2" t="s">
        <v>53</v>
      </c>
      <c r="I352" s="2" t="s">
        <v>54</v>
      </c>
      <c r="J352" s="2" t="s">
        <v>55</v>
      </c>
      <c r="K352" s="2" t="s">
        <v>392</v>
      </c>
      <c r="L352" s="2" t="s">
        <v>56</v>
      </c>
      <c r="M352" s="2" t="s">
        <v>393</v>
      </c>
      <c r="N352" s="2" t="s">
        <v>58</v>
      </c>
      <c r="O352" s="2" t="s">
        <v>59</v>
      </c>
      <c r="P352" s="2" t="s">
        <v>1130</v>
      </c>
      <c r="Q352" s="2" t="s">
        <v>1131</v>
      </c>
      <c r="R352" s="2"/>
    </row>
    <row r="353" spans="1:18">
      <c r="A353" s="2" t="s">
        <v>1132</v>
      </c>
      <c r="B353" s="2" t="s">
        <v>1129</v>
      </c>
      <c r="C353" s="2" t="s">
        <v>1063</v>
      </c>
      <c r="D353" s="2">
        <v>33150829.15</v>
      </c>
      <c r="E353" s="2">
        <v>1</v>
      </c>
      <c r="F353" s="3">
        <f>IF(COUNT(D353,E353)=2,D353*E353,NA())</f>
        <v>33150829.15</v>
      </c>
      <c r="G353" s="2" t="s">
        <v>52</v>
      </c>
      <c r="H353" s="2" t="s">
        <v>53</v>
      </c>
      <c r="I353" s="2" t="s">
        <v>54</v>
      </c>
      <c r="J353" s="2" t="s">
        <v>55</v>
      </c>
      <c r="K353" s="2" t="s">
        <v>397</v>
      </c>
      <c r="L353" s="2" t="s">
        <v>63</v>
      </c>
      <c r="M353" s="2" t="s">
        <v>393</v>
      </c>
      <c r="N353" s="2" t="s">
        <v>64</v>
      </c>
      <c r="O353" s="2" t="s">
        <v>59</v>
      </c>
      <c r="P353" s="2" t="s">
        <v>1133</v>
      </c>
      <c r="Q353" s="2" t="s">
        <v>1131</v>
      </c>
      <c r="R353" s="2"/>
    </row>
    <row r="354" spans="1:18">
      <c r="A354" s="2" t="s">
        <v>1134</v>
      </c>
      <c r="B354" s="2" t="s">
        <v>1135</v>
      </c>
      <c r="C354" s="2" t="s">
        <v>1063</v>
      </c>
      <c r="D354" s="2">
        <v>195388952.44</v>
      </c>
      <c r="E354" s="2">
        <v>1</v>
      </c>
      <c r="F354" s="3">
        <f>IF(COUNT(D354,E354)=2,D354*E354,NA())</f>
        <v>195388952.44</v>
      </c>
      <c r="G354" s="2" t="s">
        <v>52</v>
      </c>
      <c r="H354" s="2" t="s">
        <v>53</v>
      </c>
      <c r="I354" s="2" t="s">
        <v>54</v>
      </c>
      <c r="J354" s="2" t="s">
        <v>55</v>
      </c>
      <c r="K354" s="2" t="s">
        <v>392</v>
      </c>
      <c r="L354" s="2" t="s">
        <v>56</v>
      </c>
      <c r="M354" s="2" t="s">
        <v>393</v>
      </c>
      <c r="N354" s="2" t="s">
        <v>58</v>
      </c>
      <c r="O354" s="2" t="s">
        <v>59</v>
      </c>
      <c r="P354" s="2" t="s">
        <v>1136</v>
      </c>
      <c r="Q354" s="2" t="s">
        <v>1137</v>
      </c>
      <c r="R354" s="2"/>
    </row>
    <row r="355" spans="1:18">
      <c r="A355" s="2" t="s">
        <v>1138</v>
      </c>
      <c r="B355" s="2" t="s">
        <v>1135</v>
      </c>
      <c r="C355" s="2" t="s">
        <v>1063</v>
      </c>
      <c r="D355" s="2">
        <v>136658158.03</v>
      </c>
      <c r="E355" s="2">
        <v>1</v>
      </c>
      <c r="F355" s="3">
        <f>IF(COUNT(D355,E355)=2,D355*E355,NA())</f>
        <v>136658158.03</v>
      </c>
      <c r="G355" s="2" t="s">
        <v>52</v>
      </c>
      <c r="H355" s="2" t="s">
        <v>53</v>
      </c>
      <c r="I355" s="2" t="s">
        <v>54</v>
      </c>
      <c r="J355" s="2" t="s">
        <v>55</v>
      </c>
      <c r="K355" s="2" t="s">
        <v>397</v>
      </c>
      <c r="L355" s="2" t="s">
        <v>63</v>
      </c>
      <c r="M355" s="2" t="s">
        <v>393</v>
      </c>
      <c r="N355" s="2" t="s">
        <v>64</v>
      </c>
      <c r="O355" s="2" t="s">
        <v>59</v>
      </c>
      <c r="P355" s="2" t="s">
        <v>1139</v>
      </c>
      <c r="Q355" s="2" t="s">
        <v>1137</v>
      </c>
      <c r="R355" s="2"/>
    </row>
    <row r="356" spans="1:18">
      <c r="A356" s="2" t="s">
        <v>1140</v>
      </c>
      <c r="B356" s="2" t="s">
        <v>1141</v>
      </c>
      <c r="C356" s="2" t="s">
        <v>1063</v>
      </c>
      <c r="D356" s="2">
        <v>138436457.23</v>
      </c>
      <c r="E356" s="2">
        <v>1</v>
      </c>
      <c r="F356" s="3">
        <f>IF(COUNT(D356,E356)=2,D356*E356,NA())</f>
        <v>138436457.23</v>
      </c>
      <c r="G356" s="2" t="s">
        <v>52</v>
      </c>
      <c r="H356" s="2" t="s">
        <v>53</v>
      </c>
      <c r="I356" s="2" t="s">
        <v>54</v>
      </c>
      <c r="J356" s="2" t="s">
        <v>55</v>
      </c>
      <c r="K356" s="2" t="s">
        <v>392</v>
      </c>
      <c r="L356" s="2" t="s">
        <v>56</v>
      </c>
      <c r="M356" s="2" t="s">
        <v>393</v>
      </c>
      <c r="N356" s="2" t="s">
        <v>58</v>
      </c>
      <c r="O356" s="2" t="s">
        <v>59</v>
      </c>
      <c r="P356" s="2" t="s">
        <v>1142</v>
      </c>
      <c r="Q356" s="2" t="s">
        <v>1143</v>
      </c>
      <c r="R356" s="2"/>
    </row>
    <row r="357" spans="1:18">
      <c r="A357" s="2" t="s">
        <v>1144</v>
      </c>
      <c r="B357" s="2" t="s">
        <v>1141</v>
      </c>
      <c r="C357" s="2" t="s">
        <v>1063</v>
      </c>
      <c r="D357" s="2">
        <v>101477955.58</v>
      </c>
      <c r="E357" s="2">
        <v>1</v>
      </c>
      <c r="F357" s="3">
        <f>IF(COUNT(D357,E357)=2,D357*E357,NA())</f>
        <v>101477955.58</v>
      </c>
      <c r="G357" s="2" t="s">
        <v>52</v>
      </c>
      <c r="H357" s="2" t="s">
        <v>53</v>
      </c>
      <c r="I357" s="2" t="s">
        <v>54</v>
      </c>
      <c r="J357" s="2" t="s">
        <v>55</v>
      </c>
      <c r="K357" s="2" t="s">
        <v>397</v>
      </c>
      <c r="L357" s="2" t="s">
        <v>63</v>
      </c>
      <c r="M357" s="2" t="s">
        <v>393</v>
      </c>
      <c r="N357" s="2" t="s">
        <v>64</v>
      </c>
      <c r="O357" s="2" t="s">
        <v>59</v>
      </c>
      <c r="P357" s="2" t="s">
        <v>1145</v>
      </c>
      <c r="Q357" s="2" t="s">
        <v>1143</v>
      </c>
      <c r="R357" s="2"/>
    </row>
    <row r="358" spans="1:18">
      <c r="A358" s="2" t="s">
        <v>1146</v>
      </c>
      <c r="B358" s="2" t="s">
        <v>1147</v>
      </c>
      <c r="C358" s="2" t="s">
        <v>1063</v>
      </c>
      <c r="D358" s="2">
        <v>126953877.08</v>
      </c>
      <c r="E358" s="2">
        <v>1</v>
      </c>
      <c r="F358" s="3">
        <f>IF(COUNT(D358,E358)=2,D358*E358,NA())</f>
        <v>126953877.08</v>
      </c>
      <c r="G358" s="2" t="s">
        <v>52</v>
      </c>
      <c r="H358" s="2" t="s">
        <v>53</v>
      </c>
      <c r="I358" s="2" t="s">
        <v>54</v>
      </c>
      <c r="J358" s="2" t="s">
        <v>55</v>
      </c>
      <c r="K358" s="2" t="s">
        <v>392</v>
      </c>
      <c r="L358" s="2" t="s">
        <v>56</v>
      </c>
      <c r="M358" s="2" t="s">
        <v>393</v>
      </c>
      <c r="N358" s="2" t="s">
        <v>58</v>
      </c>
      <c r="O358" s="2" t="s">
        <v>59</v>
      </c>
      <c r="P358" s="2" t="s">
        <v>1148</v>
      </c>
      <c r="Q358" s="2" t="s">
        <v>1149</v>
      </c>
      <c r="R358" s="2"/>
    </row>
    <row r="359" spans="1:18">
      <c r="A359" s="2" t="s">
        <v>1150</v>
      </c>
      <c r="B359" s="2" t="s">
        <v>1147</v>
      </c>
      <c r="C359" s="2" t="s">
        <v>1063</v>
      </c>
      <c r="D359" s="2">
        <v>150991590.6</v>
      </c>
      <c r="E359" s="2">
        <v>1</v>
      </c>
      <c r="F359" s="3">
        <f>IF(COUNT(D359,E359)=2,D359*E359,NA())</f>
        <v>150991590.6</v>
      </c>
      <c r="G359" s="2" t="s">
        <v>52</v>
      </c>
      <c r="H359" s="2" t="s">
        <v>53</v>
      </c>
      <c r="I359" s="2" t="s">
        <v>54</v>
      </c>
      <c r="J359" s="2" t="s">
        <v>55</v>
      </c>
      <c r="K359" s="2" t="s">
        <v>397</v>
      </c>
      <c r="L359" s="2" t="s">
        <v>63</v>
      </c>
      <c r="M359" s="2" t="s">
        <v>393</v>
      </c>
      <c r="N359" s="2" t="s">
        <v>64</v>
      </c>
      <c r="O359" s="2" t="s">
        <v>59</v>
      </c>
      <c r="P359" s="2" t="s">
        <v>1151</v>
      </c>
      <c r="Q359" s="2" t="s">
        <v>1149</v>
      </c>
      <c r="R359" s="2"/>
    </row>
    <row r="360" spans="1:18">
      <c r="A360" s="2" t="s">
        <v>1152</v>
      </c>
      <c r="B360" s="2" t="s">
        <v>1153</v>
      </c>
      <c r="C360" s="2" t="s">
        <v>1063</v>
      </c>
      <c r="D360" s="2">
        <v>27350627.54</v>
      </c>
      <c r="E360" s="2">
        <v>1</v>
      </c>
      <c r="F360" s="3">
        <f>IF(COUNT(D360,E360)=2,D360*E360,NA())</f>
        <v>27350627.54</v>
      </c>
      <c r="G360" s="2" t="s">
        <v>52</v>
      </c>
      <c r="H360" s="2" t="s">
        <v>53</v>
      </c>
      <c r="I360" s="2" t="s">
        <v>54</v>
      </c>
      <c r="J360" s="2" t="s">
        <v>55</v>
      </c>
      <c r="K360" s="2" t="s">
        <v>392</v>
      </c>
      <c r="L360" s="2" t="s">
        <v>56</v>
      </c>
      <c r="M360" s="2" t="s">
        <v>393</v>
      </c>
      <c r="N360" s="2" t="s">
        <v>58</v>
      </c>
      <c r="O360" s="2" t="s">
        <v>59</v>
      </c>
      <c r="P360" s="2" t="s">
        <v>1154</v>
      </c>
      <c r="Q360" s="2" t="s">
        <v>1155</v>
      </c>
      <c r="R360" s="2"/>
    </row>
    <row r="361" spans="1:18">
      <c r="A361" s="2" t="s">
        <v>1156</v>
      </c>
      <c r="B361" s="2" t="s">
        <v>1153</v>
      </c>
      <c r="C361" s="2" t="s">
        <v>1063</v>
      </c>
      <c r="D361" s="2">
        <v>42385421.33</v>
      </c>
      <c r="E361" s="2">
        <v>1</v>
      </c>
      <c r="F361" s="3">
        <f>IF(COUNT(D361,E361)=2,D361*E361,NA())</f>
        <v>42385421.33</v>
      </c>
      <c r="G361" s="2" t="s">
        <v>52</v>
      </c>
      <c r="H361" s="2" t="s">
        <v>53</v>
      </c>
      <c r="I361" s="2" t="s">
        <v>54</v>
      </c>
      <c r="J361" s="2" t="s">
        <v>55</v>
      </c>
      <c r="K361" s="2" t="s">
        <v>397</v>
      </c>
      <c r="L361" s="2" t="s">
        <v>63</v>
      </c>
      <c r="M361" s="2" t="s">
        <v>393</v>
      </c>
      <c r="N361" s="2" t="s">
        <v>64</v>
      </c>
      <c r="O361" s="2" t="s">
        <v>59</v>
      </c>
      <c r="P361" s="2" t="s">
        <v>1157</v>
      </c>
      <c r="Q361" s="2" t="s">
        <v>1155</v>
      </c>
      <c r="R361" s="2"/>
    </row>
    <row r="362" spans="1:18">
      <c r="A362" s="2" t="s">
        <v>1158</v>
      </c>
      <c r="B362" s="2" t="s">
        <v>1159</v>
      </c>
      <c r="C362" s="2" t="s">
        <v>1063</v>
      </c>
      <c r="D362" s="2">
        <v>2257122.42</v>
      </c>
      <c r="E362" s="2">
        <v>1</v>
      </c>
      <c r="F362" s="3">
        <f>IF(COUNT(D362,E362)=2,D362*E362,NA())</f>
        <v>2257122.42</v>
      </c>
      <c r="G362" s="2" t="s">
        <v>52</v>
      </c>
      <c r="H362" s="2" t="s">
        <v>53</v>
      </c>
      <c r="I362" s="2" t="s">
        <v>54</v>
      </c>
      <c r="J362" s="2" t="s">
        <v>55</v>
      </c>
      <c r="K362" s="2" t="s">
        <v>392</v>
      </c>
      <c r="L362" s="2" t="s">
        <v>56</v>
      </c>
      <c r="M362" s="2" t="s">
        <v>393</v>
      </c>
      <c r="N362" s="2" t="s">
        <v>58</v>
      </c>
      <c r="O362" s="2" t="s">
        <v>59</v>
      </c>
      <c r="P362" s="2" t="s">
        <v>1160</v>
      </c>
      <c r="Q362" s="2" t="s">
        <v>1161</v>
      </c>
      <c r="R362" s="2"/>
    </row>
    <row r="363" spans="1:18">
      <c r="A363" s="2" t="s">
        <v>1162</v>
      </c>
      <c r="B363" s="2" t="s">
        <v>1159</v>
      </c>
      <c r="C363" s="2" t="s">
        <v>1063</v>
      </c>
      <c r="D363" s="2">
        <v>161393884.69</v>
      </c>
      <c r="E363" s="2">
        <v>1</v>
      </c>
      <c r="F363" s="3">
        <f>IF(COUNT(D363,E363)=2,D363*E363,NA())</f>
        <v>161393884.69</v>
      </c>
      <c r="G363" s="2" t="s">
        <v>52</v>
      </c>
      <c r="H363" s="2" t="s">
        <v>53</v>
      </c>
      <c r="I363" s="2" t="s">
        <v>54</v>
      </c>
      <c r="J363" s="2" t="s">
        <v>55</v>
      </c>
      <c r="K363" s="2" t="s">
        <v>397</v>
      </c>
      <c r="L363" s="2" t="s">
        <v>63</v>
      </c>
      <c r="M363" s="2" t="s">
        <v>393</v>
      </c>
      <c r="N363" s="2" t="s">
        <v>64</v>
      </c>
      <c r="O363" s="2" t="s">
        <v>59</v>
      </c>
      <c r="P363" s="2" t="s">
        <v>1163</v>
      </c>
      <c r="Q363" s="2" t="s">
        <v>1161</v>
      </c>
      <c r="R363" s="2"/>
    </row>
    <row r="364" spans="1:18">
      <c r="A364" s="2" t="s">
        <v>1164</v>
      </c>
      <c r="B364" s="2" t="s">
        <v>1165</v>
      </c>
      <c r="C364" s="2" t="s">
        <v>1166</v>
      </c>
      <c r="D364" s="2">
        <v>786900289.59</v>
      </c>
      <c r="E364" s="2">
        <v>1</v>
      </c>
      <c r="F364" s="3">
        <f>IF(COUNT(D364,E364)=2,D364*E364,NA())</f>
        <v>786900289.59</v>
      </c>
      <c r="G364" s="2" t="s">
        <v>52</v>
      </c>
      <c r="H364" s="2" t="s">
        <v>53</v>
      </c>
      <c r="I364" s="2" t="s">
        <v>54</v>
      </c>
      <c r="J364" s="2" t="s">
        <v>55</v>
      </c>
      <c r="K364" s="2" t="s">
        <v>392</v>
      </c>
      <c r="L364" s="2" t="s">
        <v>56</v>
      </c>
      <c r="M364" s="2" t="s">
        <v>393</v>
      </c>
      <c r="N364" s="2" t="s">
        <v>58</v>
      </c>
      <c r="O364" s="2" t="s">
        <v>59</v>
      </c>
      <c r="P364" s="2" t="s">
        <v>1167</v>
      </c>
      <c r="Q364" s="2" t="s">
        <v>1168</v>
      </c>
      <c r="R364" s="2"/>
    </row>
    <row r="365" spans="1:18">
      <c r="A365" s="2" t="s">
        <v>1169</v>
      </c>
      <c r="B365" s="2" t="s">
        <v>1165</v>
      </c>
      <c r="C365" s="2" t="s">
        <v>1166</v>
      </c>
      <c r="D365" s="2">
        <v>309766254.03</v>
      </c>
      <c r="E365" s="2">
        <v>1</v>
      </c>
      <c r="F365" s="3">
        <f>IF(COUNT(D365,E365)=2,D365*E365,NA())</f>
        <v>309766254.03</v>
      </c>
      <c r="G365" s="2" t="s">
        <v>52</v>
      </c>
      <c r="H365" s="2" t="s">
        <v>53</v>
      </c>
      <c r="I365" s="2" t="s">
        <v>54</v>
      </c>
      <c r="J365" s="2" t="s">
        <v>55</v>
      </c>
      <c r="K365" s="2" t="s">
        <v>397</v>
      </c>
      <c r="L365" s="2" t="s">
        <v>63</v>
      </c>
      <c r="M365" s="2" t="s">
        <v>393</v>
      </c>
      <c r="N365" s="2" t="s">
        <v>64</v>
      </c>
      <c r="O365" s="2" t="s">
        <v>59</v>
      </c>
      <c r="P365" s="2" t="s">
        <v>1170</v>
      </c>
      <c r="Q365" s="2" t="s">
        <v>1168</v>
      </c>
      <c r="R365" s="2"/>
    </row>
    <row r="366" spans="1:18">
      <c r="A366" s="2" t="s">
        <v>1171</v>
      </c>
      <c r="B366" s="2" t="s">
        <v>1172</v>
      </c>
      <c r="C366" s="2" t="s">
        <v>1166</v>
      </c>
      <c r="D366" s="2">
        <v>253723564.1</v>
      </c>
      <c r="E366" s="2">
        <v>1</v>
      </c>
      <c r="F366" s="3">
        <f>IF(COUNT(D366,E366)=2,D366*E366,NA())</f>
        <v>253723564.1</v>
      </c>
      <c r="G366" s="2" t="s">
        <v>52</v>
      </c>
      <c r="H366" s="2" t="s">
        <v>53</v>
      </c>
      <c r="I366" s="2" t="s">
        <v>54</v>
      </c>
      <c r="J366" s="2" t="s">
        <v>55</v>
      </c>
      <c r="K366" s="2" t="s">
        <v>392</v>
      </c>
      <c r="L366" s="2" t="s">
        <v>56</v>
      </c>
      <c r="M366" s="2" t="s">
        <v>393</v>
      </c>
      <c r="N366" s="2" t="s">
        <v>58</v>
      </c>
      <c r="O366" s="2" t="s">
        <v>59</v>
      </c>
      <c r="P366" s="2" t="s">
        <v>1173</v>
      </c>
      <c r="Q366" s="2" t="s">
        <v>1174</v>
      </c>
      <c r="R366" s="2"/>
    </row>
    <row r="367" spans="1:18">
      <c r="A367" s="2" t="s">
        <v>1175</v>
      </c>
      <c r="B367" s="2" t="s">
        <v>1172</v>
      </c>
      <c r="C367" s="2" t="s">
        <v>1166</v>
      </c>
      <c r="D367" s="2">
        <v>251376243.18</v>
      </c>
      <c r="E367" s="2">
        <v>1</v>
      </c>
      <c r="F367" s="3">
        <f>IF(COUNT(D367,E367)=2,D367*E367,NA())</f>
        <v>251376243.18</v>
      </c>
      <c r="G367" s="2" t="s">
        <v>52</v>
      </c>
      <c r="H367" s="2" t="s">
        <v>53</v>
      </c>
      <c r="I367" s="2" t="s">
        <v>54</v>
      </c>
      <c r="J367" s="2" t="s">
        <v>55</v>
      </c>
      <c r="K367" s="2" t="s">
        <v>397</v>
      </c>
      <c r="L367" s="2" t="s">
        <v>63</v>
      </c>
      <c r="M367" s="2" t="s">
        <v>393</v>
      </c>
      <c r="N367" s="2" t="s">
        <v>64</v>
      </c>
      <c r="O367" s="2" t="s">
        <v>59</v>
      </c>
      <c r="P367" s="2" t="s">
        <v>1176</v>
      </c>
      <c r="Q367" s="2" t="s">
        <v>1174</v>
      </c>
      <c r="R367" s="2"/>
    </row>
    <row r="368" spans="1:18">
      <c r="A368" s="2" t="s">
        <v>1177</v>
      </c>
      <c r="B368" s="2" t="s">
        <v>1178</v>
      </c>
      <c r="C368" s="2" t="s">
        <v>1166</v>
      </c>
      <c r="D368" s="2">
        <v>11071812.88</v>
      </c>
      <c r="E368" s="2">
        <v>1</v>
      </c>
      <c r="F368" s="3">
        <f>IF(COUNT(D368,E368)=2,D368*E368,NA())</f>
        <v>11071812.88</v>
      </c>
      <c r="G368" s="2" t="s">
        <v>52</v>
      </c>
      <c r="H368" s="2" t="s">
        <v>53</v>
      </c>
      <c r="I368" s="2" t="s">
        <v>54</v>
      </c>
      <c r="J368" s="2" t="s">
        <v>55</v>
      </c>
      <c r="K368" s="2" t="s">
        <v>392</v>
      </c>
      <c r="L368" s="2" t="s">
        <v>56</v>
      </c>
      <c r="M368" s="2" t="s">
        <v>393</v>
      </c>
      <c r="N368" s="2" t="s">
        <v>58</v>
      </c>
      <c r="O368" s="2" t="s">
        <v>59</v>
      </c>
      <c r="P368" s="2" t="s">
        <v>1179</v>
      </c>
      <c r="Q368" s="2" t="s">
        <v>1180</v>
      </c>
      <c r="R368" s="2"/>
    </row>
    <row r="369" spans="1:18">
      <c r="A369" s="2" t="s">
        <v>1181</v>
      </c>
      <c r="B369" s="2" t="s">
        <v>1178</v>
      </c>
      <c r="C369" s="2" t="s">
        <v>1166</v>
      </c>
      <c r="D369" s="2">
        <v>12121184.06</v>
      </c>
      <c r="E369" s="2">
        <v>1</v>
      </c>
      <c r="F369" s="3">
        <f>IF(COUNT(D369,E369)=2,D369*E369,NA())</f>
        <v>12121184.06</v>
      </c>
      <c r="G369" s="2" t="s">
        <v>52</v>
      </c>
      <c r="H369" s="2" t="s">
        <v>53</v>
      </c>
      <c r="I369" s="2" t="s">
        <v>54</v>
      </c>
      <c r="J369" s="2" t="s">
        <v>55</v>
      </c>
      <c r="K369" s="2" t="s">
        <v>397</v>
      </c>
      <c r="L369" s="2" t="s">
        <v>63</v>
      </c>
      <c r="M369" s="2" t="s">
        <v>393</v>
      </c>
      <c r="N369" s="2" t="s">
        <v>64</v>
      </c>
      <c r="O369" s="2" t="s">
        <v>59</v>
      </c>
      <c r="P369" s="2" t="s">
        <v>1182</v>
      </c>
      <c r="Q369" s="2" t="s">
        <v>1180</v>
      </c>
      <c r="R369" s="2"/>
    </row>
    <row r="370" spans="1:18">
      <c r="A370" s="2" t="s">
        <v>1183</v>
      </c>
      <c r="B370" s="2" t="s">
        <v>1184</v>
      </c>
      <c r="C370" s="2" t="s">
        <v>1166</v>
      </c>
      <c r="D370" s="2">
        <v>15967455.66</v>
      </c>
      <c r="E370" s="2">
        <v>1</v>
      </c>
      <c r="F370" s="3">
        <f>IF(COUNT(D370,E370)=2,D370*E370,NA())</f>
        <v>15967455.66</v>
      </c>
      <c r="G370" s="2" t="s">
        <v>52</v>
      </c>
      <c r="H370" s="2" t="s">
        <v>53</v>
      </c>
      <c r="I370" s="2" t="s">
        <v>54</v>
      </c>
      <c r="J370" s="2" t="s">
        <v>55</v>
      </c>
      <c r="K370" s="2" t="s">
        <v>392</v>
      </c>
      <c r="L370" s="2" t="s">
        <v>56</v>
      </c>
      <c r="M370" s="2" t="s">
        <v>393</v>
      </c>
      <c r="N370" s="2" t="s">
        <v>58</v>
      </c>
      <c r="O370" s="2" t="s">
        <v>59</v>
      </c>
      <c r="P370" s="2" t="s">
        <v>1185</v>
      </c>
      <c r="Q370" s="2" t="s">
        <v>1186</v>
      </c>
      <c r="R370" s="2"/>
    </row>
    <row r="371" spans="1:18">
      <c r="A371" s="2" t="s">
        <v>1187</v>
      </c>
      <c r="B371" s="2" t="s">
        <v>1184</v>
      </c>
      <c r="C371" s="2" t="s">
        <v>1166</v>
      </c>
      <c r="D371" s="2">
        <v>13916714.87</v>
      </c>
      <c r="E371" s="2">
        <v>1</v>
      </c>
      <c r="F371" s="3">
        <f>IF(COUNT(D371,E371)=2,D371*E371,NA())</f>
        <v>13916714.87</v>
      </c>
      <c r="G371" s="2" t="s">
        <v>52</v>
      </c>
      <c r="H371" s="2" t="s">
        <v>53</v>
      </c>
      <c r="I371" s="2" t="s">
        <v>54</v>
      </c>
      <c r="J371" s="2" t="s">
        <v>55</v>
      </c>
      <c r="K371" s="2" t="s">
        <v>397</v>
      </c>
      <c r="L371" s="2" t="s">
        <v>63</v>
      </c>
      <c r="M371" s="2" t="s">
        <v>393</v>
      </c>
      <c r="N371" s="2" t="s">
        <v>64</v>
      </c>
      <c r="O371" s="2" t="s">
        <v>59</v>
      </c>
      <c r="P371" s="2" t="s">
        <v>1188</v>
      </c>
      <c r="Q371" s="2" t="s">
        <v>1186</v>
      </c>
      <c r="R371" s="2"/>
    </row>
    <row r="372" spans="1:18">
      <c r="A372" s="2" t="s">
        <v>1189</v>
      </c>
      <c r="B372" s="2" t="s">
        <v>1190</v>
      </c>
      <c r="C372" s="2" t="s">
        <v>1166</v>
      </c>
      <c r="D372" s="2">
        <v>918695.3100000001</v>
      </c>
      <c r="E372" s="2">
        <v>1</v>
      </c>
      <c r="F372" s="3">
        <f>IF(COUNT(D372,E372)=2,D372*E372,NA())</f>
        <v>918695.31</v>
      </c>
      <c r="G372" s="2" t="s">
        <v>52</v>
      </c>
      <c r="H372" s="2" t="s">
        <v>53</v>
      </c>
      <c r="I372" s="2" t="s">
        <v>54</v>
      </c>
      <c r="J372" s="2" t="s">
        <v>55</v>
      </c>
      <c r="K372" s="2" t="s">
        <v>392</v>
      </c>
      <c r="L372" s="2" t="s">
        <v>56</v>
      </c>
      <c r="M372" s="2" t="s">
        <v>393</v>
      </c>
      <c r="N372" s="2" t="s">
        <v>58</v>
      </c>
      <c r="O372" s="2" t="s">
        <v>59</v>
      </c>
      <c r="P372" s="2" t="s">
        <v>1191</v>
      </c>
      <c r="Q372" s="2" t="s">
        <v>1192</v>
      </c>
      <c r="R372" s="2"/>
    </row>
    <row r="373" spans="1:18">
      <c r="A373" s="2" t="s">
        <v>1193</v>
      </c>
      <c r="B373" s="2" t="s">
        <v>1190</v>
      </c>
      <c r="C373" s="2" t="s">
        <v>1166</v>
      </c>
      <c r="D373" s="2">
        <v>1210262.57</v>
      </c>
      <c r="E373" s="2">
        <v>1</v>
      </c>
      <c r="F373" s="3">
        <f>IF(COUNT(D373,E373)=2,D373*E373,NA())</f>
        <v>1210262.57</v>
      </c>
      <c r="G373" s="2" t="s">
        <v>52</v>
      </c>
      <c r="H373" s="2" t="s">
        <v>53</v>
      </c>
      <c r="I373" s="2" t="s">
        <v>54</v>
      </c>
      <c r="J373" s="2" t="s">
        <v>55</v>
      </c>
      <c r="K373" s="2" t="s">
        <v>397</v>
      </c>
      <c r="L373" s="2" t="s">
        <v>63</v>
      </c>
      <c r="M373" s="2" t="s">
        <v>393</v>
      </c>
      <c r="N373" s="2" t="s">
        <v>64</v>
      </c>
      <c r="O373" s="2" t="s">
        <v>59</v>
      </c>
      <c r="P373" s="2" t="s">
        <v>1194</v>
      </c>
      <c r="Q373" s="2" t="s">
        <v>1192</v>
      </c>
      <c r="R373" s="2"/>
    </row>
    <row r="374" spans="1:18">
      <c r="A374" s="2" t="s">
        <v>1195</v>
      </c>
      <c r="B374" s="2" t="s">
        <v>1196</v>
      </c>
      <c r="C374" s="2" t="s">
        <v>1166</v>
      </c>
      <c r="D374" s="2">
        <v>-95900.89999999999</v>
      </c>
      <c r="E374" s="2">
        <v>1</v>
      </c>
      <c r="F374" s="3">
        <f>IF(COUNT(D374,E374)=2,D374*E374,NA())</f>
        <v>-95900.9</v>
      </c>
      <c r="G374" s="2" t="s">
        <v>52</v>
      </c>
      <c r="H374" s="2" t="s">
        <v>53</v>
      </c>
      <c r="I374" s="2" t="s">
        <v>54</v>
      </c>
      <c r="J374" s="2" t="s">
        <v>55</v>
      </c>
      <c r="K374" s="2" t="s">
        <v>392</v>
      </c>
      <c r="L374" s="2" t="s">
        <v>56</v>
      </c>
      <c r="M374" s="2" t="s">
        <v>393</v>
      </c>
      <c r="N374" s="2" t="s">
        <v>58</v>
      </c>
      <c r="O374" s="2" t="s">
        <v>59</v>
      </c>
      <c r="P374" s="2" t="s">
        <v>1197</v>
      </c>
      <c r="Q374" s="2" t="s">
        <v>1198</v>
      </c>
      <c r="R374" s="2"/>
    </row>
    <row r="375" spans="1:18">
      <c r="A375" s="2" t="s">
        <v>1199</v>
      </c>
      <c r="B375" s="2" t="s">
        <v>1196</v>
      </c>
      <c r="C375" s="2" t="s">
        <v>1166</v>
      </c>
      <c r="D375" s="2">
        <v>-31246.02</v>
      </c>
      <c r="E375" s="2">
        <v>1</v>
      </c>
      <c r="F375" s="3">
        <f>IF(COUNT(D375,E375)=2,D375*E375,NA())</f>
        <v>-31246.02</v>
      </c>
      <c r="G375" s="2" t="s">
        <v>52</v>
      </c>
      <c r="H375" s="2" t="s">
        <v>53</v>
      </c>
      <c r="I375" s="2" t="s">
        <v>54</v>
      </c>
      <c r="J375" s="2" t="s">
        <v>55</v>
      </c>
      <c r="K375" s="2" t="s">
        <v>397</v>
      </c>
      <c r="L375" s="2" t="s">
        <v>63</v>
      </c>
      <c r="M375" s="2" t="s">
        <v>393</v>
      </c>
      <c r="N375" s="2" t="s">
        <v>64</v>
      </c>
      <c r="O375" s="2" t="s">
        <v>59</v>
      </c>
      <c r="P375" s="2" t="s">
        <v>1200</v>
      </c>
      <c r="Q375" s="2" t="s">
        <v>1198</v>
      </c>
      <c r="R375" s="2"/>
    </row>
    <row r="376" spans="1:18">
      <c r="A376" s="2" t="s">
        <v>1201</v>
      </c>
      <c r="B376" s="2" t="s">
        <v>1202</v>
      </c>
      <c r="C376" s="2" t="s">
        <v>1166</v>
      </c>
      <c r="D376" s="2">
        <v>8822605.199999999</v>
      </c>
      <c r="E376" s="2">
        <v>1</v>
      </c>
      <c r="F376" s="3">
        <f>IF(COUNT(D376,E376)=2,D376*E376,NA())</f>
        <v>8822605.2</v>
      </c>
      <c r="G376" s="2" t="s">
        <v>52</v>
      </c>
      <c r="H376" s="2" t="s">
        <v>53</v>
      </c>
      <c r="I376" s="2" t="s">
        <v>54</v>
      </c>
      <c r="J376" s="2" t="s">
        <v>55</v>
      </c>
      <c r="K376" s="2" t="s">
        <v>392</v>
      </c>
      <c r="L376" s="2" t="s">
        <v>56</v>
      </c>
      <c r="M376" s="2" t="s">
        <v>393</v>
      </c>
      <c r="N376" s="2" t="s">
        <v>58</v>
      </c>
      <c r="O376" s="2" t="s">
        <v>59</v>
      </c>
      <c r="P376" s="2" t="s">
        <v>1203</v>
      </c>
      <c r="Q376" s="2" t="s">
        <v>1204</v>
      </c>
      <c r="R376" s="2"/>
    </row>
    <row r="377" spans="1:18">
      <c r="A377" s="2" t="s">
        <v>1205</v>
      </c>
      <c r="B377" s="2" t="s">
        <v>1202</v>
      </c>
      <c r="C377" s="2" t="s">
        <v>1166</v>
      </c>
      <c r="D377" s="2">
        <v>2992198.89</v>
      </c>
      <c r="E377" s="2">
        <v>1</v>
      </c>
      <c r="F377" s="3">
        <f>IF(COUNT(D377,E377)=2,D377*E377,NA())</f>
        <v>2992198.89</v>
      </c>
      <c r="G377" s="2" t="s">
        <v>52</v>
      </c>
      <c r="H377" s="2" t="s">
        <v>53</v>
      </c>
      <c r="I377" s="2" t="s">
        <v>54</v>
      </c>
      <c r="J377" s="2" t="s">
        <v>55</v>
      </c>
      <c r="K377" s="2" t="s">
        <v>397</v>
      </c>
      <c r="L377" s="2" t="s">
        <v>63</v>
      </c>
      <c r="M377" s="2" t="s">
        <v>393</v>
      </c>
      <c r="N377" s="2" t="s">
        <v>64</v>
      </c>
      <c r="O377" s="2" t="s">
        <v>59</v>
      </c>
      <c r="P377" s="2" t="s">
        <v>1206</v>
      </c>
      <c r="Q377" s="2" t="s">
        <v>1204</v>
      </c>
      <c r="R377" s="2"/>
    </row>
    <row r="378" spans="1:18">
      <c r="A378" s="2" t="s">
        <v>1207</v>
      </c>
      <c r="B378" s="2" t="s">
        <v>1208</v>
      </c>
      <c r="C378" s="2" t="s">
        <v>1166</v>
      </c>
      <c r="D378" s="2">
        <v>4649032.54</v>
      </c>
      <c r="E378" s="2">
        <v>1</v>
      </c>
      <c r="F378" s="3">
        <f>IF(COUNT(D378,E378)=2,D378*E378,NA())</f>
        <v>4649032.54</v>
      </c>
      <c r="G378" s="2" t="s">
        <v>52</v>
      </c>
      <c r="H378" s="2" t="s">
        <v>53</v>
      </c>
      <c r="I378" s="2" t="s">
        <v>54</v>
      </c>
      <c r="J378" s="2" t="s">
        <v>55</v>
      </c>
      <c r="K378" s="2" t="s">
        <v>392</v>
      </c>
      <c r="L378" s="2" t="s">
        <v>56</v>
      </c>
      <c r="M378" s="2" t="s">
        <v>393</v>
      </c>
      <c r="N378" s="2" t="s">
        <v>58</v>
      </c>
      <c r="O378" s="2" t="s">
        <v>59</v>
      </c>
      <c r="P378" s="2" t="s">
        <v>1209</v>
      </c>
      <c r="Q378" s="2" t="s">
        <v>1210</v>
      </c>
      <c r="R378" s="2"/>
    </row>
    <row r="379" spans="1:18">
      <c r="A379" s="2" t="s">
        <v>1211</v>
      </c>
      <c r="B379" s="2" t="s">
        <v>1208</v>
      </c>
      <c r="C379" s="2" t="s">
        <v>1166</v>
      </c>
      <c r="D379" s="2">
        <v>-152471970.46</v>
      </c>
      <c r="E379" s="2">
        <v>1</v>
      </c>
      <c r="F379" s="3">
        <f>IF(COUNT(D379,E379)=2,D379*E379,NA())</f>
        <v>-152471970.46</v>
      </c>
      <c r="G379" s="2" t="s">
        <v>52</v>
      </c>
      <c r="H379" s="2" t="s">
        <v>53</v>
      </c>
      <c r="I379" s="2" t="s">
        <v>54</v>
      </c>
      <c r="J379" s="2" t="s">
        <v>55</v>
      </c>
      <c r="K379" s="2" t="s">
        <v>397</v>
      </c>
      <c r="L379" s="2" t="s">
        <v>63</v>
      </c>
      <c r="M379" s="2" t="s">
        <v>393</v>
      </c>
      <c r="N379" s="2" t="s">
        <v>64</v>
      </c>
      <c r="O379" s="2" t="s">
        <v>59</v>
      </c>
      <c r="P379" s="2" t="s">
        <v>1212</v>
      </c>
      <c r="Q379" s="2" t="s">
        <v>1210</v>
      </c>
      <c r="R379" s="2"/>
    </row>
    <row r="380" spans="1:18">
      <c r="A380" s="2" t="s">
        <v>1213</v>
      </c>
      <c r="B380" s="2" t="s">
        <v>1214</v>
      </c>
      <c r="C380" s="2" t="s">
        <v>1166</v>
      </c>
      <c r="D380" s="2">
        <v>105777839.05</v>
      </c>
      <c r="E380" s="2">
        <v>1</v>
      </c>
      <c r="F380" s="3">
        <f>IF(COUNT(D380,E380)=2,D380*E380,NA())</f>
        <v>105777839.05</v>
      </c>
      <c r="G380" s="2" t="s">
        <v>52</v>
      </c>
      <c r="H380" s="2" t="s">
        <v>53</v>
      </c>
      <c r="I380" s="2" t="s">
        <v>54</v>
      </c>
      <c r="J380" s="2" t="s">
        <v>55</v>
      </c>
      <c r="K380" s="2" t="s">
        <v>392</v>
      </c>
      <c r="L380" s="2" t="s">
        <v>56</v>
      </c>
      <c r="M380" s="2" t="s">
        <v>393</v>
      </c>
      <c r="N380" s="2" t="s">
        <v>58</v>
      </c>
      <c r="O380" s="2" t="s">
        <v>59</v>
      </c>
      <c r="P380" s="2" t="s">
        <v>1215</v>
      </c>
      <c r="Q380" s="2" t="s">
        <v>1216</v>
      </c>
      <c r="R380" s="2"/>
    </row>
    <row r="381" spans="1:18">
      <c r="A381" s="2" t="s">
        <v>1217</v>
      </c>
      <c r="B381" s="2" t="s">
        <v>1214</v>
      </c>
      <c r="C381" s="2" t="s">
        <v>1166</v>
      </c>
      <c r="D381" s="2">
        <v>106421488.15</v>
      </c>
      <c r="E381" s="2">
        <v>1</v>
      </c>
      <c r="F381" s="3">
        <f>IF(COUNT(D381,E381)=2,D381*E381,NA())</f>
        <v>106421488.15</v>
      </c>
      <c r="G381" s="2" t="s">
        <v>52</v>
      </c>
      <c r="H381" s="2" t="s">
        <v>53</v>
      </c>
      <c r="I381" s="2" t="s">
        <v>54</v>
      </c>
      <c r="J381" s="2" t="s">
        <v>55</v>
      </c>
      <c r="K381" s="2" t="s">
        <v>397</v>
      </c>
      <c r="L381" s="2" t="s">
        <v>63</v>
      </c>
      <c r="M381" s="2" t="s">
        <v>393</v>
      </c>
      <c r="N381" s="2" t="s">
        <v>64</v>
      </c>
      <c r="O381" s="2" t="s">
        <v>59</v>
      </c>
      <c r="P381" s="2" t="s">
        <v>1218</v>
      </c>
      <c r="Q381" s="2" t="s">
        <v>1216</v>
      </c>
      <c r="R381" s="2"/>
    </row>
    <row r="382" spans="1:18">
      <c r="A382" s="2" t="s">
        <v>1219</v>
      </c>
      <c r="B382" s="2" t="s">
        <v>1220</v>
      </c>
      <c r="C382" s="2" t="s">
        <v>1166</v>
      </c>
      <c r="D382" s="2">
        <v>-1028843.35</v>
      </c>
      <c r="E382" s="2">
        <v>1</v>
      </c>
      <c r="F382" s="3">
        <f>IF(COUNT(D382,E382)=2,D382*E382,NA())</f>
        <v>-1028843.35</v>
      </c>
      <c r="G382" s="2" t="s">
        <v>52</v>
      </c>
      <c r="H382" s="2" t="s">
        <v>53</v>
      </c>
      <c r="I382" s="2" t="s">
        <v>54</v>
      </c>
      <c r="J382" s="2" t="s">
        <v>55</v>
      </c>
      <c r="K382" s="2" t="s">
        <v>392</v>
      </c>
      <c r="L382" s="2" t="s">
        <v>56</v>
      </c>
      <c r="M382" s="2" t="s">
        <v>393</v>
      </c>
      <c r="N382" s="2" t="s">
        <v>58</v>
      </c>
      <c r="O382" s="2" t="s">
        <v>59</v>
      </c>
      <c r="P382" s="2" t="s">
        <v>1221</v>
      </c>
      <c r="Q382" s="2" t="s">
        <v>1222</v>
      </c>
      <c r="R382" s="2"/>
    </row>
    <row r="383" spans="1:18">
      <c r="A383" s="2" t="s">
        <v>1223</v>
      </c>
      <c r="B383" s="2" t="s">
        <v>1220</v>
      </c>
      <c r="C383" s="2" t="s">
        <v>1166</v>
      </c>
      <c r="D383" s="2">
        <v>-21758678.98</v>
      </c>
      <c r="E383" s="2">
        <v>1</v>
      </c>
      <c r="F383" s="3">
        <f>IF(COUNT(D383,E383)=2,D383*E383,NA())</f>
        <v>-21758678.98</v>
      </c>
      <c r="G383" s="2" t="s">
        <v>52</v>
      </c>
      <c r="H383" s="2" t="s">
        <v>53</v>
      </c>
      <c r="I383" s="2" t="s">
        <v>54</v>
      </c>
      <c r="J383" s="2" t="s">
        <v>55</v>
      </c>
      <c r="K383" s="2" t="s">
        <v>397</v>
      </c>
      <c r="L383" s="2" t="s">
        <v>63</v>
      </c>
      <c r="M383" s="2" t="s">
        <v>393</v>
      </c>
      <c r="N383" s="2" t="s">
        <v>64</v>
      </c>
      <c r="O383" s="2" t="s">
        <v>59</v>
      </c>
      <c r="P383" s="2" t="s">
        <v>1224</v>
      </c>
      <c r="Q383" s="2" t="s">
        <v>1222</v>
      </c>
      <c r="R383" s="2"/>
    </row>
    <row r="384" spans="1:18">
      <c r="A384" s="2" t="s">
        <v>1225</v>
      </c>
      <c r="B384" s="2" t="s">
        <v>1226</v>
      </c>
      <c r="C384" s="2" t="s">
        <v>1166</v>
      </c>
      <c r="D384" s="2">
        <v>-93797042.59999999</v>
      </c>
      <c r="E384" s="2">
        <v>1</v>
      </c>
      <c r="F384" s="3">
        <f>IF(COUNT(D384,E384)=2,D384*E384,NA())</f>
        <v>-93797042.6</v>
      </c>
      <c r="G384" s="2" t="s">
        <v>52</v>
      </c>
      <c r="H384" s="2" t="s">
        <v>53</v>
      </c>
      <c r="I384" s="2" t="s">
        <v>54</v>
      </c>
      <c r="J384" s="2" t="s">
        <v>55</v>
      </c>
      <c r="K384" s="2" t="s">
        <v>392</v>
      </c>
      <c r="L384" s="2" t="s">
        <v>56</v>
      </c>
      <c r="M384" s="2" t="s">
        <v>393</v>
      </c>
      <c r="N384" s="2" t="s">
        <v>58</v>
      </c>
      <c r="O384" s="2" t="s">
        <v>59</v>
      </c>
      <c r="P384" s="2" t="s">
        <v>1227</v>
      </c>
      <c r="Q384" s="2" t="s">
        <v>1228</v>
      </c>
      <c r="R384" s="2"/>
    </row>
    <row r="385" spans="1:18">
      <c r="A385" s="2" t="s">
        <v>1229</v>
      </c>
      <c r="B385" s="2" t="s">
        <v>1226</v>
      </c>
      <c r="C385" s="2" t="s">
        <v>1166</v>
      </c>
      <c r="D385" s="2">
        <v>-33709490.19</v>
      </c>
      <c r="E385" s="2">
        <v>1</v>
      </c>
      <c r="F385" s="3">
        <f>IF(COUNT(D385,E385)=2,D385*E385,NA())</f>
        <v>-33709490.19</v>
      </c>
      <c r="G385" s="2" t="s">
        <v>52</v>
      </c>
      <c r="H385" s="2" t="s">
        <v>53</v>
      </c>
      <c r="I385" s="2" t="s">
        <v>54</v>
      </c>
      <c r="J385" s="2" t="s">
        <v>55</v>
      </c>
      <c r="K385" s="2" t="s">
        <v>397</v>
      </c>
      <c r="L385" s="2" t="s">
        <v>63</v>
      </c>
      <c r="M385" s="2" t="s">
        <v>393</v>
      </c>
      <c r="N385" s="2" t="s">
        <v>64</v>
      </c>
      <c r="O385" s="2" t="s">
        <v>59</v>
      </c>
      <c r="P385" s="2" t="s">
        <v>1230</v>
      </c>
      <c r="Q385" s="2" t="s">
        <v>1228</v>
      </c>
      <c r="R385" s="2"/>
    </row>
    <row r="386" spans="1:18">
      <c r="A386" s="2" t="s">
        <v>1231</v>
      </c>
      <c r="B386" s="2" t="s">
        <v>1232</v>
      </c>
      <c r="C386" s="2" t="s">
        <v>1166</v>
      </c>
      <c r="D386" s="2">
        <v>-2555900.67</v>
      </c>
      <c r="E386" s="2">
        <v>1</v>
      </c>
      <c r="F386" s="3">
        <f>IF(COUNT(D386,E386)=2,D386*E386,NA())</f>
        <v>-2555900.67</v>
      </c>
      <c r="G386" s="2" t="s">
        <v>52</v>
      </c>
      <c r="H386" s="2" t="s">
        <v>53</v>
      </c>
      <c r="I386" s="2" t="s">
        <v>54</v>
      </c>
      <c r="J386" s="2" t="s">
        <v>55</v>
      </c>
      <c r="K386" s="2" t="s">
        <v>392</v>
      </c>
      <c r="L386" s="2" t="s">
        <v>56</v>
      </c>
      <c r="M386" s="2" t="s">
        <v>393</v>
      </c>
      <c r="N386" s="2" t="s">
        <v>58</v>
      </c>
      <c r="O386" s="2" t="s">
        <v>59</v>
      </c>
      <c r="P386" s="2" t="s">
        <v>1233</v>
      </c>
      <c r="Q386" s="2" t="s">
        <v>1234</v>
      </c>
      <c r="R386" s="2"/>
    </row>
    <row r="387" spans="1:18">
      <c r="A387" s="2" t="s">
        <v>1235</v>
      </c>
      <c r="B387" s="2" t="s">
        <v>1232</v>
      </c>
      <c r="C387" s="2" t="s">
        <v>1166</v>
      </c>
      <c r="D387" s="2">
        <v>-2333115.95</v>
      </c>
      <c r="E387" s="2">
        <v>1</v>
      </c>
      <c r="F387" s="3">
        <f>IF(COUNT(D387,E387)=2,D387*E387,NA())</f>
        <v>-2333115.95</v>
      </c>
      <c r="G387" s="2" t="s">
        <v>52</v>
      </c>
      <c r="H387" s="2" t="s">
        <v>53</v>
      </c>
      <c r="I387" s="2" t="s">
        <v>54</v>
      </c>
      <c r="J387" s="2" t="s">
        <v>55</v>
      </c>
      <c r="K387" s="2" t="s">
        <v>397</v>
      </c>
      <c r="L387" s="2" t="s">
        <v>63</v>
      </c>
      <c r="M387" s="2" t="s">
        <v>393</v>
      </c>
      <c r="N387" s="2" t="s">
        <v>64</v>
      </c>
      <c r="O387" s="2" t="s">
        <v>59</v>
      </c>
      <c r="P387" s="2" t="s">
        <v>1236</v>
      </c>
      <c r="Q387" s="2" t="s">
        <v>1234</v>
      </c>
      <c r="R387" s="2"/>
    </row>
    <row r="388" spans="1:18">
      <c r="A388" s="2" t="s">
        <v>1237</v>
      </c>
      <c r="B388" s="2" t="s">
        <v>1238</v>
      </c>
      <c r="C388" s="2" t="s">
        <v>1166</v>
      </c>
      <c r="D388" s="2">
        <v>54041312.14</v>
      </c>
      <c r="E388" s="2">
        <v>1</v>
      </c>
      <c r="F388" s="3">
        <f>IF(COUNT(D388,E388)=2,D388*E388,NA())</f>
        <v>54041312.14</v>
      </c>
      <c r="G388" s="2" t="s">
        <v>52</v>
      </c>
      <c r="H388" s="2" t="s">
        <v>53</v>
      </c>
      <c r="I388" s="2" t="s">
        <v>54</v>
      </c>
      <c r="J388" s="2" t="s">
        <v>55</v>
      </c>
      <c r="K388" s="2" t="s">
        <v>392</v>
      </c>
      <c r="L388" s="2" t="s">
        <v>56</v>
      </c>
      <c r="M388" s="2" t="s">
        <v>393</v>
      </c>
      <c r="N388" s="2" t="s">
        <v>58</v>
      </c>
      <c r="O388" s="2" t="s">
        <v>59</v>
      </c>
      <c r="P388" s="2" t="s">
        <v>1239</v>
      </c>
      <c r="Q388" s="2" t="s">
        <v>1240</v>
      </c>
      <c r="R388" s="2"/>
    </row>
    <row r="389" spans="1:18">
      <c r="A389" s="2" t="s">
        <v>1241</v>
      </c>
      <c r="B389" s="2" t="s">
        <v>1238</v>
      </c>
      <c r="C389" s="2" t="s">
        <v>1166</v>
      </c>
      <c r="D389" s="2">
        <v>-1450302.65</v>
      </c>
      <c r="E389" s="2">
        <v>1</v>
      </c>
      <c r="F389" s="3">
        <f>IF(COUNT(D389,E389)=2,D389*E389,NA())</f>
        <v>-1450302.65</v>
      </c>
      <c r="G389" s="2" t="s">
        <v>52</v>
      </c>
      <c r="H389" s="2" t="s">
        <v>53</v>
      </c>
      <c r="I389" s="2" t="s">
        <v>54</v>
      </c>
      <c r="J389" s="2" t="s">
        <v>55</v>
      </c>
      <c r="K389" s="2" t="s">
        <v>397</v>
      </c>
      <c r="L389" s="2" t="s">
        <v>63</v>
      </c>
      <c r="M389" s="2" t="s">
        <v>393</v>
      </c>
      <c r="N389" s="2" t="s">
        <v>64</v>
      </c>
      <c r="O389" s="2" t="s">
        <v>59</v>
      </c>
      <c r="P389" s="2" t="s">
        <v>1242</v>
      </c>
      <c r="Q389" s="2" t="s">
        <v>1240</v>
      </c>
      <c r="R389" s="2"/>
    </row>
    <row r="390" spans="1:18">
      <c r="A390" s="2" t="s">
        <v>1243</v>
      </c>
      <c r="B390" s="2" t="s">
        <v>1244</v>
      </c>
      <c r="C390" s="2" t="s">
        <v>1166</v>
      </c>
      <c r="D390" s="2">
        <v>-564319169.14</v>
      </c>
      <c r="E390" s="2">
        <v>1</v>
      </c>
      <c r="F390" s="3">
        <f>IF(COUNT(D390,E390)=2,D390*E390,NA())</f>
        <v>-564319169.14</v>
      </c>
      <c r="G390" s="2" t="s">
        <v>52</v>
      </c>
      <c r="H390" s="2" t="s">
        <v>53</v>
      </c>
      <c r="I390" s="2" t="s">
        <v>54</v>
      </c>
      <c r="J390" s="2" t="s">
        <v>55</v>
      </c>
      <c r="K390" s="2" t="s">
        <v>392</v>
      </c>
      <c r="L390" s="2" t="s">
        <v>56</v>
      </c>
      <c r="M390" s="2" t="s">
        <v>393</v>
      </c>
      <c r="N390" s="2" t="s">
        <v>58</v>
      </c>
      <c r="O390" s="2" t="s">
        <v>59</v>
      </c>
      <c r="P390" s="2" t="s">
        <v>1245</v>
      </c>
      <c r="Q390" s="2" t="s">
        <v>1246</v>
      </c>
      <c r="R390" s="2"/>
    </row>
    <row r="391" spans="1:18">
      <c r="A391" s="2" t="s">
        <v>1247</v>
      </c>
      <c r="B391" s="2" t="s">
        <v>1244</v>
      </c>
      <c r="C391" s="2" t="s">
        <v>1166</v>
      </c>
      <c r="D391" s="2">
        <v>-623466577.3</v>
      </c>
      <c r="E391" s="2">
        <v>1</v>
      </c>
      <c r="F391" s="3">
        <f>IF(COUNT(D391,E391)=2,D391*E391,NA())</f>
        <v>-623466577.3</v>
      </c>
      <c r="G391" s="2" t="s">
        <v>52</v>
      </c>
      <c r="H391" s="2" t="s">
        <v>53</v>
      </c>
      <c r="I391" s="2" t="s">
        <v>54</v>
      </c>
      <c r="J391" s="2" t="s">
        <v>55</v>
      </c>
      <c r="K391" s="2" t="s">
        <v>397</v>
      </c>
      <c r="L391" s="2" t="s">
        <v>63</v>
      </c>
      <c r="M391" s="2" t="s">
        <v>393</v>
      </c>
      <c r="N391" s="2" t="s">
        <v>64</v>
      </c>
      <c r="O391" s="2" t="s">
        <v>59</v>
      </c>
      <c r="P391" s="2" t="s">
        <v>1248</v>
      </c>
      <c r="Q391" s="2" t="s">
        <v>1246</v>
      </c>
      <c r="R391" s="2"/>
    </row>
    <row r="392" spans="1:18">
      <c r="A392" s="2" t="s">
        <v>1249</v>
      </c>
      <c r="B392" s="2" t="s">
        <v>1250</v>
      </c>
      <c r="C392" s="2" t="s">
        <v>1166</v>
      </c>
      <c r="D392" s="2">
        <v>270035536.6</v>
      </c>
      <c r="E392" s="2">
        <v>1</v>
      </c>
      <c r="F392" s="3">
        <f>IF(COUNT(D392,E392)=2,D392*E392,NA())</f>
        <v>270035536.6</v>
      </c>
      <c r="G392" s="2" t="s">
        <v>52</v>
      </c>
      <c r="H392" s="2" t="s">
        <v>53</v>
      </c>
      <c r="I392" s="2" t="s">
        <v>54</v>
      </c>
      <c r="J392" s="2" t="s">
        <v>55</v>
      </c>
      <c r="K392" s="2" t="s">
        <v>392</v>
      </c>
      <c r="L392" s="2" t="s">
        <v>56</v>
      </c>
      <c r="M392" s="2" t="s">
        <v>393</v>
      </c>
      <c r="N392" s="2" t="s">
        <v>58</v>
      </c>
      <c r="O392" s="2" t="s">
        <v>59</v>
      </c>
      <c r="P392" s="2" t="s">
        <v>1251</v>
      </c>
      <c r="Q392" s="2" t="s">
        <v>1252</v>
      </c>
      <c r="R392" s="2"/>
    </row>
    <row r="393" spans="1:18">
      <c r="A393" s="2" t="s">
        <v>1253</v>
      </c>
      <c r="B393" s="2" t="s">
        <v>1250</v>
      </c>
      <c r="C393" s="2" t="s">
        <v>1166</v>
      </c>
      <c r="D393" s="2">
        <v>405068726.98</v>
      </c>
      <c r="E393" s="2">
        <v>1</v>
      </c>
      <c r="F393" s="3">
        <f>IF(COUNT(D393,E393)=2,D393*E393,NA())</f>
        <v>405068726.98</v>
      </c>
      <c r="G393" s="2" t="s">
        <v>52</v>
      </c>
      <c r="H393" s="2" t="s">
        <v>53</v>
      </c>
      <c r="I393" s="2" t="s">
        <v>54</v>
      </c>
      <c r="J393" s="2" t="s">
        <v>55</v>
      </c>
      <c r="K393" s="2" t="s">
        <v>397</v>
      </c>
      <c r="L393" s="2" t="s">
        <v>63</v>
      </c>
      <c r="M393" s="2" t="s">
        <v>393</v>
      </c>
      <c r="N393" s="2" t="s">
        <v>64</v>
      </c>
      <c r="O393" s="2" t="s">
        <v>59</v>
      </c>
      <c r="P393" s="2" t="s">
        <v>1254</v>
      </c>
      <c r="Q393" s="2" t="s">
        <v>1252</v>
      </c>
      <c r="R393" s="2"/>
    </row>
    <row r="394" spans="1:18">
      <c r="A394" s="2" t="s">
        <v>1255</v>
      </c>
      <c r="B394" s="2" t="s">
        <v>1256</v>
      </c>
      <c r="C394" s="2" t="s">
        <v>1166</v>
      </c>
      <c r="D394" s="2">
        <v>17311949.79</v>
      </c>
      <c r="E394" s="2">
        <v>1</v>
      </c>
      <c r="F394" s="3">
        <f>IF(COUNT(D394,E394)=2,D394*E394,NA())</f>
        <v>17311949.79</v>
      </c>
      <c r="G394" s="2" t="s">
        <v>52</v>
      </c>
      <c r="H394" s="2" t="s">
        <v>53</v>
      </c>
      <c r="I394" s="2" t="s">
        <v>54</v>
      </c>
      <c r="J394" s="2" t="s">
        <v>55</v>
      </c>
      <c r="K394" s="2" t="s">
        <v>392</v>
      </c>
      <c r="L394" s="2" t="s">
        <v>56</v>
      </c>
      <c r="M394" s="2" t="s">
        <v>393</v>
      </c>
      <c r="N394" s="2" t="s">
        <v>58</v>
      </c>
      <c r="O394" s="2" t="s">
        <v>59</v>
      </c>
      <c r="P394" s="2" t="s">
        <v>1257</v>
      </c>
      <c r="Q394" s="2" t="s">
        <v>1258</v>
      </c>
      <c r="R394" s="2"/>
    </row>
    <row r="395" spans="1:18">
      <c r="A395" s="2" t="s">
        <v>1259</v>
      </c>
      <c r="B395" s="2" t="s">
        <v>1256</v>
      </c>
      <c r="C395" s="2" t="s">
        <v>1166</v>
      </c>
      <c r="D395" s="2">
        <v>24433005.7</v>
      </c>
      <c r="E395" s="2">
        <v>1</v>
      </c>
      <c r="F395" s="3">
        <f>IF(COUNT(D395,E395)=2,D395*E395,NA())</f>
        <v>24433005.7</v>
      </c>
      <c r="G395" s="2" t="s">
        <v>52</v>
      </c>
      <c r="H395" s="2" t="s">
        <v>53</v>
      </c>
      <c r="I395" s="2" t="s">
        <v>54</v>
      </c>
      <c r="J395" s="2" t="s">
        <v>55</v>
      </c>
      <c r="K395" s="2" t="s">
        <v>397</v>
      </c>
      <c r="L395" s="2" t="s">
        <v>63</v>
      </c>
      <c r="M395" s="2" t="s">
        <v>393</v>
      </c>
      <c r="N395" s="2" t="s">
        <v>64</v>
      </c>
      <c r="O395" s="2" t="s">
        <v>59</v>
      </c>
      <c r="P395" s="2" t="s">
        <v>1260</v>
      </c>
      <c r="Q395" s="2" t="s">
        <v>1258</v>
      </c>
      <c r="R395" s="2"/>
    </row>
    <row r="396" spans="1:18">
      <c r="A396" s="2" t="s">
        <v>1261</v>
      </c>
      <c r="B396" s="2" t="s">
        <v>1262</v>
      </c>
      <c r="C396" s="2" t="s">
        <v>1263</v>
      </c>
      <c r="D396" s="2">
        <v>460079528.49</v>
      </c>
      <c r="E396" s="2">
        <v>1</v>
      </c>
      <c r="F396" s="3">
        <f>IF(COUNT(D396,E396)=2,D396*E396,NA())</f>
        <v>460079528.49</v>
      </c>
      <c r="G396" s="2" t="s">
        <v>52</v>
      </c>
      <c r="H396" s="2" t="s">
        <v>53</v>
      </c>
      <c r="I396" s="2" t="s">
        <v>54</v>
      </c>
      <c r="J396" s="2" t="s">
        <v>55</v>
      </c>
      <c r="K396" s="2"/>
      <c r="L396" s="2" t="s">
        <v>56</v>
      </c>
      <c r="M396" s="2" t="s">
        <v>57</v>
      </c>
      <c r="N396" s="2" t="s">
        <v>58</v>
      </c>
      <c r="O396" s="2" t="s">
        <v>59</v>
      </c>
      <c r="P396" s="2" t="s">
        <v>1264</v>
      </c>
      <c r="Q396" s="2" t="s">
        <v>1265</v>
      </c>
      <c r="R396" s="2"/>
    </row>
    <row r="397" spans="1:18">
      <c r="A397" s="2" t="s">
        <v>1266</v>
      </c>
      <c r="B397" s="2" t="s">
        <v>1262</v>
      </c>
      <c r="C397" s="2" t="s">
        <v>1263</v>
      </c>
      <c r="D397" s="2">
        <v>148176934.86</v>
      </c>
      <c r="E397" s="2">
        <v>1</v>
      </c>
      <c r="F397" s="3">
        <f>IF(COUNT(D397,E397)=2,D397*E397,NA())</f>
        <v>148176934.86</v>
      </c>
      <c r="G397" s="2" t="s">
        <v>52</v>
      </c>
      <c r="H397" s="2" t="s">
        <v>53</v>
      </c>
      <c r="I397" s="2" t="s">
        <v>54</v>
      </c>
      <c r="J397" s="2" t="s">
        <v>55</v>
      </c>
      <c r="K397" s="2"/>
      <c r="L397" s="2" t="s">
        <v>63</v>
      </c>
      <c r="M397" s="2" t="s">
        <v>57</v>
      </c>
      <c r="N397" s="2" t="s">
        <v>64</v>
      </c>
      <c r="O397" s="2" t="s">
        <v>59</v>
      </c>
      <c r="P397" s="2" t="s">
        <v>1267</v>
      </c>
      <c r="Q397" s="2" t="s">
        <v>1265</v>
      </c>
      <c r="R397" s="2"/>
    </row>
    <row r="398" spans="1:18">
      <c r="A398" s="2" t="s">
        <v>1268</v>
      </c>
      <c r="B398" s="2" t="s">
        <v>1269</v>
      </c>
      <c r="C398" s="2" t="s">
        <v>1263</v>
      </c>
      <c r="D398" s="2">
        <v>177472695.96</v>
      </c>
      <c r="E398" s="2">
        <v>1</v>
      </c>
      <c r="F398" s="3">
        <f>IF(COUNT(D398,E398)=2,D398*E398,NA())</f>
        <v>177472695.96</v>
      </c>
      <c r="G398" s="2" t="s">
        <v>52</v>
      </c>
      <c r="H398" s="2" t="s">
        <v>53</v>
      </c>
      <c r="I398" s="2" t="s">
        <v>54</v>
      </c>
      <c r="J398" s="2" t="s">
        <v>55</v>
      </c>
      <c r="K398" s="2"/>
      <c r="L398" s="2" t="s">
        <v>56</v>
      </c>
      <c r="M398" s="2" t="s">
        <v>57</v>
      </c>
      <c r="N398" s="2" t="s">
        <v>58</v>
      </c>
      <c r="O398" s="2" t="s">
        <v>59</v>
      </c>
      <c r="P398" s="2" t="s">
        <v>1270</v>
      </c>
      <c r="Q398" s="2" t="s">
        <v>1271</v>
      </c>
      <c r="R398" s="2"/>
    </row>
    <row r="399" spans="1:18">
      <c r="A399" s="2" t="s">
        <v>1272</v>
      </c>
      <c r="B399" s="2" t="s">
        <v>1269</v>
      </c>
      <c r="C399" s="2" t="s">
        <v>1263</v>
      </c>
      <c r="D399" s="2">
        <v>98176934.86</v>
      </c>
      <c r="E399" s="2">
        <v>1</v>
      </c>
      <c r="F399" s="3">
        <f>IF(COUNT(D399,E399)=2,D399*E399,NA())</f>
        <v>98176934.86</v>
      </c>
      <c r="G399" s="2" t="s">
        <v>52</v>
      </c>
      <c r="H399" s="2" t="s">
        <v>53</v>
      </c>
      <c r="I399" s="2" t="s">
        <v>54</v>
      </c>
      <c r="J399" s="2" t="s">
        <v>55</v>
      </c>
      <c r="K399" s="2"/>
      <c r="L399" s="2" t="s">
        <v>63</v>
      </c>
      <c r="M399" s="2" t="s">
        <v>57</v>
      </c>
      <c r="N399" s="2" t="s">
        <v>64</v>
      </c>
      <c r="O399" s="2" t="s">
        <v>59</v>
      </c>
      <c r="P399" s="2" t="s">
        <v>1273</v>
      </c>
      <c r="Q399" s="2" t="s">
        <v>1271</v>
      </c>
      <c r="R399" s="2"/>
    </row>
    <row r="400" spans="1:18">
      <c r="A400" s="2" t="s">
        <v>1274</v>
      </c>
      <c r="B400" s="2" t="s">
        <v>1275</v>
      </c>
      <c r="C400" s="2" t="s">
        <v>1263</v>
      </c>
      <c r="D400" s="2">
        <v>282606832.53</v>
      </c>
      <c r="E400" s="2">
        <v>1</v>
      </c>
      <c r="F400" s="3">
        <f>IF(COUNT(D400,E400)=2,D400*E400,NA())</f>
        <v>282606832.53</v>
      </c>
      <c r="G400" s="2" t="s">
        <v>52</v>
      </c>
      <c r="H400" s="2" t="s">
        <v>53</v>
      </c>
      <c r="I400" s="2" t="s">
        <v>54</v>
      </c>
      <c r="J400" s="2" t="s">
        <v>55</v>
      </c>
      <c r="K400" s="2"/>
      <c r="L400" s="2" t="s">
        <v>56</v>
      </c>
      <c r="M400" s="2" t="s">
        <v>57</v>
      </c>
      <c r="N400" s="2" t="s">
        <v>58</v>
      </c>
      <c r="O400" s="2" t="s">
        <v>59</v>
      </c>
      <c r="P400" s="2" t="s">
        <v>1276</v>
      </c>
      <c r="Q400" s="2" t="s">
        <v>1277</v>
      </c>
      <c r="R400" s="2"/>
    </row>
    <row r="401" spans="1:18">
      <c r="A401" s="2" t="s">
        <v>1278</v>
      </c>
      <c r="B401" s="2" t="s">
        <v>1275</v>
      </c>
      <c r="C401" s="2" t="s">
        <v>1263</v>
      </c>
      <c r="D401" s="2">
        <v>50000000</v>
      </c>
      <c r="E401" s="2">
        <v>1</v>
      </c>
      <c r="F401" s="3">
        <f>IF(COUNT(D401,E401)=2,D401*E401,NA())</f>
        <v>50000000.0</v>
      </c>
      <c r="G401" s="2" t="s">
        <v>52</v>
      </c>
      <c r="H401" s="2" t="s">
        <v>53</v>
      </c>
      <c r="I401" s="2" t="s">
        <v>54</v>
      </c>
      <c r="J401" s="2" t="s">
        <v>55</v>
      </c>
      <c r="K401" s="2"/>
      <c r="L401" s="2" t="s">
        <v>63</v>
      </c>
      <c r="M401" s="2" t="s">
        <v>57</v>
      </c>
      <c r="N401" s="2" t="s">
        <v>64</v>
      </c>
      <c r="O401" s="2" t="s">
        <v>59</v>
      </c>
      <c r="P401" s="2" t="s">
        <v>1279</v>
      </c>
      <c r="Q401" s="2" t="s">
        <v>1277</v>
      </c>
      <c r="R401" s="2"/>
    </row>
    <row r="402" spans="1:18">
      <c r="A402" s="2" t="s">
        <v>1280</v>
      </c>
      <c r="B402" s="2" t="s">
        <v>1281</v>
      </c>
      <c r="C402" s="2" t="s">
        <v>1263</v>
      </c>
      <c r="D402" s="2">
        <v>282606832.53</v>
      </c>
      <c r="E402" s="2">
        <v>1</v>
      </c>
      <c r="F402" s="3">
        <f>IF(COUNT(D402,E402)=2,D402*E402,NA())</f>
        <v>282606832.53</v>
      </c>
      <c r="G402" s="2" t="s">
        <v>52</v>
      </c>
      <c r="H402" s="2" t="s">
        <v>53</v>
      </c>
      <c r="I402" s="2" t="s">
        <v>54</v>
      </c>
      <c r="J402" s="2" t="s">
        <v>55</v>
      </c>
      <c r="K402" s="2"/>
      <c r="L402" s="2" t="s">
        <v>56</v>
      </c>
      <c r="M402" s="2" t="s">
        <v>57</v>
      </c>
      <c r="N402" s="2" t="s">
        <v>58</v>
      </c>
      <c r="O402" s="2" t="s">
        <v>59</v>
      </c>
      <c r="P402" s="2" t="s">
        <v>1282</v>
      </c>
      <c r="Q402" s="2" t="s">
        <v>1283</v>
      </c>
      <c r="R402" s="2"/>
    </row>
    <row r="403" spans="1:18">
      <c r="A403" s="2" t="s">
        <v>1284</v>
      </c>
      <c r="B403" s="2" t="s">
        <v>1281</v>
      </c>
      <c r="C403" s="2" t="s">
        <v>1263</v>
      </c>
      <c r="D403" s="2">
        <v>50000000</v>
      </c>
      <c r="E403" s="2">
        <v>1</v>
      </c>
      <c r="F403" s="3">
        <f>IF(COUNT(D403,E403)=2,D403*E403,NA())</f>
        <v>50000000.0</v>
      </c>
      <c r="G403" s="2" t="s">
        <v>52</v>
      </c>
      <c r="H403" s="2" t="s">
        <v>53</v>
      </c>
      <c r="I403" s="2" t="s">
        <v>54</v>
      </c>
      <c r="J403" s="2" t="s">
        <v>55</v>
      </c>
      <c r="K403" s="2"/>
      <c r="L403" s="2" t="s">
        <v>63</v>
      </c>
      <c r="M403" s="2" t="s">
        <v>57</v>
      </c>
      <c r="N403" s="2" t="s">
        <v>64</v>
      </c>
      <c r="O403" s="2" t="s">
        <v>59</v>
      </c>
      <c r="P403" s="2" t="s">
        <v>1285</v>
      </c>
      <c r="Q403" s="2" t="s">
        <v>1283</v>
      </c>
      <c r="R403" s="2"/>
    </row>
    <row r="404" spans="1:18">
      <c r="A404" s="2" t="s">
        <v>1286</v>
      </c>
      <c r="B404" s="2" t="s">
        <v>1287</v>
      </c>
      <c r="C404" s="2" t="s">
        <v>1288</v>
      </c>
      <c r="D404" s="2">
        <v>4372555720.76</v>
      </c>
      <c r="E404" s="2">
        <v>1</v>
      </c>
      <c r="F404" s="3">
        <f>IF(COUNT(D404,E404)=2,D404*E404,NA())</f>
        <v>4372555720.76</v>
      </c>
      <c r="G404" s="2" t="s">
        <v>52</v>
      </c>
      <c r="H404" s="2" t="s">
        <v>53</v>
      </c>
      <c r="I404" s="2" t="s">
        <v>54</v>
      </c>
      <c r="J404" s="2" t="s">
        <v>55</v>
      </c>
      <c r="K404" s="2"/>
      <c r="L404" s="2" t="s">
        <v>56</v>
      </c>
      <c r="M404" s="2" t="s">
        <v>57</v>
      </c>
      <c r="N404" s="2" t="s">
        <v>58</v>
      </c>
      <c r="O404" s="2" t="s">
        <v>59</v>
      </c>
      <c r="P404" s="2" t="s">
        <v>1289</v>
      </c>
      <c r="Q404" s="2" t="s">
        <v>1290</v>
      </c>
      <c r="R404" s="2"/>
    </row>
    <row r="405" spans="1:18">
      <c r="A405" s="2" t="s">
        <v>1291</v>
      </c>
      <c r="B405" s="2" t="s">
        <v>1287</v>
      </c>
      <c r="C405" s="2" t="s">
        <v>1288</v>
      </c>
      <c r="D405" s="2">
        <v>4441495028.37</v>
      </c>
      <c r="E405" s="2">
        <v>1</v>
      </c>
      <c r="F405" s="3">
        <f>IF(COUNT(D405,E405)=2,D405*E405,NA())</f>
        <v>4441495028.37</v>
      </c>
      <c r="G405" s="2" t="s">
        <v>52</v>
      </c>
      <c r="H405" s="2" t="s">
        <v>53</v>
      </c>
      <c r="I405" s="2" t="s">
        <v>54</v>
      </c>
      <c r="J405" s="2" t="s">
        <v>55</v>
      </c>
      <c r="K405" s="2"/>
      <c r="L405" s="2" t="s">
        <v>63</v>
      </c>
      <c r="M405" s="2" t="s">
        <v>57</v>
      </c>
      <c r="N405" s="2" t="s">
        <v>64</v>
      </c>
      <c r="O405" s="2" t="s">
        <v>59</v>
      </c>
      <c r="P405" s="2" t="s">
        <v>1292</v>
      </c>
      <c r="Q405" s="2" t="s">
        <v>1290</v>
      </c>
      <c r="R405" s="2"/>
    </row>
    <row r="406" spans="1:18">
      <c r="A406" s="2" t="s">
        <v>1293</v>
      </c>
      <c r="B406" s="2" t="s">
        <v>1294</v>
      </c>
      <c r="C406" s="2" t="s">
        <v>1295</v>
      </c>
      <c r="D406" s="2">
        <v>10401170987.71</v>
      </c>
      <c r="E406" s="2">
        <v>1</v>
      </c>
      <c r="F406" s="3">
        <f>IF(COUNT(D406,E406)=2,D406*E406,NA())</f>
        <v>10401170987.71</v>
      </c>
      <c r="G406" s="2" t="s">
        <v>52</v>
      </c>
      <c r="H406" s="2" t="s">
        <v>53</v>
      </c>
      <c r="I406" s="2" t="s">
        <v>54</v>
      </c>
      <c r="J406" s="2" t="s">
        <v>1296</v>
      </c>
      <c r="K406" s="2"/>
      <c r="L406" s="2" t="s">
        <v>56</v>
      </c>
      <c r="M406" s="2" t="s">
        <v>57</v>
      </c>
      <c r="N406" s="2" t="s">
        <v>58</v>
      </c>
      <c r="O406" s="2" t="s">
        <v>59</v>
      </c>
      <c r="P406" s="2" t="s">
        <v>1297</v>
      </c>
      <c r="Q406" s="2" t="s">
        <v>1298</v>
      </c>
      <c r="R406" s="2"/>
    </row>
    <row r="407" spans="1:18">
      <c r="A407" s="2" t="s">
        <v>1299</v>
      </c>
      <c r="B407" s="2" t="s">
        <v>1294</v>
      </c>
      <c r="C407" s="2" t="s">
        <v>1295</v>
      </c>
      <c r="D407" s="2">
        <v>15718736322.89</v>
      </c>
      <c r="E407" s="2">
        <v>1</v>
      </c>
      <c r="F407" s="3">
        <f>IF(COUNT(D407,E407)=2,D407*E407,NA())</f>
        <v>15718736322.89</v>
      </c>
      <c r="G407" s="2" t="s">
        <v>52</v>
      </c>
      <c r="H407" s="2" t="s">
        <v>53</v>
      </c>
      <c r="I407" s="2" t="s">
        <v>54</v>
      </c>
      <c r="J407" s="2" t="s">
        <v>1296</v>
      </c>
      <c r="K407" s="2"/>
      <c r="L407" s="2" t="s">
        <v>63</v>
      </c>
      <c r="M407" s="2" t="s">
        <v>57</v>
      </c>
      <c r="N407" s="2" t="s">
        <v>58</v>
      </c>
      <c r="O407" s="2" t="s">
        <v>59</v>
      </c>
      <c r="P407" s="2" t="s">
        <v>1300</v>
      </c>
      <c r="Q407" s="2" t="s">
        <v>1298</v>
      </c>
      <c r="R407" s="2"/>
    </row>
    <row r="408" spans="1:18">
      <c r="A408" s="2" t="s">
        <v>1301</v>
      </c>
      <c r="B408" s="2" t="s">
        <v>1302</v>
      </c>
      <c r="C408" s="2" t="s">
        <v>1295</v>
      </c>
      <c r="D408" s="2">
        <v>7046375735.63</v>
      </c>
      <c r="E408" s="2">
        <v>1</v>
      </c>
      <c r="F408" s="3">
        <f>IF(COUNT(D408,E408)=2,D408*E408,NA())</f>
        <v>7046375735.63</v>
      </c>
      <c r="G408" s="2" t="s">
        <v>52</v>
      </c>
      <c r="H408" s="2" t="s">
        <v>53</v>
      </c>
      <c r="I408" s="2" t="s">
        <v>54</v>
      </c>
      <c r="J408" s="2" t="s">
        <v>1296</v>
      </c>
      <c r="K408" s="2"/>
      <c r="L408" s="2" t="s">
        <v>56</v>
      </c>
      <c r="M408" s="2" t="s">
        <v>57</v>
      </c>
      <c r="N408" s="2" t="s">
        <v>58</v>
      </c>
      <c r="O408" s="2" t="s">
        <v>59</v>
      </c>
      <c r="P408" s="2" t="s">
        <v>1303</v>
      </c>
      <c r="Q408" s="2" t="s">
        <v>1304</v>
      </c>
      <c r="R408" s="2"/>
    </row>
    <row r="409" spans="1:18">
      <c r="A409" s="2" t="s">
        <v>1305</v>
      </c>
      <c r="B409" s="2" t="s">
        <v>1302</v>
      </c>
      <c r="C409" s="2" t="s">
        <v>1295</v>
      </c>
      <c r="D409" s="2">
        <v>11771443330.25</v>
      </c>
      <c r="E409" s="2">
        <v>1</v>
      </c>
      <c r="F409" s="3">
        <f>IF(COUNT(D409,E409)=2,D409*E409,NA())</f>
        <v>11771443330.25</v>
      </c>
      <c r="G409" s="2" t="s">
        <v>52</v>
      </c>
      <c r="H409" s="2" t="s">
        <v>53</v>
      </c>
      <c r="I409" s="2" t="s">
        <v>54</v>
      </c>
      <c r="J409" s="2" t="s">
        <v>1296</v>
      </c>
      <c r="K409" s="2"/>
      <c r="L409" s="2" t="s">
        <v>63</v>
      </c>
      <c r="M409" s="2" t="s">
        <v>57</v>
      </c>
      <c r="N409" s="2" t="s">
        <v>58</v>
      </c>
      <c r="O409" s="2" t="s">
        <v>59</v>
      </c>
      <c r="P409" s="2" t="s">
        <v>1306</v>
      </c>
      <c r="Q409" s="2" t="s">
        <v>1304</v>
      </c>
      <c r="R409" s="2"/>
    </row>
    <row r="410" spans="1:18">
      <c r="A410" s="2" t="s">
        <v>1307</v>
      </c>
      <c r="B410" s="2" t="s">
        <v>1308</v>
      </c>
      <c r="C410" s="2" t="s">
        <v>1295</v>
      </c>
      <c r="D410" s="2">
        <v>3354795252.08</v>
      </c>
      <c r="E410" s="2">
        <v>1</v>
      </c>
      <c r="F410" s="3">
        <f>IF(COUNT(D410,E410)=2,D410*E410,NA())</f>
        <v>3354795252.08</v>
      </c>
      <c r="G410" s="2" t="s">
        <v>52</v>
      </c>
      <c r="H410" s="2" t="s">
        <v>53</v>
      </c>
      <c r="I410" s="2" t="s">
        <v>54</v>
      </c>
      <c r="J410" s="2" t="s">
        <v>1296</v>
      </c>
      <c r="K410" s="2"/>
      <c r="L410" s="2" t="s">
        <v>56</v>
      </c>
      <c r="M410" s="2" t="s">
        <v>57</v>
      </c>
      <c r="N410" s="2" t="s">
        <v>58</v>
      </c>
      <c r="O410" s="2" t="s">
        <v>59</v>
      </c>
      <c r="P410" s="2" t="s">
        <v>1309</v>
      </c>
      <c r="Q410" s="2" t="s">
        <v>1310</v>
      </c>
      <c r="R410" s="2"/>
    </row>
    <row r="411" spans="1:18">
      <c r="A411" s="2" t="s">
        <v>1311</v>
      </c>
      <c r="B411" s="2" t="s">
        <v>1308</v>
      </c>
      <c r="C411" s="2" t="s">
        <v>1295</v>
      </c>
      <c r="D411" s="2">
        <v>3947292992.64</v>
      </c>
      <c r="E411" s="2">
        <v>1</v>
      </c>
      <c r="F411" s="3">
        <f>IF(COUNT(D411,E411)=2,D411*E411,NA())</f>
        <v>3947292992.64</v>
      </c>
      <c r="G411" s="2" t="s">
        <v>52</v>
      </c>
      <c r="H411" s="2" t="s">
        <v>53</v>
      </c>
      <c r="I411" s="2" t="s">
        <v>54</v>
      </c>
      <c r="J411" s="2" t="s">
        <v>1296</v>
      </c>
      <c r="K411" s="2"/>
      <c r="L411" s="2" t="s">
        <v>63</v>
      </c>
      <c r="M411" s="2" t="s">
        <v>57</v>
      </c>
      <c r="N411" s="2" t="s">
        <v>58</v>
      </c>
      <c r="O411" s="2" t="s">
        <v>59</v>
      </c>
      <c r="P411" s="2" t="s">
        <v>1312</v>
      </c>
      <c r="Q411" s="2" t="s">
        <v>1310</v>
      </c>
      <c r="R411" s="2"/>
    </row>
    <row r="412" spans="1:18">
      <c r="A412" s="2" t="s">
        <v>1313</v>
      </c>
      <c r="B412" s="2" t="s">
        <v>1314</v>
      </c>
      <c r="C412" s="2" t="s">
        <v>1295</v>
      </c>
      <c r="D412" s="2">
        <v>3152190162.65</v>
      </c>
      <c r="E412" s="2">
        <v>1</v>
      </c>
      <c r="F412" s="3">
        <f>IF(COUNT(D412,E412)=2,D412*E412,NA())</f>
        <v>3152190162.65</v>
      </c>
      <c r="G412" s="2" t="s">
        <v>52</v>
      </c>
      <c r="H412" s="2" t="s">
        <v>53</v>
      </c>
      <c r="I412" s="2" t="s">
        <v>54</v>
      </c>
      <c r="J412" s="2" t="s">
        <v>1296</v>
      </c>
      <c r="K412" s="2"/>
      <c r="L412" s="2" t="s">
        <v>56</v>
      </c>
      <c r="M412" s="2" t="s">
        <v>57</v>
      </c>
      <c r="N412" s="2" t="s">
        <v>58</v>
      </c>
      <c r="O412" s="2" t="s">
        <v>59</v>
      </c>
      <c r="P412" s="2" t="s">
        <v>1315</v>
      </c>
      <c r="Q412" s="2" t="s">
        <v>1316</v>
      </c>
      <c r="R412" s="2"/>
    </row>
    <row r="413" spans="1:18">
      <c r="A413" s="2" t="s">
        <v>1317</v>
      </c>
      <c r="B413" s="2" t="s">
        <v>1314</v>
      </c>
      <c r="C413" s="2" t="s">
        <v>1295</v>
      </c>
      <c r="D413" s="2">
        <v>6824086133.65</v>
      </c>
      <c r="E413" s="2">
        <v>1</v>
      </c>
      <c r="F413" s="3">
        <f>IF(COUNT(D413,E413)=2,D413*E413,NA())</f>
        <v>6824086133.65</v>
      </c>
      <c r="G413" s="2" t="s">
        <v>52</v>
      </c>
      <c r="H413" s="2" t="s">
        <v>53</v>
      </c>
      <c r="I413" s="2" t="s">
        <v>54</v>
      </c>
      <c r="J413" s="2" t="s">
        <v>1296</v>
      </c>
      <c r="K413" s="2"/>
      <c r="L413" s="2" t="s">
        <v>63</v>
      </c>
      <c r="M413" s="2" t="s">
        <v>57</v>
      </c>
      <c r="N413" s="2" t="s">
        <v>58</v>
      </c>
      <c r="O413" s="2" t="s">
        <v>59</v>
      </c>
      <c r="P413" s="2" t="s">
        <v>1318</v>
      </c>
      <c r="Q413" s="2" t="s">
        <v>1316</v>
      </c>
      <c r="R413" s="2"/>
    </row>
    <row r="414" spans="1:18">
      <c r="A414" s="2" t="s">
        <v>1319</v>
      </c>
      <c r="B414" s="2" t="s">
        <v>1320</v>
      </c>
      <c r="C414" s="2" t="s">
        <v>1295</v>
      </c>
      <c r="D414" s="2">
        <v>1347201162.78</v>
      </c>
      <c r="E414" s="2">
        <v>1</v>
      </c>
      <c r="F414" s="3">
        <f>IF(COUNT(D414,E414)=2,D414*E414,NA())</f>
        <v>1347201162.78</v>
      </c>
      <c r="G414" s="2" t="s">
        <v>52</v>
      </c>
      <c r="H414" s="2" t="s">
        <v>53</v>
      </c>
      <c r="I414" s="2" t="s">
        <v>54</v>
      </c>
      <c r="J414" s="2" t="s">
        <v>1296</v>
      </c>
      <c r="K414" s="2"/>
      <c r="L414" s="2" t="s">
        <v>56</v>
      </c>
      <c r="M414" s="2" t="s">
        <v>57</v>
      </c>
      <c r="N414" s="2" t="s">
        <v>58</v>
      </c>
      <c r="O414" s="2" t="s">
        <v>59</v>
      </c>
      <c r="P414" s="2" t="s">
        <v>1321</v>
      </c>
      <c r="Q414" s="2" t="s">
        <v>1322</v>
      </c>
      <c r="R414" s="2"/>
    </row>
    <row r="415" spans="1:18">
      <c r="A415" s="2" t="s">
        <v>1323</v>
      </c>
      <c r="B415" s="2" t="s">
        <v>1320</v>
      </c>
      <c r="C415" s="2" t="s">
        <v>1295</v>
      </c>
      <c r="D415" s="2">
        <v>4774541538.87</v>
      </c>
      <c r="E415" s="2">
        <v>1</v>
      </c>
      <c r="F415" s="3">
        <f>IF(COUNT(D415,E415)=2,D415*E415,NA())</f>
        <v>4774541538.87</v>
      </c>
      <c r="G415" s="2" t="s">
        <v>52</v>
      </c>
      <c r="H415" s="2" t="s">
        <v>53</v>
      </c>
      <c r="I415" s="2" t="s">
        <v>54</v>
      </c>
      <c r="J415" s="2" t="s">
        <v>1296</v>
      </c>
      <c r="K415" s="2"/>
      <c r="L415" s="2" t="s">
        <v>63</v>
      </c>
      <c r="M415" s="2" t="s">
        <v>57</v>
      </c>
      <c r="N415" s="2" t="s">
        <v>58</v>
      </c>
      <c r="O415" s="2" t="s">
        <v>59</v>
      </c>
      <c r="P415" s="2" t="s">
        <v>1324</v>
      </c>
      <c r="Q415" s="2" t="s">
        <v>1322</v>
      </c>
      <c r="R415" s="2"/>
    </row>
    <row r="416" spans="1:18">
      <c r="A416" s="2" t="s">
        <v>1325</v>
      </c>
      <c r="B416" s="2" t="s">
        <v>1326</v>
      </c>
      <c r="C416" s="2" t="s">
        <v>1295</v>
      </c>
      <c r="D416" s="2">
        <v>1303353764.78</v>
      </c>
      <c r="E416" s="2">
        <v>1</v>
      </c>
      <c r="F416" s="3">
        <f>IF(COUNT(D416,E416)=2,D416*E416,NA())</f>
        <v>1303353764.78</v>
      </c>
      <c r="G416" s="2" t="s">
        <v>52</v>
      </c>
      <c r="H416" s="2" t="s">
        <v>53</v>
      </c>
      <c r="I416" s="2" t="s">
        <v>54</v>
      </c>
      <c r="J416" s="2" t="s">
        <v>1296</v>
      </c>
      <c r="K416" s="2"/>
      <c r="L416" s="2" t="s">
        <v>56</v>
      </c>
      <c r="M416" s="2" t="s">
        <v>57</v>
      </c>
      <c r="N416" s="2" t="s">
        <v>58</v>
      </c>
      <c r="O416" s="2" t="s">
        <v>59</v>
      </c>
      <c r="P416" s="2" t="s">
        <v>1327</v>
      </c>
      <c r="Q416" s="2" t="s">
        <v>1328</v>
      </c>
      <c r="R416" s="2"/>
    </row>
    <row r="417" spans="1:18">
      <c r="A417" s="2" t="s">
        <v>1329</v>
      </c>
      <c r="B417" s="2" t="s">
        <v>1326</v>
      </c>
      <c r="C417" s="2" t="s">
        <v>1295</v>
      </c>
      <c r="D417" s="2">
        <v>1922694484.73</v>
      </c>
      <c r="E417" s="2">
        <v>1</v>
      </c>
      <c r="F417" s="3">
        <f>IF(COUNT(D417,E417)=2,D417*E417,NA())</f>
        <v>1922694484.73</v>
      </c>
      <c r="G417" s="2" t="s">
        <v>52</v>
      </c>
      <c r="H417" s="2" t="s">
        <v>53</v>
      </c>
      <c r="I417" s="2" t="s">
        <v>54</v>
      </c>
      <c r="J417" s="2" t="s">
        <v>1296</v>
      </c>
      <c r="K417" s="2"/>
      <c r="L417" s="2" t="s">
        <v>63</v>
      </c>
      <c r="M417" s="2" t="s">
        <v>57</v>
      </c>
      <c r="N417" s="2" t="s">
        <v>58</v>
      </c>
      <c r="O417" s="2" t="s">
        <v>59</v>
      </c>
      <c r="P417" s="2" t="s">
        <v>1330</v>
      </c>
      <c r="Q417" s="2" t="s">
        <v>1328</v>
      </c>
      <c r="R417" s="2"/>
    </row>
    <row r="418" spans="1:18">
      <c r="A418" s="2" t="s">
        <v>1331</v>
      </c>
      <c r="B418" s="2" t="s">
        <v>1332</v>
      </c>
      <c r="C418" s="2" t="s">
        <v>1295</v>
      </c>
      <c r="D418" s="2">
        <v>141487997.52</v>
      </c>
      <c r="E418" s="2">
        <v>1</v>
      </c>
      <c r="F418" s="3">
        <f>IF(COUNT(D418,E418)=2,D418*E418,NA())</f>
        <v>141487997.52</v>
      </c>
      <c r="G418" s="2" t="s">
        <v>52</v>
      </c>
      <c r="H418" s="2" t="s">
        <v>53</v>
      </c>
      <c r="I418" s="2" t="s">
        <v>54</v>
      </c>
      <c r="J418" s="2" t="s">
        <v>1296</v>
      </c>
      <c r="K418" s="2" t="s">
        <v>392</v>
      </c>
      <c r="L418" s="2" t="s">
        <v>56</v>
      </c>
      <c r="M418" s="2" t="s">
        <v>393</v>
      </c>
      <c r="N418" s="2" t="s">
        <v>58</v>
      </c>
      <c r="O418" s="2" t="s">
        <v>59</v>
      </c>
      <c r="P418" s="2" t="s">
        <v>1333</v>
      </c>
      <c r="Q418" s="2" t="s">
        <v>1334</v>
      </c>
      <c r="R418" s="2"/>
    </row>
    <row r="419" spans="1:18">
      <c r="A419" s="2" t="s">
        <v>1335</v>
      </c>
      <c r="B419" s="2" t="s">
        <v>1332</v>
      </c>
      <c r="C419" s="2" t="s">
        <v>1295</v>
      </c>
      <c r="D419" s="2">
        <v>397166202.31</v>
      </c>
      <c r="E419" s="2">
        <v>1</v>
      </c>
      <c r="F419" s="3">
        <f>IF(COUNT(D419,E419)=2,D419*E419,NA())</f>
        <v>397166202.31</v>
      </c>
      <c r="G419" s="2" t="s">
        <v>52</v>
      </c>
      <c r="H419" s="2" t="s">
        <v>53</v>
      </c>
      <c r="I419" s="2" t="s">
        <v>54</v>
      </c>
      <c r="J419" s="2" t="s">
        <v>1296</v>
      </c>
      <c r="K419" s="2" t="s">
        <v>397</v>
      </c>
      <c r="L419" s="2" t="s">
        <v>63</v>
      </c>
      <c r="M419" s="2" t="s">
        <v>393</v>
      </c>
      <c r="N419" s="2" t="s">
        <v>58</v>
      </c>
      <c r="O419" s="2" t="s">
        <v>59</v>
      </c>
      <c r="P419" s="2" t="s">
        <v>1336</v>
      </c>
      <c r="Q419" s="2" t="s">
        <v>1334</v>
      </c>
      <c r="R419" s="2"/>
    </row>
    <row r="420" spans="1:18">
      <c r="A420" s="2" t="s">
        <v>1337</v>
      </c>
      <c r="B420" s="2" t="s">
        <v>1338</v>
      </c>
      <c r="C420" s="2" t="s">
        <v>1295</v>
      </c>
      <c r="D420" s="2">
        <v>451163140.88</v>
      </c>
      <c r="E420" s="2">
        <v>1</v>
      </c>
      <c r="F420" s="3">
        <f>IF(COUNT(D420,E420)=2,D420*E420,NA())</f>
        <v>451163140.88</v>
      </c>
      <c r="G420" s="2" t="s">
        <v>52</v>
      </c>
      <c r="H420" s="2" t="s">
        <v>53</v>
      </c>
      <c r="I420" s="2" t="s">
        <v>54</v>
      </c>
      <c r="J420" s="2" t="s">
        <v>1296</v>
      </c>
      <c r="K420" s="2" t="s">
        <v>392</v>
      </c>
      <c r="L420" s="2" t="s">
        <v>56</v>
      </c>
      <c r="M420" s="2" t="s">
        <v>393</v>
      </c>
      <c r="N420" s="2" t="s">
        <v>58</v>
      </c>
      <c r="O420" s="2" t="s">
        <v>59</v>
      </c>
      <c r="P420" s="2" t="s">
        <v>1339</v>
      </c>
      <c r="Q420" s="2" t="s">
        <v>1340</v>
      </c>
      <c r="R420" s="2"/>
    </row>
    <row r="421" spans="1:18">
      <c r="A421" s="2" t="s">
        <v>1341</v>
      </c>
      <c r="B421" s="2" t="s">
        <v>1338</v>
      </c>
      <c r="C421" s="2" t="s">
        <v>1295</v>
      </c>
      <c r="D421" s="2">
        <v>328543144.16</v>
      </c>
      <c r="E421" s="2">
        <v>1</v>
      </c>
      <c r="F421" s="3">
        <f>IF(COUNT(D421,E421)=2,D421*E421,NA())</f>
        <v>328543144.16</v>
      </c>
      <c r="G421" s="2" t="s">
        <v>52</v>
      </c>
      <c r="H421" s="2" t="s">
        <v>53</v>
      </c>
      <c r="I421" s="2" t="s">
        <v>54</v>
      </c>
      <c r="J421" s="2" t="s">
        <v>1296</v>
      </c>
      <c r="K421" s="2" t="s">
        <v>397</v>
      </c>
      <c r="L421" s="2" t="s">
        <v>63</v>
      </c>
      <c r="M421" s="2" t="s">
        <v>393</v>
      </c>
      <c r="N421" s="2" t="s">
        <v>58</v>
      </c>
      <c r="O421" s="2" t="s">
        <v>59</v>
      </c>
      <c r="P421" s="2" t="s">
        <v>1342</v>
      </c>
      <c r="Q421" s="2" t="s">
        <v>1340</v>
      </c>
      <c r="R421" s="2"/>
    </row>
    <row r="422" spans="1:18">
      <c r="A422" s="2" t="s">
        <v>1343</v>
      </c>
      <c r="B422" s="2" t="s">
        <v>1344</v>
      </c>
      <c r="C422" s="2" t="s">
        <v>1295</v>
      </c>
      <c r="D422" s="2">
        <v>-732134335.29</v>
      </c>
      <c r="E422" s="2">
        <v>1</v>
      </c>
      <c r="F422" s="3">
        <f>IF(COUNT(D422,E422)=2,D422*E422,NA())</f>
        <v>-732134335.29</v>
      </c>
      <c r="G422" s="2" t="s">
        <v>52</v>
      </c>
      <c r="H422" s="2" t="s">
        <v>53</v>
      </c>
      <c r="I422" s="2" t="s">
        <v>54</v>
      </c>
      <c r="J422" s="2" t="s">
        <v>1296</v>
      </c>
      <c r="K422" s="2" t="s">
        <v>392</v>
      </c>
      <c r="L422" s="2" t="s">
        <v>56</v>
      </c>
      <c r="M422" s="2" t="s">
        <v>393</v>
      </c>
      <c r="N422" s="2" t="s">
        <v>58</v>
      </c>
      <c r="O422" s="2" t="s">
        <v>59</v>
      </c>
      <c r="P422" s="2" t="s">
        <v>1345</v>
      </c>
      <c r="Q422" s="2" t="s">
        <v>1346</v>
      </c>
      <c r="R422" s="2"/>
    </row>
    <row r="423" spans="1:18">
      <c r="A423" s="2" t="s">
        <v>1347</v>
      </c>
      <c r="B423" s="2" t="s">
        <v>1344</v>
      </c>
      <c r="C423" s="2" t="s">
        <v>1295</v>
      </c>
      <c r="D423" s="2">
        <v>2008108085.1</v>
      </c>
      <c r="E423" s="2">
        <v>1</v>
      </c>
      <c r="F423" s="3">
        <f>IF(COUNT(D423,E423)=2,D423*E423,NA())</f>
        <v>2008108085.1</v>
      </c>
      <c r="G423" s="2" t="s">
        <v>52</v>
      </c>
      <c r="H423" s="2" t="s">
        <v>53</v>
      </c>
      <c r="I423" s="2" t="s">
        <v>54</v>
      </c>
      <c r="J423" s="2" t="s">
        <v>1296</v>
      </c>
      <c r="K423" s="2" t="s">
        <v>397</v>
      </c>
      <c r="L423" s="2" t="s">
        <v>63</v>
      </c>
      <c r="M423" s="2" t="s">
        <v>393</v>
      </c>
      <c r="N423" s="2" t="s">
        <v>58</v>
      </c>
      <c r="O423" s="2" t="s">
        <v>59</v>
      </c>
      <c r="P423" s="2" t="s">
        <v>1348</v>
      </c>
      <c r="Q423" s="2" t="s">
        <v>1346</v>
      </c>
      <c r="R423" s="2"/>
    </row>
    <row r="424" spans="1:18">
      <c r="A424" s="2" t="s">
        <v>1349</v>
      </c>
      <c r="B424" s="2" t="s">
        <v>1350</v>
      </c>
      <c r="C424" s="2" t="s">
        <v>1295</v>
      </c>
      <c r="D424" s="2">
        <v>1872187057.08</v>
      </c>
      <c r="E424" s="2">
        <v>1</v>
      </c>
      <c r="F424" s="3">
        <f>IF(COUNT(D424,E424)=2,D424*E424,NA())</f>
        <v>1872187057.08</v>
      </c>
      <c r="G424" s="2" t="s">
        <v>52</v>
      </c>
      <c r="H424" s="2" t="s">
        <v>53</v>
      </c>
      <c r="I424" s="2" t="s">
        <v>54</v>
      </c>
      <c r="J424" s="2" t="s">
        <v>1296</v>
      </c>
      <c r="K424" s="2" t="s">
        <v>392</v>
      </c>
      <c r="L424" s="2" t="s">
        <v>56</v>
      </c>
      <c r="M424" s="2" t="s">
        <v>393</v>
      </c>
      <c r="N424" s="2" t="s">
        <v>58</v>
      </c>
      <c r="O424" s="2" t="s">
        <v>59</v>
      </c>
      <c r="P424" s="2" t="s">
        <v>1351</v>
      </c>
      <c r="Q424" s="2" t="s">
        <v>1352</v>
      </c>
      <c r="R424" s="2"/>
    </row>
    <row r="425" spans="1:18">
      <c r="A425" s="2" t="s">
        <v>1353</v>
      </c>
      <c r="B425" s="2" t="s">
        <v>1350</v>
      </c>
      <c r="C425" s="2" t="s">
        <v>1295</v>
      </c>
      <c r="D425" s="2">
        <v>-1774748329.31</v>
      </c>
      <c r="E425" s="2">
        <v>1</v>
      </c>
      <c r="F425" s="3">
        <f>IF(COUNT(D425,E425)=2,D425*E425,NA())</f>
        <v>-1774748329.31</v>
      </c>
      <c r="G425" s="2" t="s">
        <v>52</v>
      </c>
      <c r="H425" s="2" t="s">
        <v>53</v>
      </c>
      <c r="I425" s="2" t="s">
        <v>54</v>
      </c>
      <c r="J425" s="2" t="s">
        <v>1296</v>
      </c>
      <c r="K425" s="2" t="s">
        <v>397</v>
      </c>
      <c r="L425" s="2" t="s">
        <v>63</v>
      </c>
      <c r="M425" s="2" t="s">
        <v>393</v>
      </c>
      <c r="N425" s="2" t="s">
        <v>58</v>
      </c>
      <c r="O425" s="2" t="s">
        <v>59</v>
      </c>
      <c r="P425" s="2" t="s">
        <v>1354</v>
      </c>
      <c r="Q425" s="2" t="s">
        <v>1352</v>
      </c>
      <c r="R425" s="2"/>
    </row>
    <row r="426" spans="1:18">
      <c r="A426" s="2" t="s">
        <v>1355</v>
      </c>
      <c r="B426" s="2" t="s">
        <v>1356</v>
      </c>
      <c r="C426" s="2" t="s">
        <v>1295</v>
      </c>
      <c r="D426" s="2">
        <v>-1754171194.11</v>
      </c>
      <c r="E426" s="2">
        <v>1</v>
      </c>
      <c r="F426" s="3">
        <f>IF(COUNT(D426,E426)=2,D426*E426,NA())</f>
        <v>-1754171194.11</v>
      </c>
      <c r="G426" s="2" t="s">
        <v>52</v>
      </c>
      <c r="H426" s="2" t="s">
        <v>53</v>
      </c>
      <c r="I426" s="2" t="s">
        <v>54</v>
      </c>
      <c r="J426" s="2" t="s">
        <v>1296</v>
      </c>
      <c r="K426" s="2" t="s">
        <v>392</v>
      </c>
      <c r="L426" s="2" t="s">
        <v>56</v>
      </c>
      <c r="M426" s="2" t="s">
        <v>393</v>
      </c>
      <c r="N426" s="2" t="s">
        <v>58</v>
      </c>
      <c r="O426" s="2" t="s">
        <v>59</v>
      </c>
      <c r="P426" s="2" t="s">
        <v>1357</v>
      </c>
      <c r="Q426" s="2" t="s">
        <v>1358</v>
      </c>
      <c r="R426" s="2"/>
    </row>
    <row r="427" spans="1:18">
      <c r="A427" s="2" t="s">
        <v>1359</v>
      </c>
      <c r="B427" s="2" t="s">
        <v>1356</v>
      </c>
      <c r="C427" s="2" t="s">
        <v>1295</v>
      </c>
      <c r="D427" s="2">
        <v>115729421.47</v>
      </c>
      <c r="E427" s="2">
        <v>1</v>
      </c>
      <c r="F427" s="3">
        <f>IF(COUNT(D427,E427)=2,D427*E427,NA())</f>
        <v>115729421.47</v>
      </c>
      <c r="G427" s="2" t="s">
        <v>52</v>
      </c>
      <c r="H427" s="2" t="s">
        <v>53</v>
      </c>
      <c r="I427" s="2" t="s">
        <v>54</v>
      </c>
      <c r="J427" s="2" t="s">
        <v>1296</v>
      </c>
      <c r="K427" s="2" t="s">
        <v>397</v>
      </c>
      <c r="L427" s="2" t="s">
        <v>63</v>
      </c>
      <c r="M427" s="2" t="s">
        <v>393</v>
      </c>
      <c r="N427" s="2" t="s">
        <v>58</v>
      </c>
      <c r="O427" s="2" t="s">
        <v>59</v>
      </c>
      <c r="P427" s="2" t="s">
        <v>1360</v>
      </c>
      <c r="Q427" s="2" t="s">
        <v>1358</v>
      </c>
      <c r="R427" s="2"/>
    </row>
    <row r="428" spans="1:18">
      <c r="A428" s="2" t="s">
        <v>1361</v>
      </c>
      <c r="B428" s="2" t="s">
        <v>1362</v>
      </c>
      <c r="C428" s="2" t="s">
        <v>1295</v>
      </c>
      <c r="D428" s="2">
        <v>-5222247.63</v>
      </c>
      <c r="E428" s="2">
        <v>1</v>
      </c>
      <c r="F428" s="3">
        <f>IF(COUNT(D428,E428)=2,D428*E428,NA())</f>
        <v>-5222247.63</v>
      </c>
      <c r="G428" s="2" t="s">
        <v>52</v>
      </c>
      <c r="H428" s="2" t="s">
        <v>53</v>
      </c>
      <c r="I428" s="2" t="s">
        <v>54</v>
      </c>
      <c r="J428" s="2" t="s">
        <v>1296</v>
      </c>
      <c r="K428" s="2" t="s">
        <v>392</v>
      </c>
      <c r="L428" s="2" t="s">
        <v>56</v>
      </c>
      <c r="M428" s="2" t="s">
        <v>393</v>
      </c>
      <c r="N428" s="2" t="s">
        <v>58</v>
      </c>
      <c r="O428" s="2" t="s">
        <v>59</v>
      </c>
      <c r="P428" s="2" t="s">
        <v>1363</v>
      </c>
      <c r="Q428" s="2" t="s">
        <v>1364</v>
      </c>
      <c r="R428" s="2"/>
    </row>
    <row r="429" spans="1:18">
      <c r="A429" s="2" t="s">
        <v>1365</v>
      </c>
      <c r="B429" s="2" t="s">
        <v>1362</v>
      </c>
      <c r="C429" s="2" t="s">
        <v>1295</v>
      </c>
      <c r="D429" s="2">
        <v>1472479.62</v>
      </c>
      <c r="E429" s="2">
        <v>1</v>
      </c>
      <c r="F429" s="3">
        <f>IF(COUNT(D429,E429)=2,D429*E429,NA())</f>
        <v>1472479.62</v>
      </c>
      <c r="G429" s="2" t="s">
        <v>52</v>
      </c>
      <c r="H429" s="2" t="s">
        <v>53</v>
      </c>
      <c r="I429" s="2" t="s">
        <v>54</v>
      </c>
      <c r="J429" s="2" t="s">
        <v>1296</v>
      </c>
      <c r="K429" s="2" t="s">
        <v>397</v>
      </c>
      <c r="L429" s="2" t="s">
        <v>63</v>
      </c>
      <c r="M429" s="2" t="s">
        <v>393</v>
      </c>
      <c r="N429" s="2" t="s">
        <v>58</v>
      </c>
      <c r="O429" s="2" t="s">
        <v>59</v>
      </c>
      <c r="P429" s="2" t="s">
        <v>1366</v>
      </c>
      <c r="Q429" s="2" t="s">
        <v>1364</v>
      </c>
      <c r="R429" s="2"/>
    </row>
    <row r="430" spans="1:18">
      <c r="A430" s="2" t="s">
        <v>1367</v>
      </c>
      <c r="B430" s="2" t="s">
        <v>1368</v>
      </c>
      <c r="C430" s="2" t="s">
        <v>1295</v>
      </c>
      <c r="D430" s="2">
        <v>-619340719.95</v>
      </c>
      <c r="E430" s="2">
        <v>1</v>
      </c>
      <c r="F430" s="3">
        <f>IF(COUNT(D430,E430)=2,D430*E430,NA())</f>
        <v>-619340719.95</v>
      </c>
      <c r="G430" s="2" t="s">
        <v>52</v>
      </c>
      <c r="H430" s="2" t="s">
        <v>53</v>
      </c>
      <c r="I430" s="2" t="s">
        <v>54</v>
      </c>
      <c r="J430" s="2" t="s">
        <v>1296</v>
      </c>
      <c r="K430" s="2" t="s">
        <v>392</v>
      </c>
      <c r="L430" s="2" t="s">
        <v>56</v>
      </c>
      <c r="M430" s="2" t="s">
        <v>393</v>
      </c>
      <c r="N430" s="2" t="s">
        <v>58</v>
      </c>
      <c r="O430" s="2" t="s">
        <v>59</v>
      </c>
      <c r="P430" s="2" t="s">
        <v>1369</v>
      </c>
      <c r="Q430" s="2" t="s">
        <v>1370</v>
      </c>
      <c r="R430" s="2"/>
    </row>
    <row r="431" spans="1:18">
      <c r="A431" s="2" t="s">
        <v>1371</v>
      </c>
      <c r="B431" s="2" t="s">
        <v>1368</v>
      </c>
      <c r="C431" s="2" t="s">
        <v>1295</v>
      </c>
      <c r="D431" s="2">
        <v>350561656.88</v>
      </c>
      <c r="E431" s="2">
        <v>1</v>
      </c>
      <c r="F431" s="3">
        <f>IF(COUNT(D431,E431)=2,D431*E431,NA())</f>
        <v>350561656.88</v>
      </c>
      <c r="G431" s="2" t="s">
        <v>52</v>
      </c>
      <c r="H431" s="2" t="s">
        <v>53</v>
      </c>
      <c r="I431" s="2" t="s">
        <v>54</v>
      </c>
      <c r="J431" s="2" t="s">
        <v>1296</v>
      </c>
      <c r="K431" s="2" t="s">
        <v>397</v>
      </c>
      <c r="L431" s="2" t="s">
        <v>63</v>
      </c>
      <c r="M431" s="2" t="s">
        <v>393</v>
      </c>
      <c r="N431" s="2" t="s">
        <v>58</v>
      </c>
      <c r="O431" s="2" t="s">
        <v>59</v>
      </c>
      <c r="P431" s="2" t="s">
        <v>1372</v>
      </c>
      <c r="Q431" s="2" t="s">
        <v>1370</v>
      </c>
      <c r="R431" s="2"/>
    </row>
    <row r="432" spans="1:18">
      <c r="A432" s="2" t="s">
        <v>1373</v>
      </c>
      <c r="B432" s="2" t="s">
        <v>1374</v>
      </c>
      <c r="C432" s="2" t="s">
        <v>859</v>
      </c>
      <c r="D432" s="2">
        <v>499209029.48</v>
      </c>
      <c r="E432" s="2">
        <v>1</v>
      </c>
      <c r="F432" s="3">
        <f>IF(COUNT(D432,E432)=2,D432*E432,NA())</f>
        <v>499209029.48</v>
      </c>
      <c r="G432" s="2" t="s">
        <v>52</v>
      </c>
      <c r="H432" s="2" t="s">
        <v>53</v>
      </c>
      <c r="I432" s="2" t="s">
        <v>54</v>
      </c>
      <c r="J432" s="2" t="s">
        <v>55</v>
      </c>
      <c r="K432" s="2" t="s">
        <v>392</v>
      </c>
      <c r="L432" s="2" t="s">
        <v>56</v>
      </c>
      <c r="M432" s="2" t="s">
        <v>393</v>
      </c>
      <c r="N432" s="2" t="s">
        <v>58</v>
      </c>
      <c r="O432" s="2" t="s">
        <v>59</v>
      </c>
      <c r="P432" s="2"/>
      <c r="Q432" s="2" t="s">
        <v>81</v>
      </c>
      <c r="R432" s="2"/>
    </row>
    <row r="433" spans="1:18">
      <c r="A433" s="2" t="s">
        <v>1375</v>
      </c>
      <c r="B433" s="2" t="s">
        <v>1376</v>
      </c>
      <c r="C433" s="2" t="s">
        <v>859</v>
      </c>
      <c r="D433" s="2">
        <v>91781789.77</v>
      </c>
      <c r="E433" s="2">
        <v>1</v>
      </c>
      <c r="F433" s="3">
        <f>IF(COUNT(D433,E433)=2,D433*E433,NA())</f>
        <v>91781789.77</v>
      </c>
      <c r="G433" s="2" t="s">
        <v>52</v>
      </c>
      <c r="H433" s="2" t="s">
        <v>53</v>
      </c>
      <c r="I433" s="2" t="s">
        <v>54</v>
      </c>
      <c r="J433" s="2" t="s">
        <v>55</v>
      </c>
      <c r="K433" s="2" t="s">
        <v>392</v>
      </c>
      <c r="L433" s="2" t="s">
        <v>56</v>
      </c>
      <c r="M433" s="2" t="s">
        <v>393</v>
      </c>
      <c r="N433" s="2" t="s">
        <v>58</v>
      </c>
      <c r="O433" s="2" t="s">
        <v>59</v>
      </c>
      <c r="P433" s="2"/>
      <c r="Q433" s="2" t="s">
        <v>81</v>
      </c>
      <c r="R433" s="2"/>
    </row>
    <row r="434" spans="1:18">
      <c r="A434" s="2" t="s">
        <v>1377</v>
      </c>
      <c r="B434" s="2" t="s">
        <v>1378</v>
      </c>
      <c r="C434" s="2" t="s">
        <v>859</v>
      </c>
      <c r="D434" s="2">
        <v>85301540.59999999</v>
      </c>
      <c r="E434" s="2">
        <v>1</v>
      </c>
      <c r="F434" s="3">
        <f>IF(COUNT(D434,E434)=2,D434*E434,NA())</f>
        <v>85301540.6</v>
      </c>
      <c r="G434" s="2" t="s">
        <v>52</v>
      </c>
      <c r="H434" s="2" t="s">
        <v>53</v>
      </c>
      <c r="I434" s="2" t="s">
        <v>54</v>
      </c>
      <c r="J434" s="2" t="s">
        <v>55</v>
      </c>
      <c r="K434" s="2" t="s">
        <v>392</v>
      </c>
      <c r="L434" s="2" t="s">
        <v>56</v>
      </c>
      <c r="M434" s="2" t="s">
        <v>393</v>
      </c>
      <c r="N434" s="2" t="s">
        <v>58</v>
      </c>
      <c r="O434" s="2" t="s">
        <v>59</v>
      </c>
      <c r="P434" s="2"/>
      <c r="Q434" s="2" t="s">
        <v>81</v>
      </c>
      <c r="R434" s="2"/>
    </row>
    <row r="435" spans="1:18">
      <c r="A435" s="2" t="s">
        <v>1379</v>
      </c>
      <c r="B435" s="2" t="s">
        <v>1380</v>
      </c>
      <c r="C435" s="2" t="s">
        <v>859</v>
      </c>
      <c r="D435" s="2">
        <v>-31215.82</v>
      </c>
      <c r="E435" s="2">
        <v>1</v>
      </c>
      <c r="F435" s="3">
        <f>IF(COUNT(D435,E435)=2,D435*E435,NA())</f>
        <v>-31215.82</v>
      </c>
      <c r="G435" s="2" t="s">
        <v>52</v>
      </c>
      <c r="H435" s="2" t="s">
        <v>53</v>
      </c>
      <c r="I435" s="2" t="s">
        <v>54</v>
      </c>
      <c r="J435" s="2" t="s">
        <v>55</v>
      </c>
      <c r="K435" s="2" t="s">
        <v>392</v>
      </c>
      <c r="L435" s="2" t="s">
        <v>56</v>
      </c>
      <c r="M435" s="2" t="s">
        <v>393</v>
      </c>
      <c r="N435" s="2" t="s">
        <v>58</v>
      </c>
      <c r="O435" s="2" t="s">
        <v>59</v>
      </c>
      <c r="P435" s="2"/>
      <c r="Q435" s="2" t="s">
        <v>81</v>
      </c>
      <c r="R435" s="2"/>
    </row>
    <row r="436" spans="1:18">
      <c r="A436" s="2" t="s">
        <v>1381</v>
      </c>
      <c r="B436" s="2" t="s">
        <v>1382</v>
      </c>
      <c r="C436" s="2" t="s">
        <v>981</v>
      </c>
      <c r="D436" s="2">
        <v>144511035.98</v>
      </c>
      <c r="E436" s="2">
        <v>1</v>
      </c>
      <c r="F436" s="3">
        <f>IF(COUNT(D436,E436)=2,D436*E436,NA())</f>
        <v>144511035.98</v>
      </c>
      <c r="G436" s="2" t="s">
        <v>52</v>
      </c>
      <c r="H436" s="2" t="s">
        <v>53</v>
      </c>
      <c r="I436" s="2" t="s">
        <v>54</v>
      </c>
      <c r="J436" s="2" t="s">
        <v>55</v>
      </c>
      <c r="K436" s="2" t="s">
        <v>392</v>
      </c>
      <c r="L436" s="2" t="s">
        <v>56</v>
      </c>
      <c r="M436" s="2" t="s">
        <v>393</v>
      </c>
      <c r="N436" s="2" t="s">
        <v>58</v>
      </c>
      <c r="O436" s="2" t="s">
        <v>59</v>
      </c>
      <c r="P436" s="2"/>
      <c r="Q436" s="2" t="s">
        <v>99</v>
      </c>
      <c r="R436" s="2"/>
    </row>
    <row r="437" spans="1:18">
      <c r="A437" s="2" t="s">
        <v>1383</v>
      </c>
      <c r="B437" s="2" t="s">
        <v>1384</v>
      </c>
      <c r="C437" s="2" t="s">
        <v>981</v>
      </c>
      <c r="D437" s="2">
        <v>2172797</v>
      </c>
      <c r="E437" s="2">
        <v>1</v>
      </c>
      <c r="F437" s="3">
        <f>IF(COUNT(D437,E437)=2,D437*E437,NA())</f>
        <v>2172797.0</v>
      </c>
      <c r="G437" s="2" t="s">
        <v>52</v>
      </c>
      <c r="H437" s="2" t="s">
        <v>53</v>
      </c>
      <c r="I437" s="2" t="s">
        <v>54</v>
      </c>
      <c r="J437" s="2" t="s">
        <v>55</v>
      </c>
      <c r="K437" s="2" t="s">
        <v>392</v>
      </c>
      <c r="L437" s="2" t="s">
        <v>56</v>
      </c>
      <c r="M437" s="2" t="s">
        <v>393</v>
      </c>
      <c r="N437" s="2" t="s">
        <v>58</v>
      </c>
      <c r="O437" s="2" t="s">
        <v>59</v>
      </c>
      <c r="P437" s="2"/>
      <c r="Q437" s="2" t="s">
        <v>99</v>
      </c>
      <c r="R437" s="2"/>
    </row>
    <row r="438" spans="1:18">
      <c r="A438" s="2" t="s">
        <v>1385</v>
      </c>
      <c r="B438" s="2" t="s">
        <v>1386</v>
      </c>
      <c r="C438" s="2" t="s">
        <v>981</v>
      </c>
      <c r="D438" s="2">
        <v>626359.97</v>
      </c>
      <c r="E438" s="2">
        <v>1</v>
      </c>
      <c r="F438" s="3">
        <f>IF(COUNT(D438,E438)=2,D438*E438,NA())</f>
        <v>626359.97</v>
      </c>
      <c r="G438" s="2" t="s">
        <v>52</v>
      </c>
      <c r="H438" s="2" t="s">
        <v>53</v>
      </c>
      <c r="I438" s="2" t="s">
        <v>54</v>
      </c>
      <c r="J438" s="2" t="s">
        <v>55</v>
      </c>
      <c r="K438" s="2" t="s">
        <v>392</v>
      </c>
      <c r="L438" s="2" t="s">
        <v>56</v>
      </c>
      <c r="M438" s="2" t="s">
        <v>393</v>
      </c>
      <c r="N438" s="2" t="s">
        <v>58</v>
      </c>
      <c r="O438" s="2" t="s">
        <v>59</v>
      </c>
      <c r="P438" s="2"/>
      <c r="Q438" s="2" t="s">
        <v>99</v>
      </c>
      <c r="R438" s="2"/>
    </row>
    <row r="439" spans="1:18">
      <c r="A439" s="2" t="s">
        <v>1387</v>
      </c>
      <c r="B439" s="2" t="s">
        <v>1388</v>
      </c>
      <c r="C439" s="2" t="s">
        <v>1006</v>
      </c>
      <c r="D439" s="2">
        <v>25988634.89</v>
      </c>
      <c r="E439" s="2">
        <v>1</v>
      </c>
      <c r="F439" s="3">
        <f>IF(COUNT(D439,E439)=2,D439*E439,NA())</f>
        <v>25988634.89</v>
      </c>
      <c r="G439" s="2" t="s">
        <v>52</v>
      </c>
      <c r="H439" s="2" t="s">
        <v>53</v>
      </c>
      <c r="I439" s="2" t="s">
        <v>54</v>
      </c>
      <c r="J439" s="2" t="s">
        <v>55</v>
      </c>
      <c r="K439" s="2" t="s">
        <v>392</v>
      </c>
      <c r="L439" s="2" t="s">
        <v>56</v>
      </c>
      <c r="M439" s="2" t="s">
        <v>393</v>
      </c>
      <c r="N439" s="2" t="s">
        <v>58</v>
      </c>
      <c r="O439" s="2" t="s">
        <v>59</v>
      </c>
      <c r="P439" s="2"/>
      <c r="Q439" s="2" t="s">
        <v>105</v>
      </c>
      <c r="R439" s="2"/>
    </row>
    <row r="440" spans="1:18">
      <c r="A440" s="2" t="s">
        <v>1389</v>
      </c>
      <c r="B440" s="2" t="s">
        <v>1390</v>
      </c>
      <c r="C440" s="2" t="s">
        <v>1006</v>
      </c>
      <c r="D440" s="2">
        <v>16045020.21</v>
      </c>
      <c r="E440" s="2">
        <v>1</v>
      </c>
      <c r="F440" s="3">
        <f>IF(COUNT(D440,E440)=2,D440*E440,NA())</f>
        <v>16045020.21</v>
      </c>
      <c r="G440" s="2" t="s">
        <v>52</v>
      </c>
      <c r="H440" s="2" t="s">
        <v>53</v>
      </c>
      <c r="I440" s="2" t="s">
        <v>54</v>
      </c>
      <c r="J440" s="2" t="s">
        <v>55</v>
      </c>
      <c r="K440" s="2" t="s">
        <v>392</v>
      </c>
      <c r="L440" s="2" t="s">
        <v>56</v>
      </c>
      <c r="M440" s="2" t="s">
        <v>393</v>
      </c>
      <c r="N440" s="2" t="s">
        <v>58</v>
      </c>
      <c r="O440" s="2" t="s">
        <v>59</v>
      </c>
      <c r="P440" s="2"/>
      <c r="Q440" s="2" t="s">
        <v>105</v>
      </c>
      <c r="R440" s="2"/>
    </row>
    <row r="441" spans="1:18">
      <c r="A441" s="2" t="s">
        <v>1391</v>
      </c>
      <c r="B441" s="2" t="s">
        <v>1392</v>
      </c>
      <c r="C441" s="2" t="s">
        <v>1006</v>
      </c>
      <c r="D441" s="2">
        <v>-24094242.23</v>
      </c>
      <c r="E441" s="2">
        <v>1</v>
      </c>
      <c r="F441" s="3">
        <f>IF(COUNT(D441,E441)=2,D441*E441,NA())</f>
        <v>-24094242.23</v>
      </c>
      <c r="G441" s="2" t="s">
        <v>52</v>
      </c>
      <c r="H441" s="2" t="s">
        <v>53</v>
      </c>
      <c r="I441" s="2" t="s">
        <v>54</v>
      </c>
      <c r="J441" s="2" t="s">
        <v>55</v>
      </c>
      <c r="K441" s="2" t="s">
        <v>392</v>
      </c>
      <c r="L441" s="2" t="s">
        <v>56</v>
      </c>
      <c r="M441" s="2" t="s">
        <v>393</v>
      </c>
      <c r="N441" s="2" t="s">
        <v>58</v>
      </c>
      <c r="O441" s="2" t="s">
        <v>59</v>
      </c>
      <c r="P441" s="2" t="s">
        <v>1393</v>
      </c>
      <c r="Q441" s="2" t="s">
        <v>105</v>
      </c>
      <c r="R441" s="2"/>
    </row>
    <row r="442" spans="1:18">
      <c r="A442" s="2" t="s">
        <v>1394</v>
      </c>
      <c r="B442" s="2" t="s">
        <v>1395</v>
      </c>
      <c r="C442" s="2" t="s">
        <v>859</v>
      </c>
      <c r="D442" s="2">
        <v>2028024511.79</v>
      </c>
      <c r="E442" s="2">
        <v>1</v>
      </c>
      <c r="F442" s="3">
        <f>IF(COUNT(D442,E442)=2,D442*E442,NA())</f>
        <v>2028024511.79</v>
      </c>
      <c r="G442" s="2" t="s">
        <v>52</v>
      </c>
      <c r="H442" s="2" t="s">
        <v>53</v>
      </c>
      <c r="I442" s="2" t="s">
        <v>54</v>
      </c>
      <c r="J442" s="2" t="s">
        <v>55</v>
      </c>
      <c r="K442" s="2"/>
      <c r="L442" s="2" t="s">
        <v>56</v>
      </c>
      <c r="M442" s="2" t="s">
        <v>57</v>
      </c>
      <c r="N442" s="2" t="s">
        <v>58</v>
      </c>
      <c r="O442" s="2" t="s">
        <v>59</v>
      </c>
      <c r="P442" s="2"/>
      <c r="Q442" s="2" t="s">
        <v>81</v>
      </c>
      <c r="R442" s="2"/>
    </row>
    <row r="443" spans="1:18">
      <c r="A443" s="2" t="s">
        <v>1396</v>
      </c>
      <c r="B443" s="2" t="s">
        <v>1397</v>
      </c>
      <c r="C443" s="2" t="s">
        <v>859</v>
      </c>
      <c r="D443" s="2">
        <v>1448807014</v>
      </c>
      <c r="E443" s="2">
        <v>1</v>
      </c>
      <c r="F443" s="3">
        <f>IF(COUNT(D443,E443)=2,D443*E443,NA())</f>
        <v>1448807014.0</v>
      </c>
      <c r="G443" s="2" t="s">
        <v>52</v>
      </c>
      <c r="H443" s="2" t="s">
        <v>53</v>
      </c>
      <c r="I443" s="2" t="s">
        <v>54</v>
      </c>
      <c r="J443" s="2" t="s">
        <v>55</v>
      </c>
      <c r="K443" s="2"/>
      <c r="L443" s="2" t="s">
        <v>56</v>
      </c>
      <c r="M443" s="2" t="s">
        <v>57</v>
      </c>
      <c r="N443" s="2" t="s">
        <v>58</v>
      </c>
      <c r="O443" s="2" t="s">
        <v>59</v>
      </c>
      <c r="P443" s="2"/>
      <c r="Q443" s="2" t="s">
        <v>81</v>
      </c>
      <c r="R443" s="2"/>
    </row>
    <row r="444" spans="1:18">
      <c r="A444" s="2" t="s">
        <v>1398</v>
      </c>
      <c r="B444" s="2" t="s">
        <v>1399</v>
      </c>
      <c r="C444" s="2" t="s">
        <v>859</v>
      </c>
      <c r="D444" s="2">
        <v>228564045.6</v>
      </c>
      <c r="E444" s="2">
        <v>1</v>
      </c>
      <c r="F444" s="3">
        <f>IF(COUNT(D444,E444)=2,D444*E444,NA())</f>
        <v>228564045.6</v>
      </c>
      <c r="G444" s="2" t="s">
        <v>52</v>
      </c>
      <c r="H444" s="2" t="s">
        <v>53</v>
      </c>
      <c r="I444" s="2" t="s">
        <v>54</v>
      </c>
      <c r="J444" s="2" t="s">
        <v>55</v>
      </c>
      <c r="K444" s="2"/>
      <c r="L444" s="2" t="s">
        <v>56</v>
      </c>
      <c r="M444" s="2" t="s">
        <v>57</v>
      </c>
      <c r="N444" s="2" t="s">
        <v>58</v>
      </c>
      <c r="O444" s="2" t="s">
        <v>59</v>
      </c>
      <c r="P444" s="2"/>
      <c r="Q444" s="2" t="s">
        <v>1400</v>
      </c>
      <c r="R444" s="2"/>
    </row>
    <row r="445" spans="1:18">
      <c r="A445" s="2" t="s">
        <v>1401</v>
      </c>
      <c r="B445" s="2" t="s">
        <v>1402</v>
      </c>
      <c r="C445" s="2" t="s">
        <v>1403</v>
      </c>
      <c r="D445" s="2">
        <v>214729914.12</v>
      </c>
      <c r="E445" s="2">
        <v>1</v>
      </c>
      <c r="F445" s="3">
        <f>IF(COUNT(D445,E445)=2,D445*E445,NA())</f>
        <v>214729914.12</v>
      </c>
      <c r="G445" s="2" t="s">
        <v>52</v>
      </c>
      <c r="H445" s="2" t="s">
        <v>53</v>
      </c>
      <c r="I445" s="2" t="s">
        <v>54</v>
      </c>
      <c r="J445" s="2" t="s">
        <v>55</v>
      </c>
      <c r="K445" s="2"/>
      <c r="L445" s="2" t="s">
        <v>56</v>
      </c>
      <c r="M445" s="2" t="s">
        <v>57</v>
      </c>
      <c r="N445" s="2" t="s">
        <v>58</v>
      </c>
      <c r="O445" s="2" t="s">
        <v>59</v>
      </c>
      <c r="P445" s="2"/>
      <c r="Q445" s="2" t="s">
        <v>1404</v>
      </c>
      <c r="R445" s="2"/>
    </row>
    <row r="446" spans="1:18">
      <c r="A446" s="2" t="s">
        <v>1405</v>
      </c>
      <c r="B446" s="2" t="s">
        <v>1406</v>
      </c>
      <c r="C446" s="2" t="s">
        <v>1407</v>
      </c>
      <c r="D446" s="2">
        <v>405562933.95</v>
      </c>
      <c r="E446" s="2">
        <v>1</v>
      </c>
      <c r="F446" s="3">
        <f>IF(COUNT(D446,E446)=2,D446*E446,NA())</f>
        <v>405562933.95</v>
      </c>
      <c r="G446" s="2" t="s">
        <v>52</v>
      </c>
      <c r="H446" s="2" t="s">
        <v>53</v>
      </c>
      <c r="I446" s="2" t="s">
        <v>54</v>
      </c>
      <c r="J446" s="2" t="s">
        <v>55</v>
      </c>
      <c r="K446" s="2" t="s">
        <v>392</v>
      </c>
      <c r="L446" s="2" t="s">
        <v>56</v>
      </c>
      <c r="M446" s="2" t="s">
        <v>393</v>
      </c>
      <c r="N446" s="2" t="s">
        <v>58</v>
      </c>
      <c r="O446" s="2" t="s">
        <v>59</v>
      </c>
      <c r="P446" s="2"/>
      <c r="Q446" s="2" t="s">
        <v>1408</v>
      </c>
      <c r="R446" s="2"/>
    </row>
    <row r="447" spans="1:18">
      <c r="A447" s="2" t="s">
        <v>1409</v>
      </c>
      <c r="B447" s="2" t="s">
        <v>1410</v>
      </c>
      <c r="C447" s="2" t="s">
        <v>1411</v>
      </c>
      <c r="D447" s="2">
        <v>34362731.6</v>
      </c>
      <c r="E447" s="2">
        <v>1</v>
      </c>
      <c r="F447" s="3">
        <f>IF(COUNT(D447,E447)=2,D447*E447,NA())</f>
        <v>34362731.6</v>
      </c>
      <c r="G447" s="2" t="s">
        <v>52</v>
      </c>
      <c r="H447" s="2" t="s">
        <v>53</v>
      </c>
      <c r="I447" s="2" t="s">
        <v>54</v>
      </c>
      <c r="J447" s="2" t="s">
        <v>55</v>
      </c>
      <c r="K447" s="2" t="s">
        <v>392</v>
      </c>
      <c r="L447" s="2" t="s">
        <v>56</v>
      </c>
      <c r="M447" s="2" t="s">
        <v>393</v>
      </c>
      <c r="N447" s="2" t="s">
        <v>58</v>
      </c>
      <c r="O447" s="2" t="s">
        <v>59</v>
      </c>
      <c r="P447" s="2"/>
      <c r="Q447" s="2" t="s">
        <v>1412</v>
      </c>
      <c r="R447" s="2"/>
    </row>
    <row r="448" spans="1:18">
      <c r="A448" s="2" t="s">
        <v>1413</v>
      </c>
      <c r="B448" s="2" t="s">
        <v>1414</v>
      </c>
      <c r="C448" s="2" t="s">
        <v>1411</v>
      </c>
      <c r="D448" s="2">
        <v>-9770772.92</v>
      </c>
      <c r="E448" s="2">
        <v>1</v>
      </c>
      <c r="F448" s="3">
        <f>IF(COUNT(D448,E448)=2,D448*E448,NA())</f>
        <v>-9770772.92</v>
      </c>
      <c r="G448" s="2" t="s">
        <v>52</v>
      </c>
      <c r="H448" s="2" t="s">
        <v>53</v>
      </c>
      <c r="I448" s="2" t="s">
        <v>54</v>
      </c>
      <c r="J448" s="2" t="s">
        <v>55</v>
      </c>
      <c r="K448" s="2" t="s">
        <v>392</v>
      </c>
      <c r="L448" s="2" t="s">
        <v>56</v>
      </c>
      <c r="M448" s="2" t="s">
        <v>393</v>
      </c>
      <c r="N448" s="2" t="s">
        <v>58</v>
      </c>
      <c r="O448" s="2" t="s">
        <v>59</v>
      </c>
      <c r="P448" s="2" t="s">
        <v>1393</v>
      </c>
      <c r="Q448" s="2" t="s">
        <v>1412</v>
      </c>
      <c r="R448" s="2"/>
    </row>
    <row r="449" spans="1:18">
      <c r="A449" s="2" t="s">
        <v>1415</v>
      </c>
      <c r="B449" s="2" t="s">
        <v>1416</v>
      </c>
      <c r="C449" s="2" t="s">
        <v>1411</v>
      </c>
      <c r="D449" s="2">
        <v>24591958.68</v>
      </c>
      <c r="E449" s="2">
        <v>1</v>
      </c>
      <c r="F449" s="3">
        <f>IF(COUNT(D449,E449)=2,D449*E449,NA())</f>
        <v>24591958.68</v>
      </c>
      <c r="G449" s="2" t="s">
        <v>52</v>
      </c>
      <c r="H449" s="2" t="s">
        <v>53</v>
      </c>
      <c r="I449" s="2" t="s">
        <v>54</v>
      </c>
      <c r="J449" s="2" t="s">
        <v>55</v>
      </c>
      <c r="K449" s="2" t="s">
        <v>392</v>
      </c>
      <c r="L449" s="2" t="s">
        <v>56</v>
      </c>
      <c r="M449" s="2" t="s">
        <v>393</v>
      </c>
      <c r="N449" s="2" t="s">
        <v>58</v>
      </c>
      <c r="O449" s="2" t="s">
        <v>59</v>
      </c>
      <c r="P449" s="2"/>
      <c r="Q449" s="2" t="s">
        <v>1412</v>
      </c>
      <c r="R449" s="2"/>
    </row>
    <row r="450" spans="1:18">
      <c r="A450" s="2" t="s">
        <v>1417</v>
      </c>
      <c r="B450" s="2" t="s">
        <v>1418</v>
      </c>
      <c r="C450" s="2" t="s">
        <v>1411</v>
      </c>
      <c r="D450" s="2">
        <v>-51544097.4</v>
      </c>
      <c r="E450" s="2">
        <v>1</v>
      </c>
      <c r="F450" s="3">
        <f>IF(COUNT(D450,E450)=2,D450*E450,NA())</f>
        <v>-51544097.4</v>
      </c>
      <c r="G450" s="2" t="s">
        <v>52</v>
      </c>
      <c r="H450" s="2" t="s">
        <v>53</v>
      </c>
      <c r="I450" s="2" t="s">
        <v>54</v>
      </c>
      <c r="J450" s="2" t="s">
        <v>55</v>
      </c>
      <c r="K450" s="2" t="s">
        <v>392</v>
      </c>
      <c r="L450" s="2" t="s">
        <v>56</v>
      </c>
      <c r="M450" s="2" t="s">
        <v>393</v>
      </c>
      <c r="N450" s="2" t="s">
        <v>58</v>
      </c>
      <c r="O450" s="2" t="s">
        <v>59</v>
      </c>
      <c r="P450" s="2" t="s">
        <v>1393</v>
      </c>
      <c r="Q450" s="2" t="s">
        <v>1419</v>
      </c>
      <c r="R450" s="2"/>
    </row>
    <row r="451" spans="1:18">
      <c r="A451" s="2" t="s">
        <v>1420</v>
      </c>
      <c r="B451" s="2" t="s">
        <v>1421</v>
      </c>
      <c r="C451" s="2" t="s">
        <v>1019</v>
      </c>
      <c r="D451" s="2">
        <v>-77794290.90000001</v>
      </c>
      <c r="E451" s="2">
        <v>1</v>
      </c>
      <c r="F451" s="3">
        <f>IF(COUNT(D451,E451)=2,D451*E451,NA())</f>
        <v>-77794290.9</v>
      </c>
      <c r="G451" s="2" t="s">
        <v>52</v>
      </c>
      <c r="H451" s="2" t="s">
        <v>53</v>
      </c>
      <c r="I451" s="2" t="s">
        <v>54</v>
      </c>
      <c r="J451" s="2" t="s">
        <v>55</v>
      </c>
      <c r="K451" s="2" t="s">
        <v>392</v>
      </c>
      <c r="L451" s="2" t="s">
        <v>56</v>
      </c>
      <c r="M451" s="2" t="s">
        <v>393</v>
      </c>
      <c r="N451" s="2" t="s">
        <v>58</v>
      </c>
      <c r="O451" s="2" t="s">
        <v>59</v>
      </c>
      <c r="P451" s="2" t="s">
        <v>1393</v>
      </c>
      <c r="Q451" s="2" t="s">
        <v>1422</v>
      </c>
      <c r="R451" s="2"/>
    </row>
    <row r="452" spans="1:18">
      <c r="A452" s="2" t="s">
        <v>1423</v>
      </c>
      <c r="B452" s="2" t="s">
        <v>1424</v>
      </c>
      <c r="C452" s="2" t="s">
        <v>1019</v>
      </c>
      <c r="D452" s="2">
        <v>55831108.7</v>
      </c>
      <c r="E452" s="2">
        <v>1</v>
      </c>
      <c r="F452" s="3">
        <f>IF(COUNT(D452,E452)=2,D452*E452,NA())</f>
        <v>55831108.7</v>
      </c>
      <c r="G452" s="2" t="s">
        <v>52</v>
      </c>
      <c r="H452" s="2" t="s">
        <v>53</v>
      </c>
      <c r="I452" s="2" t="s">
        <v>54</v>
      </c>
      <c r="J452" s="2" t="s">
        <v>55</v>
      </c>
      <c r="K452" s="2"/>
      <c r="L452" s="2" t="s">
        <v>56</v>
      </c>
      <c r="M452" s="2" t="s">
        <v>57</v>
      </c>
      <c r="N452" s="2" t="s">
        <v>58</v>
      </c>
      <c r="O452" s="2" t="s">
        <v>59</v>
      </c>
      <c r="P452" s="2"/>
      <c r="Q452" s="2" t="s">
        <v>1425</v>
      </c>
      <c r="R452" s="2"/>
    </row>
    <row r="453" spans="1:18">
      <c r="A453" s="2" t="s">
        <v>1426</v>
      </c>
      <c r="B453" s="2" t="s">
        <v>1427</v>
      </c>
      <c r="C453" s="2" t="s">
        <v>1019</v>
      </c>
      <c r="D453" s="2">
        <v>41316043.48</v>
      </c>
      <c r="E453" s="2">
        <v>1</v>
      </c>
      <c r="F453" s="3">
        <f>IF(COUNT(D453,E453)=2,D453*E453,NA())</f>
        <v>41316043.48</v>
      </c>
      <c r="G453" s="2" t="s">
        <v>52</v>
      </c>
      <c r="H453" s="2" t="s">
        <v>53</v>
      </c>
      <c r="I453" s="2" t="s">
        <v>54</v>
      </c>
      <c r="J453" s="2" t="s">
        <v>55</v>
      </c>
      <c r="K453" s="2"/>
      <c r="L453" s="2" t="s">
        <v>56</v>
      </c>
      <c r="M453" s="2" t="s">
        <v>57</v>
      </c>
      <c r="N453" s="2" t="s">
        <v>58</v>
      </c>
      <c r="O453" s="2" t="s">
        <v>59</v>
      </c>
      <c r="P453" s="2"/>
      <c r="Q453" s="2" t="s">
        <v>1425</v>
      </c>
      <c r="R453" s="2"/>
    </row>
    <row r="454" spans="1:18">
      <c r="A454" s="2" t="s">
        <v>1428</v>
      </c>
      <c r="B454" s="2" t="s">
        <v>1429</v>
      </c>
      <c r="C454" s="2" t="s">
        <v>1019</v>
      </c>
      <c r="D454" s="2">
        <v>126340081.27</v>
      </c>
      <c r="E454" s="2">
        <v>1</v>
      </c>
      <c r="F454" s="3">
        <f>IF(COUNT(D454,E454)=2,D454*E454,NA())</f>
        <v>126340081.27</v>
      </c>
      <c r="G454" s="2" t="s">
        <v>52</v>
      </c>
      <c r="H454" s="2" t="s">
        <v>53</v>
      </c>
      <c r="I454" s="2" t="s">
        <v>54</v>
      </c>
      <c r="J454" s="2" t="s">
        <v>55</v>
      </c>
      <c r="K454" s="2" t="s">
        <v>392</v>
      </c>
      <c r="L454" s="2" t="s">
        <v>56</v>
      </c>
      <c r="M454" s="2" t="s">
        <v>393</v>
      </c>
      <c r="N454" s="2" t="s">
        <v>58</v>
      </c>
      <c r="O454" s="2" t="s">
        <v>59</v>
      </c>
      <c r="P454" s="2"/>
      <c r="Q454" s="2" t="s">
        <v>161</v>
      </c>
      <c r="R454" s="2"/>
    </row>
    <row r="455" spans="1:18">
      <c r="A455" s="2" t="s">
        <v>1430</v>
      </c>
      <c r="B455" s="2" t="s">
        <v>1431</v>
      </c>
      <c r="C455" s="2" t="s">
        <v>1019</v>
      </c>
      <c r="D455" s="2">
        <v>70314691.91</v>
      </c>
      <c r="E455" s="2">
        <v>1</v>
      </c>
      <c r="F455" s="3">
        <f>IF(COUNT(D455,E455)=2,D455*E455,NA())</f>
        <v>70314691.91</v>
      </c>
      <c r="G455" s="2" t="s">
        <v>52</v>
      </c>
      <c r="H455" s="2" t="s">
        <v>53</v>
      </c>
      <c r="I455" s="2" t="s">
        <v>54</v>
      </c>
      <c r="J455" s="2" t="s">
        <v>55</v>
      </c>
      <c r="K455" s="2" t="s">
        <v>392</v>
      </c>
      <c r="L455" s="2" t="s">
        <v>56</v>
      </c>
      <c r="M455" s="2" t="s">
        <v>393</v>
      </c>
      <c r="N455" s="2" t="s">
        <v>58</v>
      </c>
      <c r="O455" s="2" t="s">
        <v>59</v>
      </c>
      <c r="P455" s="2"/>
      <c r="Q455" s="2" t="s">
        <v>161</v>
      </c>
      <c r="R455" s="2"/>
    </row>
    <row r="456" spans="1:18">
      <c r="A456" s="2" t="s">
        <v>1432</v>
      </c>
      <c r="B456" s="2" t="s">
        <v>1433</v>
      </c>
      <c r="C456" s="2" t="s">
        <v>1019</v>
      </c>
      <c r="D456" s="2">
        <v>247698644.53</v>
      </c>
      <c r="E456" s="2">
        <v>1</v>
      </c>
      <c r="F456" s="3">
        <f>IF(COUNT(D456,E456)=2,D456*E456,NA())</f>
        <v>247698644.53</v>
      </c>
      <c r="G456" s="2" t="s">
        <v>52</v>
      </c>
      <c r="H456" s="2" t="s">
        <v>53</v>
      </c>
      <c r="I456" s="2" t="s">
        <v>54</v>
      </c>
      <c r="J456" s="2" t="s">
        <v>55</v>
      </c>
      <c r="K456" s="2" t="s">
        <v>392</v>
      </c>
      <c r="L456" s="2" t="s">
        <v>56</v>
      </c>
      <c r="M456" s="2" t="s">
        <v>393</v>
      </c>
      <c r="N456" s="2" t="s">
        <v>58</v>
      </c>
      <c r="O456" s="2" t="s">
        <v>59</v>
      </c>
      <c r="P456" s="2"/>
      <c r="Q456" s="2" t="s">
        <v>161</v>
      </c>
      <c r="R456" s="2"/>
    </row>
    <row r="457" spans="1:18">
      <c r="A457" s="2" t="s">
        <v>1434</v>
      </c>
      <c r="B457" s="2" t="s">
        <v>1435</v>
      </c>
      <c r="C457" s="2" t="s">
        <v>1019</v>
      </c>
      <c r="D457" s="2">
        <v>37562694.9</v>
      </c>
      <c r="E457" s="2">
        <v>1</v>
      </c>
      <c r="F457" s="3">
        <f>IF(COUNT(D457,E457)=2,D457*E457,NA())</f>
        <v>37562694.9</v>
      </c>
      <c r="G457" s="2" t="s">
        <v>52</v>
      </c>
      <c r="H457" s="2" t="s">
        <v>53</v>
      </c>
      <c r="I457" s="2" t="s">
        <v>54</v>
      </c>
      <c r="J457" s="2" t="s">
        <v>55</v>
      </c>
      <c r="K457" s="2" t="s">
        <v>392</v>
      </c>
      <c r="L457" s="2" t="s">
        <v>56</v>
      </c>
      <c r="M457" s="2" t="s">
        <v>393</v>
      </c>
      <c r="N457" s="2" t="s">
        <v>58</v>
      </c>
      <c r="O457" s="2" t="s">
        <v>59</v>
      </c>
      <c r="P457" s="2"/>
      <c r="Q457" s="2" t="s">
        <v>1436</v>
      </c>
      <c r="R457" s="2"/>
    </row>
    <row r="458" spans="1:18">
      <c r="A458" s="2" t="s">
        <v>1437</v>
      </c>
      <c r="B458" s="2" t="s">
        <v>1438</v>
      </c>
      <c r="C458" s="2" t="s">
        <v>1019</v>
      </c>
      <c r="D458" s="2">
        <v>38661757.52</v>
      </c>
      <c r="E458" s="2">
        <v>1</v>
      </c>
      <c r="F458" s="3">
        <f>IF(COUNT(D458,E458)=2,D458*E458,NA())</f>
        <v>38661757.52</v>
      </c>
      <c r="G458" s="2" t="s">
        <v>52</v>
      </c>
      <c r="H458" s="2" t="s">
        <v>53</v>
      </c>
      <c r="I458" s="2" t="s">
        <v>54</v>
      </c>
      <c r="J458" s="2" t="s">
        <v>55</v>
      </c>
      <c r="K458" s="2" t="s">
        <v>392</v>
      </c>
      <c r="L458" s="2" t="s">
        <v>56</v>
      </c>
      <c r="M458" s="2" t="s">
        <v>393</v>
      </c>
      <c r="N458" s="2" t="s">
        <v>58</v>
      </c>
      <c r="O458" s="2" t="s">
        <v>59</v>
      </c>
      <c r="P458" s="2"/>
      <c r="Q458" s="2" t="s">
        <v>1439</v>
      </c>
      <c r="R458" s="2"/>
    </row>
    <row r="459" spans="1:18">
      <c r="A459" s="2" t="s">
        <v>1440</v>
      </c>
      <c r="B459" s="2" t="s">
        <v>1441</v>
      </c>
      <c r="C459" s="2" t="s">
        <v>1019</v>
      </c>
      <c r="D459" s="2">
        <v>952999.95</v>
      </c>
      <c r="E459" s="2">
        <v>1</v>
      </c>
      <c r="F459" s="3">
        <f>IF(COUNT(D459,E459)=2,D459*E459,NA())</f>
        <v>952999.95</v>
      </c>
      <c r="G459" s="2" t="s">
        <v>52</v>
      </c>
      <c r="H459" s="2" t="s">
        <v>53</v>
      </c>
      <c r="I459" s="2" t="s">
        <v>54</v>
      </c>
      <c r="J459" s="2" t="s">
        <v>55</v>
      </c>
      <c r="K459" s="2" t="s">
        <v>392</v>
      </c>
      <c r="L459" s="2" t="s">
        <v>56</v>
      </c>
      <c r="M459" s="2" t="s">
        <v>393</v>
      </c>
      <c r="N459" s="2" t="s">
        <v>58</v>
      </c>
      <c r="O459" s="2" t="s">
        <v>59</v>
      </c>
      <c r="P459" s="2"/>
      <c r="Q459" s="2" t="s">
        <v>1439</v>
      </c>
      <c r="R459" s="2"/>
    </row>
    <row r="460" spans="1:18">
      <c r="A460" s="2" t="s">
        <v>1442</v>
      </c>
      <c r="B460" s="2" t="s">
        <v>1443</v>
      </c>
      <c r="C460" s="2" t="s">
        <v>1019</v>
      </c>
      <c r="D460" s="2">
        <v>4078266.43</v>
      </c>
      <c r="E460" s="2">
        <v>1</v>
      </c>
      <c r="F460" s="3">
        <f>IF(COUNT(D460,E460)=2,D460*E460,NA())</f>
        <v>4078266.43</v>
      </c>
      <c r="G460" s="2" t="s">
        <v>52</v>
      </c>
      <c r="H460" s="2" t="s">
        <v>53</v>
      </c>
      <c r="I460" s="2" t="s">
        <v>54</v>
      </c>
      <c r="J460" s="2" t="s">
        <v>55</v>
      </c>
      <c r="K460" s="2" t="s">
        <v>392</v>
      </c>
      <c r="L460" s="2" t="s">
        <v>56</v>
      </c>
      <c r="M460" s="2" t="s">
        <v>393</v>
      </c>
      <c r="N460" s="2" t="s">
        <v>58</v>
      </c>
      <c r="O460" s="2" t="s">
        <v>59</v>
      </c>
      <c r="P460" s="2"/>
      <c r="Q460" s="2" t="s">
        <v>1439</v>
      </c>
      <c r="R460" s="2"/>
    </row>
    <row r="461" spans="1:18">
      <c r="A461" s="2" t="s">
        <v>1444</v>
      </c>
      <c r="B461" s="2" t="s">
        <v>1445</v>
      </c>
      <c r="C461" s="2" t="s">
        <v>1019</v>
      </c>
      <c r="D461" s="2">
        <v>11958022.4</v>
      </c>
      <c r="E461" s="2">
        <v>1</v>
      </c>
      <c r="F461" s="3">
        <f>IF(COUNT(D461,E461)=2,D461*E461,NA())</f>
        <v>11958022.4</v>
      </c>
      <c r="G461" s="2" t="s">
        <v>52</v>
      </c>
      <c r="H461" s="2" t="s">
        <v>53</v>
      </c>
      <c r="I461" s="2" t="s">
        <v>54</v>
      </c>
      <c r="J461" s="2" t="s">
        <v>55</v>
      </c>
      <c r="K461" s="2"/>
      <c r="L461" s="2" t="s">
        <v>63</v>
      </c>
      <c r="M461" s="2" t="s">
        <v>57</v>
      </c>
      <c r="N461" s="2" t="s">
        <v>64</v>
      </c>
      <c r="O461" s="2" t="s">
        <v>59</v>
      </c>
      <c r="P461" s="2"/>
      <c r="Q461" s="2" t="s">
        <v>1446</v>
      </c>
      <c r="R461" s="2"/>
    </row>
    <row r="462" spans="1:18">
      <c r="A462" s="2" t="s">
        <v>1447</v>
      </c>
      <c r="B462" s="2" t="s">
        <v>1448</v>
      </c>
      <c r="C462" s="2" t="s">
        <v>1019</v>
      </c>
      <c r="D462" s="2">
        <v>32220359.54</v>
      </c>
      <c r="E462" s="2">
        <v>1</v>
      </c>
      <c r="F462" s="3">
        <f>IF(COUNT(D462,E462)=2,D462*E462,NA())</f>
        <v>32220359.54</v>
      </c>
      <c r="G462" s="2" t="s">
        <v>52</v>
      </c>
      <c r="H462" s="2" t="s">
        <v>53</v>
      </c>
      <c r="I462" s="2" t="s">
        <v>54</v>
      </c>
      <c r="J462" s="2" t="s">
        <v>55</v>
      </c>
      <c r="K462" s="2" t="s">
        <v>392</v>
      </c>
      <c r="L462" s="2" t="s">
        <v>56</v>
      </c>
      <c r="M462" s="2" t="s">
        <v>393</v>
      </c>
      <c r="N462" s="2" t="s">
        <v>58</v>
      </c>
      <c r="O462" s="2" t="s">
        <v>59</v>
      </c>
      <c r="P462" s="2"/>
      <c r="Q462" s="2" t="s">
        <v>1446</v>
      </c>
      <c r="R462" s="2"/>
    </row>
    <row r="463" spans="1:18">
      <c r="A463" s="2" t="s">
        <v>1449</v>
      </c>
      <c r="B463" s="2" t="s">
        <v>1450</v>
      </c>
      <c r="C463" s="2" t="s">
        <v>1019</v>
      </c>
      <c r="D463" s="2">
        <v>12852572.76</v>
      </c>
      <c r="E463" s="2">
        <v>1</v>
      </c>
      <c r="F463" s="3">
        <f>IF(COUNT(D463,E463)=2,D463*E463,NA())</f>
        <v>12852572.76</v>
      </c>
      <c r="G463" s="2" t="s">
        <v>52</v>
      </c>
      <c r="H463" s="2" t="s">
        <v>53</v>
      </c>
      <c r="I463" s="2" t="s">
        <v>54</v>
      </c>
      <c r="J463" s="2" t="s">
        <v>55</v>
      </c>
      <c r="K463" s="2" t="s">
        <v>392</v>
      </c>
      <c r="L463" s="2" t="s">
        <v>56</v>
      </c>
      <c r="M463" s="2" t="s">
        <v>393</v>
      </c>
      <c r="N463" s="2" t="s">
        <v>58</v>
      </c>
      <c r="O463" s="2" t="s">
        <v>59</v>
      </c>
      <c r="P463" s="2"/>
      <c r="Q463" s="2" t="s">
        <v>1446</v>
      </c>
      <c r="R463" s="2"/>
    </row>
    <row r="464" spans="1:18">
      <c r="A464" s="2" t="s">
        <v>1451</v>
      </c>
      <c r="B464" s="2" t="s">
        <v>1452</v>
      </c>
      <c r="C464" s="2" t="s">
        <v>1019</v>
      </c>
      <c r="D464" s="2">
        <v>44178381.94</v>
      </c>
      <c r="E464" s="2">
        <v>1</v>
      </c>
      <c r="F464" s="3">
        <f>IF(COUNT(D464,E464)=2,D464*E464,NA())</f>
        <v>44178381.94</v>
      </c>
      <c r="G464" s="2" t="s">
        <v>52</v>
      </c>
      <c r="H464" s="2" t="s">
        <v>53</v>
      </c>
      <c r="I464" s="2" t="s">
        <v>54</v>
      </c>
      <c r="J464" s="2" t="s">
        <v>55</v>
      </c>
      <c r="K464" s="2"/>
      <c r="L464" s="2" t="s">
        <v>56</v>
      </c>
      <c r="M464" s="2" t="s">
        <v>57</v>
      </c>
      <c r="N464" s="2" t="s">
        <v>58</v>
      </c>
      <c r="O464" s="2" t="s">
        <v>59</v>
      </c>
      <c r="P464" s="2"/>
      <c r="Q464" s="2" t="s">
        <v>1446</v>
      </c>
      <c r="R464" s="2"/>
    </row>
    <row r="465" spans="1:18">
      <c r="A465" s="2" t="s">
        <v>1453</v>
      </c>
      <c r="B465" s="2" t="s">
        <v>1454</v>
      </c>
      <c r="C465" s="2" t="s">
        <v>1019</v>
      </c>
      <c r="D465" s="2">
        <v>17367201.99</v>
      </c>
      <c r="E465" s="2">
        <v>1</v>
      </c>
      <c r="F465" s="3">
        <f>IF(COUNT(D465,E465)=2,D465*E465,NA())</f>
        <v>17367201.99</v>
      </c>
      <c r="G465" s="2" t="s">
        <v>52</v>
      </c>
      <c r="H465" s="2" t="s">
        <v>53</v>
      </c>
      <c r="I465" s="2" t="s">
        <v>54</v>
      </c>
      <c r="J465" s="2" t="s">
        <v>55</v>
      </c>
      <c r="K465" s="2" t="s">
        <v>392</v>
      </c>
      <c r="L465" s="2" t="s">
        <v>56</v>
      </c>
      <c r="M465" s="2" t="s">
        <v>393</v>
      </c>
      <c r="N465" s="2" t="s">
        <v>58</v>
      </c>
      <c r="O465" s="2" t="s">
        <v>59</v>
      </c>
      <c r="P465" s="2"/>
      <c r="Q465" s="2" t="s">
        <v>1446</v>
      </c>
      <c r="R465" s="2"/>
    </row>
    <row r="466" spans="1:18">
      <c r="A466" s="2" t="s">
        <v>1455</v>
      </c>
      <c r="B466" s="2" t="s">
        <v>1456</v>
      </c>
      <c r="C466" s="2" t="s">
        <v>1457</v>
      </c>
      <c r="D466" s="2">
        <v>71461169.87</v>
      </c>
      <c r="E466" s="2">
        <v>1</v>
      </c>
      <c r="F466" s="3">
        <f>IF(COUNT(D466,E466)=2,D466*E466,NA())</f>
        <v>71461169.87</v>
      </c>
      <c r="G466" s="2" t="s">
        <v>52</v>
      </c>
      <c r="H466" s="2" t="s">
        <v>53</v>
      </c>
      <c r="I466" s="2" t="s">
        <v>54</v>
      </c>
      <c r="J466" s="2" t="s">
        <v>55</v>
      </c>
      <c r="K466" s="2"/>
      <c r="L466" s="2" t="s">
        <v>56</v>
      </c>
      <c r="M466" s="2" t="s">
        <v>57</v>
      </c>
      <c r="N466" s="2" t="s">
        <v>58</v>
      </c>
      <c r="O466" s="2" t="s">
        <v>59</v>
      </c>
      <c r="P466" s="2"/>
      <c r="Q466" s="2" t="s">
        <v>1458</v>
      </c>
      <c r="R466" s="2"/>
    </row>
    <row r="467" spans="1:18">
      <c r="A467" s="2" t="s">
        <v>1459</v>
      </c>
      <c r="B467" s="2" t="s">
        <v>1460</v>
      </c>
      <c r="C467" s="2" t="s">
        <v>1457</v>
      </c>
      <c r="D467" s="2">
        <v>442209585.98</v>
      </c>
      <c r="E467" s="2">
        <v>1</v>
      </c>
      <c r="F467" s="3">
        <f>IF(COUNT(D467,E467)=2,D467*E467,NA())</f>
        <v>442209585.98</v>
      </c>
      <c r="G467" s="2" t="s">
        <v>52</v>
      </c>
      <c r="H467" s="2" t="s">
        <v>53</v>
      </c>
      <c r="I467" s="2" t="s">
        <v>54</v>
      </c>
      <c r="J467" s="2" t="s">
        <v>55</v>
      </c>
      <c r="K467" s="2"/>
      <c r="L467" s="2" t="s">
        <v>56</v>
      </c>
      <c r="M467" s="2" t="s">
        <v>57</v>
      </c>
      <c r="N467" s="2" t="s">
        <v>58</v>
      </c>
      <c r="O467" s="2" t="s">
        <v>59</v>
      </c>
      <c r="P467" s="2"/>
      <c r="Q467" s="2" t="s">
        <v>1461</v>
      </c>
      <c r="R467" s="2"/>
    </row>
    <row r="468" spans="1:18">
      <c r="A468" s="2" t="s">
        <v>1462</v>
      </c>
      <c r="B468" s="2" t="s">
        <v>1463</v>
      </c>
      <c r="C468" s="2" t="s">
        <v>1464</v>
      </c>
      <c r="D468" s="2">
        <v>388464312.11</v>
      </c>
      <c r="E468" s="2">
        <v>1</v>
      </c>
      <c r="F468" s="3">
        <f>IF(COUNT(D468,E468)=2,D468*E468,NA())</f>
        <v>388464312.11</v>
      </c>
      <c r="G468" s="2" t="s">
        <v>52</v>
      </c>
      <c r="H468" s="2" t="s">
        <v>53</v>
      </c>
      <c r="I468" s="2" t="s">
        <v>54</v>
      </c>
      <c r="J468" s="2" t="s">
        <v>55</v>
      </c>
      <c r="K468" s="2"/>
      <c r="L468" s="2" t="s">
        <v>56</v>
      </c>
      <c r="M468" s="2" t="s">
        <v>57</v>
      </c>
      <c r="N468" s="2" t="s">
        <v>58</v>
      </c>
      <c r="O468" s="2" t="s">
        <v>59</v>
      </c>
      <c r="P468" s="2" t="s">
        <v>1465</v>
      </c>
      <c r="Q468" s="2" t="s">
        <v>1466</v>
      </c>
      <c r="R468" s="2"/>
    </row>
    <row r="469" spans="1:18">
      <c r="A469" s="2" t="s">
        <v>1467</v>
      </c>
      <c r="B469" s="2" t="s">
        <v>1468</v>
      </c>
      <c r="C469" s="2" t="s">
        <v>1464</v>
      </c>
      <c r="D469" s="2">
        <v>58386629.64</v>
      </c>
      <c r="E469" s="2">
        <v>1</v>
      </c>
      <c r="F469" s="3">
        <f>IF(COUNT(D469,E469)=2,D469*E469,NA())</f>
        <v>58386629.64</v>
      </c>
      <c r="G469" s="2" t="s">
        <v>52</v>
      </c>
      <c r="H469" s="2" t="s">
        <v>53</v>
      </c>
      <c r="I469" s="2" t="s">
        <v>54</v>
      </c>
      <c r="J469" s="2" t="s">
        <v>55</v>
      </c>
      <c r="K469" s="2" t="s">
        <v>392</v>
      </c>
      <c r="L469" s="2" t="s">
        <v>56</v>
      </c>
      <c r="M469" s="2" t="s">
        <v>393</v>
      </c>
      <c r="N469" s="2" t="s">
        <v>58</v>
      </c>
      <c r="O469" s="2" t="s">
        <v>59</v>
      </c>
      <c r="P469" s="2"/>
      <c r="Q469" s="2" t="s">
        <v>1469</v>
      </c>
      <c r="R469" s="2"/>
    </row>
    <row r="470" spans="1:18">
      <c r="A470" s="2" t="s">
        <v>1470</v>
      </c>
      <c r="B470" s="2" t="s">
        <v>1471</v>
      </c>
      <c r="C470" s="2" t="s">
        <v>1464</v>
      </c>
      <c r="D470" s="2">
        <v>-102785620.65</v>
      </c>
      <c r="E470" s="2">
        <v>1</v>
      </c>
      <c r="F470" s="3">
        <f>IF(COUNT(D470,E470)=2,D470*E470,NA())</f>
        <v>-102785620.65</v>
      </c>
      <c r="G470" s="2" t="s">
        <v>52</v>
      </c>
      <c r="H470" s="2" t="s">
        <v>53</v>
      </c>
      <c r="I470" s="2" t="s">
        <v>54</v>
      </c>
      <c r="J470" s="2" t="s">
        <v>55</v>
      </c>
      <c r="K470" s="2" t="s">
        <v>392</v>
      </c>
      <c r="L470" s="2" t="s">
        <v>56</v>
      </c>
      <c r="M470" s="2" t="s">
        <v>393</v>
      </c>
      <c r="N470" s="2" t="s">
        <v>58</v>
      </c>
      <c r="O470" s="2" t="s">
        <v>59</v>
      </c>
      <c r="P470" s="2"/>
      <c r="Q470" s="2" t="s">
        <v>1472</v>
      </c>
      <c r="R470" s="2"/>
    </row>
    <row r="471" spans="1:18">
      <c r="A471" s="2" t="s">
        <v>1473</v>
      </c>
      <c r="B471" s="2" t="s">
        <v>1474</v>
      </c>
      <c r="C471" s="2" t="s">
        <v>818</v>
      </c>
      <c r="D471" s="2">
        <v>116935291.96</v>
      </c>
      <c r="E471" s="2">
        <v>1</v>
      </c>
      <c r="F471" s="3">
        <f>IF(COUNT(D471,E471)=2,D471*E471,NA())</f>
        <v>116935291.96</v>
      </c>
      <c r="G471" s="2" t="s">
        <v>52</v>
      </c>
      <c r="H471" s="2" t="s">
        <v>53</v>
      </c>
      <c r="I471" s="2" t="s">
        <v>54</v>
      </c>
      <c r="J471" s="2" t="s">
        <v>55</v>
      </c>
      <c r="K471" s="2"/>
      <c r="L471" s="2" t="s">
        <v>56</v>
      </c>
      <c r="M471" s="2" t="s">
        <v>57</v>
      </c>
      <c r="N471" s="2" t="s">
        <v>58</v>
      </c>
      <c r="O471" s="2" t="s">
        <v>59</v>
      </c>
      <c r="P471" s="2"/>
      <c r="Q471" s="2" t="s">
        <v>1475</v>
      </c>
      <c r="R471" s="2"/>
    </row>
    <row r="472" spans="1:18">
      <c r="A472" s="2" t="s">
        <v>1476</v>
      </c>
      <c r="B472" s="2" t="s">
        <v>1477</v>
      </c>
      <c r="C472" s="2" t="s">
        <v>818</v>
      </c>
      <c r="D472" s="2">
        <v>15685984.48</v>
      </c>
      <c r="E472" s="2">
        <v>1</v>
      </c>
      <c r="F472" s="3">
        <f>IF(COUNT(D472,E472)=2,D472*E472,NA())</f>
        <v>15685984.48</v>
      </c>
      <c r="G472" s="2" t="s">
        <v>52</v>
      </c>
      <c r="H472" s="2" t="s">
        <v>53</v>
      </c>
      <c r="I472" s="2" t="s">
        <v>54</v>
      </c>
      <c r="J472" s="2" t="s">
        <v>55</v>
      </c>
      <c r="K472" s="2" t="s">
        <v>392</v>
      </c>
      <c r="L472" s="2" t="s">
        <v>56</v>
      </c>
      <c r="M472" s="2" t="s">
        <v>393</v>
      </c>
      <c r="N472" s="2" t="s">
        <v>58</v>
      </c>
      <c r="O472" s="2" t="s">
        <v>59</v>
      </c>
      <c r="P472" s="2"/>
      <c r="Q472" s="2" t="s">
        <v>1478</v>
      </c>
      <c r="R472" s="2"/>
    </row>
    <row r="473" spans="1:18">
      <c r="A473" s="2" t="s">
        <v>1479</v>
      </c>
      <c r="B473" s="2" t="s">
        <v>1480</v>
      </c>
      <c r="C473" s="2" t="s">
        <v>818</v>
      </c>
      <c r="D473" s="2">
        <v>65658391.23</v>
      </c>
      <c r="E473" s="2">
        <v>1</v>
      </c>
      <c r="F473" s="3">
        <f>IF(COUNT(D473,E473)=2,D473*E473,NA())</f>
        <v>65658391.23</v>
      </c>
      <c r="G473" s="2" t="s">
        <v>52</v>
      </c>
      <c r="H473" s="2" t="s">
        <v>53</v>
      </c>
      <c r="I473" s="2" t="s">
        <v>54</v>
      </c>
      <c r="J473" s="2" t="s">
        <v>55</v>
      </c>
      <c r="K473" s="2" t="s">
        <v>392</v>
      </c>
      <c r="L473" s="2" t="s">
        <v>56</v>
      </c>
      <c r="M473" s="2" t="s">
        <v>393</v>
      </c>
      <c r="N473" s="2" t="s">
        <v>58</v>
      </c>
      <c r="O473" s="2" t="s">
        <v>59</v>
      </c>
      <c r="P473" s="2"/>
      <c r="Q473" s="2" t="s">
        <v>1478</v>
      </c>
      <c r="R473" s="2"/>
    </row>
    <row r="474" spans="1:18">
      <c r="A474" s="2" t="s">
        <v>1481</v>
      </c>
      <c r="B474" s="2" t="s">
        <v>1482</v>
      </c>
      <c r="C474" s="2" t="s">
        <v>818</v>
      </c>
      <c r="D474" s="2">
        <v>10989198.5</v>
      </c>
      <c r="E474" s="2">
        <v>1</v>
      </c>
      <c r="F474" s="3">
        <f>IF(COUNT(D474,E474)=2,D474*E474,NA())</f>
        <v>10989198.5</v>
      </c>
      <c r="G474" s="2" t="s">
        <v>52</v>
      </c>
      <c r="H474" s="2" t="s">
        <v>53</v>
      </c>
      <c r="I474" s="2" t="s">
        <v>54</v>
      </c>
      <c r="J474" s="2" t="s">
        <v>55</v>
      </c>
      <c r="K474" s="2" t="s">
        <v>392</v>
      </c>
      <c r="L474" s="2" t="s">
        <v>56</v>
      </c>
      <c r="M474" s="2" t="s">
        <v>393</v>
      </c>
      <c r="N474" s="2" t="s">
        <v>58</v>
      </c>
      <c r="O474" s="2" t="s">
        <v>59</v>
      </c>
      <c r="P474" s="2"/>
      <c r="Q474" s="2" t="s">
        <v>1478</v>
      </c>
      <c r="R474" s="2"/>
    </row>
    <row r="475" spans="1:18">
      <c r="A475" s="2" t="s">
        <v>1483</v>
      </c>
      <c r="B475" s="2" t="s">
        <v>1484</v>
      </c>
      <c r="C475" s="2" t="s">
        <v>818</v>
      </c>
      <c r="D475" s="2">
        <v>17700</v>
      </c>
      <c r="E475" s="2">
        <v>1</v>
      </c>
      <c r="F475" s="3">
        <f>IF(COUNT(D475,E475)=2,D475*E475,NA())</f>
        <v>17700.0</v>
      </c>
      <c r="G475" s="2" t="s">
        <v>52</v>
      </c>
      <c r="H475" s="2" t="s">
        <v>53</v>
      </c>
      <c r="I475" s="2" t="s">
        <v>54</v>
      </c>
      <c r="J475" s="2" t="s">
        <v>55</v>
      </c>
      <c r="K475" s="2" t="s">
        <v>392</v>
      </c>
      <c r="L475" s="2" t="s">
        <v>56</v>
      </c>
      <c r="M475" s="2" t="s">
        <v>393</v>
      </c>
      <c r="N475" s="2" t="s">
        <v>58</v>
      </c>
      <c r="O475" s="2" t="s">
        <v>59</v>
      </c>
      <c r="P475" s="2"/>
      <c r="Q475" s="2" t="s">
        <v>1478</v>
      </c>
      <c r="R475" s="2"/>
    </row>
    <row r="476" spans="1:18">
      <c r="A476" s="2" t="s">
        <v>1485</v>
      </c>
      <c r="B476" s="2" t="s">
        <v>1486</v>
      </c>
      <c r="C476" s="2" t="s">
        <v>1288</v>
      </c>
      <c r="D476" s="2">
        <v>1409666064.06</v>
      </c>
      <c r="E476" s="2">
        <v>1</v>
      </c>
      <c r="F476" s="3">
        <f>IF(COUNT(D476,E476)=2,D476*E476,NA())</f>
        <v>1409666064.06</v>
      </c>
      <c r="G476" s="2" t="s">
        <v>52</v>
      </c>
      <c r="H476" s="2" t="s">
        <v>53</v>
      </c>
      <c r="I476" s="2" t="s">
        <v>54</v>
      </c>
      <c r="J476" s="2" t="s">
        <v>55</v>
      </c>
      <c r="K476" s="2" t="s">
        <v>392</v>
      </c>
      <c r="L476" s="2" t="s">
        <v>56</v>
      </c>
      <c r="M476" s="2" t="s">
        <v>393</v>
      </c>
      <c r="N476" s="2" t="s">
        <v>58</v>
      </c>
      <c r="O476" s="2" t="s">
        <v>59</v>
      </c>
      <c r="P476" s="2"/>
      <c r="Q476" s="2" t="s">
        <v>1487</v>
      </c>
      <c r="R476" s="2"/>
    </row>
    <row r="477" spans="1:18">
      <c r="A477" s="2" t="s">
        <v>1488</v>
      </c>
      <c r="B477" s="2" t="s">
        <v>1489</v>
      </c>
      <c r="C477" s="2" t="s">
        <v>1288</v>
      </c>
      <c r="D477" s="2">
        <v>1799463983.77</v>
      </c>
      <c r="E477" s="2">
        <v>1</v>
      </c>
      <c r="F477" s="3">
        <f>IF(COUNT(D477,E477)=2,D477*E477,NA())</f>
        <v>1799463983.77</v>
      </c>
      <c r="G477" s="2" t="s">
        <v>52</v>
      </c>
      <c r="H477" s="2" t="s">
        <v>53</v>
      </c>
      <c r="I477" s="2" t="s">
        <v>54</v>
      </c>
      <c r="J477" s="2" t="s">
        <v>55</v>
      </c>
      <c r="K477" s="2" t="s">
        <v>392</v>
      </c>
      <c r="L477" s="2" t="s">
        <v>56</v>
      </c>
      <c r="M477" s="2" t="s">
        <v>393</v>
      </c>
      <c r="N477" s="2" t="s">
        <v>58</v>
      </c>
      <c r="O477" s="2" t="s">
        <v>59</v>
      </c>
      <c r="P477" s="2"/>
      <c r="Q477" s="2" t="s">
        <v>1487</v>
      </c>
      <c r="R477" s="2"/>
    </row>
    <row r="478" spans="1:18">
      <c r="A478" s="2" t="s">
        <v>1490</v>
      </c>
      <c r="B478" s="2" t="s">
        <v>1491</v>
      </c>
      <c r="C478" s="2" t="s">
        <v>1288</v>
      </c>
      <c r="D478" s="2">
        <v>320858612.1</v>
      </c>
      <c r="E478" s="2">
        <v>1</v>
      </c>
      <c r="F478" s="3">
        <f>IF(COUNT(D478,E478)=2,D478*E478,NA())</f>
        <v>320858612.1</v>
      </c>
      <c r="G478" s="2" t="s">
        <v>52</v>
      </c>
      <c r="H478" s="2" t="s">
        <v>53</v>
      </c>
      <c r="I478" s="2" t="s">
        <v>54</v>
      </c>
      <c r="J478" s="2" t="s">
        <v>55</v>
      </c>
      <c r="K478" s="2" t="s">
        <v>392</v>
      </c>
      <c r="L478" s="2" t="s">
        <v>56</v>
      </c>
      <c r="M478" s="2" t="s">
        <v>393</v>
      </c>
      <c r="N478" s="2" t="s">
        <v>58</v>
      </c>
      <c r="O478" s="2" t="s">
        <v>59</v>
      </c>
      <c r="P478" s="2"/>
      <c r="Q478" s="2" t="s">
        <v>1487</v>
      </c>
      <c r="R478" s="2"/>
    </row>
    <row r="479" spans="1:18">
      <c r="A479" s="2" t="s">
        <v>1492</v>
      </c>
      <c r="B479" s="2" t="s">
        <v>1493</v>
      </c>
      <c r="C479" s="2" t="s">
        <v>1263</v>
      </c>
      <c r="D479" s="2">
        <v>282606832.53</v>
      </c>
      <c r="E479" s="2">
        <v>1</v>
      </c>
      <c r="F479" s="3">
        <f>IF(COUNT(D479,E479)=2,D479*E479,NA())</f>
        <v>282606832.53</v>
      </c>
      <c r="G479" s="2" t="s">
        <v>52</v>
      </c>
      <c r="H479" s="2" t="s">
        <v>53</v>
      </c>
      <c r="I479" s="2" t="s">
        <v>54</v>
      </c>
      <c r="J479" s="2" t="s">
        <v>55</v>
      </c>
      <c r="K479" s="2" t="s">
        <v>392</v>
      </c>
      <c r="L479" s="2" t="s">
        <v>56</v>
      </c>
      <c r="M479" s="2" t="s">
        <v>393</v>
      </c>
      <c r="N479" s="2" t="s">
        <v>58</v>
      </c>
      <c r="O479" s="2" t="s">
        <v>59</v>
      </c>
      <c r="P479" s="2"/>
      <c r="Q479" s="2" t="s">
        <v>1494</v>
      </c>
      <c r="R479" s="2"/>
    </row>
    <row r="480" spans="1:18">
      <c r="A480" s="2" t="s">
        <v>1495</v>
      </c>
      <c r="B480" s="2" t="s">
        <v>1496</v>
      </c>
      <c r="C480" s="2" t="s">
        <v>1403</v>
      </c>
      <c r="D480" s="2">
        <v>160840702.47</v>
      </c>
      <c r="E480" s="2">
        <v>1</v>
      </c>
      <c r="F480" s="3">
        <f>IF(COUNT(D480,E480)=2,D480*E480,NA())</f>
        <v>160840702.47</v>
      </c>
      <c r="G480" s="2" t="s">
        <v>52</v>
      </c>
      <c r="H480" s="2" t="s">
        <v>53</v>
      </c>
      <c r="I480" s="2" t="s">
        <v>54</v>
      </c>
      <c r="J480" s="2" t="s">
        <v>55</v>
      </c>
      <c r="K480" s="2" t="s">
        <v>392</v>
      </c>
      <c r="L480" s="2" t="s">
        <v>56</v>
      </c>
      <c r="M480" s="2" t="s">
        <v>393</v>
      </c>
      <c r="N480" s="2" t="s">
        <v>58</v>
      </c>
      <c r="O480" s="2" t="s">
        <v>59</v>
      </c>
      <c r="P480" s="2"/>
      <c r="Q480" s="2" t="s">
        <v>1497</v>
      </c>
      <c r="R480" s="2"/>
    </row>
    <row r="481" spans="1:18">
      <c r="A481" s="2" t="s">
        <v>1498</v>
      </c>
      <c r="B481" s="2" t="s">
        <v>1499</v>
      </c>
      <c r="C481" s="2" t="s">
        <v>1500</v>
      </c>
      <c r="D481" s="2">
        <v>388489008</v>
      </c>
      <c r="E481" s="2">
        <v>1</v>
      </c>
      <c r="F481" s="3">
        <f>IF(COUNT(D481,E481)=2,D481*E481,NA())</f>
        <v>388489008.0</v>
      </c>
      <c r="G481" s="2" t="s">
        <v>52</v>
      </c>
      <c r="H481" s="2" t="s">
        <v>53</v>
      </c>
      <c r="I481" s="2" t="s">
        <v>54</v>
      </c>
      <c r="J481" s="2" t="s">
        <v>55</v>
      </c>
      <c r="K481" s="2" t="s">
        <v>392</v>
      </c>
      <c r="L481" s="2" t="s">
        <v>56</v>
      </c>
      <c r="M481" s="2" t="s">
        <v>393</v>
      </c>
      <c r="N481" s="2" t="s">
        <v>58</v>
      </c>
      <c r="O481" s="2" t="s">
        <v>59</v>
      </c>
      <c r="P481" s="2"/>
      <c r="Q481" s="2" t="s">
        <v>1501</v>
      </c>
      <c r="R481" s="2"/>
    </row>
    <row r="482" spans="1:18">
      <c r="A482" s="2" t="s">
        <v>1502</v>
      </c>
      <c r="B482" s="2" t="s">
        <v>1503</v>
      </c>
      <c r="C482" s="2" t="s">
        <v>1500</v>
      </c>
      <c r="D482" s="2">
        <v>3417565.63</v>
      </c>
      <c r="E482" s="2">
        <v>1</v>
      </c>
      <c r="F482" s="3">
        <f>IF(COUNT(D482,E482)=2,D482*E482,NA())</f>
        <v>3417565.63</v>
      </c>
      <c r="G482" s="2" t="s">
        <v>52</v>
      </c>
      <c r="H482" s="2" t="s">
        <v>53</v>
      </c>
      <c r="I482" s="2" t="s">
        <v>54</v>
      </c>
      <c r="J482" s="2" t="s">
        <v>55</v>
      </c>
      <c r="K482" s="2" t="s">
        <v>392</v>
      </c>
      <c r="L482" s="2" t="s">
        <v>56</v>
      </c>
      <c r="M482" s="2" t="s">
        <v>393</v>
      </c>
      <c r="N482" s="2" t="s">
        <v>58</v>
      </c>
      <c r="O482" s="2" t="s">
        <v>59</v>
      </c>
      <c r="P482" s="2"/>
      <c r="Q482" s="2" t="s">
        <v>386</v>
      </c>
      <c r="R482" s="2"/>
    </row>
    <row r="483" spans="1:18">
      <c r="A483" s="2" t="s">
        <v>1504</v>
      </c>
      <c r="B483" s="2" t="s">
        <v>1505</v>
      </c>
      <c r="C483" s="2" t="s">
        <v>1500</v>
      </c>
      <c r="D483" s="2">
        <v>16610469.58</v>
      </c>
      <c r="E483" s="2">
        <v>1</v>
      </c>
      <c r="F483" s="3">
        <f>IF(COUNT(D483,E483)=2,D483*E483,NA())</f>
        <v>16610469.58</v>
      </c>
      <c r="G483" s="2" t="s">
        <v>52</v>
      </c>
      <c r="H483" s="2" t="s">
        <v>53</v>
      </c>
      <c r="I483" s="2" t="s">
        <v>54</v>
      </c>
      <c r="J483" s="2" t="s">
        <v>55</v>
      </c>
      <c r="K483" s="2" t="s">
        <v>392</v>
      </c>
      <c r="L483" s="2" t="s">
        <v>56</v>
      </c>
      <c r="M483" s="2" t="s">
        <v>393</v>
      </c>
      <c r="N483" s="2" t="s">
        <v>58</v>
      </c>
      <c r="O483" s="2" t="s">
        <v>59</v>
      </c>
      <c r="P483" s="2"/>
      <c r="Q483" s="2" t="s">
        <v>386</v>
      </c>
      <c r="R483" s="2"/>
    </row>
    <row r="484" spans="1:18">
      <c r="A484" s="2" t="s">
        <v>1506</v>
      </c>
      <c r="B484" s="2" t="s">
        <v>1507</v>
      </c>
      <c r="C484" s="2" t="s">
        <v>1500</v>
      </c>
      <c r="D484" s="2">
        <v>-84184158.28</v>
      </c>
      <c r="E484" s="2">
        <v>1</v>
      </c>
      <c r="F484" s="3">
        <f>IF(COUNT(D484,E484)=2,D484*E484,NA())</f>
        <v>-84184158.28</v>
      </c>
      <c r="G484" s="2" t="s">
        <v>52</v>
      </c>
      <c r="H484" s="2" t="s">
        <v>53</v>
      </c>
      <c r="I484" s="2" t="s">
        <v>54</v>
      </c>
      <c r="J484" s="2" t="s">
        <v>55</v>
      </c>
      <c r="K484" s="2" t="s">
        <v>392</v>
      </c>
      <c r="L484" s="2" t="s">
        <v>56</v>
      </c>
      <c r="M484" s="2" t="s">
        <v>393</v>
      </c>
      <c r="N484" s="2" t="s">
        <v>58</v>
      </c>
      <c r="O484" s="2" t="s">
        <v>59</v>
      </c>
      <c r="P484" s="2"/>
      <c r="Q484" s="2" t="s">
        <v>386</v>
      </c>
      <c r="R484" s="2"/>
    </row>
    <row r="485" spans="1:18">
      <c r="A485" s="2" t="s">
        <v>1508</v>
      </c>
      <c r="B485" s="2" t="s">
        <v>1509</v>
      </c>
      <c r="C485" s="2" t="s">
        <v>1510</v>
      </c>
      <c r="D485" s="2">
        <v>82000000</v>
      </c>
      <c r="E485" s="2">
        <v>1</v>
      </c>
      <c r="F485" s="3">
        <f>IF(COUNT(D485,E485)=2,D485*E485,NA())</f>
        <v>82000000.0</v>
      </c>
      <c r="G485" s="2" t="s">
        <v>52</v>
      </c>
      <c r="H485" s="2" t="s">
        <v>53</v>
      </c>
      <c r="I485" s="2" t="s">
        <v>54</v>
      </c>
      <c r="J485" s="2" t="s">
        <v>55</v>
      </c>
      <c r="K485" s="2" t="s">
        <v>392</v>
      </c>
      <c r="L485" s="2" t="s">
        <v>56</v>
      </c>
      <c r="M485" s="2" t="s">
        <v>393</v>
      </c>
      <c r="N485" s="2" t="s">
        <v>58</v>
      </c>
      <c r="O485" s="2" t="s">
        <v>59</v>
      </c>
      <c r="P485" s="2"/>
      <c r="Q485" s="2" t="s">
        <v>1511</v>
      </c>
      <c r="R485" s="2"/>
    </row>
    <row r="486" spans="1:18">
      <c r="A486" s="2" t="s">
        <v>1512</v>
      </c>
      <c r="B486" s="2" t="s">
        <v>1513</v>
      </c>
      <c r="C486" s="2" t="s">
        <v>1510</v>
      </c>
      <c r="D486" s="2">
        <v>12406363.03</v>
      </c>
      <c r="E486" s="2">
        <v>1</v>
      </c>
      <c r="F486" s="3">
        <f>IF(COUNT(D486,E486)=2,D486*E486,NA())</f>
        <v>12406363.03</v>
      </c>
      <c r="G486" s="2" t="s">
        <v>52</v>
      </c>
      <c r="H486" s="2" t="s">
        <v>53</v>
      </c>
      <c r="I486" s="2" t="s">
        <v>54</v>
      </c>
      <c r="J486" s="2" t="s">
        <v>55</v>
      </c>
      <c r="K486" s="2"/>
      <c r="L486" s="2" t="s">
        <v>63</v>
      </c>
      <c r="M486" s="2" t="s">
        <v>57</v>
      </c>
      <c r="N486" s="2" t="s">
        <v>64</v>
      </c>
      <c r="O486" s="2" t="s">
        <v>59</v>
      </c>
      <c r="P486" s="2"/>
      <c r="Q486" s="2" t="s">
        <v>1511</v>
      </c>
      <c r="R486" s="2"/>
    </row>
    <row r="487" spans="1:18">
      <c r="A487" s="2" t="s">
        <v>1514</v>
      </c>
      <c r="B487" s="2" t="s">
        <v>1515</v>
      </c>
      <c r="C487" s="2" t="s">
        <v>1510</v>
      </c>
      <c r="D487" s="2">
        <v>833421.24</v>
      </c>
      <c r="E487" s="2">
        <v>1</v>
      </c>
      <c r="F487" s="3">
        <f>IF(COUNT(D487,E487)=2,D487*E487,NA())</f>
        <v>833421.24</v>
      </c>
      <c r="G487" s="2" t="s">
        <v>52</v>
      </c>
      <c r="H487" s="2" t="s">
        <v>53</v>
      </c>
      <c r="I487" s="2" t="s">
        <v>54</v>
      </c>
      <c r="J487" s="2" t="s">
        <v>55</v>
      </c>
      <c r="K487" s="2"/>
      <c r="L487" s="2" t="s">
        <v>63</v>
      </c>
      <c r="M487" s="2" t="s">
        <v>57</v>
      </c>
      <c r="N487" s="2" t="s">
        <v>64</v>
      </c>
      <c r="O487" s="2" t="s">
        <v>59</v>
      </c>
      <c r="P487" s="2"/>
      <c r="Q487" s="2" t="s">
        <v>1511</v>
      </c>
      <c r="R487" s="2"/>
    </row>
    <row r="488" spans="1:18">
      <c r="A488" s="2" t="s">
        <v>1516</v>
      </c>
      <c r="B488" s="2" t="s">
        <v>1517</v>
      </c>
      <c r="C488" s="2" t="s">
        <v>1510</v>
      </c>
      <c r="D488" s="2">
        <v>88583593.53</v>
      </c>
      <c r="E488" s="2">
        <v>1</v>
      </c>
      <c r="F488" s="3">
        <f>IF(COUNT(D488,E488)=2,D488*E488,NA())</f>
        <v>88583593.53</v>
      </c>
      <c r="G488" s="2" t="s">
        <v>52</v>
      </c>
      <c r="H488" s="2" t="s">
        <v>53</v>
      </c>
      <c r="I488" s="2" t="s">
        <v>54</v>
      </c>
      <c r="J488" s="2" t="s">
        <v>55</v>
      </c>
      <c r="K488" s="2"/>
      <c r="L488" s="2" t="s">
        <v>63</v>
      </c>
      <c r="M488" s="2" t="s">
        <v>57</v>
      </c>
      <c r="N488" s="2" t="s">
        <v>64</v>
      </c>
      <c r="O488" s="2" t="s">
        <v>59</v>
      </c>
      <c r="P488" s="2"/>
      <c r="Q488" s="2" t="s">
        <v>1511</v>
      </c>
      <c r="R488" s="2"/>
    </row>
    <row r="489" spans="1:18">
      <c r="A489" s="2" t="s">
        <v>1518</v>
      </c>
      <c r="B489" s="2" t="s">
        <v>1519</v>
      </c>
      <c r="C489" s="2" t="s">
        <v>1510</v>
      </c>
      <c r="D489" s="2">
        <v>115259825.2</v>
      </c>
      <c r="E489" s="2">
        <v>1</v>
      </c>
      <c r="F489" s="3">
        <f>IF(COUNT(D489,E489)=2,D489*E489,NA())</f>
        <v>115259825.2</v>
      </c>
      <c r="G489" s="2" t="s">
        <v>52</v>
      </c>
      <c r="H489" s="2" t="s">
        <v>53</v>
      </c>
      <c r="I489" s="2" t="s">
        <v>54</v>
      </c>
      <c r="J489" s="2" t="s">
        <v>55</v>
      </c>
      <c r="K489" s="2" t="s">
        <v>392</v>
      </c>
      <c r="L489" s="2" t="s">
        <v>56</v>
      </c>
      <c r="M489" s="2" t="s">
        <v>393</v>
      </c>
      <c r="N489" s="2" t="s">
        <v>58</v>
      </c>
      <c r="O489" s="2" t="s">
        <v>59</v>
      </c>
      <c r="P489" s="2"/>
      <c r="Q489" s="2" t="s">
        <v>1520</v>
      </c>
      <c r="R489" s="2"/>
    </row>
    <row r="490" spans="1:18">
      <c r="A490" s="2" t="s">
        <v>1521</v>
      </c>
      <c r="B490" s="2" t="s">
        <v>1522</v>
      </c>
      <c r="C490" s="2" t="s">
        <v>1510</v>
      </c>
      <c r="D490" s="2">
        <v>89510352.73</v>
      </c>
      <c r="E490" s="2">
        <v>1</v>
      </c>
      <c r="F490" s="3">
        <f>IF(COUNT(D490,E490)=2,D490*E490,NA())</f>
        <v>89510352.73</v>
      </c>
      <c r="G490" s="2" t="s">
        <v>52</v>
      </c>
      <c r="H490" s="2" t="s">
        <v>53</v>
      </c>
      <c r="I490" s="2" t="s">
        <v>54</v>
      </c>
      <c r="J490" s="2" t="s">
        <v>55</v>
      </c>
      <c r="K490" s="2"/>
      <c r="L490" s="2" t="s">
        <v>56</v>
      </c>
      <c r="M490" s="2" t="s">
        <v>57</v>
      </c>
      <c r="N490" s="2" t="s">
        <v>58</v>
      </c>
      <c r="O490" s="2" t="s">
        <v>59</v>
      </c>
      <c r="P490" s="2"/>
      <c r="Q490" s="2" t="s">
        <v>1520</v>
      </c>
      <c r="R490" s="2"/>
    </row>
    <row r="491" spans="1:18">
      <c r="A491" s="2" t="s">
        <v>1523</v>
      </c>
      <c r="B491" s="2" t="s">
        <v>1524</v>
      </c>
      <c r="C491" s="2" t="s">
        <v>1510</v>
      </c>
      <c r="D491" s="2">
        <v>30000000</v>
      </c>
      <c r="E491" s="2">
        <v>1</v>
      </c>
      <c r="F491" s="3">
        <f>IF(COUNT(D491,E491)=2,D491*E491,NA())</f>
        <v>30000000.0</v>
      </c>
      <c r="G491" s="2" t="s">
        <v>52</v>
      </c>
      <c r="H491" s="2" t="s">
        <v>53</v>
      </c>
      <c r="I491" s="2" t="s">
        <v>54</v>
      </c>
      <c r="J491" s="2" t="s">
        <v>55</v>
      </c>
      <c r="K491" s="2" t="s">
        <v>392</v>
      </c>
      <c r="L491" s="2" t="s">
        <v>56</v>
      </c>
      <c r="M491" s="2" t="s">
        <v>393</v>
      </c>
      <c r="N491" s="2" t="s">
        <v>58</v>
      </c>
      <c r="O491" s="2" t="s">
        <v>59</v>
      </c>
      <c r="P491" s="2"/>
      <c r="Q491" s="2" t="s">
        <v>1525</v>
      </c>
      <c r="R491" s="2"/>
    </row>
    <row r="492" spans="1:18">
      <c r="A492" s="2" t="s">
        <v>1526</v>
      </c>
      <c r="B492" s="2" t="s">
        <v>1527</v>
      </c>
      <c r="C492" s="2" t="s">
        <v>1510</v>
      </c>
      <c r="D492" s="2">
        <v>2.4</v>
      </c>
      <c r="E492" s="2">
        <v>100000000</v>
      </c>
      <c r="F492" s="3">
        <f>IF(COUNT(D492,E492)=2,D492*E492,NA())</f>
        <v>240000000.0</v>
      </c>
      <c r="G492" s="2" t="s">
        <v>52</v>
      </c>
      <c r="H492" s="2" t="s">
        <v>53</v>
      </c>
      <c r="I492" s="2" t="s">
        <v>54</v>
      </c>
      <c r="J492" s="2" t="s">
        <v>55</v>
      </c>
      <c r="K492" s="2"/>
      <c r="L492" s="2" t="s">
        <v>56</v>
      </c>
      <c r="M492" s="2" t="s">
        <v>57</v>
      </c>
      <c r="N492" s="2" t="s">
        <v>58</v>
      </c>
      <c r="O492" s="2" t="s">
        <v>59</v>
      </c>
      <c r="P492" s="2" t="s">
        <v>1528</v>
      </c>
      <c r="Q492" s="2" t="s">
        <v>1525</v>
      </c>
      <c r="R492" s="2"/>
    </row>
    <row r="493" spans="1:18">
      <c r="A493" s="2" t="s">
        <v>1529</v>
      </c>
      <c r="B493" s="2" t="s">
        <v>1530</v>
      </c>
      <c r="C493" s="2" t="s">
        <v>1531</v>
      </c>
      <c r="D493" s="2">
        <v>160098145.6</v>
      </c>
      <c r="E493" s="2">
        <v>1</v>
      </c>
      <c r="F493" s="3">
        <f>IF(COUNT(D493,E493)=2,D493*E493,NA())</f>
        <v>160098145.6</v>
      </c>
      <c r="G493" s="2" t="s">
        <v>52</v>
      </c>
      <c r="H493" s="2" t="s">
        <v>53</v>
      </c>
      <c r="I493" s="2" t="s">
        <v>54</v>
      </c>
      <c r="J493" s="2" t="s">
        <v>1532</v>
      </c>
      <c r="K493" s="2"/>
      <c r="L493" s="2" t="s">
        <v>56</v>
      </c>
      <c r="M493" s="2" t="s">
        <v>57</v>
      </c>
      <c r="N493" s="2" t="s">
        <v>58</v>
      </c>
      <c r="O493" s="2" t="s">
        <v>1533</v>
      </c>
      <c r="P493" s="2" t="s">
        <v>1534</v>
      </c>
      <c r="Q493" s="2" t="s">
        <v>1535</v>
      </c>
      <c r="R493" s="2"/>
    </row>
    <row r="494" spans="1:18">
      <c r="A494" s="2" t="s">
        <v>1536</v>
      </c>
      <c r="B494" s="2" t="s">
        <v>1537</v>
      </c>
      <c r="C494" s="2" t="s">
        <v>1538</v>
      </c>
      <c r="D494" s="2">
        <v>165535710.88</v>
      </c>
      <c r="E494" s="2">
        <v>1</v>
      </c>
      <c r="F494" s="3">
        <f>IF(COUNT(D494,E494)=2,D494*E494,NA())</f>
        <v>165535710.88</v>
      </c>
      <c r="G494" s="2" t="s">
        <v>52</v>
      </c>
      <c r="H494" s="2" t="s">
        <v>53</v>
      </c>
      <c r="I494" s="2" t="s">
        <v>54</v>
      </c>
      <c r="J494" s="2" t="s">
        <v>55</v>
      </c>
      <c r="K494" s="2"/>
      <c r="L494" s="2" t="s">
        <v>56</v>
      </c>
      <c r="M494" s="2" t="s">
        <v>57</v>
      </c>
      <c r="N494" s="2" t="s">
        <v>58</v>
      </c>
      <c r="O494" s="2" t="s">
        <v>59</v>
      </c>
      <c r="P494" s="2"/>
      <c r="Q494" s="2" t="s">
        <v>1539</v>
      </c>
      <c r="R494" s="2"/>
    </row>
    <row r="495" spans="1:18">
      <c r="A495" s="2" t="s">
        <v>1540</v>
      </c>
      <c r="B495" s="2" t="s">
        <v>1541</v>
      </c>
      <c r="C495" s="2" t="s">
        <v>1542</v>
      </c>
      <c r="D495" s="2">
        <v>108000</v>
      </c>
      <c r="E495" s="2">
        <v>10000</v>
      </c>
      <c r="F495" s="3">
        <f>IF(COUNT(D495,E495)=2,D495*E495,NA())</f>
        <v>1080000000.0</v>
      </c>
      <c r="G495" s="2" t="s">
        <v>52</v>
      </c>
      <c r="H495" s="2" t="s">
        <v>53</v>
      </c>
      <c r="I495" s="2" t="s">
        <v>54</v>
      </c>
      <c r="J495" s="2" t="s">
        <v>1543</v>
      </c>
      <c r="K495" s="2"/>
      <c r="L495" s="2" t="s">
        <v>56</v>
      </c>
      <c r="M495" s="2" t="s">
        <v>57</v>
      </c>
      <c r="N495" s="2" t="s">
        <v>58</v>
      </c>
      <c r="O495" s="2" t="s">
        <v>1544</v>
      </c>
      <c r="P495" s="2" t="s">
        <v>1545</v>
      </c>
      <c r="Q495" s="2" t="s">
        <v>1546</v>
      </c>
      <c r="R495" s="2"/>
    </row>
    <row r="496" spans="1:18">
      <c r="A496" s="2" t="s">
        <v>1547</v>
      </c>
      <c r="B496" s="2" t="s">
        <v>1548</v>
      </c>
      <c r="C496" s="2" t="s">
        <v>1542</v>
      </c>
      <c r="D496" s="2">
        <v>496183.31</v>
      </c>
      <c r="E496" s="2">
        <v>10000</v>
      </c>
      <c r="F496" s="3">
        <f>IF(COUNT(D496,E496)=2,D496*E496,NA())</f>
        <v>4961833100.0</v>
      </c>
      <c r="G496" s="2" t="s">
        <v>52</v>
      </c>
      <c r="H496" s="2" t="s">
        <v>53</v>
      </c>
      <c r="I496" s="2" t="s">
        <v>54</v>
      </c>
      <c r="J496" s="2" t="s">
        <v>55</v>
      </c>
      <c r="K496" s="2"/>
      <c r="L496" s="2" t="s">
        <v>56</v>
      </c>
      <c r="M496" s="2" t="s">
        <v>57</v>
      </c>
      <c r="N496" s="2" t="s">
        <v>58</v>
      </c>
      <c r="O496" s="2" t="s">
        <v>59</v>
      </c>
      <c r="P496" s="2" t="s">
        <v>1549</v>
      </c>
      <c r="Q496" s="2" t="s">
        <v>1550</v>
      </c>
      <c r="R496" s="2"/>
    </row>
    <row r="497" spans="1:18">
      <c r="A497" s="2" t="s">
        <v>1551</v>
      </c>
      <c r="B497" s="2" t="s">
        <v>1552</v>
      </c>
      <c r="C497" s="2" t="s">
        <v>1553</v>
      </c>
      <c r="D497" s="2">
        <v>127487.39</v>
      </c>
      <c r="E497" s="2">
        <v>10000</v>
      </c>
      <c r="F497" s="3">
        <f>IF(COUNT(D497,E497)=2,D497*E497,NA())</f>
        <v>1274873900.0</v>
      </c>
      <c r="G497" s="2" t="s">
        <v>52</v>
      </c>
      <c r="H497" s="2" t="s">
        <v>53</v>
      </c>
      <c r="I497" s="2" t="s">
        <v>54</v>
      </c>
      <c r="J497" s="2" t="s">
        <v>55</v>
      </c>
      <c r="K497" s="2"/>
      <c r="L497" s="2" t="s">
        <v>56</v>
      </c>
      <c r="M497" s="2" t="s">
        <v>57</v>
      </c>
      <c r="N497" s="2" t="s">
        <v>58</v>
      </c>
      <c r="O497" s="2" t="s">
        <v>59</v>
      </c>
      <c r="P497" s="2" t="s">
        <v>1549</v>
      </c>
      <c r="Q497" s="2" t="s">
        <v>1554</v>
      </c>
      <c r="R497" s="2"/>
    </row>
    <row r="498" spans="1:18">
      <c r="A498" s="2" t="s">
        <v>1555</v>
      </c>
      <c r="B498" s="2" t="s">
        <v>1556</v>
      </c>
      <c r="C498" s="2" t="s">
        <v>1553</v>
      </c>
      <c r="D498" s="2">
        <v>86431172.31</v>
      </c>
      <c r="E498" s="2">
        <v>1</v>
      </c>
      <c r="F498" s="3">
        <f>IF(COUNT(D498,E498)=2,D498*E498,NA())</f>
        <v>86431172.31</v>
      </c>
      <c r="G498" s="2" t="s">
        <v>52</v>
      </c>
      <c r="H498" s="2" t="s">
        <v>53</v>
      </c>
      <c r="I498" s="2" t="s">
        <v>54</v>
      </c>
      <c r="J498" s="2" t="s">
        <v>55</v>
      </c>
      <c r="K498" s="2"/>
      <c r="L498" s="2" t="s">
        <v>56</v>
      </c>
      <c r="M498" s="2" t="s">
        <v>57</v>
      </c>
      <c r="N498" s="2" t="s">
        <v>58</v>
      </c>
      <c r="O498" s="2" t="s">
        <v>59</v>
      </c>
      <c r="P498" s="2"/>
      <c r="Q498" s="2" t="s">
        <v>1554</v>
      </c>
      <c r="R498" s="2"/>
    </row>
    <row r="499" spans="1:18">
      <c r="A499" s="2" t="s">
        <v>1557</v>
      </c>
      <c r="B499" s="2" t="s">
        <v>1558</v>
      </c>
      <c r="C499" s="2" t="s">
        <v>1407</v>
      </c>
      <c r="D499" s="2">
        <v>66598292.64</v>
      </c>
      <c r="E499" s="2">
        <v>1</v>
      </c>
      <c r="F499" s="3">
        <f>IF(COUNT(D499,E499)=2,D499*E499,NA())</f>
        <v>66598292.64</v>
      </c>
      <c r="G499" s="2" t="s">
        <v>52</v>
      </c>
      <c r="H499" s="2" t="s">
        <v>53</v>
      </c>
      <c r="I499" s="2" t="s">
        <v>54</v>
      </c>
      <c r="J499" s="2" t="s">
        <v>55</v>
      </c>
      <c r="K499" s="2"/>
      <c r="L499" s="2" t="s">
        <v>56</v>
      </c>
      <c r="M499" s="2" t="s">
        <v>57</v>
      </c>
      <c r="N499" s="2" t="s">
        <v>58</v>
      </c>
      <c r="O499" s="2" t="s">
        <v>59</v>
      </c>
      <c r="P499" s="2"/>
      <c r="Q499" s="2" t="s">
        <v>1559</v>
      </c>
      <c r="R499" s="2"/>
    </row>
    <row r="500" spans="1:18">
      <c r="A500" s="2" t="s">
        <v>1560</v>
      </c>
      <c r="B500" s="2" t="s">
        <v>1561</v>
      </c>
      <c r="C500" s="2" t="s">
        <v>1562</v>
      </c>
      <c r="D500" s="2">
        <v>1143546285.82</v>
      </c>
      <c r="E500" s="2">
        <v>1</v>
      </c>
      <c r="F500" s="3">
        <f>IF(COUNT(D500,E500)=2,D500*E500,NA())</f>
        <v>1143546285.82</v>
      </c>
      <c r="G500" s="2" t="s">
        <v>52</v>
      </c>
      <c r="H500" s="2" t="s">
        <v>53</v>
      </c>
      <c r="I500" s="2" t="s">
        <v>54</v>
      </c>
      <c r="J500" s="2" t="s">
        <v>55</v>
      </c>
      <c r="K500" s="2" t="s">
        <v>1563</v>
      </c>
      <c r="L500" s="2" t="s">
        <v>56</v>
      </c>
      <c r="M500" s="2" t="s">
        <v>393</v>
      </c>
      <c r="N500" s="2" t="s">
        <v>58</v>
      </c>
      <c r="O500" s="2" t="s">
        <v>59</v>
      </c>
      <c r="P500" s="2"/>
      <c r="Q500" s="2" t="s">
        <v>1564</v>
      </c>
      <c r="R500" s="2"/>
    </row>
    <row r="501" spans="1:18">
      <c r="A501" s="2" t="s">
        <v>1565</v>
      </c>
      <c r="B501" s="2" t="s">
        <v>1566</v>
      </c>
      <c r="C501" s="2" t="s">
        <v>1562</v>
      </c>
      <c r="D501" s="2">
        <v>-555430508.59</v>
      </c>
      <c r="E501" s="2">
        <v>1</v>
      </c>
      <c r="F501" s="3">
        <f>IF(COUNT(D501,E501)=2,D501*E501,NA())</f>
        <v>-555430508.59</v>
      </c>
      <c r="G501" s="2" t="s">
        <v>52</v>
      </c>
      <c r="H501" s="2" t="s">
        <v>53</v>
      </c>
      <c r="I501" s="2" t="s">
        <v>54</v>
      </c>
      <c r="J501" s="2" t="s">
        <v>55</v>
      </c>
      <c r="K501" s="2" t="s">
        <v>1563</v>
      </c>
      <c r="L501" s="2" t="s">
        <v>56</v>
      </c>
      <c r="M501" s="2" t="s">
        <v>393</v>
      </c>
      <c r="N501" s="2" t="s">
        <v>58</v>
      </c>
      <c r="O501" s="2" t="s">
        <v>59</v>
      </c>
      <c r="P501" s="2"/>
      <c r="Q501" s="2" t="s">
        <v>1564</v>
      </c>
      <c r="R501" s="2"/>
    </row>
    <row r="502" spans="1:18">
      <c r="A502" s="2" t="s">
        <v>1567</v>
      </c>
      <c r="B502" s="2" t="s">
        <v>1568</v>
      </c>
      <c r="C502" s="2" t="s">
        <v>1562</v>
      </c>
      <c r="D502" s="2">
        <v>-589785040.45</v>
      </c>
      <c r="E502" s="2">
        <v>1</v>
      </c>
      <c r="F502" s="3">
        <f>IF(COUNT(D502,E502)=2,D502*E502,NA())</f>
        <v>-589785040.45</v>
      </c>
      <c r="G502" s="2" t="s">
        <v>52</v>
      </c>
      <c r="H502" s="2" t="s">
        <v>53</v>
      </c>
      <c r="I502" s="2" t="s">
        <v>54</v>
      </c>
      <c r="J502" s="2" t="s">
        <v>55</v>
      </c>
      <c r="K502" s="2" t="s">
        <v>392</v>
      </c>
      <c r="L502" s="2" t="s">
        <v>56</v>
      </c>
      <c r="M502" s="2" t="s">
        <v>393</v>
      </c>
      <c r="N502" s="2" t="s">
        <v>58</v>
      </c>
      <c r="O502" s="2" t="s">
        <v>59</v>
      </c>
      <c r="P502" s="2"/>
      <c r="Q502" s="2" t="s">
        <v>1569</v>
      </c>
      <c r="R502" s="2"/>
    </row>
    <row r="503" spans="1:18">
      <c r="A503" s="2" t="s">
        <v>1570</v>
      </c>
      <c r="B503" s="2" t="s">
        <v>1568</v>
      </c>
      <c r="C503" s="2" t="s">
        <v>1562</v>
      </c>
      <c r="D503" s="2">
        <v>-261616034.64</v>
      </c>
      <c r="E503" s="2">
        <v>1</v>
      </c>
      <c r="F503" s="3">
        <f>IF(COUNT(D503,E503)=2,D503*E503,NA())</f>
        <v>-261616034.64</v>
      </c>
      <c r="G503" s="2" t="s">
        <v>52</v>
      </c>
      <c r="H503" s="2" t="s">
        <v>53</v>
      </c>
      <c r="I503" s="2" t="s">
        <v>54</v>
      </c>
      <c r="J503" s="2" t="s">
        <v>55</v>
      </c>
      <c r="K503" s="2" t="s">
        <v>397</v>
      </c>
      <c r="L503" s="2" t="s">
        <v>63</v>
      </c>
      <c r="M503" s="2" t="s">
        <v>393</v>
      </c>
      <c r="N503" s="2" t="s">
        <v>64</v>
      </c>
      <c r="O503" s="2" t="s">
        <v>59</v>
      </c>
      <c r="P503" s="2"/>
      <c r="Q503" s="2" t="s">
        <v>1569</v>
      </c>
      <c r="R503" s="2"/>
    </row>
    <row r="504" spans="1:18">
      <c r="A504" s="2" t="s">
        <v>1571</v>
      </c>
      <c r="B504" s="2" t="s">
        <v>1572</v>
      </c>
      <c r="C504" s="2" t="s">
        <v>1562</v>
      </c>
      <c r="D504" s="2">
        <v>7944393327.05</v>
      </c>
      <c r="E504" s="2">
        <v>1</v>
      </c>
      <c r="F504" s="3">
        <f>IF(COUNT(D504,E504)=2,D504*E504,NA())</f>
        <v>7944393327.05</v>
      </c>
      <c r="G504" s="2" t="s">
        <v>52</v>
      </c>
      <c r="H504" s="2" t="s">
        <v>53</v>
      </c>
      <c r="I504" s="2" t="s">
        <v>54</v>
      </c>
      <c r="J504" s="2" t="s">
        <v>55</v>
      </c>
      <c r="K504" s="2" t="s">
        <v>1573</v>
      </c>
      <c r="L504" s="2" t="s">
        <v>815</v>
      </c>
      <c r="M504" s="2" t="s">
        <v>393</v>
      </c>
      <c r="N504" s="2" t="s">
        <v>64</v>
      </c>
      <c r="O504" s="2" t="s">
        <v>59</v>
      </c>
      <c r="P504" s="2"/>
      <c r="Q504" s="2" t="s">
        <v>1574</v>
      </c>
      <c r="R504" s="2"/>
    </row>
    <row r="505" spans="1:18">
      <c r="A505" s="2" t="s">
        <v>1575</v>
      </c>
      <c r="B505" s="2" t="s">
        <v>1576</v>
      </c>
      <c r="C505" s="2" t="s">
        <v>1562</v>
      </c>
      <c r="D505" s="2">
        <v>-335577356.67</v>
      </c>
      <c r="E505" s="2">
        <v>1</v>
      </c>
      <c r="F505" s="3">
        <f>IF(COUNT(D505,E505)=2,D505*E505,NA())</f>
        <v>-335577356.67</v>
      </c>
      <c r="G505" s="2" t="s">
        <v>52</v>
      </c>
      <c r="H505" s="2" t="s">
        <v>53</v>
      </c>
      <c r="I505" s="2" t="s">
        <v>54</v>
      </c>
      <c r="J505" s="2" t="s">
        <v>55</v>
      </c>
      <c r="K505" s="2" t="s">
        <v>1573</v>
      </c>
      <c r="L505" s="2" t="s">
        <v>815</v>
      </c>
      <c r="M505" s="2" t="s">
        <v>393</v>
      </c>
      <c r="N505" s="2" t="s">
        <v>64</v>
      </c>
      <c r="O505" s="2" t="s">
        <v>59</v>
      </c>
      <c r="P505" s="2"/>
      <c r="Q505" s="2" t="s">
        <v>1577</v>
      </c>
      <c r="R505" s="2"/>
    </row>
    <row r="506" spans="1:18">
      <c r="A506" s="2" t="s">
        <v>1578</v>
      </c>
      <c r="B506" s="2" t="s">
        <v>1579</v>
      </c>
      <c r="C506" s="2" t="s">
        <v>1562</v>
      </c>
      <c r="D506" s="2">
        <v>-426248576.3</v>
      </c>
      <c r="E506" s="2">
        <v>1</v>
      </c>
      <c r="F506" s="3">
        <f>IF(COUNT(D506,E506)=2,D506*E506,NA())</f>
        <v>-426248576.3</v>
      </c>
      <c r="G506" s="2" t="s">
        <v>52</v>
      </c>
      <c r="H506" s="2" t="s">
        <v>53</v>
      </c>
      <c r="I506" s="2" t="s">
        <v>54</v>
      </c>
      <c r="J506" s="2" t="s">
        <v>55</v>
      </c>
      <c r="K506" s="2" t="s">
        <v>1573</v>
      </c>
      <c r="L506" s="2" t="s">
        <v>815</v>
      </c>
      <c r="M506" s="2" t="s">
        <v>393</v>
      </c>
      <c r="N506" s="2" t="s">
        <v>64</v>
      </c>
      <c r="O506" s="2" t="s">
        <v>59</v>
      </c>
      <c r="P506" s="2"/>
      <c r="Q506" s="2" t="s">
        <v>1580</v>
      </c>
      <c r="R506" s="2"/>
    </row>
    <row r="507" spans="1:18">
      <c r="A507" s="2" t="s">
        <v>1581</v>
      </c>
      <c r="B507" s="2" t="s">
        <v>1582</v>
      </c>
      <c r="C507" s="2" t="s">
        <v>1562</v>
      </c>
      <c r="D507" s="2">
        <v>162118088.76</v>
      </c>
      <c r="E507" s="2">
        <v>1</v>
      </c>
      <c r="F507" s="3">
        <f>IF(COUNT(D507,E507)=2,D507*E507,NA())</f>
        <v>162118088.76</v>
      </c>
      <c r="G507" s="2" t="s">
        <v>52</v>
      </c>
      <c r="H507" s="2" t="s">
        <v>53</v>
      </c>
      <c r="I507" s="2" t="s">
        <v>54</v>
      </c>
      <c r="J507" s="2" t="s">
        <v>55</v>
      </c>
      <c r="K507" s="2" t="s">
        <v>1573</v>
      </c>
      <c r="L507" s="2" t="s">
        <v>815</v>
      </c>
      <c r="M507" s="2" t="s">
        <v>393</v>
      </c>
      <c r="N507" s="2" t="s">
        <v>64</v>
      </c>
      <c r="O507" s="2" t="s">
        <v>59</v>
      </c>
      <c r="P507" s="2"/>
      <c r="Q507" s="2" t="s">
        <v>1583</v>
      </c>
      <c r="R507" s="2"/>
    </row>
    <row r="508" spans="1:18">
      <c r="A508" s="2" t="s">
        <v>1584</v>
      </c>
      <c r="B508" s="2" t="s">
        <v>1585</v>
      </c>
      <c r="C508" s="2" t="s">
        <v>1562</v>
      </c>
      <c r="D508" s="2">
        <v>13927995159.72</v>
      </c>
      <c r="E508" s="2">
        <v>1</v>
      </c>
      <c r="F508" s="3">
        <f>IF(COUNT(D508,E508)=2,D508*E508,NA())</f>
        <v>13927995159.72</v>
      </c>
      <c r="G508" s="2" t="s">
        <v>52</v>
      </c>
      <c r="H508" s="2" t="s">
        <v>53</v>
      </c>
      <c r="I508" s="2" t="s">
        <v>54</v>
      </c>
      <c r="J508" s="2" t="s">
        <v>55</v>
      </c>
      <c r="K508" s="2"/>
      <c r="L508" s="2" t="s">
        <v>815</v>
      </c>
      <c r="M508" s="2" t="s">
        <v>57</v>
      </c>
      <c r="N508" s="2" t="s">
        <v>64</v>
      </c>
      <c r="O508" s="2" t="s">
        <v>59</v>
      </c>
      <c r="P508" s="2"/>
      <c r="Q508" s="2" t="s">
        <v>215</v>
      </c>
      <c r="R508" s="2"/>
    </row>
    <row r="509" spans="1:18">
      <c r="A509" s="2" t="s">
        <v>1586</v>
      </c>
      <c r="B509" s="2" t="s">
        <v>1587</v>
      </c>
      <c r="C509" s="2" t="s">
        <v>1562</v>
      </c>
      <c r="D509" s="2">
        <v>5131025064.07</v>
      </c>
      <c r="E509" s="2">
        <v>1</v>
      </c>
      <c r="F509" s="3">
        <f>IF(COUNT(D509,E509)=2,D509*E509,NA())</f>
        <v>5131025064.07</v>
      </c>
      <c r="G509" s="2" t="s">
        <v>52</v>
      </c>
      <c r="H509" s="2" t="s">
        <v>53</v>
      </c>
      <c r="I509" s="2" t="s">
        <v>54</v>
      </c>
      <c r="J509" s="2" t="s">
        <v>55</v>
      </c>
      <c r="K509" s="2"/>
      <c r="L509" s="2" t="s">
        <v>815</v>
      </c>
      <c r="M509" s="2" t="s">
        <v>57</v>
      </c>
      <c r="N509" s="2" t="s">
        <v>64</v>
      </c>
      <c r="O509" s="2" t="s">
        <v>59</v>
      </c>
      <c r="P509" s="2"/>
      <c r="Q509" s="2" t="s">
        <v>1588</v>
      </c>
      <c r="R509" s="2"/>
    </row>
    <row r="510" spans="1:18">
      <c r="A510" s="2" t="s">
        <v>1589</v>
      </c>
      <c r="B510" s="2" t="s">
        <v>1590</v>
      </c>
      <c r="C510" s="2" t="s">
        <v>1591</v>
      </c>
      <c r="D510" s="2">
        <v>13780575635.03</v>
      </c>
      <c r="E510" s="2">
        <v>1</v>
      </c>
      <c r="F510" s="3">
        <f>IF(COUNT(D510,E510)=2,D510*E510,NA())</f>
        <v>13780575635.03</v>
      </c>
      <c r="G510" s="2" t="s">
        <v>52</v>
      </c>
      <c r="H510" s="2" t="s">
        <v>53</v>
      </c>
      <c r="I510" s="2" t="s">
        <v>54</v>
      </c>
      <c r="J510" s="2" t="s">
        <v>55</v>
      </c>
      <c r="K510" s="2"/>
      <c r="L510" s="2" t="s">
        <v>815</v>
      </c>
      <c r="M510" s="2" t="s">
        <v>57</v>
      </c>
      <c r="N510" s="2" t="s">
        <v>58</v>
      </c>
      <c r="O510" s="2" t="s">
        <v>1592</v>
      </c>
      <c r="P510" s="2"/>
      <c r="Q510" s="2" t="s">
        <v>1593</v>
      </c>
      <c r="R510" s="2"/>
    </row>
    <row r="511" spans="1:18">
      <c r="A511" s="2" t="s">
        <v>1594</v>
      </c>
      <c r="B511" s="2" t="s">
        <v>1595</v>
      </c>
      <c r="C511" s="2" t="s">
        <v>1591</v>
      </c>
      <c r="D511" s="2">
        <v>8665431418.6</v>
      </c>
      <c r="E511" s="2">
        <v>1</v>
      </c>
      <c r="F511" s="3">
        <f>IF(COUNT(D511,E511)=2,D511*E511,NA())</f>
        <v>8665431418.6</v>
      </c>
      <c r="G511" s="2" t="s">
        <v>52</v>
      </c>
      <c r="H511" s="2" t="s">
        <v>53</v>
      </c>
      <c r="I511" s="2" t="s">
        <v>54</v>
      </c>
      <c r="J511" s="2" t="s">
        <v>55</v>
      </c>
      <c r="K511" s="2"/>
      <c r="L511" s="2" t="s">
        <v>815</v>
      </c>
      <c r="M511" s="2" t="s">
        <v>57</v>
      </c>
      <c r="N511" s="2" t="s">
        <v>58</v>
      </c>
      <c r="O511" s="2" t="s">
        <v>1592</v>
      </c>
      <c r="P511" s="2"/>
      <c r="Q511" s="2" t="s">
        <v>1596</v>
      </c>
      <c r="R511" s="2"/>
    </row>
    <row r="512" spans="1:18">
      <c r="A512" s="2" t="s">
        <v>1597</v>
      </c>
      <c r="B512" s="2" t="s">
        <v>1598</v>
      </c>
      <c r="C512" s="2" t="s">
        <v>1591</v>
      </c>
      <c r="D512" s="2">
        <v>5115144216.43</v>
      </c>
      <c r="E512" s="2">
        <v>1</v>
      </c>
      <c r="F512" s="3">
        <f>IF(COUNT(D512,E512)=2,D512*E512,NA())</f>
        <v>5115144216.43</v>
      </c>
      <c r="G512" s="2" t="s">
        <v>52</v>
      </c>
      <c r="H512" s="2" t="s">
        <v>53</v>
      </c>
      <c r="I512" s="2" t="s">
        <v>54</v>
      </c>
      <c r="J512" s="2" t="s">
        <v>55</v>
      </c>
      <c r="K512" s="2"/>
      <c r="L512" s="2" t="s">
        <v>815</v>
      </c>
      <c r="M512" s="2" t="s">
        <v>57</v>
      </c>
      <c r="N512" s="2" t="s">
        <v>58</v>
      </c>
      <c r="O512" s="2" t="s">
        <v>1592</v>
      </c>
      <c r="P512" s="2"/>
      <c r="Q512" s="2" t="s">
        <v>1599</v>
      </c>
      <c r="R512" s="2"/>
    </row>
    <row r="513" spans="1:18">
      <c r="A513" s="2" t="s">
        <v>1600</v>
      </c>
      <c r="B513" s="2" t="s">
        <v>1601</v>
      </c>
      <c r="C513" s="2" t="s">
        <v>1591</v>
      </c>
      <c r="D513" s="2">
        <v>5033823848.47</v>
      </c>
      <c r="E513" s="2">
        <v>1</v>
      </c>
      <c r="F513" s="3">
        <f>IF(COUNT(D513,E513)=2,D513*E513,NA())</f>
        <v>5033823848.47</v>
      </c>
      <c r="G513" s="2" t="s">
        <v>52</v>
      </c>
      <c r="H513" s="2" t="s">
        <v>53</v>
      </c>
      <c r="I513" s="2" t="s">
        <v>54</v>
      </c>
      <c r="J513" s="2" t="s">
        <v>55</v>
      </c>
      <c r="K513" s="2"/>
      <c r="L513" s="2" t="s">
        <v>815</v>
      </c>
      <c r="M513" s="2" t="s">
        <v>57</v>
      </c>
      <c r="N513" s="2" t="s">
        <v>58</v>
      </c>
      <c r="O513" s="2" t="s">
        <v>1592</v>
      </c>
      <c r="P513" s="2"/>
      <c r="Q513" s="2" t="s">
        <v>1602</v>
      </c>
      <c r="R513" s="2"/>
    </row>
    <row r="514" spans="1:18">
      <c r="A514" s="2" t="s">
        <v>1603</v>
      </c>
      <c r="B514" s="2" t="s">
        <v>1604</v>
      </c>
      <c r="C514" s="2" t="s">
        <v>1591</v>
      </c>
      <c r="D514" s="2">
        <v>2328973992.71</v>
      </c>
      <c r="E514" s="2">
        <v>1</v>
      </c>
      <c r="F514" s="3">
        <f>IF(COUNT(D514,E514)=2,D514*E514,NA())</f>
        <v>2328973992.71</v>
      </c>
      <c r="G514" s="2" t="s">
        <v>52</v>
      </c>
      <c r="H514" s="2" t="s">
        <v>53</v>
      </c>
      <c r="I514" s="2" t="s">
        <v>54</v>
      </c>
      <c r="J514" s="2" t="s">
        <v>55</v>
      </c>
      <c r="K514" s="2"/>
      <c r="L514" s="2" t="s">
        <v>815</v>
      </c>
      <c r="M514" s="2" t="s">
        <v>57</v>
      </c>
      <c r="N514" s="2" t="s">
        <v>58</v>
      </c>
      <c r="O514" s="2" t="s">
        <v>1592</v>
      </c>
      <c r="P514" s="2"/>
      <c r="Q514" s="2" t="s">
        <v>1605</v>
      </c>
      <c r="R514" s="2"/>
    </row>
    <row r="515" spans="1:18">
      <c r="A515" s="2" t="s">
        <v>1606</v>
      </c>
      <c r="B515" s="2" t="s">
        <v>1607</v>
      </c>
      <c r="C515" s="2" t="s">
        <v>1591</v>
      </c>
      <c r="D515" s="2">
        <v>1996303433.5</v>
      </c>
      <c r="E515" s="2">
        <v>1</v>
      </c>
      <c r="F515" s="3">
        <f>IF(COUNT(D515,E515)=2,D515*E515,NA())</f>
        <v>1996303433.5</v>
      </c>
      <c r="G515" s="2" t="s">
        <v>52</v>
      </c>
      <c r="H515" s="2" t="s">
        <v>53</v>
      </c>
      <c r="I515" s="2" t="s">
        <v>54</v>
      </c>
      <c r="J515" s="2" t="s">
        <v>55</v>
      </c>
      <c r="K515" s="2"/>
      <c r="L515" s="2" t="s">
        <v>815</v>
      </c>
      <c r="M515" s="2" t="s">
        <v>57</v>
      </c>
      <c r="N515" s="2" t="s">
        <v>58</v>
      </c>
      <c r="O515" s="2" t="s">
        <v>1592</v>
      </c>
      <c r="P515" s="2"/>
      <c r="Q515" s="2" t="s">
        <v>1608</v>
      </c>
      <c r="R515" s="2"/>
    </row>
    <row r="516" spans="1:18">
      <c r="A516" s="2" t="s">
        <v>1609</v>
      </c>
      <c r="B516" s="2" t="s">
        <v>1610</v>
      </c>
      <c r="C516" s="2" t="s">
        <v>1591</v>
      </c>
      <c r="D516" s="2">
        <v>332670559.21</v>
      </c>
      <c r="E516" s="2">
        <v>1</v>
      </c>
      <c r="F516" s="3">
        <f>IF(COUNT(D516,E516)=2,D516*E516,NA())</f>
        <v>332670559.21</v>
      </c>
      <c r="G516" s="2" t="s">
        <v>52</v>
      </c>
      <c r="H516" s="2" t="s">
        <v>53</v>
      </c>
      <c r="I516" s="2" t="s">
        <v>54</v>
      </c>
      <c r="J516" s="2" t="s">
        <v>55</v>
      </c>
      <c r="K516" s="2"/>
      <c r="L516" s="2" t="s">
        <v>815</v>
      </c>
      <c r="M516" s="2" t="s">
        <v>57</v>
      </c>
      <c r="N516" s="2" t="s">
        <v>58</v>
      </c>
      <c r="O516" s="2" t="s">
        <v>1592</v>
      </c>
      <c r="P516" s="2"/>
      <c r="Q516" s="2" t="s">
        <v>1611</v>
      </c>
      <c r="R516" s="2"/>
    </row>
    <row r="517" spans="1:18">
      <c r="A517" s="2" t="s">
        <v>1612</v>
      </c>
      <c r="B517" s="2" t="s">
        <v>1613</v>
      </c>
      <c r="C517" s="2" t="s">
        <v>1591</v>
      </c>
      <c r="D517" s="2">
        <v>9815309440.049999</v>
      </c>
      <c r="E517" s="2">
        <v>1</v>
      </c>
      <c r="F517" s="3">
        <f>IF(COUNT(D517,E517)=2,D517*E517,NA())</f>
        <v>9815309440.05</v>
      </c>
      <c r="G517" s="2" t="s">
        <v>52</v>
      </c>
      <c r="H517" s="2" t="s">
        <v>53</v>
      </c>
      <c r="I517" s="2" t="s">
        <v>54</v>
      </c>
      <c r="J517" s="2" t="s">
        <v>55</v>
      </c>
      <c r="K517" s="2"/>
      <c r="L517" s="2" t="s">
        <v>815</v>
      </c>
      <c r="M517" s="2" t="s">
        <v>57</v>
      </c>
      <c r="N517" s="2" t="s">
        <v>58</v>
      </c>
      <c r="O517" s="2" t="s">
        <v>1592</v>
      </c>
      <c r="P517" s="2"/>
      <c r="Q517" s="2" t="s">
        <v>1614</v>
      </c>
      <c r="R517" s="2"/>
    </row>
    <row r="518" spans="1:18">
      <c r="A518" s="2" t="s">
        <v>1615</v>
      </c>
      <c r="B518" s="2" t="s">
        <v>1616</v>
      </c>
      <c r="C518" s="2" t="s">
        <v>1591</v>
      </c>
      <c r="D518" s="2">
        <v>5961498886.12</v>
      </c>
      <c r="E518" s="2">
        <v>1</v>
      </c>
      <c r="F518" s="3">
        <f>IF(COUNT(D518,E518)=2,D518*E518,NA())</f>
        <v>5961498886.12</v>
      </c>
      <c r="G518" s="2" t="s">
        <v>52</v>
      </c>
      <c r="H518" s="2" t="s">
        <v>53</v>
      </c>
      <c r="I518" s="2" t="s">
        <v>54</v>
      </c>
      <c r="J518" s="2" t="s">
        <v>55</v>
      </c>
      <c r="K518" s="2"/>
      <c r="L518" s="2" t="s">
        <v>815</v>
      </c>
      <c r="M518" s="2" t="s">
        <v>57</v>
      </c>
      <c r="N518" s="2" t="s">
        <v>58</v>
      </c>
      <c r="O518" s="2" t="s">
        <v>1592</v>
      </c>
      <c r="P518" s="2"/>
      <c r="Q518" s="2" t="s">
        <v>1617</v>
      </c>
      <c r="R518" s="2"/>
    </row>
    <row r="519" spans="1:18">
      <c r="A519" s="2" t="s">
        <v>1618</v>
      </c>
      <c r="B519" s="2" t="s">
        <v>1619</v>
      </c>
      <c r="C519" s="2" t="s">
        <v>1591</v>
      </c>
      <c r="D519" s="2">
        <v>4118738675.18</v>
      </c>
      <c r="E519" s="2">
        <v>1</v>
      </c>
      <c r="F519" s="3">
        <f>IF(COUNT(D519,E519)=2,D519*E519,NA())</f>
        <v>4118738675.18</v>
      </c>
      <c r="G519" s="2" t="s">
        <v>52</v>
      </c>
      <c r="H519" s="2" t="s">
        <v>53</v>
      </c>
      <c r="I519" s="2" t="s">
        <v>54</v>
      </c>
      <c r="J519" s="2" t="s">
        <v>55</v>
      </c>
      <c r="K519" s="2"/>
      <c r="L519" s="2" t="s">
        <v>815</v>
      </c>
      <c r="M519" s="2" t="s">
        <v>57</v>
      </c>
      <c r="N519" s="2" t="s">
        <v>58</v>
      </c>
      <c r="O519" s="2" t="s">
        <v>1592</v>
      </c>
      <c r="P519" s="2"/>
      <c r="Q519" s="2" t="s">
        <v>1620</v>
      </c>
      <c r="R519" s="2"/>
    </row>
    <row r="520" spans="1:18">
      <c r="A520" s="2" t="s">
        <v>1621</v>
      </c>
      <c r="B520" s="2" t="s">
        <v>1622</v>
      </c>
      <c r="C520" s="2" t="s">
        <v>1591</v>
      </c>
      <c r="D520" s="2">
        <v>441920060.87</v>
      </c>
      <c r="E520" s="2">
        <v>1</v>
      </c>
      <c r="F520" s="3">
        <f>IF(COUNT(D520,E520)=2,D520*E520,NA())</f>
        <v>441920060.87</v>
      </c>
      <c r="G520" s="2" t="s">
        <v>52</v>
      </c>
      <c r="H520" s="2" t="s">
        <v>53</v>
      </c>
      <c r="I520" s="2" t="s">
        <v>54</v>
      </c>
      <c r="J520" s="2" t="s">
        <v>55</v>
      </c>
      <c r="K520" s="2"/>
      <c r="L520" s="2" t="s">
        <v>815</v>
      </c>
      <c r="M520" s="2" t="s">
        <v>57</v>
      </c>
      <c r="N520" s="2" t="s">
        <v>58</v>
      </c>
      <c r="O520" s="2" t="s">
        <v>1592</v>
      </c>
      <c r="P520" s="2"/>
      <c r="Q520" s="2" t="s">
        <v>1623</v>
      </c>
      <c r="R520" s="2"/>
    </row>
    <row r="521" spans="1:18">
      <c r="A521" s="2" t="s">
        <v>1624</v>
      </c>
      <c r="B521" s="2" t="s">
        <v>1625</v>
      </c>
      <c r="C521" s="2" t="s">
        <v>1591</v>
      </c>
      <c r="D521" s="2">
        <v>4368440543.67</v>
      </c>
      <c r="E521" s="2">
        <v>1</v>
      </c>
      <c r="F521" s="3">
        <f>IF(COUNT(D521,E521)=2,D521*E521,NA())</f>
        <v>4368440543.67</v>
      </c>
      <c r="G521" s="2" t="s">
        <v>52</v>
      </c>
      <c r="H521" s="2" t="s">
        <v>53</v>
      </c>
      <c r="I521" s="2" t="s">
        <v>54</v>
      </c>
      <c r="J521" s="2" t="s">
        <v>55</v>
      </c>
      <c r="K521" s="2"/>
      <c r="L521" s="2" t="s">
        <v>815</v>
      </c>
      <c r="M521" s="2" t="s">
        <v>57</v>
      </c>
      <c r="N521" s="2" t="s">
        <v>58</v>
      </c>
      <c r="O521" s="2" t="s">
        <v>1592</v>
      </c>
      <c r="P521" s="2"/>
      <c r="Q521" s="2" t="s">
        <v>1626</v>
      </c>
      <c r="R521" s="2"/>
    </row>
    <row r="522" spans="1:18">
      <c r="A522" s="2" t="s">
        <v>1627</v>
      </c>
      <c r="B522" s="2" t="s">
        <v>1628</v>
      </c>
      <c r="C522" s="2" t="s">
        <v>1591</v>
      </c>
      <c r="D522" s="2">
        <v>1400511187.61</v>
      </c>
      <c r="E522" s="2">
        <v>1</v>
      </c>
      <c r="F522" s="3">
        <f>IF(COUNT(D522,E522)=2,D522*E522,NA())</f>
        <v>1400511187.61</v>
      </c>
      <c r="G522" s="2" t="s">
        <v>52</v>
      </c>
      <c r="H522" s="2" t="s">
        <v>53</v>
      </c>
      <c r="I522" s="2" t="s">
        <v>54</v>
      </c>
      <c r="J522" s="2" t="s">
        <v>55</v>
      </c>
      <c r="K522" s="2"/>
      <c r="L522" s="2" t="s">
        <v>815</v>
      </c>
      <c r="M522" s="2" t="s">
        <v>57</v>
      </c>
      <c r="N522" s="2" t="s">
        <v>58</v>
      </c>
      <c r="O522" s="2" t="s">
        <v>1592</v>
      </c>
      <c r="P522" s="2"/>
      <c r="Q522" s="2" t="s">
        <v>1629</v>
      </c>
      <c r="R522" s="2"/>
    </row>
    <row r="523" spans="1:18">
      <c r="A523" s="2" t="s">
        <v>1630</v>
      </c>
      <c r="B523" s="2" t="s">
        <v>1631</v>
      </c>
      <c r="C523" s="2" t="s">
        <v>1591</v>
      </c>
      <c r="D523" s="2">
        <v>1515681555.95</v>
      </c>
      <c r="E523" s="2">
        <v>1</v>
      </c>
      <c r="F523" s="3">
        <f>IF(COUNT(D523,E523)=2,D523*E523,NA())</f>
        <v>1515681555.95</v>
      </c>
      <c r="G523" s="2" t="s">
        <v>52</v>
      </c>
      <c r="H523" s="2" t="s">
        <v>53</v>
      </c>
      <c r="I523" s="2" t="s">
        <v>54</v>
      </c>
      <c r="J523" s="2" t="s">
        <v>55</v>
      </c>
      <c r="K523" s="2"/>
      <c r="L523" s="2" t="s">
        <v>815</v>
      </c>
      <c r="M523" s="2" t="s">
        <v>57</v>
      </c>
      <c r="N523" s="2" t="s">
        <v>58</v>
      </c>
      <c r="O523" s="2" t="s">
        <v>1592</v>
      </c>
      <c r="P523" s="2"/>
      <c r="Q523" s="2" t="s">
        <v>1632</v>
      </c>
      <c r="R523" s="2"/>
    </row>
    <row r="524" spans="1:18">
      <c r="A524" s="2" t="s">
        <v>1633</v>
      </c>
      <c r="B524" s="2" t="s">
        <v>1634</v>
      </c>
      <c r="C524" s="2" t="s">
        <v>1591</v>
      </c>
      <c r="D524" s="2">
        <v>328984847.22</v>
      </c>
      <c r="E524" s="2">
        <v>1</v>
      </c>
      <c r="F524" s="3">
        <f>IF(COUNT(D524,E524)=2,D524*E524,NA())</f>
        <v>328984847.22</v>
      </c>
      <c r="G524" s="2" t="s">
        <v>52</v>
      </c>
      <c r="H524" s="2" t="s">
        <v>53</v>
      </c>
      <c r="I524" s="2" t="s">
        <v>54</v>
      </c>
      <c r="J524" s="2" t="s">
        <v>55</v>
      </c>
      <c r="K524" s="2"/>
      <c r="L524" s="2" t="s">
        <v>815</v>
      </c>
      <c r="M524" s="2" t="s">
        <v>57</v>
      </c>
      <c r="N524" s="2" t="s">
        <v>58</v>
      </c>
      <c r="O524" s="2" t="s">
        <v>1592</v>
      </c>
      <c r="P524" s="2"/>
      <c r="Q524" s="2" t="s">
        <v>1635</v>
      </c>
      <c r="R524" s="2"/>
    </row>
    <row r="525" spans="1:18">
      <c r="A525" s="2" t="s">
        <v>1636</v>
      </c>
      <c r="B525" s="2" t="s">
        <v>1637</v>
      </c>
      <c r="C525" s="2" t="s">
        <v>1591</v>
      </c>
      <c r="D525" s="2">
        <v>11213474.5</v>
      </c>
      <c r="E525" s="2">
        <v>1</v>
      </c>
      <c r="F525" s="3">
        <f>IF(COUNT(D525,E525)=2,D525*E525,NA())</f>
        <v>11213474.5</v>
      </c>
      <c r="G525" s="2" t="s">
        <v>52</v>
      </c>
      <c r="H525" s="2" t="s">
        <v>53</v>
      </c>
      <c r="I525" s="2" t="s">
        <v>54</v>
      </c>
      <c r="J525" s="2" t="s">
        <v>55</v>
      </c>
      <c r="K525" s="2"/>
      <c r="L525" s="2" t="s">
        <v>815</v>
      </c>
      <c r="M525" s="2" t="s">
        <v>57</v>
      </c>
      <c r="N525" s="2" t="s">
        <v>58</v>
      </c>
      <c r="O525" s="2" t="s">
        <v>1592</v>
      </c>
      <c r="P525" s="2"/>
      <c r="Q525" s="2" t="s">
        <v>1638</v>
      </c>
      <c r="R525" s="2"/>
    </row>
    <row r="526" spans="1:18">
      <c r="A526" s="2" t="s">
        <v>1639</v>
      </c>
      <c r="B526" s="2" t="s">
        <v>1640</v>
      </c>
      <c r="C526" s="2" t="s">
        <v>1591</v>
      </c>
      <c r="D526" s="2">
        <v>7944393327.05</v>
      </c>
      <c r="E526" s="2">
        <v>1</v>
      </c>
      <c r="F526" s="3">
        <f>IF(COUNT(D526,E526)=2,D526*E526,NA())</f>
        <v>7944393327.05</v>
      </c>
      <c r="G526" s="2" t="s">
        <v>52</v>
      </c>
      <c r="H526" s="2" t="s">
        <v>53</v>
      </c>
      <c r="I526" s="2" t="s">
        <v>54</v>
      </c>
      <c r="J526" s="2" t="s">
        <v>55</v>
      </c>
      <c r="K526" s="2" t="s">
        <v>1573</v>
      </c>
      <c r="L526" s="2" t="s">
        <v>815</v>
      </c>
      <c r="M526" s="2" t="s">
        <v>393</v>
      </c>
      <c r="N526" s="2" t="s">
        <v>58</v>
      </c>
      <c r="O526" s="2" t="s">
        <v>1592</v>
      </c>
      <c r="P526" s="2"/>
      <c r="Q526" s="2" t="s">
        <v>1641</v>
      </c>
      <c r="R526" s="2"/>
    </row>
    <row r="527" spans="1:18">
      <c r="A527" s="2" t="s">
        <v>1642</v>
      </c>
      <c r="B527" s="2" t="s">
        <v>1643</v>
      </c>
      <c r="C527" s="2" t="s">
        <v>1591</v>
      </c>
      <c r="D527" s="2">
        <v>6284202438.05</v>
      </c>
      <c r="E527" s="2">
        <v>1</v>
      </c>
      <c r="F527" s="3">
        <f>IF(COUNT(D527,E527)=2,D527*E527,NA())</f>
        <v>6284202438.05</v>
      </c>
      <c r="G527" s="2" t="s">
        <v>52</v>
      </c>
      <c r="H527" s="2" t="s">
        <v>53</v>
      </c>
      <c r="I527" s="2" t="s">
        <v>54</v>
      </c>
      <c r="J527" s="2" t="s">
        <v>55</v>
      </c>
      <c r="K527" s="2" t="s">
        <v>1573</v>
      </c>
      <c r="L527" s="2" t="s">
        <v>815</v>
      </c>
      <c r="M527" s="2" t="s">
        <v>393</v>
      </c>
      <c r="N527" s="2" t="s">
        <v>58</v>
      </c>
      <c r="O527" s="2" t="s">
        <v>1592</v>
      </c>
      <c r="P527" s="2"/>
      <c r="Q527" s="2" t="s">
        <v>1644</v>
      </c>
      <c r="R527" s="2"/>
    </row>
    <row r="528" spans="1:18">
      <c r="A528" s="2" t="s">
        <v>1645</v>
      </c>
      <c r="B528" s="2" t="s">
        <v>1646</v>
      </c>
      <c r="C528" s="2" t="s">
        <v>1591</v>
      </c>
      <c r="D528" s="2">
        <v>-429464086.97</v>
      </c>
      <c r="E528" s="2">
        <v>1</v>
      </c>
      <c r="F528" s="3">
        <f>IF(COUNT(D528,E528)=2,D528*E528,NA())</f>
        <v>-429464086.97</v>
      </c>
      <c r="G528" s="2" t="s">
        <v>52</v>
      </c>
      <c r="H528" s="2" t="s">
        <v>53</v>
      </c>
      <c r="I528" s="2" t="s">
        <v>54</v>
      </c>
      <c r="J528" s="2" t="s">
        <v>55</v>
      </c>
      <c r="K528" s="2" t="s">
        <v>1573</v>
      </c>
      <c r="L528" s="2" t="s">
        <v>815</v>
      </c>
      <c r="M528" s="2" t="s">
        <v>393</v>
      </c>
      <c r="N528" s="2" t="s">
        <v>58</v>
      </c>
      <c r="O528" s="2" t="s">
        <v>1592</v>
      </c>
      <c r="P528" s="2"/>
      <c r="Q528" s="2" t="s">
        <v>1647</v>
      </c>
      <c r="R528" s="2"/>
    </row>
    <row r="529" spans="1:18">
      <c r="A529" s="2" t="s">
        <v>1648</v>
      </c>
      <c r="B529" s="2" t="s">
        <v>1649</v>
      </c>
      <c r="C529" s="2" t="s">
        <v>1591</v>
      </c>
      <c r="D529" s="2">
        <v>-342562042.65</v>
      </c>
      <c r="E529" s="2">
        <v>1</v>
      </c>
      <c r="F529" s="3">
        <f>IF(COUNT(D529,E529)=2,D529*E529,NA())</f>
        <v>-342562042.65</v>
      </c>
      <c r="G529" s="2" t="s">
        <v>52</v>
      </c>
      <c r="H529" s="2" t="s">
        <v>53</v>
      </c>
      <c r="I529" s="2" t="s">
        <v>54</v>
      </c>
      <c r="J529" s="2" t="s">
        <v>55</v>
      </c>
      <c r="K529" s="2" t="s">
        <v>1573</v>
      </c>
      <c r="L529" s="2" t="s">
        <v>815</v>
      </c>
      <c r="M529" s="2" t="s">
        <v>393</v>
      </c>
      <c r="N529" s="2" t="s">
        <v>58</v>
      </c>
      <c r="O529" s="2" t="s">
        <v>1592</v>
      </c>
      <c r="P529" s="2"/>
      <c r="Q529" s="2" t="s">
        <v>1650</v>
      </c>
      <c r="R529" s="2"/>
    </row>
    <row r="530" spans="1:18">
      <c r="A530" s="2" t="s">
        <v>1651</v>
      </c>
      <c r="B530" s="2" t="s">
        <v>1652</v>
      </c>
      <c r="C530" s="2" t="s">
        <v>1591</v>
      </c>
      <c r="D530" s="2">
        <v>-337600673.18</v>
      </c>
      <c r="E530" s="2">
        <v>1</v>
      </c>
      <c r="F530" s="3">
        <f>IF(COUNT(D530,E530)=2,D530*E530,NA())</f>
        <v>-337600673.18</v>
      </c>
      <c r="G530" s="2" t="s">
        <v>52</v>
      </c>
      <c r="H530" s="2" t="s">
        <v>53</v>
      </c>
      <c r="I530" s="2" t="s">
        <v>54</v>
      </c>
      <c r="J530" s="2" t="s">
        <v>55</v>
      </c>
      <c r="K530" s="2" t="s">
        <v>1573</v>
      </c>
      <c r="L530" s="2" t="s">
        <v>815</v>
      </c>
      <c r="M530" s="2" t="s">
        <v>393</v>
      </c>
      <c r="N530" s="2" t="s">
        <v>58</v>
      </c>
      <c r="O530" s="2" t="s">
        <v>1592</v>
      </c>
      <c r="P530" s="2"/>
      <c r="Q530" s="2" t="s">
        <v>1653</v>
      </c>
      <c r="R530" s="2"/>
    </row>
    <row r="531" spans="1:18">
      <c r="A531" s="2" t="s">
        <v>1654</v>
      </c>
      <c r="B531" s="2" t="s">
        <v>1655</v>
      </c>
      <c r="C531" s="2" t="s">
        <v>1591</v>
      </c>
      <c r="D531" s="2">
        <v>-761744011.13</v>
      </c>
      <c r="E531" s="2">
        <v>1</v>
      </c>
      <c r="F531" s="3">
        <f>IF(COUNT(D531,E531)=2,D531*E531,NA())</f>
        <v>-761744011.13</v>
      </c>
      <c r="G531" s="2" t="s">
        <v>52</v>
      </c>
      <c r="H531" s="2" t="s">
        <v>53</v>
      </c>
      <c r="I531" s="2" t="s">
        <v>54</v>
      </c>
      <c r="J531" s="2" t="s">
        <v>55</v>
      </c>
      <c r="K531" s="2" t="s">
        <v>1573</v>
      </c>
      <c r="L531" s="2" t="s">
        <v>815</v>
      </c>
      <c r="M531" s="2" t="s">
        <v>393</v>
      </c>
      <c r="N531" s="2" t="s">
        <v>58</v>
      </c>
      <c r="O531" s="2" t="s">
        <v>1592</v>
      </c>
      <c r="P531" s="2"/>
      <c r="Q531" s="2" t="s">
        <v>1656</v>
      </c>
      <c r="R531" s="2"/>
    </row>
    <row r="532" spans="1:18">
      <c r="A532" s="2" t="s">
        <v>1657</v>
      </c>
      <c r="B532" s="2" t="s">
        <v>1658</v>
      </c>
      <c r="C532" s="2" t="s">
        <v>1591</v>
      </c>
      <c r="D532" s="2">
        <v>-61410882.44</v>
      </c>
      <c r="E532" s="2">
        <v>1</v>
      </c>
      <c r="F532" s="3">
        <f>IF(COUNT(D532,E532)=2,D532*E532,NA())</f>
        <v>-61410882.44</v>
      </c>
      <c r="G532" s="2" t="s">
        <v>52</v>
      </c>
      <c r="H532" s="2" t="s">
        <v>53</v>
      </c>
      <c r="I532" s="2" t="s">
        <v>54</v>
      </c>
      <c r="J532" s="2" t="s">
        <v>55</v>
      </c>
      <c r="K532" s="2" t="s">
        <v>1573</v>
      </c>
      <c r="L532" s="2" t="s">
        <v>815</v>
      </c>
      <c r="M532" s="2" t="s">
        <v>393</v>
      </c>
      <c r="N532" s="2" t="s">
        <v>58</v>
      </c>
      <c r="O532" s="2" t="s">
        <v>1592</v>
      </c>
      <c r="P532" s="2"/>
      <c r="Q532" s="2" t="s">
        <v>1659</v>
      </c>
      <c r="R532" s="2"/>
    </row>
    <row r="533" spans="1:18">
      <c r="A533" s="2" t="s">
        <v>1660</v>
      </c>
      <c r="B533" s="2" t="s">
        <v>1661</v>
      </c>
      <c r="C533" s="2" t="s">
        <v>1591</v>
      </c>
      <c r="D533" s="2">
        <v>106032403.3</v>
      </c>
      <c r="E533" s="2">
        <v>1</v>
      </c>
      <c r="F533" s="3">
        <f>IF(COUNT(D533,E533)=2,D533*E533,NA())</f>
        <v>106032403.3</v>
      </c>
      <c r="G533" s="2" t="s">
        <v>52</v>
      </c>
      <c r="H533" s="2" t="s">
        <v>53</v>
      </c>
      <c r="I533" s="2" t="s">
        <v>54</v>
      </c>
      <c r="J533" s="2" t="s">
        <v>55</v>
      </c>
      <c r="K533" s="2" t="s">
        <v>1573</v>
      </c>
      <c r="L533" s="2" t="s">
        <v>815</v>
      </c>
      <c r="M533" s="2" t="s">
        <v>393</v>
      </c>
      <c r="N533" s="2" t="s">
        <v>58</v>
      </c>
      <c r="O533" s="2" t="s">
        <v>1592</v>
      </c>
      <c r="P533" s="2"/>
      <c r="Q533" s="2" t="s">
        <v>1662</v>
      </c>
      <c r="R533" s="2"/>
    </row>
    <row r="534" spans="1:18">
      <c r="A534" s="2" t="s">
        <v>1663</v>
      </c>
      <c r="B534" s="2" t="s">
        <v>1664</v>
      </c>
      <c r="C534" s="2" t="s">
        <v>1591</v>
      </c>
      <c r="D534" s="2">
        <v>244427884.91</v>
      </c>
      <c r="E534" s="2">
        <v>1</v>
      </c>
      <c r="F534" s="3">
        <f>IF(COUNT(D534,E534)=2,D534*E534,NA())</f>
        <v>244427884.91</v>
      </c>
      <c r="G534" s="2" t="s">
        <v>52</v>
      </c>
      <c r="H534" s="2" t="s">
        <v>53</v>
      </c>
      <c r="I534" s="2" t="s">
        <v>54</v>
      </c>
      <c r="J534" s="2" t="s">
        <v>55</v>
      </c>
      <c r="K534" s="2" t="s">
        <v>1573</v>
      </c>
      <c r="L534" s="2" t="s">
        <v>815</v>
      </c>
      <c r="M534" s="2" t="s">
        <v>393</v>
      </c>
      <c r="N534" s="2" t="s">
        <v>58</v>
      </c>
      <c r="O534" s="2" t="s">
        <v>1592</v>
      </c>
      <c r="P534" s="2"/>
      <c r="Q534" s="2" t="s">
        <v>1665</v>
      </c>
      <c r="R534" s="2"/>
    </row>
    <row r="535" spans="1:18">
      <c r="A535" s="2" t="s">
        <v>1666</v>
      </c>
      <c r="B535" s="2" t="s">
        <v>1667</v>
      </c>
      <c r="C535" s="2" t="s">
        <v>1591</v>
      </c>
      <c r="D535" s="2">
        <v>14313555.17</v>
      </c>
      <c r="E535" s="2">
        <v>1</v>
      </c>
      <c r="F535" s="3">
        <f>IF(COUNT(D535,E535)=2,D535*E535,NA())</f>
        <v>14313555.17</v>
      </c>
      <c r="G535" s="2" t="s">
        <v>52</v>
      </c>
      <c r="H535" s="2" t="s">
        <v>53</v>
      </c>
      <c r="I535" s="2" t="s">
        <v>54</v>
      </c>
      <c r="J535" s="2" t="s">
        <v>55</v>
      </c>
      <c r="K535" s="2" t="s">
        <v>1573</v>
      </c>
      <c r="L535" s="2" t="s">
        <v>815</v>
      </c>
      <c r="M535" s="2" t="s">
        <v>393</v>
      </c>
      <c r="N535" s="2" t="s">
        <v>58</v>
      </c>
      <c r="O535" s="2" t="s">
        <v>1592</v>
      </c>
      <c r="P535" s="2"/>
      <c r="Q535" s="2" t="s">
        <v>1668</v>
      </c>
      <c r="R535" s="2"/>
    </row>
    <row r="536" spans="1:18">
      <c r="A536" s="2" t="s">
        <v>1669</v>
      </c>
      <c r="B536" s="2" t="s">
        <v>1670</v>
      </c>
      <c r="C536" s="2" t="s">
        <v>1591</v>
      </c>
      <c r="D536" s="2">
        <v>1427182.63</v>
      </c>
      <c r="E536" s="2">
        <v>1</v>
      </c>
      <c r="F536" s="3">
        <f>IF(COUNT(D536,E536)=2,D536*E536,NA())</f>
        <v>1427182.63</v>
      </c>
      <c r="G536" s="2" t="s">
        <v>52</v>
      </c>
      <c r="H536" s="2" t="s">
        <v>53</v>
      </c>
      <c r="I536" s="2" t="s">
        <v>54</v>
      </c>
      <c r="J536" s="2" t="s">
        <v>55</v>
      </c>
      <c r="K536" s="2" t="s">
        <v>1573</v>
      </c>
      <c r="L536" s="2" t="s">
        <v>815</v>
      </c>
      <c r="M536" s="2" t="s">
        <v>393</v>
      </c>
      <c r="N536" s="2" t="s">
        <v>58</v>
      </c>
      <c r="O536" s="2" t="s">
        <v>1592</v>
      </c>
      <c r="P536" s="2"/>
      <c r="Q536" s="2" t="s">
        <v>1671</v>
      </c>
      <c r="R536" s="2"/>
    </row>
    <row r="537" spans="1:18">
      <c r="A537" s="2" t="s">
        <v>1672</v>
      </c>
      <c r="B537" s="2" t="s">
        <v>1673</v>
      </c>
      <c r="C537" s="2" t="s">
        <v>1591</v>
      </c>
      <c r="D537" s="2">
        <v>191826903.51</v>
      </c>
      <c r="E537" s="2">
        <v>1</v>
      </c>
      <c r="F537" s="3">
        <f>IF(COUNT(D537,E537)=2,D537*E537,NA())</f>
        <v>191826903.51</v>
      </c>
      <c r="G537" s="2" t="s">
        <v>52</v>
      </c>
      <c r="H537" s="2" t="s">
        <v>53</v>
      </c>
      <c r="I537" s="2" t="s">
        <v>54</v>
      </c>
      <c r="J537" s="2" t="s">
        <v>55</v>
      </c>
      <c r="K537" s="2" t="s">
        <v>1573</v>
      </c>
      <c r="L537" s="2" t="s">
        <v>815</v>
      </c>
      <c r="M537" s="2" t="s">
        <v>393</v>
      </c>
      <c r="N537" s="2" t="s">
        <v>58</v>
      </c>
      <c r="O537" s="2" t="s">
        <v>1592</v>
      </c>
      <c r="P537" s="2"/>
      <c r="Q537" s="2" t="s">
        <v>1674</v>
      </c>
      <c r="R537" s="2"/>
    </row>
    <row r="538" spans="1:18">
      <c r="A538" s="2" t="s">
        <v>1675</v>
      </c>
      <c r="B538" s="2" t="s">
        <v>1676</v>
      </c>
      <c r="C538" s="2" t="s">
        <v>1591</v>
      </c>
      <c r="D538" s="2">
        <v>-1768011349.49</v>
      </c>
      <c r="E538" s="2">
        <v>1</v>
      </c>
      <c r="F538" s="3">
        <f>IF(COUNT(D538,E538)=2,D538*E538,NA())</f>
        <v>-1768011349.49</v>
      </c>
      <c r="G538" s="2" t="s">
        <v>52</v>
      </c>
      <c r="H538" s="2" t="s">
        <v>53</v>
      </c>
      <c r="I538" s="2" t="s">
        <v>54</v>
      </c>
      <c r="J538" s="2" t="s">
        <v>55</v>
      </c>
      <c r="K538" s="2" t="s">
        <v>1573</v>
      </c>
      <c r="L538" s="2" t="s">
        <v>815</v>
      </c>
      <c r="M538" s="2" t="s">
        <v>393</v>
      </c>
      <c r="N538" s="2" t="s">
        <v>58</v>
      </c>
      <c r="O538" s="2" t="s">
        <v>1592</v>
      </c>
      <c r="P538" s="2"/>
      <c r="Q538" s="2" t="s">
        <v>1677</v>
      </c>
      <c r="R538" s="2"/>
    </row>
    <row r="539" spans="1:18">
      <c r="A539" s="2" t="s">
        <v>1678</v>
      </c>
      <c r="B539" s="2" t="s">
        <v>1679</v>
      </c>
      <c r="C539" s="2" t="s">
        <v>1591</v>
      </c>
      <c r="D539" s="2">
        <v>1664909289.6</v>
      </c>
      <c r="E539" s="2">
        <v>1</v>
      </c>
      <c r="F539" s="3">
        <f>IF(COUNT(D539,E539)=2,D539*E539,NA())</f>
        <v>1664909289.6</v>
      </c>
      <c r="G539" s="2" t="s">
        <v>52</v>
      </c>
      <c r="H539" s="2" t="s">
        <v>53</v>
      </c>
      <c r="I539" s="2" t="s">
        <v>54</v>
      </c>
      <c r="J539" s="2" t="s">
        <v>55</v>
      </c>
      <c r="K539" s="2" t="s">
        <v>1573</v>
      </c>
      <c r="L539" s="2" t="s">
        <v>815</v>
      </c>
      <c r="M539" s="2" t="s">
        <v>393</v>
      </c>
      <c r="N539" s="2" t="s">
        <v>58</v>
      </c>
      <c r="O539" s="2" t="s">
        <v>1592</v>
      </c>
      <c r="P539" s="2"/>
      <c r="Q539" s="2" t="s">
        <v>1680</v>
      </c>
      <c r="R539" s="2"/>
    </row>
    <row r="540" spans="1:18">
      <c r="A540" s="2" t="s">
        <v>1681</v>
      </c>
      <c r="B540" s="2" t="s">
        <v>1682</v>
      </c>
      <c r="C540" s="2" t="s">
        <v>1591</v>
      </c>
      <c r="D540" s="2">
        <v>737592.8</v>
      </c>
      <c r="E540" s="2">
        <v>1</v>
      </c>
      <c r="F540" s="3">
        <f>IF(COUNT(D540,E540)=2,D540*E540,NA())</f>
        <v>737592.8</v>
      </c>
      <c r="G540" s="2" t="s">
        <v>52</v>
      </c>
      <c r="H540" s="2" t="s">
        <v>53</v>
      </c>
      <c r="I540" s="2" t="s">
        <v>54</v>
      </c>
      <c r="J540" s="2" t="s">
        <v>55</v>
      </c>
      <c r="K540" s="2" t="s">
        <v>1573</v>
      </c>
      <c r="L540" s="2" t="s">
        <v>815</v>
      </c>
      <c r="M540" s="2" t="s">
        <v>393</v>
      </c>
      <c r="N540" s="2" t="s">
        <v>58</v>
      </c>
      <c r="O540" s="2" t="s">
        <v>1592</v>
      </c>
      <c r="P540" s="2"/>
      <c r="Q540" s="2" t="s">
        <v>1683</v>
      </c>
      <c r="R540" s="2"/>
    </row>
    <row r="541" spans="1:18">
      <c r="A541" s="2" t="s">
        <v>1684</v>
      </c>
      <c r="B541" s="2" t="s">
        <v>1685</v>
      </c>
      <c r="C541" s="2" t="s">
        <v>1591</v>
      </c>
      <c r="D541" s="2">
        <v>89462436.42</v>
      </c>
      <c r="E541" s="2">
        <v>1</v>
      </c>
      <c r="F541" s="3">
        <f>IF(COUNT(D541,E541)=2,D541*E541,NA())</f>
        <v>89462436.42</v>
      </c>
      <c r="G541" s="2" t="s">
        <v>52</v>
      </c>
      <c r="H541" s="2" t="s">
        <v>53</v>
      </c>
      <c r="I541" s="2" t="s">
        <v>54</v>
      </c>
      <c r="J541" s="2" t="s">
        <v>55</v>
      </c>
      <c r="K541" s="2" t="s">
        <v>1573</v>
      </c>
      <c r="L541" s="2" t="s">
        <v>815</v>
      </c>
      <c r="M541" s="2" t="s">
        <v>393</v>
      </c>
      <c r="N541" s="2" t="s">
        <v>58</v>
      </c>
      <c r="O541" s="2" t="s">
        <v>1592</v>
      </c>
      <c r="P541" s="2"/>
      <c r="Q541" s="2" t="s">
        <v>1686</v>
      </c>
      <c r="R541" s="2"/>
    </row>
    <row r="542" spans="1:18">
      <c r="A542" s="2" t="s">
        <v>1687</v>
      </c>
      <c r="B542" s="2" t="s">
        <v>1688</v>
      </c>
      <c r="C542" s="2" t="s">
        <v>1591</v>
      </c>
      <c r="D542" s="2">
        <v>508412824.34</v>
      </c>
      <c r="E542" s="2">
        <v>1</v>
      </c>
      <c r="F542" s="3">
        <f>IF(COUNT(D542,E542)=2,D542*E542,NA())</f>
        <v>508412824.34</v>
      </c>
      <c r="G542" s="2" t="s">
        <v>52</v>
      </c>
      <c r="H542" s="2" t="s">
        <v>53</v>
      </c>
      <c r="I542" s="2" t="s">
        <v>54</v>
      </c>
      <c r="J542" s="2" t="s">
        <v>55</v>
      </c>
      <c r="K542" s="2" t="s">
        <v>1573</v>
      </c>
      <c r="L542" s="2" t="s">
        <v>815</v>
      </c>
      <c r="M542" s="2" t="s">
        <v>393</v>
      </c>
      <c r="N542" s="2" t="s">
        <v>58</v>
      </c>
      <c r="O542" s="2" t="s">
        <v>1592</v>
      </c>
      <c r="P542" s="2"/>
      <c r="Q542" s="2" t="s">
        <v>1689</v>
      </c>
      <c r="R542" s="2"/>
    </row>
    <row r="543" spans="1:18">
      <c r="A543" s="2" t="s">
        <v>1690</v>
      </c>
      <c r="B543" s="2" t="s">
        <v>1691</v>
      </c>
      <c r="C543" s="2" t="s">
        <v>1692</v>
      </c>
      <c r="D543" s="2"/>
      <c r="E543" s="2">
        <v>1</v>
      </c>
      <c r="F543" s="3" t="e">
        <f>IF(COUNT(D543,E543)=2,D543*E543,NA())</f>
        <v>#N/A</v>
      </c>
      <c r="G543" s="2" t="s">
        <v>52</v>
      </c>
      <c r="H543" s="2" t="s">
        <v>53</v>
      </c>
      <c r="I543" s="2" t="s">
        <v>54</v>
      </c>
      <c r="J543" s="2" t="s">
        <v>55</v>
      </c>
      <c r="K543" s="2"/>
      <c r="L543" s="2" t="s">
        <v>815</v>
      </c>
      <c r="M543" s="2" t="s">
        <v>57</v>
      </c>
      <c r="N543" s="2" t="s">
        <v>1693</v>
      </c>
      <c r="O543" s="2" t="s">
        <v>59</v>
      </c>
      <c r="P543" s="2" t="s">
        <v>1694</v>
      </c>
      <c r="Q543" s="2" t="s">
        <v>1695</v>
      </c>
      <c r="R543" s="2"/>
    </row>
    <row r="544" spans="1:18">
      <c r="A544" s="2" t="s">
        <v>1696</v>
      </c>
      <c r="B544" s="2" t="s">
        <v>1697</v>
      </c>
      <c r="C544" s="2" t="s">
        <v>1692</v>
      </c>
      <c r="D544" s="2"/>
      <c r="E544" s="2">
        <v>1</v>
      </c>
      <c r="F544" s="3" t="e">
        <f>IF(COUNT(D544,E544)=2,D544*E544,NA())</f>
        <v>#N/A</v>
      </c>
      <c r="G544" s="2" t="s">
        <v>52</v>
      </c>
      <c r="H544" s="2" t="s">
        <v>53</v>
      </c>
      <c r="I544" s="2" t="s">
        <v>54</v>
      </c>
      <c r="J544" s="2" t="s">
        <v>55</v>
      </c>
      <c r="K544" s="2" t="s">
        <v>1573</v>
      </c>
      <c r="L544" s="2" t="s">
        <v>815</v>
      </c>
      <c r="M544" s="2" t="s">
        <v>393</v>
      </c>
      <c r="N544" s="2" t="s">
        <v>1693</v>
      </c>
      <c r="O544" s="2" t="s">
        <v>59</v>
      </c>
      <c r="P544" s="2" t="s">
        <v>1694</v>
      </c>
      <c r="Q544" s="2" t="s">
        <v>1698</v>
      </c>
      <c r="R544" s="2"/>
    </row>
    <row r="545" spans="1:18">
      <c r="A545" s="2" t="s">
        <v>1699</v>
      </c>
      <c r="B545" s="2" t="s">
        <v>1700</v>
      </c>
      <c r="C545" s="2" t="s">
        <v>1692</v>
      </c>
      <c r="D545" s="2"/>
      <c r="E545" s="2">
        <v>1</v>
      </c>
      <c r="F545" s="3" t="e">
        <f>IF(COUNT(D545,E545)=2,D545*E545,NA())</f>
        <v>#N/A</v>
      </c>
      <c r="G545" s="2" t="s">
        <v>52</v>
      </c>
      <c r="H545" s="2" t="s">
        <v>53</v>
      </c>
      <c r="I545" s="2" t="s">
        <v>54</v>
      </c>
      <c r="J545" s="2" t="s">
        <v>55</v>
      </c>
      <c r="K545" s="2" t="s">
        <v>1573</v>
      </c>
      <c r="L545" s="2" t="s">
        <v>815</v>
      </c>
      <c r="M545" s="2" t="s">
        <v>393</v>
      </c>
      <c r="N545" s="2" t="s">
        <v>1693</v>
      </c>
      <c r="O545" s="2" t="s">
        <v>59</v>
      </c>
      <c r="P545" s="2" t="s">
        <v>1694</v>
      </c>
      <c r="Q545" s="2" t="s">
        <v>1701</v>
      </c>
      <c r="R545" s="2"/>
    </row>
    <row r="546" spans="1:18">
      <c r="A546" s="2" t="s">
        <v>1702</v>
      </c>
      <c r="B546" s="2" t="s">
        <v>1703</v>
      </c>
      <c r="C546" s="2" t="s">
        <v>1692</v>
      </c>
      <c r="D546" s="2"/>
      <c r="E546" s="2">
        <v>1</v>
      </c>
      <c r="F546" s="3" t="e">
        <f>IF(COUNT(D546,E546)=2,D546*E546,NA())</f>
        <v>#N/A</v>
      </c>
      <c r="G546" s="2" t="s">
        <v>52</v>
      </c>
      <c r="H546" s="2" t="s">
        <v>53</v>
      </c>
      <c r="I546" s="2" t="s">
        <v>54</v>
      </c>
      <c r="J546" s="2" t="s">
        <v>55</v>
      </c>
      <c r="K546" s="2" t="s">
        <v>1573</v>
      </c>
      <c r="L546" s="2" t="s">
        <v>815</v>
      </c>
      <c r="M546" s="2" t="s">
        <v>393</v>
      </c>
      <c r="N546" s="2" t="s">
        <v>1693</v>
      </c>
      <c r="O546" s="2" t="s">
        <v>59</v>
      </c>
      <c r="P546" s="2" t="s">
        <v>1694</v>
      </c>
      <c r="Q546" s="2" t="s">
        <v>1704</v>
      </c>
      <c r="R546" s="2"/>
    </row>
    <row r="547" spans="1:18">
      <c r="A547" s="2" t="s">
        <v>1705</v>
      </c>
      <c r="B547" s="2" t="s">
        <v>1706</v>
      </c>
      <c r="C547" s="2" t="s">
        <v>1692</v>
      </c>
      <c r="D547" s="2"/>
      <c r="E547" s="2">
        <v>1</v>
      </c>
      <c r="F547" s="3" t="e">
        <f>IF(COUNT(D547,E547)=2,D547*E547,NA())</f>
        <v>#N/A</v>
      </c>
      <c r="G547" s="2" t="s">
        <v>52</v>
      </c>
      <c r="H547" s="2" t="s">
        <v>53</v>
      </c>
      <c r="I547" s="2" t="s">
        <v>54</v>
      </c>
      <c r="J547" s="2" t="s">
        <v>55</v>
      </c>
      <c r="K547" s="2"/>
      <c r="L547" s="2" t="s">
        <v>815</v>
      </c>
      <c r="M547" s="2" t="s">
        <v>57</v>
      </c>
      <c r="N547" s="2" t="s">
        <v>1693</v>
      </c>
      <c r="O547" s="2" t="s">
        <v>59</v>
      </c>
      <c r="P547" s="2" t="s">
        <v>1694</v>
      </c>
      <c r="Q547" s="2" t="s">
        <v>81</v>
      </c>
      <c r="R547" s="2"/>
    </row>
    <row r="548" spans="1:18">
      <c r="A548" s="2" t="s">
        <v>1707</v>
      </c>
      <c r="B548" s="2" t="s">
        <v>1708</v>
      </c>
      <c r="C548" s="2" t="s">
        <v>1591</v>
      </c>
      <c r="D548" s="2"/>
      <c r="E548" s="2">
        <v>1</v>
      </c>
      <c r="F548" s="3" t="e">
        <f>IF(COUNT(D548,E548)=2,D548*E548,NA())</f>
        <v>#N/A</v>
      </c>
      <c r="G548" s="2" t="s">
        <v>52</v>
      </c>
      <c r="H548" s="2" t="s">
        <v>53</v>
      </c>
      <c r="I548" s="2" t="s">
        <v>54</v>
      </c>
      <c r="J548" s="2" t="s">
        <v>55</v>
      </c>
      <c r="K548" s="2" t="s">
        <v>1573</v>
      </c>
      <c r="L548" s="2" t="s">
        <v>815</v>
      </c>
      <c r="M548" s="2" t="s">
        <v>393</v>
      </c>
      <c r="N548" s="2" t="s">
        <v>1693</v>
      </c>
      <c r="O548" s="2" t="s">
        <v>1592</v>
      </c>
      <c r="P548" s="2" t="s">
        <v>1709</v>
      </c>
      <c r="Q548" s="2" t="s">
        <v>1701</v>
      </c>
      <c r="R548" s="2"/>
    </row>
    <row r="549" spans="1:18">
      <c r="A549" s="2" t="s">
        <v>1710</v>
      </c>
      <c r="B549" s="2" t="s">
        <v>1711</v>
      </c>
      <c r="C549" s="2" t="s">
        <v>1712</v>
      </c>
      <c r="D549" s="2">
        <v>12345316200.11</v>
      </c>
      <c r="E549" s="2">
        <v>1</v>
      </c>
      <c r="F549" s="3">
        <f>IF(COUNT(D549,E549)=2,D549*E549,NA())</f>
        <v>12345316200.11</v>
      </c>
      <c r="G549" s="2" t="s">
        <v>52</v>
      </c>
      <c r="H549" s="2" t="s">
        <v>53</v>
      </c>
      <c r="I549" s="2" t="s">
        <v>54</v>
      </c>
      <c r="J549" s="2" t="s">
        <v>55</v>
      </c>
      <c r="K549" s="2"/>
      <c r="L549" s="2" t="s">
        <v>1713</v>
      </c>
      <c r="M549" s="2" t="s">
        <v>57</v>
      </c>
      <c r="N549" s="2" t="s">
        <v>58</v>
      </c>
      <c r="O549" s="2" t="s">
        <v>59</v>
      </c>
      <c r="P549" s="2"/>
      <c r="Q549" s="2" t="s">
        <v>1714</v>
      </c>
      <c r="R549" s="2"/>
    </row>
    <row r="550" spans="1:18">
      <c r="A550" s="2" t="s">
        <v>1715</v>
      </c>
      <c r="B550" s="2" t="s">
        <v>1716</v>
      </c>
      <c r="C550" s="2" t="s">
        <v>1712</v>
      </c>
      <c r="D550" s="2">
        <v>8224669615.34</v>
      </c>
      <c r="E550" s="2">
        <v>1</v>
      </c>
      <c r="F550" s="3">
        <f>IF(COUNT(D550,E550)=2,D550*E550,NA())</f>
        <v>8224669615.34</v>
      </c>
      <c r="G550" s="2" t="s">
        <v>52</v>
      </c>
      <c r="H550" s="2" t="s">
        <v>53</v>
      </c>
      <c r="I550" s="2" t="s">
        <v>54</v>
      </c>
      <c r="J550" s="2" t="s">
        <v>55</v>
      </c>
      <c r="K550" s="2"/>
      <c r="L550" s="2" t="s">
        <v>1713</v>
      </c>
      <c r="M550" s="2" t="s">
        <v>57</v>
      </c>
      <c r="N550" s="2" t="s">
        <v>58</v>
      </c>
      <c r="O550" s="2" t="s">
        <v>59</v>
      </c>
      <c r="P550" s="2"/>
      <c r="Q550" s="2" t="s">
        <v>1714</v>
      </c>
      <c r="R550" s="2"/>
    </row>
    <row r="551" spans="1:18">
      <c r="A551" s="2" t="s">
        <v>1717</v>
      </c>
      <c r="B551" s="2" t="s">
        <v>1718</v>
      </c>
      <c r="C551" s="2" t="s">
        <v>1712</v>
      </c>
      <c r="D551" s="2">
        <v>4120646584.77</v>
      </c>
      <c r="E551" s="2">
        <v>1</v>
      </c>
      <c r="F551" s="3">
        <f>IF(COUNT(D551,E551)=2,D551*E551,NA())</f>
        <v>4120646584.77</v>
      </c>
      <c r="G551" s="2" t="s">
        <v>52</v>
      </c>
      <c r="H551" s="2" t="s">
        <v>53</v>
      </c>
      <c r="I551" s="2" t="s">
        <v>54</v>
      </c>
      <c r="J551" s="2" t="s">
        <v>55</v>
      </c>
      <c r="K551" s="2"/>
      <c r="L551" s="2" t="s">
        <v>1713</v>
      </c>
      <c r="M551" s="2" t="s">
        <v>57</v>
      </c>
      <c r="N551" s="2" t="s">
        <v>58</v>
      </c>
      <c r="O551" s="2" t="s">
        <v>59</v>
      </c>
      <c r="P551" s="2"/>
      <c r="Q551" s="2" t="s">
        <v>1714</v>
      </c>
      <c r="R551" s="2"/>
    </row>
    <row r="552" spans="1:18">
      <c r="A552" s="2" t="s">
        <v>1719</v>
      </c>
      <c r="B552" s="2" t="s">
        <v>1720</v>
      </c>
      <c r="C552" s="2" t="s">
        <v>1712</v>
      </c>
      <c r="D552" s="2">
        <v>2138100838.13</v>
      </c>
      <c r="E552" s="2">
        <v>1</v>
      </c>
      <c r="F552" s="3">
        <f>IF(COUNT(D552,E552)=2,D552*E552,NA())</f>
        <v>2138100838.13</v>
      </c>
      <c r="G552" s="2" t="s">
        <v>52</v>
      </c>
      <c r="H552" s="2" t="s">
        <v>53</v>
      </c>
      <c r="I552" s="2" t="s">
        <v>54</v>
      </c>
      <c r="J552" s="2" t="s">
        <v>55</v>
      </c>
      <c r="K552" s="2"/>
      <c r="L552" s="2" t="s">
        <v>1713</v>
      </c>
      <c r="M552" s="2" t="s">
        <v>57</v>
      </c>
      <c r="N552" s="2" t="s">
        <v>58</v>
      </c>
      <c r="O552" s="2" t="s">
        <v>59</v>
      </c>
      <c r="P552" s="2"/>
      <c r="Q552" s="2" t="s">
        <v>1714</v>
      </c>
      <c r="R552" s="2"/>
    </row>
    <row r="553" spans="1:18">
      <c r="A553" s="2" t="s">
        <v>1721</v>
      </c>
      <c r="B553" s="2" t="s">
        <v>1722</v>
      </c>
      <c r="C553" s="2" t="s">
        <v>1712</v>
      </c>
      <c r="D553" s="2">
        <v>1690002729.18</v>
      </c>
      <c r="E553" s="2">
        <v>1</v>
      </c>
      <c r="F553" s="3">
        <f>IF(COUNT(D553,E553)=2,D553*E553,NA())</f>
        <v>1690002729.18</v>
      </c>
      <c r="G553" s="2" t="s">
        <v>52</v>
      </c>
      <c r="H553" s="2" t="s">
        <v>53</v>
      </c>
      <c r="I553" s="2" t="s">
        <v>54</v>
      </c>
      <c r="J553" s="2" t="s">
        <v>55</v>
      </c>
      <c r="K553" s="2"/>
      <c r="L553" s="2" t="s">
        <v>1713</v>
      </c>
      <c r="M553" s="2" t="s">
        <v>57</v>
      </c>
      <c r="N553" s="2" t="s">
        <v>58</v>
      </c>
      <c r="O553" s="2" t="s">
        <v>59</v>
      </c>
      <c r="P553" s="2"/>
      <c r="Q553" s="2" t="s">
        <v>1714</v>
      </c>
      <c r="R553" s="2"/>
    </row>
    <row r="554" spans="1:18">
      <c r="A554" s="2" t="s">
        <v>1723</v>
      </c>
      <c r="B554" s="2" t="s">
        <v>1724</v>
      </c>
      <c r="C554" s="2" t="s">
        <v>1712</v>
      </c>
      <c r="D554" s="2">
        <v>3388464578.88</v>
      </c>
      <c r="E554" s="2">
        <v>1</v>
      </c>
      <c r="F554" s="3">
        <f>IF(COUNT(D554,E554)=2,D554*E554,NA())</f>
        <v>3388464578.88</v>
      </c>
      <c r="G554" s="2" t="s">
        <v>52</v>
      </c>
      <c r="H554" s="2" t="s">
        <v>53</v>
      </c>
      <c r="I554" s="2" t="s">
        <v>54</v>
      </c>
      <c r="J554" s="2" t="s">
        <v>55</v>
      </c>
      <c r="K554" s="2"/>
      <c r="L554" s="2" t="s">
        <v>1713</v>
      </c>
      <c r="M554" s="2" t="s">
        <v>57</v>
      </c>
      <c r="N554" s="2" t="s">
        <v>58</v>
      </c>
      <c r="O554" s="2" t="s">
        <v>59</v>
      </c>
      <c r="P554" s="2"/>
      <c r="Q554" s="2" t="s">
        <v>1714</v>
      </c>
      <c r="R554" s="2"/>
    </row>
    <row r="555" spans="1:18">
      <c r="A555" s="2" t="s">
        <v>1725</v>
      </c>
      <c r="B555" s="2" t="s">
        <v>1726</v>
      </c>
      <c r="C555" s="2" t="s">
        <v>1712</v>
      </c>
      <c r="D555" s="2">
        <v>304863921.94</v>
      </c>
      <c r="E555" s="2">
        <v>1</v>
      </c>
      <c r="F555" s="3">
        <f>IF(COUNT(D555,E555)=2,D555*E555,NA())</f>
        <v>304863921.94</v>
      </c>
      <c r="G555" s="2" t="s">
        <v>52</v>
      </c>
      <c r="H555" s="2" t="s">
        <v>53</v>
      </c>
      <c r="I555" s="2" t="s">
        <v>54</v>
      </c>
      <c r="J555" s="2" t="s">
        <v>55</v>
      </c>
      <c r="K555" s="2"/>
      <c r="L555" s="2" t="s">
        <v>1713</v>
      </c>
      <c r="M555" s="2" t="s">
        <v>57</v>
      </c>
      <c r="N555" s="2" t="s">
        <v>58</v>
      </c>
      <c r="O555" s="2" t="s">
        <v>59</v>
      </c>
      <c r="P555" s="2"/>
      <c r="Q555" s="2" t="s">
        <v>1714</v>
      </c>
      <c r="R555" s="2"/>
    </row>
    <row r="556" spans="1:18">
      <c r="A556" s="2" t="s">
        <v>1727</v>
      </c>
      <c r="B556" s="2" t="s">
        <v>1728</v>
      </c>
      <c r="C556" s="2" t="s">
        <v>1712</v>
      </c>
      <c r="D556" s="2">
        <v>1313773995.56</v>
      </c>
      <c r="E556" s="2">
        <v>1</v>
      </c>
      <c r="F556" s="3">
        <f>IF(COUNT(D556,E556)=2,D556*E556,NA())</f>
        <v>1313773995.56</v>
      </c>
      <c r="G556" s="2" t="s">
        <v>52</v>
      </c>
      <c r="H556" s="2" t="s">
        <v>53</v>
      </c>
      <c r="I556" s="2" t="s">
        <v>54</v>
      </c>
      <c r="J556" s="2" t="s">
        <v>55</v>
      </c>
      <c r="K556" s="2"/>
      <c r="L556" s="2" t="s">
        <v>1713</v>
      </c>
      <c r="M556" s="2" t="s">
        <v>57</v>
      </c>
      <c r="N556" s="2" t="s">
        <v>58</v>
      </c>
      <c r="O556" s="2" t="s">
        <v>59</v>
      </c>
      <c r="P556" s="2"/>
      <c r="Q556" s="2" t="s">
        <v>1714</v>
      </c>
      <c r="R556" s="2"/>
    </row>
    <row r="557" spans="1:18">
      <c r="A557" s="2" t="s">
        <v>1729</v>
      </c>
      <c r="B557" s="2" t="s">
        <v>1730</v>
      </c>
      <c r="C557" s="2" t="s">
        <v>1712</v>
      </c>
      <c r="D557" s="2">
        <v>958608228.51</v>
      </c>
      <c r="E557" s="2">
        <v>1</v>
      </c>
      <c r="F557" s="3">
        <f>IF(COUNT(D557,E557)=2,D557*E557,NA())</f>
        <v>958608228.51</v>
      </c>
      <c r="G557" s="2" t="s">
        <v>52</v>
      </c>
      <c r="H557" s="2" t="s">
        <v>53</v>
      </c>
      <c r="I557" s="2" t="s">
        <v>54</v>
      </c>
      <c r="J557" s="2" t="s">
        <v>55</v>
      </c>
      <c r="K557" s="2"/>
      <c r="L557" s="2" t="s">
        <v>1713</v>
      </c>
      <c r="M557" s="2" t="s">
        <v>57</v>
      </c>
      <c r="N557" s="2" t="s">
        <v>58</v>
      </c>
      <c r="O557" s="2" t="s">
        <v>59</v>
      </c>
      <c r="P557" s="2"/>
      <c r="Q557" s="2" t="s">
        <v>1731</v>
      </c>
      <c r="R557" s="2"/>
    </row>
    <row r="558" spans="1:18">
      <c r="A558" s="2" t="s">
        <v>1732</v>
      </c>
      <c r="B558" s="2" t="s">
        <v>1733</v>
      </c>
      <c r="C558" s="2" t="s">
        <v>1712</v>
      </c>
      <c r="D558" s="2">
        <v>129843789.23</v>
      </c>
      <c r="E558" s="2">
        <v>1</v>
      </c>
      <c r="F558" s="3">
        <f>IF(COUNT(D558,E558)=2,D558*E558,NA())</f>
        <v>129843789.23</v>
      </c>
      <c r="G558" s="2" t="s">
        <v>52</v>
      </c>
      <c r="H558" s="2" t="s">
        <v>53</v>
      </c>
      <c r="I558" s="2" t="s">
        <v>54</v>
      </c>
      <c r="J558" s="2" t="s">
        <v>55</v>
      </c>
      <c r="K558" s="2"/>
      <c r="L558" s="2" t="s">
        <v>1713</v>
      </c>
      <c r="M558" s="2" t="s">
        <v>57</v>
      </c>
      <c r="N558" s="2" t="s">
        <v>58</v>
      </c>
      <c r="O558" s="2" t="s">
        <v>59</v>
      </c>
      <c r="P558" s="2"/>
      <c r="Q558" s="2" t="s">
        <v>1714</v>
      </c>
      <c r="R558" s="2"/>
    </row>
    <row r="559" spans="1:18">
      <c r="A559" s="2" t="s">
        <v>1734</v>
      </c>
      <c r="B559" s="2" t="s">
        <v>1735</v>
      </c>
      <c r="C559" s="2" t="s">
        <v>1712</v>
      </c>
      <c r="D559" s="2">
        <v>549619672.88</v>
      </c>
      <c r="E559" s="2">
        <v>1</v>
      </c>
      <c r="F559" s="3">
        <f>IF(COUNT(D559,E559)=2,D559*E559,NA())</f>
        <v>549619672.88</v>
      </c>
      <c r="G559" s="2" t="s">
        <v>52</v>
      </c>
      <c r="H559" s="2" t="s">
        <v>53</v>
      </c>
      <c r="I559" s="2" t="s">
        <v>54</v>
      </c>
      <c r="J559" s="2" t="s">
        <v>55</v>
      </c>
      <c r="K559" s="2"/>
      <c r="L559" s="2" t="s">
        <v>1713</v>
      </c>
      <c r="M559" s="2" t="s">
        <v>57</v>
      </c>
      <c r="N559" s="2" t="s">
        <v>58</v>
      </c>
      <c r="O559" s="2" t="s">
        <v>59</v>
      </c>
      <c r="P559" s="2"/>
      <c r="Q559" s="2" t="s">
        <v>1714</v>
      </c>
      <c r="R559" s="2"/>
    </row>
    <row r="560" spans="1:18">
      <c r="A560" s="2" t="s">
        <v>1736</v>
      </c>
      <c r="B560" s="2" t="s">
        <v>1737</v>
      </c>
      <c r="C560" s="2" t="s">
        <v>1712</v>
      </c>
      <c r="D560" s="2">
        <v>2333986767.99</v>
      </c>
      <c r="E560" s="2">
        <v>1</v>
      </c>
      <c r="F560" s="3">
        <f>IF(COUNT(D560,E560)=2,D560*E560,NA())</f>
        <v>2333986767.99</v>
      </c>
      <c r="G560" s="2" t="s">
        <v>52</v>
      </c>
      <c r="H560" s="2" t="s">
        <v>53</v>
      </c>
      <c r="I560" s="2" t="s">
        <v>54</v>
      </c>
      <c r="J560" s="2" t="s">
        <v>55</v>
      </c>
      <c r="K560" s="2"/>
      <c r="L560" s="2" t="s">
        <v>1713</v>
      </c>
      <c r="M560" s="2" t="s">
        <v>57</v>
      </c>
      <c r="N560" s="2" t="s">
        <v>58</v>
      </c>
      <c r="O560" s="2" t="s">
        <v>59</v>
      </c>
      <c r="P560" s="2"/>
      <c r="Q560" s="2" t="s">
        <v>1714</v>
      </c>
      <c r="R560" s="2"/>
    </row>
    <row r="561" spans="1:18">
      <c r="A561" s="2" t="s">
        <v>1738</v>
      </c>
      <c r="B561" s="2" t="s">
        <v>1739</v>
      </c>
      <c r="C561" s="2" t="s">
        <v>1712</v>
      </c>
      <c r="D561" s="2">
        <v>33759857.3</v>
      </c>
      <c r="E561" s="2">
        <v>1</v>
      </c>
      <c r="F561" s="3">
        <f>IF(COUNT(D561,E561)=2,D561*E561,NA())</f>
        <v>33759857.3</v>
      </c>
      <c r="G561" s="2" t="s">
        <v>52</v>
      </c>
      <c r="H561" s="2" t="s">
        <v>53</v>
      </c>
      <c r="I561" s="2" t="s">
        <v>54</v>
      </c>
      <c r="J561" s="2" t="s">
        <v>55</v>
      </c>
      <c r="K561" s="2"/>
      <c r="L561" s="2" t="s">
        <v>1713</v>
      </c>
      <c r="M561" s="2" t="s">
        <v>57</v>
      </c>
      <c r="N561" s="2" t="s">
        <v>58</v>
      </c>
      <c r="O561" s="2" t="s">
        <v>59</v>
      </c>
      <c r="P561" s="2"/>
      <c r="Q561" s="2" t="s">
        <v>1714</v>
      </c>
      <c r="R561" s="2"/>
    </row>
    <row r="562" spans="1:18">
      <c r="A562" s="2" t="s">
        <v>1740</v>
      </c>
      <c r="B562" s="2" t="s">
        <v>1741</v>
      </c>
      <c r="C562" s="2" t="s">
        <v>1712</v>
      </c>
      <c r="D562" s="2">
        <v>1455542440.54</v>
      </c>
      <c r="E562" s="2">
        <v>1</v>
      </c>
      <c r="F562" s="3">
        <f>IF(COUNT(D562,E562)=2,D562*E562,NA())</f>
        <v>1455542440.54</v>
      </c>
      <c r="G562" s="2" t="s">
        <v>52</v>
      </c>
      <c r="H562" s="2" t="s">
        <v>53</v>
      </c>
      <c r="I562" s="2" t="s">
        <v>54</v>
      </c>
      <c r="J562" s="2" t="s">
        <v>55</v>
      </c>
      <c r="K562" s="2" t="s">
        <v>1742</v>
      </c>
      <c r="L562" s="2" t="s">
        <v>1713</v>
      </c>
      <c r="M562" s="2" t="s">
        <v>393</v>
      </c>
      <c r="N562" s="2" t="s">
        <v>58</v>
      </c>
      <c r="O562" s="2" t="s">
        <v>59</v>
      </c>
      <c r="P562" s="2"/>
      <c r="Q562" s="2" t="s">
        <v>1714</v>
      </c>
      <c r="R562" s="2"/>
    </row>
    <row r="563" spans="1:18">
      <c r="A563" s="2" t="s">
        <v>1743</v>
      </c>
      <c r="B563" s="2" t="s">
        <v>1744</v>
      </c>
      <c r="C563" s="2" t="s">
        <v>1712</v>
      </c>
      <c r="D563" s="2">
        <v>1055102879.47</v>
      </c>
      <c r="E563" s="2">
        <v>1</v>
      </c>
      <c r="F563" s="3">
        <f>IF(COUNT(D563,E563)=2,D563*E563,NA())</f>
        <v>1055102879.47</v>
      </c>
      <c r="G563" s="2" t="s">
        <v>52</v>
      </c>
      <c r="H563" s="2" t="s">
        <v>53</v>
      </c>
      <c r="I563" s="2" t="s">
        <v>54</v>
      </c>
      <c r="J563" s="2" t="s">
        <v>55</v>
      </c>
      <c r="K563" s="2" t="s">
        <v>1742</v>
      </c>
      <c r="L563" s="2" t="s">
        <v>1713</v>
      </c>
      <c r="M563" s="2" t="s">
        <v>393</v>
      </c>
      <c r="N563" s="2" t="s">
        <v>58</v>
      </c>
      <c r="O563" s="2" t="s">
        <v>59</v>
      </c>
      <c r="P563" s="2"/>
      <c r="Q563" s="2" t="s">
        <v>1714</v>
      </c>
      <c r="R563" s="2"/>
    </row>
    <row r="564" spans="1:18">
      <c r="A564" s="2" t="s">
        <v>1745</v>
      </c>
      <c r="B564" s="2" t="s">
        <v>1746</v>
      </c>
      <c r="C564" s="2" t="s">
        <v>1712</v>
      </c>
      <c r="D564" s="2">
        <v>63552432.53</v>
      </c>
      <c r="E564" s="2">
        <v>1</v>
      </c>
      <c r="F564" s="3">
        <f>IF(COUNT(D564,E564)=2,D564*E564,NA())</f>
        <v>63552432.53</v>
      </c>
      <c r="G564" s="2" t="s">
        <v>52</v>
      </c>
      <c r="H564" s="2" t="s">
        <v>53</v>
      </c>
      <c r="I564" s="2" t="s">
        <v>54</v>
      </c>
      <c r="J564" s="2" t="s">
        <v>55</v>
      </c>
      <c r="K564" s="2" t="s">
        <v>1742</v>
      </c>
      <c r="L564" s="2" t="s">
        <v>1713</v>
      </c>
      <c r="M564" s="2" t="s">
        <v>393</v>
      </c>
      <c r="N564" s="2" t="s">
        <v>58</v>
      </c>
      <c r="O564" s="2" t="s">
        <v>59</v>
      </c>
      <c r="P564" s="2"/>
      <c r="Q564" s="2" t="s">
        <v>1714</v>
      </c>
      <c r="R564" s="2"/>
    </row>
    <row r="565" spans="1:18">
      <c r="A565" s="2" t="s">
        <v>1747</v>
      </c>
      <c r="B565" s="2" t="s">
        <v>1748</v>
      </c>
      <c r="C565" s="2" t="s">
        <v>1712</v>
      </c>
      <c r="D565" s="2">
        <v>60287918.67</v>
      </c>
      <c r="E565" s="2">
        <v>1</v>
      </c>
      <c r="F565" s="3">
        <f>IF(COUNT(D565,E565)=2,D565*E565,NA())</f>
        <v>60287918.67</v>
      </c>
      <c r="G565" s="2" t="s">
        <v>52</v>
      </c>
      <c r="H565" s="2" t="s">
        <v>53</v>
      </c>
      <c r="I565" s="2" t="s">
        <v>54</v>
      </c>
      <c r="J565" s="2" t="s">
        <v>55</v>
      </c>
      <c r="K565" s="2" t="s">
        <v>1742</v>
      </c>
      <c r="L565" s="2" t="s">
        <v>1713</v>
      </c>
      <c r="M565" s="2" t="s">
        <v>393</v>
      </c>
      <c r="N565" s="2" t="s">
        <v>58</v>
      </c>
      <c r="O565" s="2" t="s">
        <v>59</v>
      </c>
      <c r="P565" s="2"/>
      <c r="Q565" s="2" t="s">
        <v>1714</v>
      </c>
      <c r="R565" s="2"/>
    </row>
    <row r="566" spans="1:18">
      <c r="A566" s="2" t="s">
        <v>1749</v>
      </c>
      <c r="B566" s="2" t="s">
        <v>1750</v>
      </c>
      <c r="C566" s="2" t="s">
        <v>1712</v>
      </c>
      <c r="D566" s="2">
        <v>-50683466.87</v>
      </c>
      <c r="E566" s="2">
        <v>1</v>
      </c>
      <c r="F566" s="3">
        <f>IF(COUNT(D566,E566)=2,D566*E566,NA())</f>
        <v>-50683466.87</v>
      </c>
      <c r="G566" s="2" t="s">
        <v>52</v>
      </c>
      <c r="H566" s="2" t="s">
        <v>53</v>
      </c>
      <c r="I566" s="2" t="s">
        <v>54</v>
      </c>
      <c r="J566" s="2" t="s">
        <v>55</v>
      </c>
      <c r="K566" s="2" t="s">
        <v>1742</v>
      </c>
      <c r="L566" s="2" t="s">
        <v>1713</v>
      </c>
      <c r="M566" s="2" t="s">
        <v>393</v>
      </c>
      <c r="N566" s="2" t="s">
        <v>58</v>
      </c>
      <c r="O566" s="2" t="s">
        <v>59</v>
      </c>
      <c r="P566" s="2"/>
      <c r="Q566" s="2" t="s">
        <v>1714</v>
      </c>
      <c r="R566" s="2"/>
    </row>
    <row r="567" spans="1:18">
      <c r="A567" s="2" t="s">
        <v>1751</v>
      </c>
      <c r="B567" s="2" t="s">
        <v>1752</v>
      </c>
      <c r="C567" s="2" t="s">
        <v>1712</v>
      </c>
      <c r="D567" s="2">
        <v>-3012700.79</v>
      </c>
      <c r="E567" s="2">
        <v>1</v>
      </c>
      <c r="F567" s="3">
        <f>IF(COUNT(D567,E567)=2,D567*E567,NA())</f>
        <v>-3012700.79</v>
      </c>
      <c r="G567" s="2" t="s">
        <v>52</v>
      </c>
      <c r="H567" s="2" t="s">
        <v>53</v>
      </c>
      <c r="I567" s="2" t="s">
        <v>54</v>
      </c>
      <c r="J567" s="2" t="s">
        <v>55</v>
      </c>
      <c r="K567" s="2" t="s">
        <v>1742</v>
      </c>
      <c r="L567" s="2" t="s">
        <v>1713</v>
      </c>
      <c r="M567" s="2" t="s">
        <v>393</v>
      </c>
      <c r="N567" s="2" t="s">
        <v>58</v>
      </c>
      <c r="O567" s="2" t="s">
        <v>59</v>
      </c>
      <c r="P567" s="2"/>
      <c r="Q567" s="2" t="s">
        <v>1714</v>
      </c>
      <c r="R567" s="2"/>
    </row>
    <row r="568" spans="1:18">
      <c r="A568" s="2" t="s">
        <v>1753</v>
      </c>
      <c r="B568" s="2" t="s">
        <v>1754</v>
      </c>
      <c r="C568" s="2" t="s">
        <v>1712</v>
      </c>
      <c r="D568" s="2">
        <v>-55182890.65</v>
      </c>
      <c r="E568" s="2">
        <v>1</v>
      </c>
      <c r="F568" s="3">
        <f>IF(COUNT(D568,E568)=2,D568*E568,NA())</f>
        <v>-55182890.65</v>
      </c>
      <c r="G568" s="2" t="s">
        <v>52</v>
      </c>
      <c r="H568" s="2" t="s">
        <v>53</v>
      </c>
      <c r="I568" s="2" t="s">
        <v>54</v>
      </c>
      <c r="J568" s="2" t="s">
        <v>55</v>
      </c>
      <c r="K568" s="2" t="s">
        <v>1742</v>
      </c>
      <c r="L568" s="2" t="s">
        <v>1713</v>
      </c>
      <c r="M568" s="2" t="s">
        <v>393</v>
      </c>
      <c r="N568" s="2" t="s">
        <v>58</v>
      </c>
      <c r="O568" s="2" t="s">
        <v>59</v>
      </c>
      <c r="P568" s="2"/>
      <c r="Q568" s="2" t="s">
        <v>1714</v>
      </c>
      <c r="R568" s="2"/>
    </row>
    <row r="569" spans="1:18">
      <c r="A569" s="2" t="s">
        <v>1755</v>
      </c>
      <c r="B569" s="2" t="s">
        <v>1756</v>
      </c>
      <c r="C569" s="2" t="s">
        <v>1712</v>
      </c>
      <c r="D569" s="2">
        <v>-72601036.90000001</v>
      </c>
      <c r="E569" s="2">
        <v>1</v>
      </c>
      <c r="F569" s="3">
        <f>IF(COUNT(D569,E569)=2,D569*E569,NA())</f>
        <v>-72601036.9</v>
      </c>
      <c r="G569" s="2" t="s">
        <v>52</v>
      </c>
      <c r="H569" s="2" t="s">
        <v>53</v>
      </c>
      <c r="I569" s="2" t="s">
        <v>54</v>
      </c>
      <c r="J569" s="2" t="s">
        <v>55</v>
      </c>
      <c r="K569" s="2" t="s">
        <v>1742</v>
      </c>
      <c r="L569" s="2" t="s">
        <v>1713</v>
      </c>
      <c r="M569" s="2" t="s">
        <v>393</v>
      </c>
      <c r="N569" s="2" t="s">
        <v>58</v>
      </c>
      <c r="O569" s="2" t="s">
        <v>59</v>
      </c>
      <c r="P569" s="2"/>
      <c r="Q569" s="2" t="s">
        <v>1714</v>
      </c>
      <c r="R569" s="2"/>
    </row>
    <row r="570" spans="1:18">
      <c r="A570" s="2" t="s">
        <v>1757</v>
      </c>
      <c r="B570" s="2" t="s">
        <v>1758</v>
      </c>
      <c r="C570" s="2" t="s">
        <v>1712</v>
      </c>
      <c r="D570" s="2">
        <v>215265534.37</v>
      </c>
      <c r="E570" s="2">
        <v>1</v>
      </c>
      <c r="F570" s="3">
        <f>IF(COUNT(D570,E570)=2,D570*E570,NA())</f>
        <v>215265534.37</v>
      </c>
      <c r="G570" s="2" t="s">
        <v>52</v>
      </c>
      <c r="H570" s="2" t="s">
        <v>53</v>
      </c>
      <c r="I570" s="2" t="s">
        <v>54</v>
      </c>
      <c r="J570" s="2" t="s">
        <v>55</v>
      </c>
      <c r="K570" s="2" t="s">
        <v>1742</v>
      </c>
      <c r="L570" s="2" t="s">
        <v>1713</v>
      </c>
      <c r="M570" s="2" t="s">
        <v>393</v>
      </c>
      <c r="N570" s="2" t="s">
        <v>58</v>
      </c>
      <c r="O570" s="2" t="s">
        <v>59</v>
      </c>
      <c r="P570" s="2"/>
      <c r="Q570" s="2" t="s">
        <v>1714</v>
      </c>
      <c r="R570" s="2"/>
    </row>
    <row r="571" spans="1:18">
      <c r="A571" s="2" t="s">
        <v>1759</v>
      </c>
      <c r="B571" s="2" t="s">
        <v>1760</v>
      </c>
      <c r="C571" s="2" t="s">
        <v>1712</v>
      </c>
      <c r="D571" s="2">
        <v>-5197556.25</v>
      </c>
      <c r="E571" s="2">
        <v>1</v>
      </c>
      <c r="F571" s="3">
        <f>IF(COUNT(D571,E571)=2,D571*E571,NA())</f>
        <v>-5197556.25</v>
      </c>
      <c r="G571" s="2" t="s">
        <v>52</v>
      </c>
      <c r="H571" s="2" t="s">
        <v>53</v>
      </c>
      <c r="I571" s="2" t="s">
        <v>54</v>
      </c>
      <c r="J571" s="2" t="s">
        <v>55</v>
      </c>
      <c r="K571" s="2" t="s">
        <v>1742</v>
      </c>
      <c r="L571" s="2" t="s">
        <v>1713</v>
      </c>
      <c r="M571" s="2" t="s">
        <v>393</v>
      </c>
      <c r="N571" s="2" t="s">
        <v>58</v>
      </c>
      <c r="O571" s="2" t="s">
        <v>59</v>
      </c>
      <c r="P571" s="2"/>
      <c r="Q571" s="2" t="s">
        <v>1714</v>
      </c>
      <c r="R571" s="2"/>
    </row>
    <row r="572" spans="1:18">
      <c r="A572" s="2" t="s">
        <v>1761</v>
      </c>
      <c r="B572" s="2" t="s">
        <v>1762</v>
      </c>
      <c r="C572" s="2" t="s">
        <v>1712</v>
      </c>
      <c r="D572" s="2">
        <v>82284050.56999999</v>
      </c>
      <c r="E572" s="2">
        <v>1</v>
      </c>
      <c r="F572" s="3">
        <f>IF(COUNT(D572,E572)=2,D572*E572,NA())</f>
        <v>82284050.57</v>
      </c>
      <c r="G572" s="2" t="s">
        <v>52</v>
      </c>
      <c r="H572" s="2" t="s">
        <v>53</v>
      </c>
      <c r="I572" s="2" t="s">
        <v>54</v>
      </c>
      <c r="J572" s="2" t="s">
        <v>55</v>
      </c>
      <c r="K572" s="2" t="s">
        <v>1742</v>
      </c>
      <c r="L572" s="2" t="s">
        <v>1713</v>
      </c>
      <c r="M572" s="2" t="s">
        <v>393</v>
      </c>
      <c r="N572" s="2" t="s">
        <v>58</v>
      </c>
      <c r="O572" s="2" t="s">
        <v>59</v>
      </c>
      <c r="P572" s="2"/>
      <c r="Q572" s="2" t="s">
        <v>1714</v>
      </c>
      <c r="R572" s="2"/>
    </row>
    <row r="573" spans="1:18">
      <c r="A573" s="2" t="s">
        <v>1763</v>
      </c>
      <c r="B573" s="2" t="s">
        <v>1764</v>
      </c>
      <c r="C573" s="2" t="s">
        <v>1712</v>
      </c>
      <c r="D573" s="2">
        <v>32223436.69</v>
      </c>
      <c r="E573" s="2">
        <v>1</v>
      </c>
      <c r="F573" s="3">
        <f>IF(COUNT(D573,E573)=2,D573*E573,NA())</f>
        <v>32223436.69</v>
      </c>
      <c r="G573" s="2" t="s">
        <v>52</v>
      </c>
      <c r="H573" s="2" t="s">
        <v>53</v>
      </c>
      <c r="I573" s="2" t="s">
        <v>54</v>
      </c>
      <c r="J573" s="2" t="s">
        <v>55</v>
      </c>
      <c r="K573" s="2" t="s">
        <v>1742</v>
      </c>
      <c r="L573" s="2" t="s">
        <v>1713</v>
      </c>
      <c r="M573" s="2" t="s">
        <v>393</v>
      </c>
      <c r="N573" s="2" t="s">
        <v>58</v>
      </c>
      <c r="O573" s="2" t="s">
        <v>59</v>
      </c>
      <c r="P573" s="2"/>
      <c r="Q573" s="2" t="s">
        <v>1714</v>
      </c>
      <c r="R573" s="2"/>
    </row>
    <row r="574" spans="1:18">
      <c r="A574" s="2" t="s">
        <v>1765</v>
      </c>
      <c r="B574" s="2" t="s">
        <v>1766</v>
      </c>
      <c r="C574" s="2" t="s">
        <v>1712</v>
      </c>
      <c r="D574" s="2"/>
      <c r="E574" s="2">
        <v>1</v>
      </c>
      <c r="F574" s="3" t="e">
        <f>IF(COUNT(D574,E574)=2,D574*E574,NA())</f>
        <v>#N/A</v>
      </c>
      <c r="G574" s="2" t="s">
        <v>52</v>
      </c>
      <c r="H574" s="2" t="s">
        <v>53</v>
      </c>
      <c r="I574" s="2" t="s">
        <v>54</v>
      </c>
      <c r="J574" s="2" t="s">
        <v>55</v>
      </c>
      <c r="K574" s="2"/>
      <c r="L574" s="2" t="s">
        <v>1713</v>
      </c>
      <c r="M574" s="2" t="s">
        <v>57</v>
      </c>
      <c r="N574" s="2" t="s">
        <v>1693</v>
      </c>
      <c r="O574" s="2" t="s">
        <v>59</v>
      </c>
      <c r="P574" s="2" t="s">
        <v>1767</v>
      </c>
      <c r="Q574" s="2" t="s">
        <v>1768</v>
      </c>
      <c r="R574" s="2"/>
    </row>
    <row r="575" spans="1:18">
      <c r="A575" s="2" t="s">
        <v>1769</v>
      </c>
      <c r="B575" s="2" t="s">
        <v>1770</v>
      </c>
      <c r="C575" s="2" t="s">
        <v>1712</v>
      </c>
      <c r="D575" s="2"/>
      <c r="E575" s="2">
        <v>1</v>
      </c>
      <c r="F575" s="3" t="e">
        <f>IF(COUNT(D575,E575)=2,D575*E575,NA())</f>
        <v>#N/A</v>
      </c>
      <c r="G575" s="2" t="s">
        <v>52</v>
      </c>
      <c r="H575" s="2" t="s">
        <v>53</v>
      </c>
      <c r="I575" s="2" t="s">
        <v>54</v>
      </c>
      <c r="J575" s="2" t="s">
        <v>55</v>
      </c>
      <c r="K575" s="2"/>
      <c r="L575" s="2" t="s">
        <v>1713</v>
      </c>
      <c r="M575" s="2" t="s">
        <v>57</v>
      </c>
      <c r="N575" s="2" t="s">
        <v>1693</v>
      </c>
      <c r="O575" s="2" t="s">
        <v>59</v>
      </c>
      <c r="P575" s="2" t="s">
        <v>1771</v>
      </c>
      <c r="Q575" s="2" t="s">
        <v>1768</v>
      </c>
      <c r="R575" s="2"/>
    </row>
    <row r="576" spans="1:18">
      <c r="A576" s="2" t="s">
        <v>1772</v>
      </c>
      <c r="B576" s="2" t="s">
        <v>1773</v>
      </c>
      <c r="C576" s="2" t="s">
        <v>1295</v>
      </c>
      <c r="D576" s="2">
        <v>3948078687.1</v>
      </c>
      <c r="E576" s="2">
        <v>1</v>
      </c>
      <c r="F576" s="3">
        <f>IF(COUNT(D576,E576)=2,D576*E576,NA())</f>
        <v>3948078687.1</v>
      </c>
      <c r="G576" s="2" t="s">
        <v>52</v>
      </c>
      <c r="H576" s="2" t="s">
        <v>53</v>
      </c>
      <c r="I576" s="2" t="s">
        <v>54</v>
      </c>
      <c r="J576" s="2" t="s">
        <v>1296</v>
      </c>
      <c r="K576" s="2"/>
      <c r="L576" s="2" t="s">
        <v>63</v>
      </c>
      <c r="M576" s="2" t="s">
        <v>57</v>
      </c>
      <c r="N576" s="2" t="s">
        <v>58</v>
      </c>
      <c r="O576" s="2" t="s">
        <v>59</v>
      </c>
      <c r="P576" s="2"/>
      <c r="Q576" s="2" t="s">
        <v>1774</v>
      </c>
      <c r="R576" s="2"/>
    </row>
    <row r="577" spans="1:18">
      <c r="A577" s="2" t="s">
        <v>1775</v>
      </c>
      <c r="B577" s="2" t="s">
        <v>1776</v>
      </c>
      <c r="C577" s="2" t="s">
        <v>1295</v>
      </c>
      <c r="D577" s="2">
        <v>785694.46</v>
      </c>
      <c r="E577" s="2">
        <v>1</v>
      </c>
      <c r="F577" s="3">
        <f>IF(COUNT(D577,E577)=2,D577*E577,NA())</f>
        <v>785694.46</v>
      </c>
      <c r="G577" s="2" t="s">
        <v>52</v>
      </c>
      <c r="H577" s="2" t="s">
        <v>53</v>
      </c>
      <c r="I577" s="2" t="s">
        <v>54</v>
      </c>
      <c r="J577" s="2" t="s">
        <v>1296</v>
      </c>
      <c r="K577" s="2"/>
      <c r="L577" s="2" t="s">
        <v>63</v>
      </c>
      <c r="M577" s="2" t="s">
        <v>57</v>
      </c>
      <c r="N577" s="2" t="s">
        <v>58</v>
      </c>
      <c r="O577" s="2" t="s">
        <v>59</v>
      </c>
      <c r="P577" s="2"/>
      <c r="Q577" s="2" t="s">
        <v>1777</v>
      </c>
      <c r="R577" s="2"/>
    </row>
    <row r="578" spans="1:18">
      <c r="A578" s="2" t="s">
        <v>1778</v>
      </c>
      <c r="B578" s="2" t="s">
        <v>1779</v>
      </c>
      <c r="C578" s="2" t="s">
        <v>1295</v>
      </c>
      <c r="D578" s="2">
        <v>-348546129.57</v>
      </c>
      <c r="E578" s="2">
        <v>1</v>
      </c>
      <c r="F578" s="3">
        <f>IF(COUNT(D578,E578)=2,D578*E578,NA())</f>
        <v>-348546129.57</v>
      </c>
      <c r="G578" s="2" t="s">
        <v>52</v>
      </c>
      <c r="H578" s="2" t="s">
        <v>53</v>
      </c>
      <c r="I578" s="2" t="s">
        <v>54</v>
      </c>
      <c r="J578" s="2" t="s">
        <v>1296</v>
      </c>
      <c r="K578" s="2" t="s">
        <v>392</v>
      </c>
      <c r="L578" s="2" t="s">
        <v>56</v>
      </c>
      <c r="M578" s="2" t="s">
        <v>393</v>
      </c>
      <c r="N578" s="2" t="s">
        <v>58</v>
      </c>
      <c r="O578" s="2" t="s">
        <v>59</v>
      </c>
      <c r="P578" s="2"/>
      <c r="Q578" s="2" t="s">
        <v>1780</v>
      </c>
      <c r="R578" s="2"/>
    </row>
    <row r="579" spans="1:18">
      <c r="A579" s="2" t="s">
        <v>1781</v>
      </c>
      <c r="B579" s="2" t="s">
        <v>1782</v>
      </c>
      <c r="C579" s="2" t="s">
        <v>1295</v>
      </c>
      <c r="D579" s="2">
        <v>388489008</v>
      </c>
      <c r="E579" s="2">
        <v>1</v>
      </c>
      <c r="F579" s="3">
        <f>IF(COUNT(D579,E579)=2,D579*E579,NA())</f>
        <v>388489008.0</v>
      </c>
      <c r="G579" s="2" t="s">
        <v>52</v>
      </c>
      <c r="H579" s="2" t="s">
        <v>53</v>
      </c>
      <c r="I579" s="2" t="s">
        <v>54</v>
      </c>
      <c r="J579" s="2" t="s">
        <v>1296</v>
      </c>
      <c r="K579" s="2" t="s">
        <v>392</v>
      </c>
      <c r="L579" s="2" t="s">
        <v>56</v>
      </c>
      <c r="M579" s="2" t="s">
        <v>393</v>
      </c>
      <c r="N579" s="2" t="s">
        <v>58</v>
      </c>
      <c r="O579" s="2" t="s">
        <v>59</v>
      </c>
      <c r="P579" s="2"/>
      <c r="Q579" s="2" t="s">
        <v>1783</v>
      </c>
      <c r="R579" s="2"/>
    </row>
    <row r="580" spans="1:18">
      <c r="A580" s="2" t="s">
        <v>1784</v>
      </c>
      <c r="B580" s="2" t="s">
        <v>1785</v>
      </c>
      <c r="C580" s="2" t="s">
        <v>1295</v>
      </c>
      <c r="D580" s="2">
        <v>2263705.03</v>
      </c>
      <c r="E580" s="2">
        <v>1</v>
      </c>
      <c r="F580" s="3">
        <f>IF(COUNT(D580,E580)=2,D580*E580,NA())</f>
        <v>2263705.03</v>
      </c>
      <c r="G580" s="2" t="s">
        <v>52</v>
      </c>
      <c r="H580" s="2" t="s">
        <v>53</v>
      </c>
      <c r="I580" s="2" t="s">
        <v>54</v>
      </c>
      <c r="J580" s="2" t="s">
        <v>1296</v>
      </c>
      <c r="K580" s="2" t="s">
        <v>392</v>
      </c>
      <c r="L580" s="2" t="s">
        <v>56</v>
      </c>
      <c r="M580" s="2" t="s">
        <v>393</v>
      </c>
      <c r="N580" s="2" t="s">
        <v>58</v>
      </c>
      <c r="O580" s="2" t="s">
        <v>59</v>
      </c>
      <c r="P580" s="2"/>
      <c r="Q580" s="2" t="s">
        <v>1786</v>
      </c>
      <c r="R580" s="2"/>
    </row>
    <row r="581" spans="1:18">
      <c r="A581" s="2" t="s">
        <v>1787</v>
      </c>
      <c r="B581" s="2" t="s">
        <v>1788</v>
      </c>
      <c r="C581" s="2" t="s">
        <v>1500</v>
      </c>
      <c r="D581" s="2">
        <v>5212345432.03</v>
      </c>
      <c r="E581" s="2">
        <v>1</v>
      </c>
      <c r="F581" s="3">
        <f>IF(COUNT(D581,E581)=2,D581*E581,NA())</f>
        <v>5212345432.03</v>
      </c>
      <c r="G581" s="2" t="s">
        <v>52</v>
      </c>
      <c r="H581" s="2" t="s">
        <v>53</v>
      </c>
      <c r="I581" s="2" t="s">
        <v>54</v>
      </c>
      <c r="J581" s="2" t="s">
        <v>55</v>
      </c>
      <c r="K581" s="2"/>
      <c r="L581" s="2" t="s">
        <v>815</v>
      </c>
      <c r="M581" s="2" t="s">
        <v>57</v>
      </c>
      <c r="N581" s="2" t="s">
        <v>64</v>
      </c>
      <c r="O581" s="2" t="s">
        <v>59</v>
      </c>
      <c r="P581" s="2" t="s">
        <v>1789</v>
      </c>
      <c r="Q581" s="2" t="s">
        <v>386</v>
      </c>
      <c r="R581" s="2"/>
    </row>
    <row r="582" spans="1:18">
      <c r="A582" s="2" t="s">
        <v>1790</v>
      </c>
      <c r="B582" s="2" t="s">
        <v>1791</v>
      </c>
      <c r="C582" s="2" t="s">
        <v>1792</v>
      </c>
      <c r="D582" s="2">
        <v>3415245423.59</v>
      </c>
      <c r="E582" s="2">
        <v>1</v>
      </c>
      <c r="F582" s="3">
        <f>IF(COUNT(D582,E582)=2,D582*E582,NA())</f>
        <v>3415245423.59</v>
      </c>
      <c r="G582" s="2" t="s">
        <v>52</v>
      </c>
      <c r="H582" s="2" t="s">
        <v>53</v>
      </c>
      <c r="I582" s="2" t="s">
        <v>54</v>
      </c>
      <c r="J582" s="2" t="s">
        <v>55</v>
      </c>
      <c r="K582" s="2"/>
      <c r="L582" s="2" t="s">
        <v>63</v>
      </c>
      <c r="M582" s="2" t="s">
        <v>57</v>
      </c>
      <c r="N582" s="2" t="s">
        <v>58</v>
      </c>
      <c r="O582" s="2" t="s">
        <v>1592</v>
      </c>
      <c r="P582" s="2"/>
      <c r="Q582" s="2" t="s">
        <v>1793</v>
      </c>
      <c r="R582" s="2"/>
    </row>
    <row r="583" spans="1:18">
      <c r="A583" s="2" t="s">
        <v>1794</v>
      </c>
      <c r="B583" s="2" t="s">
        <v>1795</v>
      </c>
      <c r="C583" s="2" t="s">
        <v>1792</v>
      </c>
      <c r="D583" s="2">
        <v>2328727798.48</v>
      </c>
      <c r="E583" s="2">
        <v>1</v>
      </c>
      <c r="F583" s="3">
        <f>IF(COUNT(D583,E583)=2,D583*E583,NA())</f>
        <v>2328727798.48</v>
      </c>
      <c r="G583" s="2" t="s">
        <v>52</v>
      </c>
      <c r="H583" s="2" t="s">
        <v>53</v>
      </c>
      <c r="I583" s="2" t="s">
        <v>54</v>
      </c>
      <c r="J583" s="2" t="s">
        <v>55</v>
      </c>
      <c r="K583" s="2"/>
      <c r="L583" s="2" t="s">
        <v>63</v>
      </c>
      <c r="M583" s="2" t="s">
        <v>57</v>
      </c>
      <c r="N583" s="2" t="s">
        <v>58</v>
      </c>
      <c r="O583" s="2" t="s">
        <v>1592</v>
      </c>
      <c r="P583" s="2"/>
      <c r="Q583" s="2" t="s">
        <v>1796</v>
      </c>
      <c r="R583" s="2"/>
    </row>
    <row r="584" spans="1:18">
      <c r="A584" s="2" t="s">
        <v>1797</v>
      </c>
      <c r="B584" s="2" t="s">
        <v>1798</v>
      </c>
      <c r="C584" s="2" t="s">
        <v>1792</v>
      </c>
      <c r="D584" s="2">
        <v>1086517625.11</v>
      </c>
      <c r="E584" s="2">
        <v>1</v>
      </c>
      <c r="F584" s="3">
        <f>IF(COUNT(D584,E584)=2,D584*E584,NA())</f>
        <v>1086517625.11</v>
      </c>
      <c r="G584" s="2" t="s">
        <v>52</v>
      </c>
      <c r="H584" s="2" t="s">
        <v>53</v>
      </c>
      <c r="I584" s="2" t="s">
        <v>54</v>
      </c>
      <c r="J584" s="2" t="s">
        <v>55</v>
      </c>
      <c r="K584" s="2"/>
      <c r="L584" s="2" t="s">
        <v>63</v>
      </c>
      <c r="M584" s="2" t="s">
        <v>57</v>
      </c>
      <c r="N584" s="2" t="s">
        <v>58</v>
      </c>
      <c r="O584" s="2" t="s">
        <v>1592</v>
      </c>
      <c r="P584" s="2"/>
      <c r="Q584" s="2" t="s">
        <v>1799</v>
      </c>
      <c r="R584" s="2"/>
    </row>
    <row r="585" spans="1:18">
      <c r="A585" s="2" t="s">
        <v>1800</v>
      </c>
      <c r="B585" s="2" t="s">
        <v>1801</v>
      </c>
      <c r="C585" s="2" t="s">
        <v>1792</v>
      </c>
      <c r="D585" s="2">
        <v>463208782.08</v>
      </c>
      <c r="E585" s="2">
        <v>1</v>
      </c>
      <c r="F585" s="3">
        <f>IF(COUNT(D585,E585)=2,D585*E585,NA())</f>
        <v>463208782.08</v>
      </c>
      <c r="G585" s="2" t="s">
        <v>52</v>
      </c>
      <c r="H585" s="2" t="s">
        <v>53</v>
      </c>
      <c r="I585" s="2" t="s">
        <v>54</v>
      </c>
      <c r="J585" s="2" t="s">
        <v>55</v>
      </c>
      <c r="K585" s="2"/>
      <c r="L585" s="2" t="s">
        <v>63</v>
      </c>
      <c r="M585" s="2" t="s">
        <v>57</v>
      </c>
      <c r="N585" s="2" t="s">
        <v>58</v>
      </c>
      <c r="O585" s="2" t="s">
        <v>1592</v>
      </c>
      <c r="P585" s="2"/>
      <c r="Q585" s="2" t="s">
        <v>1802</v>
      </c>
      <c r="R585" s="2"/>
    </row>
    <row r="586" spans="1:18">
      <c r="A586" s="2" t="s">
        <v>1803</v>
      </c>
      <c r="B586" s="2" t="s">
        <v>1804</v>
      </c>
      <c r="C586" s="2" t="s">
        <v>1792</v>
      </c>
      <c r="D586" s="2">
        <v>3415245423.59</v>
      </c>
      <c r="E586" s="2">
        <v>1</v>
      </c>
      <c r="F586" s="3">
        <f>IF(COUNT(D586,E586)=2,D586*E586,NA())</f>
        <v>3415245423.59</v>
      </c>
      <c r="G586" s="2" t="s">
        <v>52</v>
      </c>
      <c r="H586" s="2" t="s">
        <v>53</v>
      </c>
      <c r="I586" s="2" t="s">
        <v>54</v>
      </c>
      <c r="J586" s="2" t="s">
        <v>55</v>
      </c>
      <c r="K586" s="2"/>
      <c r="L586" s="2" t="s">
        <v>63</v>
      </c>
      <c r="M586" s="2" t="s">
        <v>57</v>
      </c>
      <c r="N586" s="2" t="s">
        <v>64</v>
      </c>
      <c r="O586" s="2" t="s">
        <v>59</v>
      </c>
      <c r="P586" s="2" t="s">
        <v>1805</v>
      </c>
      <c r="Q586" s="2" t="s">
        <v>1806</v>
      </c>
      <c r="R586" s="2"/>
    </row>
    <row r="587" spans="1:18">
      <c r="A587" s="2" t="s">
        <v>1807</v>
      </c>
      <c r="B587" s="2" t="s">
        <v>1808</v>
      </c>
      <c r="C587" s="2" t="s">
        <v>1792</v>
      </c>
      <c r="D587" s="2">
        <v>2328727798.48</v>
      </c>
      <c r="E587" s="2">
        <v>1</v>
      </c>
      <c r="F587" s="3">
        <f>IF(COUNT(D587,E587)=2,D587*E587,NA())</f>
        <v>2328727798.48</v>
      </c>
      <c r="G587" s="2" t="s">
        <v>52</v>
      </c>
      <c r="H587" s="2" t="s">
        <v>53</v>
      </c>
      <c r="I587" s="2" t="s">
        <v>54</v>
      </c>
      <c r="J587" s="2" t="s">
        <v>55</v>
      </c>
      <c r="K587" s="2"/>
      <c r="L587" s="2" t="s">
        <v>63</v>
      </c>
      <c r="M587" s="2" t="s">
        <v>57</v>
      </c>
      <c r="N587" s="2" t="s">
        <v>64</v>
      </c>
      <c r="O587" s="2" t="s">
        <v>59</v>
      </c>
      <c r="P587" s="2" t="s">
        <v>1809</v>
      </c>
      <c r="Q587" s="2" t="s">
        <v>1810</v>
      </c>
      <c r="R587" s="2"/>
    </row>
    <row r="588" spans="1:18">
      <c r="A588" s="2" t="s">
        <v>1811</v>
      </c>
      <c r="B588" s="2" t="s">
        <v>1812</v>
      </c>
      <c r="C588" s="2" t="s">
        <v>1813</v>
      </c>
      <c r="D588" s="2">
        <v>321038849.04</v>
      </c>
      <c r="E588" s="2">
        <v>1</v>
      </c>
      <c r="F588" s="3">
        <f>IF(COUNT(D588,E588)=2,D588*E588,NA())</f>
        <v>321038849.04</v>
      </c>
      <c r="G588" s="2" t="s">
        <v>52</v>
      </c>
      <c r="H588" s="2" t="s">
        <v>53</v>
      </c>
      <c r="I588" s="2" t="s">
        <v>54</v>
      </c>
      <c r="J588" s="2" t="s">
        <v>55</v>
      </c>
      <c r="K588" s="2"/>
      <c r="L588" s="2" t="s">
        <v>56</v>
      </c>
      <c r="M588" s="2" t="s">
        <v>57</v>
      </c>
      <c r="N588" s="2" t="s">
        <v>58</v>
      </c>
      <c r="O588" s="2" t="s">
        <v>59</v>
      </c>
      <c r="P588" s="2" t="s">
        <v>1814</v>
      </c>
      <c r="Q588" s="2" t="s">
        <v>1815</v>
      </c>
      <c r="R588" s="2"/>
    </row>
    <row r="589" spans="1:18">
      <c r="A589" s="2" t="s">
        <v>1816</v>
      </c>
      <c r="B589" s="2" t="s">
        <v>1812</v>
      </c>
      <c r="C589" s="2" t="s">
        <v>1813</v>
      </c>
      <c r="D589" s="2">
        <v>377543579.5</v>
      </c>
      <c r="E589" s="2">
        <v>1</v>
      </c>
      <c r="F589" s="3">
        <f>IF(COUNT(D589,E589)=2,D589*E589,NA())</f>
        <v>377543579.5</v>
      </c>
      <c r="G589" s="2" t="s">
        <v>52</v>
      </c>
      <c r="H589" s="2" t="s">
        <v>53</v>
      </c>
      <c r="I589" s="2" t="s">
        <v>54</v>
      </c>
      <c r="J589" s="2" t="s">
        <v>55</v>
      </c>
      <c r="K589" s="2"/>
      <c r="L589" s="2" t="s">
        <v>63</v>
      </c>
      <c r="M589" s="2" t="s">
        <v>57</v>
      </c>
      <c r="N589" s="2" t="s">
        <v>64</v>
      </c>
      <c r="O589" s="2" t="s">
        <v>59</v>
      </c>
      <c r="P589" s="2" t="s">
        <v>1817</v>
      </c>
      <c r="Q589" s="2" t="s">
        <v>1815</v>
      </c>
      <c r="R589" s="2"/>
    </row>
    <row r="590" spans="1:18">
      <c r="A590" s="2" t="s">
        <v>1818</v>
      </c>
      <c r="B590" s="2" t="s">
        <v>1819</v>
      </c>
      <c r="C590" s="2" t="s">
        <v>1813</v>
      </c>
      <c r="D590" s="2">
        <v>167050585.9</v>
      </c>
      <c r="E590" s="2">
        <v>1</v>
      </c>
      <c r="F590" s="3">
        <f>IF(COUNT(D590,E590)=2,D590*E590,NA())</f>
        <v>167050585.9</v>
      </c>
      <c r="G590" s="2" t="s">
        <v>52</v>
      </c>
      <c r="H590" s="2" t="s">
        <v>53</v>
      </c>
      <c r="I590" s="2" t="s">
        <v>54</v>
      </c>
      <c r="J590" s="2" t="s">
        <v>55</v>
      </c>
      <c r="K590" s="2"/>
      <c r="L590" s="2" t="s">
        <v>56</v>
      </c>
      <c r="M590" s="2" t="s">
        <v>57</v>
      </c>
      <c r="N590" s="2" t="s">
        <v>58</v>
      </c>
      <c r="O590" s="2" t="s">
        <v>59</v>
      </c>
      <c r="P590" s="2" t="s">
        <v>1820</v>
      </c>
      <c r="Q590" s="2" t="s">
        <v>1821</v>
      </c>
      <c r="R590" s="2"/>
    </row>
    <row r="591" spans="1:18">
      <c r="A591" s="2" t="s">
        <v>1822</v>
      </c>
      <c r="B591" s="2" t="s">
        <v>1819</v>
      </c>
      <c r="C591" s="2" t="s">
        <v>1813</v>
      </c>
      <c r="D591" s="2">
        <v>129813530.98</v>
      </c>
      <c r="E591" s="2">
        <v>1</v>
      </c>
      <c r="F591" s="3">
        <f>IF(COUNT(D591,E591)=2,D591*E591,NA())</f>
        <v>129813530.98</v>
      </c>
      <c r="G591" s="2" t="s">
        <v>52</v>
      </c>
      <c r="H591" s="2" t="s">
        <v>53</v>
      </c>
      <c r="I591" s="2" t="s">
        <v>54</v>
      </c>
      <c r="J591" s="2" t="s">
        <v>55</v>
      </c>
      <c r="K591" s="2"/>
      <c r="L591" s="2" t="s">
        <v>63</v>
      </c>
      <c r="M591" s="2" t="s">
        <v>57</v>
      </c>
      <c r="N591" s="2" t="s">
        <v>64</v>
      </c>
      <c r="O591" s="2" t="s">
        <v>59</v>
      </c>
      <c r="P591" s="2" t="s">
        <v>1823</v>
      </c>
      <c r="Q591" s="2" t="s">
        <v>1821</v>
      </c>
      <c r="R591" s="2"/>
    </row>
    <row r="592" spans="1:18">
      <c r="A592" s="2" t="s">
        <v>1824</v>
      </c>
      <c r="B592" s="2" t="s">
        <v>1825</v>
      </c>
      <c r="C592" s="2" t="s">
        <v>1813</v>
      </c>
      <c r="D592" s="2">
        <v>18615072.23</v>
      </c>
      <c r="E592" s="2">
        <v>1</v>
      </c>
      <c r="F592" s="3">
        <f>IF(COUNT(D592,E592)=2,D592*E592,NA())</f>
        <v>18615072.23</v>
      </c>
      <c r="G592" s="2" t="s">
        <v>52</v>
      </c>
      <c r="H592" s="2" t="s">
        <v>53</v>
      </c>
      <c r="I592" s="2" t="s">
        <v>54</v>
      </c>
      <c r="J592" s="2" t="s">
        <v>55</v>
      </c>
      <c r="K592" s="2"/>
      <c r="L592" s="2" t="s">
        <v>56</v>
      </c>
      <c r="M592" s="2" t="s">
        <v>57</v>
      </c>
      <c r="N592" s="2" t="s">
        <v>58</v>
      </c>
      <c r="O592" s="2" t="s">
        <v>59</v>
      </c>
      <c r="P592" s="2" t="s">
        <v>1826</v>
      </c>
      <c r="Q592" s="2" t="s">
        <v>1827</v>
      </c>
      <c r="R592" s="2"/>
    </row>
    <row r="593" spans="1:18">
      <c r="A593" s="2" t="s">
        <v>1828</v>
      </c>
      <c r="B593" s="2" t="s">
        <v>1825</v>
      </c>
      <c r="C593" s="2" t="s">
        <v>1813</v>
      </c>
      <c r="D593" s="2">
        <v>14268934.9</v>
      </c>
      <c r="E593" s="2">
        <v>1</v>
      </c>
      <c r="F593" s="3">
        <f>IF(COUNT(D593,E593)=2,D593*E593,NA())</f>
        <v>14268934.9</v>
      </c>
      <c r="G593" s="2" t="s">
        <v>52</v>
      </c>
      <c r="H593" s="2" t="s">
        <v>53</v>
      </c>
      <c r="I593" s="2" t="s">
        <v>54</v>
      </c>
      <c r="J593" s="2" t="s">
        <v>55</v>
      </c>
      <c r="K593" s="2"/>
      <c r="L593" s="2" t="s">
        <v>63</v>
      </c>
      <c r="M593" s="2" t="s">
        <v>57</v>
      </c>
      <c r="N593" s="2" t="s">
        <v>64</v>
      </c>
      <c r="O593" s="2" t="s">
        <v>59</v>
      </c>
      <c r="P593" s="2" t="s">
        <v>1829</v>
      </c>
      <c r="Q593" s="2" t="s">
        <v>1827</v>
      </c>
      <c r="R593" s="2"/>
    </row>
    <row r="594" spans="1:18">
      <c r="A594" s="2" t="s">
        <v>1830</v>
      </c>
      <c r="B594" s="2" t="s">
        <v>1831</v>
      </c>
      <c r="C594" s="2" t="s">
        <v>1813</v>
      </c>
      <c r="D594" s="2">
        <v>1555431.28</v>
      </c>
      <c r="E594" s="2">
        <v>1</v>
      </c>
      <c r="F594" s="3">
        <f>IF(COUNT(D594,E594)=2,D594*E594,NA())</f>
        <v>1555431.28</v>
      </c>
      <c r="G594" s="2" t="s">
        <v>52</v>
      </c>
      <c r="H594" s="2" t="s">
        <v>53</v>
      </c>
      <c r="I594" s="2" t="s">
        <v>54</v>
      </c>
      <c r="J594" s="2" t="s">
        <v>55</v>
      </c>
      <c r="K594" s="2"/>
      <c r="L594" s="2" t="s">
        <v>56</v>
      </c>
      <c r="M594" s="2" t="s">
        <v>57</v>
      </c>
      <c r="N594" s="2" t="s">
        <v>58</v>
      </c>
      <c r="O594" s="2" t="s">
        <v>59</v>
      </c>
      <c r="P594" s="2" t="s">
        <v>1832</v>
      </c>
      <c r="Q594" s="2" t="s">
        <v>1833</v>
      </c>
      <c r="R594" s="2"/>
    </row>
    <row r="595" spans="1:18">
      <c r="A595" s="2" t="s">
        <v>1834</v>
      </c>
      <c r="B595" s="2" t="s">
        <v>1831</v>
      </c>
      <c r="C595" s="2" t="s">
        <v>1813</v>
      </c>
      <c r="D595" s="2">
        <v>431970.7</v>
      </c>
      <c r="E595" s="2">
        <v>1</v>
      </c>
      <c r="F595" s="3">
        <f>IF(COUNT(D595,E595)=2,D595*E595,NA())</f>
        <v>431970.7</v>
      </c>
      <c r="G595" s="2" t="s">
        <v>52</v>
      </c>
      <c r="H595" s="2" t="s">
        <v>53</v>
      </c>
      <c r="I595" s="2" t="s">
        <v>54</v>
      </c>
      <c r="J595" s="2" t="s">
        <v>55</v>
      </c>
      <c r="K595" s="2"/>
      <c r="L595" s="2" t="s">
        <v>63</v>
      </c>
      <c r="M595" s="2" t="s">
        <v>57</v>
      </c>
      <c r="N595" s="2" t="s">
        <v>64</v>
      </c>
      <c r="O595" s="2" t="s">
        <v>59</v>
      </c>
      <c r="P595" s="2" t="s">
        <v>1835</v>
      </c>
      <c r="Q595" s="2" t="s">
        <v>1833</v>
      </c>
      <c r="R595" s="2"/>
    </row>
    <row r="596" spans="1:18">
      <c r="A596" s="2" t="s">
        <v>1836</v>
      </c>
      <c r="B596" s="2" t="s">
        <v>1837</v>
      </c>
      <c r="C596" s="2" t="s">
        <v>1813</v>
      </c>
      <c r="D596" s="2">
        <v>811362.42</v>
      </c>
      <c r="E596" s="2">
        <v>1</v>
      </c>
      <c r="F596" s="3">
        <f>IF(COUNT(D596,E596)=2,D596*E596,NA())</f>
        <v>811362.42</v>
      </c>
      <c r="G596" s="2" t="s">
        <v>52</v>
      </c>
      <c r="H596" s="2" t="s">
        <v>53</v>
      </c>
      <c r="I596" s="2" t="s">
        <v>54</v>
      </c>
      <c r="J596" s="2" t="s">
        <v>55</v>
      </c>
      <c r="K596" s="2"/>
      <c r="L596" s="2" t="s">
        <v>56</v>
      </c>
      <c r="M596" s="2" t="s">
        <v>57</v>
      </c>
      <c r="N596" s="2" t="s">
        <v>58</v>
      </c>
      <c r="O596" s="2" t="s">
        <v>59</v>
      </c>
      <c r="P596" s="2" t="s">
        <v>1838</v>
      </c>
      <c r="Q596" s="2" t="s">
        <v>1839</v>
      </c>
      <c r="R596" s="2"/>
    </row>
    <row r="597" spans="1:18">
      <c r="A597" s="2" t="s">
        <v>1840</v>
      </c>
      <c r="B597" s="2" t="s">
        <v>1837</v>
      </c>
      <c r="C597" s="2" t="s">
        <v>1813</v>
      </c>
      <c r="D597" s="2">
        <v>161017284.04</v>
      </c>
      <c r="E597" s="2">
        <v>1</v>
      </c>
      <c r="F597" s="3">
        <f>IF(COUNT(D597,E597)=2,D597*E597,NA())</f>
        <v>161017284.04</v>
      </c>
      <c r="G597" s="2" t="s">
        <v>52</v>
      </c>
      <c r="H597" s="2" t="s">
        <v>53</v>
      </c>
      <c r="I597" s="2" t="s">
        <v>54</v>
      </c>
      <c r="J597" s="2" t="s">
        <v>55</v>
      </c>
      <c r="K597" s="2"/>
      <c r="L597" s="2" t="s">
        <v>63</v>
      </c>
      <c r="M597" s="2" t="s">
        <v>57</v>
      </c>
      <c r="N597" s="2" t="s">
        <v>64</v>
      </c>
      <c r="O597" s="2" t="s">
        <v>59</v>
      </c>
      <c r="P597" s="2" t="s">
        <v>1841</v>
      </c>
      <c r="Q597" s="2" t="s">
        <v>1839</v>
      </c>
      <c r="R597" s="2"/>
    </row>
    <row r="598" spans="1:18">
      <c r="A598" s="2" t="s">
        <v>1842</v>
      </c>
      <c r="B598" s="2" t="s">
        <v>1843</v>
      </c>
      <c r="C598" s="2" t="s">
        <v>1692</v>
      </c>
      <c r="D598" s="2"/>
      <c r="E598" s="2">
        <v>1</v>
      </c>
      <c r="F598" s="3" t="e">
        <f>IF(COUNT(D598,E598)=2,D598*E598,NA())</f>
        <v>#N/A</v>
      </c>
      <c r="G598" s="2" t="s">
        <v>52</v>
      </c>
      <c r="H598" s="2" t="s">
        <v>53</v>
      </c>
      <c r="I598" s="2" t="s">
        <v>54</v>
      </c>
      <c r="J598" s="2" t="s">
        <v>55</v>
      </c>
      <c r="K598" s="2"/>
      <c r="L598" s="2" t="s">
        <v>815</v>
      </c>
      <c r="M598" s="2" t="s">
        <v>57</v>
      </c>
      <c r="N598" s="2" t="s">
        <v>1693</v>
      </c>
      <c r="O598" s="2" t="s">
        <v>59</v>
      </c>
      <c r="P598" s="2" t="s">
        <v>1844</v>
      </c>
      <c r="Q598" s="2" t="s">
        <v>105</v>
      </c>
      <c r="R598" s="2"/>
    </row>
    <row r="599" spans="1:18">
      <c r="A599" s="2" t="s">
        <v>1845</v>
      </c>
      <c r="B599" s="2" t="s">
        <v>1846</v>
      </c>
      <c r="C599" s="2" t="s">
        <v>1692</v>
      </c>
      <c r="D599" s="2"/>
      <c r="E599" s="2">
        <v>1</v>
      </c>
      <c r="F599" s="3" t="e">
        <f>IF(COUNT(D599,E599)=2,D599*E599,NA())</f>
        <v>#N/A</v>
      </c>
      <c r="G599" s="2" t="s">
        <v>52</v>
      </c>
      <c r="H599" s="2" t="s">
        <v>53</v>
      </c>
      <c r="I599" s="2" t="s">
        <v>54</v>
      </c>
      <c r="J599" s="2" t="s">
        <v>55</v>
      </c>
      <c r="K599" s="2"/>
      <c r="L599" s="2" t="s">
        <v>815</v>
      </c>
      <c r="M599" s="2" t="s">
        <v>57</v>
      </c>
      <c r="N599" s="2" t="s">
        <v>1693</v>
      </c>
      <c r="O599" s="2" t="s">
        <v>59</v>
      </c>
      <c r="P599" s="2" t="s">
        <v>1844</v>
      </c>
      <c r="Q599" s="2" t="s">
        <v>233</v>
      </c>
      <c r="R599" s="2"/>
    </row>
    <row r="600" spans="1:18">
      <c r="A600" s="2" t="s">
        <v>1847</v>
      </c>
      <c r="B600" s="2" t="s">
        <v>1848</v>
      </c>
      <c r="C600" s="2" t="s">
        <v>1692</v>
      </c>
      <c r="D600" s="2"/>
      <c r="E600" s="2">
        <v>1</v>
      </c>
      <c r="F600" s="3" t="e">
        <f>IF(COUNT(D600,E600)=2,D600*E600,NA())</f>
        <v>#N/A</v>
      </c>
      <c r="G600" s="2" t="s">
        <v>52</v>
      </c>
      <c r="H600" s="2" t="s">
        <v>53</v>
      </c>
      <c r="I600" s="2" t="s">
        <v>54</v>
      </c>
      <c r="J600" s="2" t="s">
        <v>55</v>
      </c>
      <c r="K600" s="2" t="s">
        <v>1573</v>
      </c>
      <c r="L600" s="2" t="s">
        <v>815</v>
      </c>
      <c r="M600" s="2" t="s">
        <v>393</v>
      </c>
      <c r="N600" s="2" t="s">
        <v>1693</v>
      </c>
      <c r="O600" s="2" t="s">
        <v>59</v>
      </c>
      <c r="P600" s="2" t="s">
        <v>1849</v>
      </c>
      <c r="Q600" s="2" t="s">
        <v>1850</v>
      </c>
      <c r="R600" s="2"/>
    </row>
    <row r="601" spans="1:18">
      <c r="A601" s="2" t="s">
        <v>1851</v>
      </c>
      <c r="B601" s="2" t="s">
        <v>1852</v>
      </c>
      <c r="C601" s="2" t="s">
        <v>1692</v>
      </c>
      <c r="D601" s="2"/>
      <c r="E601" s="2">
        <v>1</v>
      </c>
      <c r="F601" s="3" t="e">
        <f>IF(COUNT(D601,E601)=2,D601*E601,NA())</f>
        <v>#N/A</v>
      </c>
      <c r="G601" s="2" t="s">
        <v>52</v>
      </c>
      <c r="H601" s="2" t="s">
        <v>53</v>
      </c>
      <c r="I601" s="2" t="s">
        <v>54</v>
      </c>
      <c r="J601" s="2" t="s">
        <v>55</v>
      </c>
      <c r="K601" s="2" t="s">
        <v>1573</v>
      </c>
      <c r="L601" s="2" t="s">
        <v>815</v>
      </c>
      <c r="M601" s="2" t="s">
        <v>393</v>
      </c>
      <c r="N601" s="2" t="s">
        <v>1693</v>
      </c>
      <c r="O601" s="2" t="s">
        <v>59</v>
      </c>
      <c r="P601" s="2" t="s">
        <v>1849</v>
      </c>
      <c r="Q601" s="2" t="s">
        <v>1853</v>
      </c>
      <c r="R601" s="2"/>
    </row>
    <row r="602" spans="1:18">
      <c r="A602" s="2" t="s">
        <v>1854</v>
      </c>
      <c r="B602" s="2" t="s">
        <v>1855</v>
      </c>
      <c r="C602" s="2" t="s">
        <v>1692</v>
      </c>
      <c r="D602" s="2"/>
      <c r="E602" s="2">
        <v>1</v>
      </c>
      <c r="F602" s="3" t="e">
        <f>IF(COUNT(D602,E602)=2,D602*E602,NA())</f>
        <v>#N/A</v>
      </c>
      <c r="G602" s="2" t="s">
        <v>52</v>
      </c>
      <c r="H602" s="2" t="s">
        <v>53</v>
      </c>
      <c r="I602" s="2" t="s">
        <v>54</v>
      </c>
      <c r="J602" s="2" t="s">
        <v>55</v>
      </c>
      <c r="K602" s="2" t="s">
        <v>1573</v>
      </c>
      <c r="L602" s="2" t="s">
        <v>815</v>
      </c>
      <c r="M602" s="2" t="s">
        <v>393</v>
      </c>
      <c r="N602" s="2" t="s">
        <v>1693</v>
      </c>
      <c r="O602" s="2" t="s">
        <v>59</v>
      </c>
      <c r="P602" s="2" t="s">
        <v>1849</v>
      </c>
      <c r="Q602" s="2" t="s">
        <v>1856</v>
      </c>
      <c r="R602" s="2"/>
    </row>
    <row r="603" spans="1:18">
      <c r="A603" s="2" t="s">
        <v>1857</v>
      </c>
      <c r="B603" s="2" t="s">
        <v>1858</v>
      </c>
      <c r="C603" s="2" t="s">
        <v>1692</v>
      </c>
      <c r="D603" s="2"/>
      <c r="E603" s="2">
        <v>1</v>
      </c>
      <c r="F603" s="3" t="e">
        <f>IF(COUNT(D603,E603)=2,D603*E603,NA())</f>
        <v>#N/A</v>
      </c>
      <c r="G603" s="2" t="s">
        <v>52</v>
      </c>
      <c r="H603" s="2" t="s">
        <v>53</v>
      </c>
      <c r="I603" s="2" t="s">
        <v>54</v>
      </c>
      <c r="J603" s="2" t="s">
        <v>55</v>
      </c>
      <c r="K603" s="2" t="s">
        <v>1573</v>
      </c>
      <c r="L603" s="2" t="s">
        <v>815</v>
      </c>
      <c r="M603" s="2" t="s">
        <v>393</v>
      </c>
      <c r="N603" s="2" t="s">
        <v>1693</v>
      </c>
      <c r="O603" s="2" t="s">
        <v>59</v>
      </c>
      <c r="P603" s="2" t="s">
        <v>1849</v>
      </c>
      <c r="Q603" s="2" t="s">
        <v>1859</v>
      </c>
      <c r="R603" s="2"/>
    </row>
    <row r="604" spans="1:18">
      <c r="A604" s="2" t="s">
        <v>1860</v>
      </c>
      <c r="B604" s="2" t="s">
        <v>1861</v>
      </c>
      <c r="C604" s="2" t="s">
        <v>1591</v>
      </c>
      <c r="D604" s="2">
        <v>49789210.62</v>
      </c>
      <c r="E604" s="2">
        <v>1</v>
      </c>
      <c r="F604" s="3">
        <f>IF(COUNT(D604,E604)=2,D604*E604,NA())</f>
        <v>49789210.62</v>
      </c>
      <c r="G604" s="2" t="s">
        <v>52</v>
      </c>
      <c r="H604" s="2" t="s">
        <v>53</v>
      </c>
      <c r="I604" s="2" t="s">
        <v>54</v>
      </c>
      <c r="J604" s="2" t="s">
        <v>55</v>
      </c>
      <c r="K604" s="2" t="s">
        <v>1573</v>
      </c>
      <c r="L604" s="2" t="s">
        <v>815</v>
      </c>
      <c r="M604" s="2" t="s">
        <v>393</v>
      </c>
      <c r="N604" s="2" t="s">
        <v>58</v>
      </c>
      <c r="O604" s="2" t="s">
        <v>1592</v>
      </c>
      <c r="P604" s="2"/>
      <c r="Q604" s="2" t="s">
        <v>1862</v>
      </c>
      <c r="R604" s="2"/>
    </row>
    <row r="605" spans="1:18">
      <c r="A605" s="2" t="s">
        <v>1863</v>
      </c>
      <c r="B605" s="2" t="s">
        <v>1864</v>
      </c>
      <c r="C605" s="2" t="s">
        <v>1865</v>
      </c>
      <c r="D605" s="2">
        <v>130000</v>
      </c>
      <c r="E605" s="2">
        <v>10000</v>
      </c>
      <c r="F605" s="3">
        <f>IF(COUNT(D605,E605)=2,D605*E605,NA())</f>
        <v>1300000000.0</v>
      </c>
      <c r="G605" s="2" t="s">
        <v>52</v>
      </c>
      <c r="H605" s="2" t="s">
        <v>53</v>
      </c>
      <c r="I605" s="2" t="s">
        <v>54</v>
      </c>
      <c r="J605" s="2" t="s">
        <v>55</v>
      </c>
      <c r="K605" s="2" t="s">
        <v>1742</v>
      </c>
      <c r="L605" s="2" t="s">
        <v>1866</v>
      </c>
      <c r="M605" s="2" t="s">
        <v>393</v>
      </c>
      <c r="N605" s="2" t="s">
        <v>58</v>
      </c>
      <c r="O605" s="2" t="s">
        <v>59</v>
      </c>
      <c r="P605" s="2" t="s">
        <v>1549</v>
      </c>
      <c r="Q605" s="2" t="s">
        <v>1554</v>
      </c>
      <c r="R605" s="2"/>
    </row>
    <row r="606" spans="1:18">
      <c r="A606" s="2" t="s">
        <v>1867</v>
      </c>
      <c r="B606" s="2" t="s">
        <v>1868</v>
      </c>
      <c r="C606" s="2" t="s">
        <v>1869</v>
      </c>
      <c r="D606" s="2">
        <v>130000</v>
      </c>
      <c r="E606" s="2">
        <v>10000</v>
      </c>
      <c r="F606" s="3">
        <f>IF(COUNT(D606,E606)=2,D606*E606,NA())</f>
        <v>1300000000.0</v>
      </c>
      <c r="G606" s="2" t="s">
        <v>52</v>
      </c>
      <c r="H606" s="2" t="s">
        <v>53</v>
      </c>
      <c r="I606" s="2" t="s">
        <v>54</v>
      </c>
      <c r="J606" s="2" t="s">
        <v>55</v>
      </c>
      <c r="K606" s="2"/>
      <c r="L606" s="2" t="s">
        <v>1870</v>
      </c>
      <c r="M606" s="2" t="s">
        <v>57</v>
      </c>
      <c r="N606" s="2" t="s">
        <v>58</v>
      </c>
      <c r="O606" s="2" t="s">
        <v>59</v>
      </c>
      <c r="P606" s="2" t="s">
        <v>1549</v>
      </c>
      <c r="Q606" s="2" t="s">
        <v>1554</v>
      </c>
      <c r="R606" s="2"/>
    </row>
    <row r="607" spans="1:18">
      <c r="A607" s="2" t="s">
        <v>1871</v>
      </c>
      <c r="B607" s="2" t="s">
        <v>1872</v>
      </c>
      <c r="C607" s="2" t="s">
        <v>1500</v>
      </c>
      <c r="D607" s="2">
        <v>-222842753.23</v>
      </c>
      <c r="E607" s="2">
        <v>1</v>
      </c>
      <c r="F607" s="3">
        <f>IF(COUNT(D607,E607)=2,D607*E607,NA())</f>
        <v>-222842753.23</v>
      </c>
      <c r="G607" s="2" t="s">
        <v>52</v>
      </c>
      <c r="H607" s="2" t="s">
        <v>53</v>
      </c>
      <c r="I607" s="2" t="s">
        <v>54</v>
      </c>
      <c r="J607" s="2" t="s">
        <v>55</v>
      </c>
      <c r="K607" s="2" t="s">
        <v>397</v>
      </c>
      <c r="L607" s="2" t="s">
        <v>63</v>
      </c>
      <c r="M607" s="2" t="s">
        <v>393</v>
      </c>
      <c r="N607" s="2" t="s">
        <v>64</v>
      </c>
      <c r="O607" s="2" t="s">
        <v>59</v>
      </c>
      <c r="P607" s="2"/>
      <c r="Q607" s="2" t="s">
        <v>1873</v>
      </c>
      <c r="R607" s="2"/>
    </row>
    <row r="608" spans="1:18">
      <c r="A608" s="2" t="s">
        <v>1874</v>
      </c>
      <c r="B608" s="2" t="s">
        <v>1875</v>
      </c>
      <c r="C608" s="2" t="s">
        <v>1500</v>
      </c>
      <c r="D608" s="2">
        <v>88702035.42</v>
      </c>
      <c r="E608" s="2">
        <v>1</v>
      </c>
      <c r="F608" s="3">
        <f>IF(COUNT(D608,E608)=2,D608*E608,NA())</f>
        <v>88702035.42</v>
      </c>
      <c r="G608" s="2" t="s">
        <v>52</v>
      </c>
      <c r="H608" s="2" t="s">
        <v>53</v>
      </c>
      <c r="I608" s="2" t="s">
        <v>54</v>
      </c>
      <c r="J608" s="2" t="s">
        <v>55</v>
      </c>
      <c r="K608" s="2" t="s">
        <v>397</v>
      </c>
      <c r="L608" s="2" t="s">
        <v>63</v>
      </c>
      <c r="M608" s="2" t="s">
        <v>393</v>
      </c>
      <c r="N608" s="2" t="s">
        <v>64</v>
      </c>
      <c r="O608" s="2" t="s">
        <v>59</v>
      </c>
      <c r="P608" s="2"/>
      <c r="Q608" s="2" t="s">
        <v>1501</v>
      </c>
      <c r="R608" s="2"/>
    </row>
    <row r="609" spans="1:18">
      <c r="A609" s="2" t="s">
        <v>1876</v>
      </c>
      <c r="B609" s="2" t="s">
        <v>1877</v>
      </c>
      <c r="C609" s="2" t="s">
        <v>1500</v>
      </c>
      <c r="D609" s="2">
        <v>24526823.68</v>
      </c>
      <c r="E609" s="2">
        <v>1</v>
      </c>
      <c r="F609" s="3">
        <f>IF(COUNT(D609,E609)=2,D609*E609,NA())</f>
        <v>24526823.68</v>
      </c>
      <c r="G609" s="2" t="s">
        <v>52</v>
      </c>
      <c r="H609" s="2" t="s">
        <v>53</v>
      </c>
      <c r="I609" s="2" t="s">
        <v>54</v>
      </c>
      <c r="J609" s="2" t="s">
        <v>55</v>
      </c>
      <c r="K609" s="2" t="s">
        <v>397</v>
      </c>
      <c r="L609" s="2" t="s">
        <v>63</v>
      </c>
      <c r="M609" s="2" t="s">
        <v>393</v>
      </c>
      <c r="N609" s="2" t="s">
        <v>64</v>
      </c>
      <c r="O609" s="2" t="s">
        <v>59</v>
      </c>
      <c r="P609" s="2"/>
      <c r="Q609" s="2" t="s">
        <v>1878</v>
      </c>
      <c r="R609" s="2"/>
    </row>
    <row r="610" spans="1:18">
      <c r="A610" s="2" t="s">
        <v>1879</v>
      </c>
      <c r="B610" s="2" t="s">
        <v>1880</v>
      </c>
      <c r="C610" s="2" t="s">
        <v>1500</v>
      </c>
      <c r="D610" s="2">
        <v>108896672.25</v>
      </c>
      <c r="E610" s="2">
        <v>1</v>
      </c>
      <c r="F610" s="3">
        <f>IF(COUNT(D610,E610)=2,D610*E610,NA())</f>
        <v>108896672.25</v>
      </c>
      <c r="G610" s="2" t="s">
        <v>52</v>
      </c>
      <c r="H610" s="2" t="s">
        <v>53</v>
      </c>
      <c r="I610" s="2" t="s">
        <v>54</v>
      </c>
      <c r="J610" s="2" t="s">
        <v>55</v>
      </c>
      <c r="K610" s="2" t="s">
        <v>397</v>
      </c>
      <c r="L610" s="2" t="s">
        <v>63</v>
      </c>
      <c r="M610" s="2" t="s">
        <v>393</v>
      </c>
      <c r="N610" s="2" t="s">
        <v>64</v>
      </c>
      <c r="O610" s="2" t="s">
        <v>59</v>
      </c>
      <c r="P610" s="2"/>
      <c r="Q610" s="2" t="s">
        <v>1881</v>
      </c>
      <c r="R610" s="2"/>
    </row>
    <row r="611" spans="1:18">
      <c r="A611" s="2" t="s">
        <v>1882</v>
      </c>
      <c r="B611" s="2" t="s">
        <v>1883</v>
      </c>
      <c r="C611" s="2" t="s">
        <v>1591</v>
      </c>
      <c r="D611" s="2">
        <v>5618081744.7</v>
      </c>
      <c r="E611" s="2">
        <v>1</v>
      </c>
      <c r="F611" s="3">
        <f>IF(COUNT(D611,E611)=2,D611*E611,NA())</f>
        <v>5618081744.7</v>
      </c>
      <c r="G611" s="2" t="s">
        <v>52</v>
      </c>
      <c r="H611" s="2" t="s">
        <v>53</v>
      </c>
      <c r="I611" s="2" t="s">
        <v>54</v>
      </c>
      <c r="J611" s="2" t="s">
        <v>55</v>
      </c>
      <c r="K611" s="2"/>
      <c r="L611" s="2" t="s">
        <v>1884</v>
      </c>
      <c r="M611" s="2" t="s">
        <v>57</v>
      </c>
      <c r="N611" s="2" t="s">
        <v>58</v>
      </c>
      <c r="O611" s="2" t="s">
        <v>1592</v>
      </c>
      <c r="P611" s="2"/>
      <c r="Q611" s="2" t="s">
        <v>1599</v>
      </c>
      <c r="R611" s="2"/>
    </row>
    <row r="612" spans="1:18">
      <c r="A612" s="2" t="s">
        <v>1885</v>
      </c>
      <c r="B612" s="2" t="s">
        <v>1886</v>
      </c>
      <c r="C612" s="2" t="s">
        <v>1591</v>
      </c>
      <c r="D612" s="2">
        <v>-346148475.64</v>
      </c>
      <c r="E612" s="2">
        <v>1</v>
      </c>
      <c r="F612" s="3">
        <f>IF(COUNT(D612,E612)=2,D612*E612,NA())</f>
        <v>-346148475.64</v>
      </c>
      <c r="G612" s="2" t="s">
        <v>52</v>
      </c>
      <c r="H612" s="2" t="s">
        <v>53</v>
      </c>
      <c r="I612" s="2" t="s">
        <v>54</v>
      </c>
      <c r="J612" s="2" t="s">
        <v>55</v>
      </c>
      <c r="K612" s="2" t="s">
        <v>1573</v>
      </c>
      <c r="L612" s="2" t="s">
        <v>815</v>
      </c>
      <c r="M612" s="2" t="s">
        <v>393</v>
      </c>
      <c r="N612" s="2" t="s">
        <v>58</v>
      </c>
      <c r="O612" s="2" t="s">
        <v>1592</v>
      </c>
      <c r="P612" s="2"/>
      <c r="Q612" s="2" t="s">
        <v>1887</v>
      </c>
      <c r="R612" s="2"/>
    </row>
    <row r="613" spans="1:18">
      <c r="A613" s="2" t="s">
        <v>1888</v>
      </c>
      <c r="B613" s="2" t="s">
        <v>1889</v>
      </c>
      <c r="C613" s="2" t="s">
        <v>1591</v>
      </c>
      <c r="D613" s="2">
        <v>-72903663.67</v>
      </c>
      <c r="E613" s="2">
        <v>1</v>
      </c>
      <c r="F613" s="3">
        <f>IF(COUNT(D613,E613)=2,D613*E613,NA())</f>
        <v>-72903663.67</v>
      </c>
      <c r="G613" s="2" t="s">
        <v>52</v>
      </c>
      <c r="H613" s="2" t="s">
        <v>53</v>
      </c>
      <c r="I613" s="2" t="s">
        <v>54</v>
      </c>
      <c r="J613" s="2" t="s">
        <v>55</v>
      </c>
      <c r="K613" s="2" t="s">
        <v>1573</v>
      </c>
      <c r="L613" s="2" t="s">
        <v>815</v>
      </c>
      <c r="M613" s="2" t="s">
        <v>393</v>
      </c>
      <c r="N613" s="2" t="s">
        <v>58</v>
      </c>
      <c r="O613" s="2" t="s">
        <v>1592</v>
      </c>
      <c r="P613" s="2"/>
      <c r="Q613" s="2" t="s">
        <v>1890</v>
      </c>
      <c r="R613" s="2"/>
    </row>
    <row r="614" spans="1:18">
      <c r="A614" s="2" t="s">
        <v>1891</v>
      </c>
      <c r="B614" s="2" t="s">
        <v>1892</v>
      </c>
      <c r="C614" s="2" t="s">
        <v>1591</v>
      </c>
      <c r="D614" s="2">
        <v>58217496.35</v>
      </c>
      <c r="E614" s="2">
        <v>1</v>
      </c>
      <c r="F614" s="3">
        <f>IF(COUNT(D614,E614)=2,D614*E614,NA())</f>
        <v>58217496.35</v>
      </c>
      <c r="G614" s="2" t="s">
        <v>52</v>
      </c>
      <c r="H614" s="2" t="s">
        <v>53</v>
      </c>
      <c r="I614" s="2" t="s">
        <v>54</v>
      </c>
      <c r="J614" s="2" t="s">
        <v>55</v>
      </c>
      <c r="K614" s="2" t="s">
        <v>1573</v>
      </c>
      <c r="L614" s="2" t="s">
        <v>815</v>
      </c>
      <c r="M614" s="2" t="s">
        <v>393</v>
      </c>
      <c r="N614" s="2" t="s">
        <v>58</v>
      </c>
      <c r="O614" s="2" t="s">
        <v>1592</v>
      </c>
      <c r="P614" s="2"/>
      <c r="Q614" s="2" t="s">
        <v>1893</v>
      </c>
      <c r="R614" s="2"/>
    </row>
    <row r="615" spans="1:18">
      <c r="A615" s="2" t="s">
        <v>1894</v>
      </c>
      <c r="B615" s="2" t="s">
        <v>1895</v>
      </c>
      <c r="C615" s="2" t="s">
        <v>1591</v>
      </c>
      <c r="D615" s="2">
        <v>41726370.48</v>
      </c>
      <c r="E615" s="2">
        <v>1</v>
      </c>
      <c r="F615" s="3">
        <f>IF(COUNT(D615,E615)=2,D615*E615,NA())</f>
        <v>41726370.48</v>
      </c>
      <c r="G615" s="2" t="s">
        <v>52</v>
      </c>
      <c r="H615" s="2" t="s">
        <v>53</v>
      </c>
      <c r="I615" s="2" t="s">
        <v>54</v>
      </c>
      <c r="J615" s="2" t="s">
        <v>55</v>
      </c>
      <c r="K615" s="2" t="s">
        <v>1573</v>
      </c>
      <c r="L615" s="2" t="s">
        <v>815</v>
      </c>
      <c r="M615" s="2" t="s">
        <v>393</v>
      </c>
      <c r="N615" s="2" t="s">
        <v>58</v>
      </c>
      <c r="O615" s="2" t="s">
        <v>1592</v>
      </c>
      <c r="P615" s="2"/>
      <c r="Q615" s="2" t="s">
        <v>1896</v>
      </c>
      <c r="R615" s="2"/>
    </row>
    <row r="616" spans="1:18">
      <c r="A616" s="2" t="s">
        <v>1897</v>
      </c>
      <c r="B616" s="2" t="s">
        <v>1898</v>
      </c>
      <c r="C616" s="2" t="s">
        <v>1591</v>
      </c>
      <c r="D616" s="2">
        <v>-67394263.09</v>
      </c>
      <c r="E616" s="2">
        <v>1</v>
      </c>
      <c r="F616" s="3">
        <f>IF(COUNT(D616,E616)=2,D616*E616,NA())</f>
        <v>-67394263.09</v>
      </c>
      <c r="G616" s="2" t="s">
        <v>52</v>
      </c>
      <c r="H616" s="2" t="s">
        <v>53</v>
      </c>
      <c r="I616" s="2" t="s">
        <v>54</v>
      </c>
      <c r="J616" s="2" t="s">
        <v>55</v>
      </c>
      <c r="K616" s="2" t="s">
        <v>1573</v>
      </c>
      <c r="L616" s="2" t="s">
        <v>815</v>
      </c>
      <c r="M616" s="2" t="s">
        <v>393</v>
      </c>
      <c r="N616" s="2" t="s">
        <v>58</v>
      </c>
      <c r="O616" s="2" t="s">
        <v>1592</v>
      </c>
      <c r="P616" s="2"/>
      <c r="Q616" s="2" t="s">
        <v>1899</v>
      </c>
      <c r="R616" s="2"/>
    </row>
    <row r="617" spans="1:18">
      <c r="A617" s="2" t="s">
        <v>1900</v>
      </c>
      <c r="B617" s="2" t="s">
        <v>1901</v>
      </c>
      <c r="C617" s="2" t="s">
        <v>1591</v>
      </c>
      <c r="D617" s="2">
        <v>8262902318.65</v>
      </c>
      <c r="E617" s="2">
        <v>1</v>
      </c>
      <c r="F617" s="3">
        <f>IF(COUNT(D617,E617)=2,D617*E617,NA())</f>
        <v>8262902318.65</v>
      </c>
      <c r="G617" s="2" t="s">
        <v>52</v>
      </c>
      <c r="H617" s="2" t="s">
        <v>53</v>
      </c>
      <c r="I617" s="2" t="s">
        <v>54</v>
      </c>
      <c r="J617" s="2" t="s">
        <v>55</v>
      </c>
      <c r="K617" s="2" t="s">
        <v>1573</v>
      </c>
      <c r="L617" s="2" t="s">
        <v>815</v>
      </c>
      <c r="M617" s="2" t="s">
        <v>393</v>
      </c>
      <c r="N617" s="2" t="s">
        <v>58</v>
      </c>
      <c r="O617" s="2" t="s">
        <v>1592</v>
      </c>
      <c r="P617" s="2"/>
      <c r="Q617" s="2" t="s">
        <v>1902</v>
      </c>
      <c r="R617" s="2"/>
    </row>
    <row r="618" spans="1:18">
      <c r="A618" s="2" t="s">
        <v>1903</v>
      </c>
      <c r="B618" s="2" t="s">
        <v>1904</v>
      </c>
      <c r="C618" s="2" t="s">
        <v>1905</v>
      </c>
      <c r="D618" s="2">
        <v>1760987.15</v>
      </c>
      <c r="E618" s="2">
        <v>1</v>
      </c>
      <c r="F618" s="3">
        <f>IF(COUNT(D618,E618)=2,D618*E618,NA())</f>
        <v>1760987.15</v>
      </c>
      <c r="G618" s="2" t="s">
        <v>52</v>
      </c>
      <c r="H618" s="2" t="s">
        <v>53</v>
      </c>
      <c r="I618" s="2" t="s">
        <v>54</v>
      </c>
      <c r="J618" s="2" t="s">
        <v>55</v>
      </c>
      <c r="K618" s="2"/>
      <c r="L618" s="2" t="s">
        <v>56</v>
      </c>
      <c r="M618" s="2" t="s">
        <v>57</v>
      </c>
      <c r="N618" s="2" t="s">
        <v>58</v>
      </c>
      <c r="O618" s="2" t="s">
        <v>59</v>
      </c>
      <c r="P618" s="2" t="s">
        <v>1906</v>
      </c>
      <c r="Q618" s="2" t="s">
        <v>1907</v>
      </c>
      <c r="R618" s="2"/>
    </row>
    <row r="619" spans="1:18">
      <c r="A619" s="2" t="s">
        <v>1908</v>
      </c>
      <c r="B619" s="2" t="s">
        <v>1904</v>
      </c>
      <c r="C619" s="2" t="s">
        <v>1905</v>
      </c>
      <c r="D619" s="2">
        <v>471633</v>
      </c>
      <c r="E619" s="2">
        <v>1</v>
      </c>
      <c r="F619" s="3">
        <f>IF(COUNT(D619,E619)=2,D619*E619,NA())</f>
        <v>471633.0</v>
      </c>
      <c r="G619" s="2" t="s">
        <v>52</v>
      </c>
      <c r="H619" s="2" t="s">
        <v>53</v>
      </c>
      <c r="I619" s="2" t="s">
        <v>54</v>
      </c>
      <c r="J619" s="2" t="s">
        <v>55</v>
      </c>
      <c r="K619" s="2"/>
      <c r="L619" s="2" t="s">
        <v>63</v>
      </c>
      <c r="M619" s="2" t="s">
        <v>57</v>
      </c>
      <c r="N619" s="2" t="s">
        <v>64</v>
      </c>
      <c r="O619" s="2" t="s">
        <v>59</v>
      </c>
      <c r="P619" s="2" t="s">
        <v>1909</v>
      </c>
      <c r="Q619" s="2" t="s">
        <v>1907</v>
      </c>
      <c r="R619" s="2"/>
    </row>
    <row r="620" spans="1:18">
      <c r="A620" s="2" t="s">
        <v>1910</v>
      </c>
      <c r="B620" s="2" t="s">
        <v>1911</v>
      </c>
      <c r="C620" s="2" t="s">
        <v>1912</v>
      </c>
      <c r="D620" s="2">
        <v>6044124793.41</v>
      </c>
      <c r="E620" s="2">
        <v>1</v>
      </c>
      <c r="F620" s="3">
        <f>IF(COUNT(D620,E620)=2,D620*E620,NA())</f>
        <v>6044124793.41</v>
      </c>
      <c r="G620" s="2" t="s">
        <v>52</v>
      </c>
      <c r="H620" s="2" t="s">
        <v>53</v>
      </c>
      <c r="I620" s="2" t="s">
        <v>1913</v>
      </c>
      <c r="J620" s="2" t="s">
        <v>1914</v>
      </c>
      <c r="K620" s="2" t="s">
        <v>392</v>
      </c>
      <c r="L620" s="2" t="s">
        <v>56</v>
      </c>
      <c r="M620" s="2" t="s">
        <v>393</v>
      </c>
      <c r="N620" s="2" t="s">
        <v>58</v>
      </c>
      <c r="O620" s="2" t="s">
        <v>1915</v>
      </c>
      <c r="P620" s="2"/>
      <c r="Q620" s="2" t="s">
        <v>1916</v>
      </c>
      <c r="R620" s="2"/>
    </row>
    <row r="621" spans="1:18">
      <c r="A621" s="2" t="s">
        <v>1917</v>
      </c>
      <c r="B621" s="2" t="s">
        <v>1918</v>
      </c>
      <c r="C621" s="2" t="s">
        <v>1912</v>
      </c>
      <c r="D621" s="2">
        <v>4659529919.68</v>
      </c>
      <c r="E621" s="2">
        <v>1</v>
      </c>
      <c r="F621" s="3">
        <f>IF(COUNT(D621,E621)=2,D621*E621,NA())</f>
        <v>4659529919.68</v>
      </c>
      <c r="G621" s="2" t="s">
        <v>52</v>
      </c>
      <c r="H621" s="2" t="s">
        <v>53</v>
      </c>
      <c r="I621" s="2" t="s">
        <v>1913</v>
      </c>
      <c r="J621" s="2" t="s">
        <v>1914</v>
      </c>
      <c r="K621" s="2" t="s">
        <v>392</v>
      </c>
      <c r="L621" s="2" t="s">
        <v>56</v>
      </c>
      <c r="M621" s="2" t="s">
        <v>393</v>
      </c>
      <c r="N621" s="2" t="s">
        <v>58</v>
      </c>
      <c r="O621" s="2" t="s">
        <v>1915</v>
      </c>
      <c r="P621" s="2"/>
      <c r="Q621" s="2" t="s">
        <v>1919</v>
      </c>
      <c r="R621" s="2"/>
    </row>
    <row r="622" spans="1:18">
      <c r="A622" s="2" t="s">
        <v>1920</v>
      </c>
      <c r="B622" s="2" t="s">
        <v>1921</v>
      </c>
      <c r="C622" s="2" t="s">
        <v>1912</v>
      </c>
      <c r="D622" s="2">
        <v>1084199413.32</v>
      </c>
      <c r="E622" s="2">
        <v>1</v>
      </c>
      <c r="F622" s="3">
        <f>IF(COUNT(D622,E622)=2,D622*E622,NA())</f>
        <v>1084199413.32</v>
      </c>
      <c r="G622" s="2" t="s">
        <v>52</v>
      </c>
      <c r="H622" s="2" t="s">
        <v>53</v>
      </c>
      <c r="I622" s="2" t="s">
        <v>1913</v>
      </c>
      <c r="J622" s="2" t="s">
        <v>1914</v>
      </c>
      <c r="K622" s="2" t="s">
        <v>392</v>
      </c>
      <c r="L622" s="2" t="s">
        <v>56</v>
      </c>
      <c r="M622" s="2" t="s">
        <v>393</v>
      </c>
      <c r="N622" s="2" t="s">
        <v>58</v>
      </c>
      <c r="O622" s="2" t="s">
        <v>1915</v>
      </c>
      <c r="P622" s="2"/>
      <c r="Q622" s="2" t="s">
        <v>1922</v>
      </c>
      <c r="R622" s="2"/>
    </row>
    <row r="623" spans="1:18">
      <c r="A623" s="2" t="s">
        <v>1923</v>
      </c>
      <c r="B623" s="2" t="s">
        <v>1924</v>
      </c>
      <c r="C623" s="2" t="s">
        <v>1912</v>
      </c>
      <c r="D623" s="2">
        <v>5848735840.97</v>
      </c>
      <c r="E623" s="2">
        <v>1</v>
      </c>
      <c r="F623" s="3">
        <f>IF(COUNT(D623,E623)=2,D623*E623,NA())</f>
        <v>5848735840.97</v>
      </c>
      <c r="G623" s="2" t="s">
        <v>52</v>
      </c>
      <c r="H623" s="2" t="s">
        <v>53</v>
      </c>
      <c r="I623" s="2" t="s">
        <v>1913</v>
      </c>
      <c r="J623" s="2" t="s">
        <v>1914</v>
      </c>
      <c r="K623" s="2" t="s">
        <v>392</v>
      </c>
      <c r="L623" s="2" t="s">
        <v>56</v>
      </c>
      <c r="M623" s="2" t="s">
        <v>393</v>
      </c>
      <c r="N623" s="2" t="s">
        <v>58</v>
      </c>
      <c r="O623" s="2" t="s">
        <v>1915</v>
      </c>
      <c r="P623" s="2"/>
      <c r="Q623" s="2" t="s">
        <v>1925</v>
      </c>
      <c r="R623" s="2"/>
    </row>
    <row r="624" spans="1:18">
      <c r="A624" s="2" t="s">
        <v>1926</v>
      </c>
      <c r="B624" s="2" t="s">
        <v>1927</v>
      </c>
      <c r="C624" s="2" t="s">
        <v>1912</v>
      </c>
      <c r="D624" s="2">
        <v>195388952.44</v>
      </c>
      <c r="E624" s="2">
        <v>1</v>
      </c>
      <c r="F624" s="3">
        <f>IF(COUNT(D624,E624)=2,D624*E624,NA())</f>
        <v>195388952.44</v>
      </c>
      <c r="G624" s="2" t="s">
        <v>52</v>
      </c>
      <c r="H624" s="2" t="s">
        <v>53</v>
      </c>
      <c r="I624" s="2" t="s">
        <v>1913</v>
      </c>
      <c r="J624" s="2" t="s">
        <v>1914</v>
      </c>
      <c r="K624" s="2" t="s">
        <v>392</v>
      </c>
      <c r="L624" s="2" t="s">
        <v>56</v>
      </c>
      <c r="M624" s="2" t="s">
        <v>393</v>
      </c>
      <c r="N624" s="2" t="s">
        <v>58</v>
      </c>
      <c r="O624" s="2" t="s">
        <v>1915</v>
      </c>
      <c r="P624" s="2"/>
      <c r="Q624" s="2" t="s">
        <v>1928</v>
      </c>
      <c r="R624" s="2"/>
    </row>
    <row r="625" spans="1:18">
      <c r="A625" s="2" t="s">
        <v>1929</v>
      </c>
      <c r="B625" s="2" t="s">
        <v>1930</v>
      </c>
      <c r="C625" s="2" t="s">
        <v>1931</v>
      </c>
      <c r="D625" s="2">
        <v>252838924.63</v>
      </c>
      <c r="E625" s="2">
        <v>1</v>
      </c>
      <c r="F625" s="3">
        <f>IF(COUNT(D625,E625)=2,D625*E625,NA())</f>
        <v>252838924.63</v>
      </c>
      <c r="G625" s="2" t="s">
        <v>52</v>
      </c>
      <c r="H625" s="2" t="s">
        <v>53</v>
      </c>
      <c r="I625" s="2" t="s">
        <v>1913</v>
      </c>
      <c r="J625" s="2" t="s">
        <v>1914</v>
      </c>
      <c r="K625" s="2" t="s">
        <v>392</v>
      </c>
      <c r="L625" s="2" t="s">
        <v>56</v>
      </c>
      <c r="M625" s="2" t="s">
        <v>393</v>
      </c>
      <c r="N625" s="2" t="s">
        <v>58</v>
      </c>
      <c r="O625" s="2" t="s">
        <v>1915</v>
      </c>
      <c r="P625" s="2"/>
      <c r="Q625" s="2" t="s">
        <v>1932</v>
      </c>
      <c r="R625" s="2"/>
    </row>
    <row r="626" spans="1:18">
      <c r="A626" s="2" t="s">
        <v>1933</v>
      </c>
      <c r="B626" s="2" t="s">
        <v>1934</v>
      </c>
      <c r="C626" s="2" t="s">
        <v>1935</v>
      </c>
      <c r="D626" s="2">
        <v>319628020.65</v>
      </c>
      <c r="E626" s="2">
        <v>1</v>
      </c>
      <c r="F626" s="3">
        <f>IF(COUNT(D626,E626)=2,D626*E626,NA())</f>
        <v>319628020.65</v>
      </c>
      <c r="G626" s="2" t="s">
        <v>52</v>
      </c>
      <c r="H626" s="2" t="s">
        <v>53</v>
      </c>
      <c r="I626" s="2" t="s">
        <v>1913</v>
      </c>
      <c r="J626" s="2" t="s">
        <v>1914</v>
      </c>
      <c r="K626" s="2" t="s">
        <v>392</v>
      </c>
      <c r="L626" s="2" t="s">
        <v>56</v>
      </c>
      <c r="M626" s="2" t="s">
        <v>393</v>
      </c>
      <c r="N626" s="2" t="s">
        <v>58</v>
      </c>
      <c r="O626" s="2" t="s">
        <v>1915</v>
      </c>
      <c r="P626" s="2"/>
      <c r="Q626" s="2" t="s">
        <v>1936</v>
      </c>
      <c r="R626" s="2"/>
    </row>
    <row r="627" spans="1:18">
      <c r="A627" s="2" t="s">
        <v>1937</v>
      </c>
      <c r="B627" s="2" t="s">
        <v>1938</v>
      </c>
      <c r="C627" s="2" t="s">
        <v>1939</v>
      </c>
      <c r="D627" s="2">
        <v>332990507.7</v>
      </c>
      <c r="E627" s="2">
        <v>1</v>
      </c>
      <c r="F627" s="3">
        <f>IF(COUNT(D627,E627)=2,D627*E627,NA())</f>
        <v>332990507.7</v>
      </c>
      <c r="G627" s="2" t="s">
        <v>52</v>
      </c>
      <c r="H627" s="2" t="s">
        <v>53</v>
      </c>
      <c r="I627" s="2" t="s">
        <v>1913</v>
      </c>
      <c r="J627" s="2" t="s">
        <v>1914</v>
      </c>
      <c r="K627" s="2" t="s">
        <v>392</v>
      </c>
      <c r="L627" s="2" t="s">
        <v>56</v>
      </c>
      <c r="M627" s="2" t="s">
        <v>393</v>
      </c>
      <c r="N627" s="2" t="s">
        <v>58</v>
      </c>
      <c r="O627" s="2" t="s">
        <v>1915</v>
      </c>
      <c r="P627" s="2"/>
      <c r="Q627" s="2" t="s">
        <v>1940</v>
      </c>
      <c r="R627" s="2"/>
    </row>
    <row r="628" spans="1:18">
      <c r="A628" s="2" t="s">
        <v>1941</v>
      </c>
      <c r="B628" s="2" t="s">
        <v>1942</v>
      </c>
      <c r="C628" s="2" t="s">
        <v>1939</v>
      </c>
      <c r="D628" s="2">
        <v>55498500.3</v>
      </c>
      <c r="E628" s="2">
        <v>1</v>
      </c>
      <c r="F628" s="3">
        <f>IF(COUNT(D628,E628)=2,D628*E628,NA())</f>
        <v>55498500.3</v>
      </c>
      <c r="G628" s="2" t="s">
        <v>52</v>
      </c>
      <c r="H628" s="2" t="s">
        <v>53</v>
      </c>
      <c r="I628" s="2" t="s">
        <v>1913</v>
      </c>
      <c r="J628" s="2" t="s">
        <v>1914</v>
      </c>
      <c r="K628" s="2" t="s">
        <v>392</v>
      </c>
      <c r="L628" s="2" t="s">
        <v>56</v>
      </c>
      <c r="M628" s="2" t="s">
        <v>393</v>
      </c>
      <c r="N628" s="2" t="s">
        <v>58</v>
      </c>
      <c r="O628" s="2" t="s">
        <v>1915</v>
      </c>
      <c r="P628" s="2"/>
      <c r="Q628" s="2" t="s">
        <v>1943</v>
      </c>
      <c r="R628" s="2"/>
    </row>
    <row r="629" spans="1:18">
      <c r="A629" s="2" t="s">
        <v>1944</v>
      </c>
      <c r="B629" s="2" t="s">
        <v>1945</v>
      </c>
      <c r="C629" s="2" t="s">
        <v>1912</v>
      </c>
      <c r="D629" s="2">
        <v>77.09</v>
      </c>
      <c r="E629" s="2">
        <v>0.01</v>
      </c>
      <c r="F629" s="3">
        <f>IF(COUNT(D629,E629)=2,D629*E629,NA())</f>
        <v>0.7709</v>
      </c>
      <c r="G629" s="2" t="s">
        <v>1946</v>
      </c>
      <c r="H629" s="2"/>
      <c r="I629" s="2" t="s">
        <v>1913</v>
      </c>
      <c r="J629" s="2" t="s">
        <v>1914</v>
      </c>
      <c r="K629" s="2" t="s">
        <v>392</v>
      </c>
      <c r="L629" s="2" t="s">
        <v>56</v>
      </c>
      <c r="M629" s="2" t="s">
        <v>1946</v>
      </c>
      <c r="N629" s="2" t="s">
        <v>58</v>
      </c>
      <c r="O629" s="2" t="s">
        <v>1915</v>
      </c>
      <c r="P629" s="2"/>
      <c r="Q629" s="2" t="s">
        <v>1947</v>
      </c>
      <c r="R629" s="2"/>
    </row>
    <row r="630" spans="1:18">
      <c r="A630" s="2" t="s">
        <v>1948</v>
      </c>
      <c r="B630" s="2" t="s">
        <v>1949</v>
      </c>
      <c r="C630" s="2" t="s">
        <v>1912</v>
      </c>
      <c r="D630" s="2">
        <v>17.94</v>
      </c>
      <c r="E630" s="2">
        <v>0.01</v>
      </c>
      <c r="F630" s="3">
        <f>IF(COUNT(D630,E630)=2,D630*E630,NA())</f>
        <v>0.1794</v>
      </c>
      <c r="G630" s="2" t="s">
        <v>1946</v>
      </c>
      <c r="H630" s="2"/>
      <c r="I630" s="2" t="s">
        <v>1913</v>
      </c>
      <c r="J630" s="2" t="s">
        <v>1914</v>
      </c>
      <c r="K630" s="2" t="s">
        <v>392</v>
      </c>
      <c r="L630" s="2" t="s">
        <v>56</v>
      </c>
      <c r="M630" s="2" t="s">
        <v>1946</v>
      </c>
      <c r="N630" s="2" t="s">
        <v>58</v>
      </c>
      <c r="O630" s="2" t="s">
        <v>1915</v>
      </c>
      <c r="P630" s="2"/>
      <c r="Q630" s="2" t="s">
        <v>1950</v>
      </c>
      <c r="R630" s="2"/>
    </row>
    <row r="631" spans="1:18">
      <c r="A631" s="2" t="s">
        <v>1951</v>
      </c>
      <c r="B631" s="2" t="s">
        <v>1952</v>
      </c>
      <c r="C631" s="2" t="s">
        <v>1912</v>
      </c>
      <c r="D631" s="2">
        <v>96.77</v>
      </c>
      <c r="E631" s="2">
        <v>0.01</v>
      </c>
      <c r="F631" s="3">
        <f>IF(COUNT(D631,E631)=2,D631*E631,NA())</f>
        <v>0.9677</v>
      </c>
      <c r="G631" s="2" t="s">
        <v>1946</v>
      </c>
      <c r="H631" s="2"/>
      <c r="I631" s="2" t="s">
        <v>1913</v>
      </c>
      <c r="J631" s="2" t="s">
        <v>1914</v>
      </c>
      <c r="K631" s="2" t="s">
        <v>392</v>
      </c>
      <c r="L631" s="2" t="s">
        <v>56</v>
      </c>
      <c r="M631" s="2" t="s">
        <v>1946</v>
      </c>
      <c r="N631" s="2" t="s">
        <v>58</v>
      </c>
      <c r="O631" s="2" t="s">
        <v>1915</v>
      </c>
      <c r="P631" s="2"/>
      <c r="Q631" s="2" t="s">
        <v>1953</v>
      </c>
      <c r="R631" s="2"/>
    </row>
    <row r="632" spans="1:18">
      <c r="A632" s="2" t="s">
        <v>1954</v>
      </c>
      <c r="B632" s="2" t="s">
        <v>1955</v>
      </c>
      <c r="C632" s="2" t="s">
        <v>1912</v>
      </c>
      <c r="D632" s="2">
        <v>3.23</v>
      </c>
      <c r="E632" s="2">
        <v>0.01</v>
      </c>
      <c r="F632" s="3">
        <f>IF(COUNT(D632,E632)=2,D632*E632,NA())</f>
        <v>0.0323</v>
      </c>
      <c r="G632" s="2" t="s">
        <v>1946</v>
      </c>
      <c r="H632" s="2"/>
      <c r="I632" s="2" t="s">
        <v>1913</v>
      </c>
      <c r="J632" s="2" t="s">
        <v>1914</v>
      </c>
      <c r="K632" s="2" t="s">
        <v>392</v>
      </c>
      <c r="L632" s="2" t="s">
        <v>56</v>
      </c>
      <c r="M632" s="2" t="s">
        <v>1946</v>
      </c>
      <c r="N632" s="2" t="s">
        <v>58</v>
      </c>
      <c r="O632" s="2" t="s">
        <v>1915</v>
      </c>
      <c r="P632" s="2"/>
      <c r="Q632" s="2" t="s">
        <v>1956</v>
      </c>
      <c r="R632" s="2"/>
    </row>
    <row r="633" spans="1:18">
      <c r="A633" s="2" t="s">
        <v>1957</v>
      </c>
      <c r="B633" s="2" t="s">
        <v>1958</v>
      </c>
      <c r="C633" s="2" t="s">
        <v>1912</v>
      </c>
      <c r="D633" s="2">
        <v>28.67</v>
      </c>
      <c r="E633" s="2">
        <v>0.01</v>
      </c>
      <c r="F633" s="3">
        <f>IF(COUNT(D633,E633)=2,D633*E633,NA())</f>
        <v>0.2867</v>
      </c>
      <c r="G633" s="2" t="s">
        <v>1946</v>
      </c>
      <c r="H633" s="2"/>
      <c r="I633" s="2" t="s">
        <v>1913</v>
      </c>
      <c r="J633" s="2" t="s">
        <v>1914</v>
      </c>
      <c r="K633" s="2" t="s">
        <v>392</v>
      </c>
      <c r="L633" s="2" t="s">
        <v>56</v>
      </c>
      <c r="M633" s="2" t="s">
        <v>1946</v>
      </c>
      <c r="N633" s="2" t="s">
        <v>58</v>
      </c>
      <c r="O633" s="2" t="s">
        <v>1915</v>
      </c>
      <c r="P633" s="2"/>
      <c r="Q633" s="2" t="s">
        <v>1959</v>
      </c>
      <c r="R633" s="2"/>
    </row>
    <row r="634" spans="1:18">
      <c r="A634" s="2" t="s">
        <v>1960</v>
      </c>
      <c r="B634" s="2" t="s">
        <v>1961</v>
      </c>
      <c r="C634" s="2" t="s">
        <v>1912</v>
      </c>
      <c r="D634" s="2">
        <v>6.25</v>
      </c>
      <c r="E634" s="2">
        <v>0.01</v>
      </c>
      <c r="F634" s="3">
        <f>IF(COUNT(D634,E634)=2,D634*E634,NA())</f>
        <v>0.0625</v>
      </c>
      <c r="G634" s="2" t="s">
        <v>1946</v>
      </c>
      <c r="H634" s="2"/>
      <c r="I634" s="2" t="s">
        <v>1913</v>
      </c>
      <c r="J634" s="2" t="s">
        <v>1914</v>
      </c>
      <c r="K634" s="2" t="s">
        <v>392</v>
      </c>
      <c r="L634" s="2" t="s">
        <v>56</v>
      </c>
      <c r="M634" s="2" t="s">
        <v>1946</v>
      </c>
      <c r="N634" s="2" t="s">
        <v>58</v>
      </c>
      <c r="O634" s="2" t="s">
        <v>1915</v>
      </c>
      <c r="P634" s="2"/>
      <c r="Q634" s="2" t="s">
        <v>1962</v>
      </c>
      <c r="R634" s="2"/>
    </row>
    <row r="635" spans="1:18">
      <c r="A635" s="2" t="s">
        <v>1963</v>
      </c>
      <c r="B635" s="2" t="s">
        <v>1964</v>
      </c>
      <c r="C635" s="2" t="s">
        <v>1912</v>
      </c>
      <c r="D635" s="2">
        <v>24.24</v>
      </c>
      <c r="E635" s="2">
        <v>0.01</v>
      </c>
      <c r="F635" s="3">
        <f>IF(COUNT(D635,E635)=2,D635*E635,NA())</f>
        <v>0.2424</v>
      </c>
      <c r="G635" s="2" t="s">
        <v>1946</v>
      </c>
      <c r="H635" s="2"/>
      <c r="I635" s="2" t="s">
        <v>1913</v>
      </c>
      <c r="J635" s="2" t="s">
        <v>1914</v>
      </c>
      <c r="K635" s="2" t="s">
        <v>392</v>
      </c>
      <c r="L635" s="2" t="s">
        <v>56</v>
      </c>
      <c r="M635" s="2" t="s">
        <v>1946</v>
      </c>
      <c r="N635" s="2" t="s">
        <v>58</v>
      </c>
      <c r="O635" s="2" t="s">
        <v>1915</v>
      </c>
      <c r="P635" s="2"/>
      <c r="Q635" s="2" t="s">
        <v>1965</v>
      </c>
      <c r="R635" s="2"/>
    </row>
    <row r="636" spans="1:18">
      <c r="A636" s="2" t="s">
        <v>1966</v>
      </c>
      <c r="B636" s="2" t="s">
        <v>1967</v>
      </c>
      <c r="C636" s="2" t="s">
        <v>1912</v>
      </c>
      <c r="D636" s="2">
        <v>84.12</v>
      </c>
      <c r="E636" s="2">
        <v>0.01</v>
      </c>
      <c r="F636" s="3">
        <f>IF(COUNT(D636,E636)=2,D636*E636,NA())</f>
        <v>0.8412</v>
      </c>
      <c r="G636" s="2" t="s">
        <v>1946</v>
      </c>
      <c r="H636" s="2"/>
      <c r="I636" s="2" t="s">
        <v>1913</v>
      </c>
      <c r="J636" s="2" t="s">
        <v>1914</v>
      </c>
      <c r="K636" s="2" t="s">
        <v>392</v>
      </c>
      <c r="L636" s="2" t="s">
        <v>56</v>
      </c>
      <c r="M636" s="2" t="s">
        <v>1946</v>
      </c>
      <c r="N636" s="2" t="s">
        <v>58</v>
      </c>
      <c r="O636" s="2" t="s">
        <v>1915</v>
      </c>
      <c r="P636" s="2"/>
      <c r="Q636" s="2" t="s">
        <v>1968</v>
      </c>
      <c r="R636" s="2"/>
    </row>
    <row r="637" spans="1:18">
      <c r="A637" s="2" t="s">
        <v>1969</v>
      </c>
      <c r="B637" s="2" t="s">
        <v>1970</v>
      </c>
      <c r="C637" s="2" t="s">
        <v>1912</v>
      </c>
      <c r="D637" s="2">
        <v>19.14</v>
      </c>
      <c r="E637" s="2">
        <v>0.01</v>
      </c>
      <c r="F637" s="3">
        <f>IF(COUNT(D637,E637)=2,D637*E637,NA())</f>
        <v>0.1914</v>
      </c>
      <c r="G637" s="2" t="s">
        <v>1946</v>
      </c>
      <c r="H637" s="2"/>
      <c r="I637" s="2" t="s">
        <v>1913</v>
      </c>
      <c r="J637" s="2" t="s">
        <v>1914</v>
      </c>
      <c r="K637" s="2" t="s">
        <v>392</v>
      </c>
      <c r="L637" s="2" t="s">
        <v>56</v>
      </c>
      <c r="M637" s="2" t="s">
        <v>1946</v>
      </c>
      <c r="N637" s="2" t="s">
        <v>58</v>
      </c>
      <c r="O637" s="2" t="s">
        <v>1915</v>
      </c>
      <c r="P637" s="2"/>
      <c r="Q637" s="2" t="s">
        <v>1971</v>
      </c>
      <c r="R637" s="2"/>
    </row>
    <row r="638" spans="1:18">
      <c r="A638" s="2" t="s">
        <v>1972</v>
      </c>
      <c r="B638" s="2" t="s">
        <v>1973</v>
      </c>
      <c r="C638" s="2" t="s">
        <v>1912</v>
      </c>
      <c r="D638" s="2">
        <v>11.63</v>
      </c>
      <c r="E638" s="2">
        <v>0.01</v>
      </c>
      <c r="F638" s="3">
        <f>IF(COUNT(D638,E638)=2,D638*E638,NA())</f>
        <v>0.1163</v>
      </c>
      <c r="G638" s="2" t="s">
        <v>1946</v>
      </c>
      <c r="H638" s="2"/>
      <c r="I638" s="2" t="s">
        <v>1913</v>
      </c>
      <c r="J638" s="2" t="s">
        <v>1914</v>
      </c>
      <c r="K638" s="2" t="s">
        <v>392</v>
      </c>
      <c r="L638" s="2" t="s">
        <v>56</v>
      </c>
      <c r="M638" s="2" t="s">
        <v>1946</v>
      </c>
      <c r="N638" s="2" t="s">
        <v>58</v>
      </c>
      <c r="O638" s="2" t="s">
        <v>1915</v>
      </c>
      <c r="P638" s="2"/>
      <c r="Q638" s="2" t="s">
        <v>1974</v>
      </c>
      <c r="R638" s="2"/>
    </row>
    <row r="639" spans="1:18">
      <c r="A639" s="2" t="s">
        <v>1975</v>
      </c>
      <c r="B639" s="2" t="s">
        <v>1976</v>
      </c>
      <c r="C639" s="2" t="s">
        <v>1931</v>
      </c>
      <c r="D639" s="2">
        <v>4.18</v>
      </c>
      <c r="E639" s="2">
        <v>0.01</v>
      </c>
      <c r="F639" s="3">
        <f>IF(COUNT(D639,E639)=2,D639*E639,NA())</f>
        <v>0.0418</v>
      </c>
      <c r="G639" s="2" t="s">
        <v>1946</v>
      </c>
      <c r="H639" s="2"/>
      <c r="I639" s="2" t="s">
        <v>1913</v>
      </c>
      <c r="J639" s="2" t="s">
        <v>1914</v>
      </c>
      <c r="K639" s="2" t="s">
        <v>392</v>
      </c>
      <c r="L639" s="2" t="s">
        <v>56</v>
      </c>
      <c r="M639" s="2" t="s">
        <v>1946</v>
      </c>
      <c r="N639" s="2" t="s">
        <v>58</v>
      </c>
      <c r="O639" s="2" t="s">
        <v>1915</v>
      </c>
      <c r="P639" s="2"/>
      <c r="Q639" s="2" t="s">
        <v>1977</v>
      </c>
      <c r="R639" s="2"/>
    </row>
    <row r="640" spans="1:18">
      <c r="A640" s="2" t="s">
        <v>1978</v>
      </c>
      <c r="B640" s="2" t="s">
        <v>1979</v>
      </c>
      <c r="C640" s="2" t="s">
        <v>1935</v>
      </c>
      <c r="D640" s="2">
        <v>116.91</v>
      </c>
      <c r="E640" s="2">
        <v>0.01</v>
      </c>
      <c r="F640" s="3">
        <f>IF(COUNT(D640,E640)=2,D640*E640,NA())</f>
        <v>1.1691</v>
      </c>
      <c r="G640" s="2" t="s">
        <v>1946</v>
      </c>
      <c r="H640" s="2"/>
      <c r="I640" s="2" t="s">
        <v>1913</v>
      </c>
      <c r="J640" s="2" t="s">
        <v>1914</v>
      </c>
      <c r="K640" s="2" t="s">
        <v>392</v>
      </c>
      <c r="L640" s="2" t="s">
        <v>56</v>
      </c>
      <c r="M640" s="2" t="s">
        <v>1946</v>
      </c>
      <c r="N640" s="2" t="s">
        <v>58</v>
      </c>
      <c r="O640" s="2" t="s">
        <v>1915</v>
      </c>
      <c r="P640" s="2"/>
      <c r="Q640" s="2" t="s">
        <v>1980</v>
      </c>
      <c r="R640" s="2"/>
    </row>
    <row r="641" spans="1:18">
      <c r="A641" s="2" t="s">
        <v>1981</v>
      </c>
      <c r="B641" s="2" t="s">
        <v>1982</v>
      </c>
      <c r="C641" s="2" t="s">
        <v>1931</v>
      </c>
      <c r="D641" s="2">
        <v>378</v>
      </c>
      <c r="E641" s="2">
        <v>1</v>
      </c>
      <c r="F641" s="3">
        <f>IF(COUNT(D641,E641)=2,D641*E641,NA())</f>
        <v>378.0</v>
      </c>
      <c r="G641" s="2" t="s">
        <v>1983</v>
      </c>
      <c r="H641" s="2"/>
      <c r="I641" s="2" t="s">
        <v>1913</v>
      </c>
      <c r="J641" s="2" t="s">
        <v>1914</v>
      </c>
      <c r="K641" s="2"/>
      <c r="L641" s="2" t="s">
        <v>56</v>
      </c>
      <c r="M641" s="2" t="s">
        <v>57</v>
      </c>
      <c r="N641" s="2" t="s">
        <v>58</v>
      </c>
      <c r="O641" s="2" t="s">
        <v>1915</v>
      </c>
      <c r="P641" s="2"/>
      <c r="Q641" s="2" t="s">
        <v>1984</v>
      </c>
      <c r="R641" s="2" t="s">
        <v>1985</v>
      </c>
    </row>
    <row r="642" spans="1:18">
      <c r="A642" s="2" t="s">
        <v>1986</v>
      </c>
      <c r="B642" s="2" t="s">
        <v>1987</v>
      </c>
      <c r="C642" s="2" t="s">
        <v>1931</v>
      </c>
      <c r="D642" s="2">
        <v>908</v>
      </c>
      <c r="E642" s="2">
        <v>1</v>
      </c>
      <c r="F642" s="3">
        <f>IF(COUNT(D642,E642)=2,D642*E642,NA())</f>
        <v>908.0</v>
      </c>
      <c r="G642" s="2" t="s">
        <v>1983</v>
      </c>
      <c r="H642" s="2"/>
      <c r="I642" s="2" t="s">
        <v>1913</v>
      </c>
      <c r="J642" s="2" t="s">
        <v>1914</v>
      </c>
      <c r="K642" s="2"/>
      <c r="L642" s="2" t="s">
        <v>56</v>
      </c>
      <c r="M642" s="2" t="s">
        <v>57</v>
      </c>
      <c r="N642" s="2" t="s">
        <v>58</v>
      </c>
      <c r="O642" s="2" t="s">
        <v>1915</v>
      </c>
      <c r="P642" s="2"/>
      <c r="Q642" s="2" t="s">
        <v>1988</v>
      </c>
      <c r="R642" s="2" t="s">
        <v>1989</v>
      </c>
    </row>
    <row r="643" spans="1:18">
      <c r="A643" s="2" t="s">
        <v>1990</v>
      </c>
      <c r="B643" s="2" t="s">
        <v>1991</v>
      </c>
      <c r="C643" s="2" t="s">
        <v>1992</v>
      </c>
      <c r="D643" s="2">
        <v>7</v>
      </c>
      <c r="E643" s="2">
        <v>1</v>
      </c>
      <c r="F643" s="3">
        <f>IF(COUNT(D643,E643)=2,D643*E643,NA())</f>
        <v>7.0</v>
      </c>
      <c r="G643" s="2" t="s">
        <v>1983</v>
      </c>
      <c r="H643" s="2"/>
      <c r="I643" s="2" t="s">
        <v>1913</v>
      </c>
      <c r="J643" s="2" t="s">
        <v>1914</v>
      </c>
      <c r="K643" s="2"/>
      <c r="L643" s="2" t="s">
        <v>56</v>
      </c>
      <c r="M643" s="2" t="s">
        <v>57</v>
      </c>
      <c r="N643" s="2" t="s">
        <v>58</v>
      </c>
      <c r="O643" s="2" t="s">
        <v>1915</v>
      </c>
      <c r="P643" s="2"/>
      <c r="Q643" s="2" t="s">
        <v>1993</v>
      </c>
      <c r="R643" s="2" t="s">
        <v>1985</v>
      </c>
    </row>
    <row r="644" spans="1:18">
      <c r="A644" s="2" t="s">
        <v>1994</v>
      </c>
      <c r="B644" s="2" t="s">
        <v>1995</v>
      </c>
      <c r="C644" s="2" t="s">
        <v>1992</v>
      </c>
      <c r="D644" s="2">
        <v>3</v>
      </c>
      <c r="E644" s="2">
        <v>1</v>
      </c>
      <c r="F644" s="3">
        <f>IF(COUNT(D644,E644)=2,D644*E644,NA())</f>
        <v>3.0</v>
      </c>
      <c r="G644" s="2" t="s">
        <v>1983</v>
      </c>
      <c r="H644" s="2"/>
      <c r="I644" s="2" t="s">
        <v>1913</v>
      </c>
      <c r="J644" s="2" t="s">
        <v>1914</v>
      </c>
      <c r="K644" s="2"/>
      <c r="L644" s="2" t="s">
        <v>56</v>
      </c>
      <c r="M644" s="2" t="s">
        <v>57</v>
      </c>
      <c r="N644" s="2" t="s">
        <v>58</v>
      </c>
      <c r="O644" s="2" t="s">
        <v>1915</v>
      </c>
      <c r="P644" s="2"/>
      <c r="Q644" s="2" t="s">
        <v>1996</v>
      </c>
      <c r="R644" s="2" t="s">
        <v>1985</v>
      </c>
    </row>
    <row r="645" spans="1:18">
      <c r="A645" s="2" t="s">
        <v>1997</v>
      </c>
      <c r="B645" s="2" t="s">
        <v>1998</v>
      </c>
      <c r="C645" s="2" t="s">
        <v>1999</v>
      </c>
      <c r="D645" s="2">
        <v>1455542440.54</v>
      </c>
      <c r="E645" s="2">
        <v>1</v>
      </c>
      <c r="F645" s="3">
        <f>IF(COUNT(D645,E645)=2,D645*E645,NA())</f>
        <v>1455542440.54</v>
      </c>
      <c r="G645" s="2" t="s">
        <v>52</v>
      </c>
      <c r="H645" s="2" t="s">
        <v>53</v>
      </c>
      <c r="I645" s="2" t="s">
        <v>1913</v>
      </c>
      <c r="J645" s="2" t="s">
        <v>1914</v>
      </c>
      <c r="K645" s="2" t="s">
        <v>1742</v>
      </c>
      <c r="L645" s="2" t="s">
        <v>1713</v>
      </c>
      <c r="M645" s="2" t="s">
        <v>393</v>
      </c>
      <c r="N645" s="2" t="s">
        <v>58</v>
      </c>
      <c r="O645" s="2" t="s">
        <v>1915</v>
      </c>
      <c r="P645" s="2" t="s">
        <v>2000</v>
      </c>
      <c r="Q645" s="2" t="s">
        <v>2001</v>
      </c>
      <c r="R645" s="2"/>
    </row>
    <row r="646" spans="1:18">
      <c r="A646" s="2" t="s">
        <v>2002</v>
      </c>
      <c r="B646" s="2" t="s">
        <v>2003</v>
      </c>
      <c r="C646" s="2" t="s">
        <v>1999</v>
      </c>
      <c r="D646" s="2">
        <v>51105059.49</v>
      </c>
      <c r="E646" s="2">
        <v>1</v>
      </c>
      <c r="F646" s="3">
        <f>IF(COUNT(D646,E646)=2,D646*E646,NA())</f>
        <v>51105059.49</v>
      </c>
      <c r="G646" s="2" t="s">
        <v>52</v>
      </c>
      <c r="H646" s="2" t="s">
        <v>53</v>
      </c>
      <c r="I646" s="2" t="s">
        <v>1913</v>
      </c>
      <c r="J646" s="2" t="s">
        <v>1914</v>
      </c>
      <c r="K646" s="2" t="s">
        <v>1742</v>
      </c>
      <c r="L646" s="2" t="s">
        <v>1713</v>
      </c>
      <c r="M646" s="2" t="s">
        <v>393</v>
      </c>
      <c r="N646" s="2" t="s">
        <v>58</v>
      </c>
      <c r="O646" s="2" t="s">
        <v>1915</v>
      </c>
      <c r="P646" s="2" t="s">
        <v>2000</v>
      </c>
      <c r="Q646" s="2" t="s">
        <v>2004</v>
      </c>
      <c r="R646" s="2"/>
    </row>
    <row r="647" spans="1:18">
      <c r="A647" s="2" t="s">
        <v>2005</v>
      </c>
      <c r="B647" s="2" t="s">
        <v>2006</v>
      </c>
      <c r="C647" s="2" t="s">
        <v>1999</v>
      </c>
      <c r="D647" s="2">
        <v>-55182890.65</v>
      </c>
      <c r="E647" s="2">
        <v>1</v>
      </c>
      <c r="F647" s="3">
        <f>IF(COUNT(D647,E647)=2,D647*E647,NA())</f>
        <v>-55182890.65</v>
      </c>
      <c r="G647" s="2" t="s">
        <v>52</v>
      </c>
      <c r="H647" s="2" t="s">
        <v>53</v>
      </c>
      <c r="I647" s="2" t="s">
        <v>1913</v>
      </c>
      <c r="J647" s="2" t="s">
        <v>1914</v>
      </c>
      <c r="K647" s="2" t="s">
        <v>1742</v>
      </c>
      <c r="L647" s="2" t="s">
        <v>1713</v>
      </c>
      <c r="M647" s="2" t="s">
        <v>393</v>
      </c>
      <c r="N647" s="2" t="s">
        <v>58</v>
      </c>
      <c r="O647" s="2" t="s">
        <v>1915</v>
      </c>
      <c r="P647" s="2" t="s">
        <v>2000</v>
      </c>
      <c r="Q647" s="2" t="s">
        <v>2007</v>
      </c>
      <c r="R647" s="2"/>
    </row>
    <row r="648" spans="1:18">
      <c r="A648" s="2" t="s">
        <v>2008</v>
      </c>
      <c r="B648" s="2" t="s">
        <v>2009</v>
      </c>
      <c r="C648" s="2" t="s">
        <v>1999</v>
      </c>
      <c r="D648" s="2">
        <v>304863921.94</v>
      </c>
      <c r="E648" s="2">
        <v>1</v>
      </c>
      <c r="F648" s="3">
        <f>IF(COUNT(D648,E648)=2,D648*E648,NA())</f>
        <v>304863921.94</v>
      </c>
      <c r="G648" s="2" t="s">
        <v>52</v>
      </c>
      <c r="H648" s="2" t="s">
        <v>53</v>
      </c>
      <c r="I648" s="2" t="s">
        <v>1913</v>
      </c>
      <c r="J648" s="2" t="s">
        <v>1914</v>
      </c>
      <c r="K648" s="2"/>
      <c r="L648" s="2" t="s">
        <v>1713</v>
      </c>
      <c r="M648" s="2" t="s">
        <v>57</v>
      </c>
      <c r="N648" s="2" t="s">
        <v>58</v>
      </c>
      <c r="O648" s="2" t="s">
        <v>1915</v>
      </c>
      <c r="P648" s="2"/>
      <c r="Q648" s="2" t="s">
        <v>2010</v>
      </c>
      <c r="R648" s="2"/>
    </row>
    <row r="649" spans="1:18">
      <c r="A649" s="2" t="s">
        <v>2011</v>
      </c>
      <c r="B649" s="2" t="s">
        <v>2012</v>
      </c>
      <c r="C649" s="2" t="s">
        <v>1999</v>
      </c>
      <c r="D649" s="2">
        <v>4.34</v>
      </c>
      <c r="E649" s="2">
        <v>0.01</v>
      </c>
      <c r="F649" s="3">
        <f>IF(COUNT(D649,E649)=2,D649*E649,NA())</f>
        <v>0.0434</v>
      </c>
      <c r="G649" s="2" t="s">
        <v>1946</v>
      </c>
      <c r="H649" s="2"/>
      <c r="I649" s="2" t="s">
        <v>1913</v>
      </c>
      <c r="J649" s="2" t="s">
        <v>1914</v>
      </c>
      <c r="K649" s="2" t="s">
        <v>1742</v>
      </c>
      <c r="L649" s="2" t="s">
        <v>1713</v>
      </c>
      <c r="M649" s="2" t="s">
        <v>1946</v>
      </c>
      <c r="N649" s="2" t="s">
        <v>58</v>
      </c>
      <c r="O649" s="2" t="s">
        <v>1915</v>
      </c>
      <c r="P649" s="2"/>
      <c r="Q649" s="2" t="s">
        <v>2013</v>
      </c>
      <c r="R649" s="2"/>
    </row>
    <row r="650" spans="1:18">
      <c r="A650" s="2" t="s">
        <v>2014</v>
      </c>
      <c r="B650" s="2" t="s">
        <v>2015</v>
      </c>
      <c r="C650" s="2" t="s">
        <v>2016</v>
      </c>
      <c r="D650" s="2">
        <v>27578652775.3</v>
      </c>
      <c r="E650" s="2">
        <v>1</v>
      </c>
      <c r="F650" s="3">
        <f>IF(COUNT(D650,E650)=2,D650*E650,NA())</f>
        <v>27578652775.3</v>
      </c>
      <c r="G650" s="2" t="s">
        <v>52</v>
      </c>
      <c r="H650" s="2" t="s">
        <v>53</v>
      </c>
      <c r="I650" s="2" t="s">
        <v>2017</v>
      </c>
      <c r="J650" s="2" t="s">
        <v>1914</v>
      </c>
      <c r="K650" s="2" t="s">
        <v>392</v>
      </c>
      <c r="L650" s="2" t="s">
        <v>56</v>
      </c>
      <c r="M650" s="2" t="s">
        <v>393</v>
      </c>
      <c r="N650" s="2" t="s">
        <v>58</v>
      </c>
      <c r="O650" s="2" t="s">
        <v>1915</v>
      </c>
      <c r="P650" s="2"/>
      <c r="Q650" s="2" t="s">
        <v>2018</v>
      </c>
      <c r="R650" s="2"/>
    </row>
    <row r="651" spans="1:18">
      <c r="A651" s="2" t="s">
        <v>2019</v>
      </c>
      <c r="B651" s="2" t="s">
        <v>2020</v>
      </c>
      <c r="C651" s="2" t="s">
        <v>2016</v>
      </c>
      <c r="D651" s="2">
        <v>19171975964.82</v>
      </c>
      <c r="E651" s="2">
        <v>1</v>
      </c>
      <c r="F651" s="3">
        <f>IF(COUNT(D651,E651)=2,D651*E651,NA())</f>
        <v>19171975964.82</v>
      </c>
      <c r="G651" s="2" t="s">
        <v>52</v>
      </c>
      <c r="H651" s="2" t="s">
        <v>53</v>
      </c>
      <c r="I651" s="2" t="s">
        <v>2017</v>
      </c>
      <c r="J651" s="2" t="s">
        <v>1914</v>
      </c>
      <c r="K651" s="2" t="s">
        <v>392</v>
      </c>
      <c r="L651" s="2" t="s">
        <v>56</v>
      </c>
      <c r="M651" s="2" t="s">
        <v>393</v>
      </c>
      <c r="N651" s="2" t="s">
        <v>58</v>
      </c>
      <c r="O651" s="2" t="s">
        <v>1915</v>
      </c>
      <c r="P651" s="2"/>
      <c r="Q651" s="2" t="s">
        <v>2021</v>
      </c>
      <c r="R651" s="2"/>
    </row>
    <row r="652" spans="1:18">
      <c r="A652" s="2" t="s">
        <v>2022</v>
      </c>
      <c r="B652" s="2" t="s">
        <v>1062</v>
      </c>
      <c r="C652" s="2" t="s">
        <v>2016</v>
      </c>
      <c r="D652" s="2">
        <v>11361297695</v>
      </c>
      <c r="E652" s="2">
        <v>1</v>
      </c>
      <c r="F652" s="3">
        <f>IF(COUNT(D652,E652)=2,D652*E652,NA())</f>
        <v>11361297695.0</v>
      </c>
      <c r="G652" s="2" t="s">
        <v>52</v>
      </c>
      <c r="H652" s="2" t="s">
        <v>53</v>
      </c>
      <c r="I652" s="2" t="s">
        <v>2017</v>
      </c>
      <c r="J652" s="2" t="s">
        <v>1914</v>
      </c>
      <c r="K652" s="2" t="s">
        <v>392</v>
      </c>
      <c r="L652" s="2" t="s">
        <v>56</v>
      </c>
      <c r="M652" s="2" t="s">
        <v>393</v>
      </c>
      <c r="N652" s="2" t="s">
        <v>58</v>
      </c>
      <c r="O652" s="2" t="s">
        <v>1915</v>
      </c>
      <c r="P652" s="2"/>
      <c r="Q652" s="2" t="s">
        <v>2023</v>
      </c>
      <c r="R652" s="2"/>
    </row>
    <row r="653" spans="1:18">
      <c r="A653" s="2" t="s">
        <v>2024</v>
      </c>
      <c r="B653" s="2" t="s">
        <v>2015</v>
      </c>
      <c r="C653" s="2" t="s">
        <v>2025</v>
      </c>
      <c r="D653" s="2">
        <v>25280261918.22</v>
      </c>
      <c r="E653" s="2">
        <v>1</v>
      </c>
      <c r="F653" s="3">
        <f>IF(COUNT(D653,E653)=2,D653*E653,NA())</f>
        <v>25280261918.22</v>
      </c>
      <c r="G653" s="2" t="s">
        <v>52</v>
      </c>
      <c r="H653" s="2" t="s">
        <v>53</v>
      </c>
      <c r="I653" s="2" t="s">
        <v>2026</v>
      </c>
      <c r="J653" s="2" t="s">
        <v>1914</v>
      </c>
      <c r="K653" s="2" t="s">
        <v>392</v>
      </c>
      <c r="L653" s="2" t="s">
        <v>56</v>
      </c>
      <c r="M653" s="2" t="s">
        <v>393</v>
      </c>
      <c r="N653" s="2" t="s">
        <v>58</v>
      </c>
      <c r="O653" s="2" t="s">
        <v>1915</v>
      </c>
      <c r="P653" s="2"/>
      <c r="Q653" s="2" t="s">
        <v>2027</v>
      </c>
      <c r="R653" s="2"/>
    </row>
    <row r="654" spans="1:18">
      <c r="A654" s="2" t="s">
        <v>2028</v>
      </c>
      <c r="B654" s="2" t="s">
        <v>2029</v>
      </c>
      <c r="C654" s="2" t="s">
        <v>2025</v>
      </c>
      <c r="D654" s="2">
        <v>4785663502.02</v>
      </c>
      <c r="E654" s="2">
        <v>1</v>
      </c>
      <c r="F654" s="3">
        <f>IF(COUNT(D654,E654)=2,D654*E654,NA())</f>
        <v>4785663502.02</v>
      </c>
      <c r="G654" s="2" t="s">
        <v>52</v>
      </c>
      <c r="H654" s="2" t="s">
        <v>53</v>
      </c>
      <c r="I654" s="2" t="s">
        <v>2026</v>
      </c>
      <c r="J654" s="2" t="s">
        <v>1914</v>
      </c>
      <c r="K654" s="2" t="s">
        <v>392</v>
      </c>
      <c r="L654" s="2" t="s">
        <v>56</v>
      </c>
      <c r="M654" s="2" t="s">
        <v>393</v>
      </c>
      <c r="N654" s="2" t="s">
        <v>58</v>
      </c>
      <c r="O654" s="2" t="s">
        <v>1915</v>
      </c>
      <c r="P654" s="2"/>
      <c r="Q654" s="2" t="s">
        <v>2030</v>
      </c>
      <c r="R654" s="2"/>
    </row>
    <row r="655" spans="1:18">
      <c r="A655" s="2" t="s">
        <v>2031</v>
      </c>
      <c r="B655" s="2" t="s">
        <v>1062</v>
      </c>
      <c r="C655" s="2" t="s">
        <v>2025</v>
      </c>
      <c r="D655" s="2">
        <v>3313717663.38</v>
      </c>
      <c r="E655" s="2">
        <v>1</v>
      </c>
      <c r="F655" s="3">
        <f>IF(COUNT(D655,E655)=2,D655*E655,NA())</f>
        <v>3313717663.38</v>
      </c>
      <c r="G655" s="2" t="s">
        <v>52</v>
      </c>
      <c r="H655" s="2" t="s">
        <v>53</v>
      </c>
      <c r="I655" s="2" t="s">
        <v>2026</v>
      </c>
      <c r="J655" s="2" t="s">
        <v>1914</v>
      </c>
      <c r="K655" s="2" t="s">
        <v>392</v>
      </c>
      <c r="L655" s="2" t="s">
        <v>56</v>
      </c>
      <c r="M655" s="2" t="s">
        <v>393</v>
      </c>
      <c r="N655" s="2" t="s">
        <v>58</v>
      </c>
      <c r="O655" s="2" t="s">
        <v>1915</v>
      </c>
      <c r="P655" s="2"/>
      <c r="Q655" s="2" t="s">
        <v>2032</v>
      </c>
      <c r="R655" s="2"/>
    </row>
    <row r="656" spans="1:18">
      <c r="A656" s="2" t="s">
        <v>2033</v>
      </c>
      <c r="B656" s="2" t="s">
        <v>2034</v>
      </c>
      <c r="C656" s="2" t="s">
        <v>2025</v>
      </c>
      <c r="D656" s="2">
        <v>53.17</v>
      </c>
      <c r="E656" s="2">
        <v>0.01</v>
      </c>
      <c r="F656" s="3">
        <f>IF(COUNT(D656,E656)=2,D656*E656,NA())</f>
        <v>0.5317</v>
      </c>
      <c r="G656" s="2" t="s">
        <v>1946</v>
      </c>
      <c r="H656" s="2"/>
      <c r="I656" s="2" t="s">
        <v>2026</v>
      </c>
      <c r="J656" s="2" t="s">
        <v>1914</v>
      </c>
      <c r="K656" s="2" t="s">
        <v>392</v>
      </c>
      <c r="L656" s="2" t="s">
        <v>56</v>
      </c>
      <c r="M656" s="2" t="s">
        <v>1946</v>
      </c>
      <c r="N656" s="2" t="s">
        <v>58</v>
      </c>
      <c r="O656" s="2" t="s">
        <v>1915</v>
      </c>
      <c r="P656" s="2"/>
      <c r="Q656" s="2" t="s">
        <v>2035</v>
      </c>
      <c r="R656" s="2"/>
    </row>
    <row r="657" spans="1:18">
      <c r="A657" s="2" t="s">
        <v>2036</v>
      </c>
      <c r="B657" s="2" t="s">
        <v>2037</v>
      </c>
      <c r="C657" s="2" t="s">
        <v>2038</v>
      </c>
      <c r="D657" s="2">
        <v>273260362</v>
      </c>
      <c r="E657" s="2">
        <v>1</v>
      </c>
      <c r="F657" s="3">
        <f>IF(COUNT(D657,E657)=2,D657*E657,NA())</f>
        <v>273260362.0</v>
      </c>
      <c r="G657" s="2" t="s">
        <v>1983</v>
      </c>
      <c r="H657" s="2"/>
      <c r="I657" s="2" t="s">
        <v>2039</v>
      </c>
      <c r="J657" s="2" t="s">
        <v>2040</v>
      </c>
      <c r="K657" s="2"/>
      <c r="L657" s="2" t="s">
        <v>56</v>
      </c>
      <c r="M657" s="2" t="s">
        <v>57</v>
      </c>
      <c r="N657" s="2" t="s">
        <v>58</v>
      </c>
      <c r="O657" s="2" t="s">
        <v>2041</v>
      </c>
      <c r="P657" s="2"/>
      <c r="Q657" s="2" t="s">
        <v>2042</v>
      </c>
      <c r="R657" s="2" t="s">
        <v>2043</v>
      </c>
    </row>
    <row r="658" spans="1:18">
      <c r="A658" s="2" t="s">
        <v>2044</v>
      </c>
      <c r="B658" s="2" t="s">
        <v>2045</v>
      </c>
      <c r="C658" s="2" t="s">
        <v>2038</v>
      </c>
      <c r="D658" s="2">
        <v>136500000</v>
      </c>
      <c r="E658" s="2">
        <v>1</v>
      </c>
      <c r="F658" s="3">
        <f>IF(COUNT(D658,E658)=2,D658*E658,NA())</f>
        <v>136500000.0</v>
      </c>
      <c r="G658" s="2" t="s">
        <v>1983</v>
      </c>
      <c r="H658" s="2"/>
      <c r="I658" s="2" t="s">
        <v>2039</v>
      </c>
      <c r="J658" s="2" t="s">
        <v>2040</v>
      </c>
      <c r="K658" s="2"/>
      <c r="L658" s="2" t="s">
        <v>56</v>
      </c>
      <c r="M658" s="2" t="s">
        <v>57</v>
      </c>
      <c r="N658" s="2" t="s">
        <v>58</v>
      </c>
      <c r="O658" s="2" t="s">
        <v>2041</v>
      </c>
      <c r="P658" s="2"/>
      <c r="Q658" s="2" t="s">
        <v>2046</v>
      </c>
      <c r="R658" s="2" t="s">
        <v>2043</v>
      </c>
    </row>
    <row r="659" spans="1:18">
      <c r="A659" s="2" t="s">
        <v>2047</v>
      </c>
      <c r="B659" s="2" t="s">
        <v>2048</v>
      </c>
      <c r="C659" s="2" t="s">
        <v>2038</v>
      </c>
      <c r="D659" s="2">
        <v>75806702</v>
      </c>
      <c r="E659" s="2">
        <v>1</v>
      </c>
      <c r="F659" s="3">
        <f>IF(COUNT(D659,E659)=2,D659*E659,NA())</f>
        <v>75806702.0</v>
      </c>
      <c r="G659" s="2" t="s">
        <v>1983</v>
      </c>
      <c r="H659" s="2"/>
      <c r="I659" s="2" t="s">
        <v>2049</v>
      </c>
      <c r="J659" s="2" t="s">
        <v>2040</v>
      </c>
      <c r="K659" s="2"/>
      <c r="L659" s="2" t="s">
        <v>56</v>
      </c>
      <c r="M659" s="2" t="s">
        <v>57</v>
      </c>
      <c r="N659" s="2" t="s">
        <v>58</v>
      </c>
      <c r="O659" s="2" t="s">
        <v>2041</v>
      </c>
      <c r="P659" s="2"/>
      <c r="Q659" s="2" t="s">
        <v>2050</v>
      </c>
      <c r="R659" s="2" t="s">
        <v>2043</v>
      </c>
    </row>
    <row r="660" spans="1:18">
      <c r="A660" s="2" t="s">
        <v>2051</v>
      </c>
      <c r="B660" s="2" t="s">
        <v>2052</v>
      </c>
      <c r="C660" s="2" t="s">
        <v>2038</v>
      </c>
      <c r="D660" s="2">
        <v>43000000</v>
      </c>
      <c r="E660" s="2">
        <v>1</v>
      </c>
      <c r="F660" s="3">
        <f>IF(COUNT(D660,E660)=2,D660*E660,NA())</f>
        <v>43000000.0</v>
      </c>
      <c r="G660" s="2" t="s">
        <v>1983</v>
      </c>
      <c r="H660" s="2"/>
      <c r="I660" s="2" t="s">
        <v>2049</v>
      </c>
      <c r="J660" s="2" t="s">
        <v>2040</v>
      </c>
      <c r="K660" s="2"/>
      <c r="L660" s="2" t="s">
        <v>56</v>
      </c>
      <c r="M660" s="2" t="s">
        <v>57</v>
      </c>
      <c r="N660" s="2" t="s">
        <v>58</v>
      </c>
      <c r="O660" s="2" t="s">
        <v>2041</v>
      </c>
      <c r="P660" s="2"/>
      <c r="Q660" s="2" t="s">
        <v>2053</v>
      </c>
      <c r="R660" s="2" t="s">
        <v>2043</v>
      </c>
    </row>
    <row r="661" spans="1:18">
      <c r="A661" s="2" t="s">
        <v>2054</v>
      </c>
      <c r="B661" s="2" t="s">
        <v>2055</v>
      </c>
      <c r="C661" s="2" t="s">
        <v>2056</v>
      </c>
      <c r="D661" s="2">
        <v>16009.81</v>
      </c>
      <c r="E661" s="2">
        <v>10000</v>
      </c>
      <c r="F661" s="3">
        <f>IF(COUNT(D661,E661)=2,D661*E661,NA())</f>
        <v>160098100.0</v>
      </c>
      <c r="G661" s="2" t="s">
        <v>52</v>
      </c>
      <c r="H661" s="2" t="s">
        <v>53</v>
      </c>
      <c r="I661" s="2" t="s">
        <v>1913</v>
      </c>
      <c r="J661" s="2" t="s">
        <v>1914</v>
      </c>
      <c r="K661" s="2"/>
      <c r="L661" s="2" t="s">
        <v>56</v>
      </c>
      <c r="M661" s="2" t="s">
        <v>57</v>
      </c>
      <c r="N661" s="2" t="s">
        <v>58</v>
      </c>
      <c r="O661" s="2" t="s">
        <v>1915</v>
      </c>
      <c r="P661" s="2"/>
      <c r="Q661" s="2" t="s">
        <v>2057</v>
      </c>
      <c r="R661" s="2"/>
    </row>
    <row r="662" spans="1:18">
      <c r="A662" s="2" t="s">
        <v>2058</v>
      </c>
      <c r="B662" s="2" t="s">
        <v>2059</v>
      </c>
      <c r="C662" s="2" t="s">
        <v>2060</v>
      </c>
      <c r="D662" s="2">
        <v>24000</v>
      </c>
      <c r="E662" s="2">
        <v>10000</v>
      </c>
      <c r="F662" s="3">
        <f>IF(COUNT(D662,E662)=2,D662*E662,NA())</f>
        <v>240000000.0</v>
      </c>
      <c r="G662" s="2" t="s">
        <v>52</v>
      </c>
      <c r="H662" s="2" t="s">
        <v>53</v>
      </c>
      <c r="I662" s="2" t="s">
        <v>1913</v>
      </c>
      <c r="J662" s="2" t="s">
        <v>2061</v>
      </c>
      <c r="K662" s="2"/>
      <c r="L662" s="2" t="s">
        <v>2062</v>
      </c>
      <c r="M662" s="2" t="s">
        <v>57</v>
      </c>
      <c r="N662" s="2" t="s">
        <v>58</v>
      </c>
      <c r="O662" s="2" t="s">
        <v>2063</v>
      </c>
      <c r="P662" s="2" t="s">
        <v>2064</v>
      </c>
      <c r="Q662" s="2" t="s">
        <v>2065</v>
      </c>
      <c r="R662" s="2"/>
    </row>
    <row r="663" spans="1:18">
      <c r="A663" s="2" t="s">
        <v>2066</v>
      </c>
      <c r="B663" s="2" t="s">
        <v>2067</v>
      </c>
      <c r="C663" s="2" t="s">
        <v>2060</v>
      </c>
      <c r="D663" s="2">
        <v>8</v>
      </c>
      <c r="E663" s="2">
        <v>1</v>
      </c>
      <c r="F663" s="3">
        <f>IF(COUNT(D663,E663)=2,D663*E663,NA())</f>
        <v>8.0</v>
      </c>
      <c r="G663" s="2" t="s">
        <v>1983</v>
      </c>
      <c r="H663" s="2"/>
      <c r="I663" s="2" t="s">
        <v>1913</v>
      </c>
      <c r="J663" s="2" t="s">
        <v>2061</v>
      </c>
      <c r="K663" s="2"/>
      <c r="L663" s="2" t="s">
        <v>2062</v>
      </c>
      <c r="M663" s="2" t="s">
        <v>57</v>
      </c>
      <c r="N663" s="2" t="s">
        <v>58</v>
      </c>
      <c r="O663" s="2" t="s">
        <v>2068</v>
      </c>
      <c r="P663" s="2"/>
      <c r="Q663" s="2" t="s">
        <v>2069</v>
      </c>
      <c r="R663" s="2" t="s">
        <v>2070</v>
      </c>
    </row>
    <row r="664" spans="1:18">
      <c r="A664" s="2" t="s">
        <v>2071</v>
      </c>
      <c r="B664" s="2" t="s">
        <v>2072</v>
      </c>
      <c r="C664" s="2" t="s">
        <v>2073</v>
      </c>
      <c r="D664" s="2">
        <v>130000</v>
      </c>
      <c r="E664" s="2">
        <v>10000</v>
      </c>
      <c r="F664" s="3">
        <f>IF(COUNT(D664,E664)=2,D664*E664,NA())</f>
        <v>1300000000.0</v>
      </c>
      <c r="G664" s="2" t="s">
        <v>52</v>
      </c>
      <c r="H664" s="2" t="s">
        <v>53</v>
      </c>
      <c r="I664" s="2" t="s">
        <v>1913</v>
      </c>
      <c r="J664" s="2" t="s">
        <v>2074</v>
      </c>
      <c r="K664" s="2"/>
      <c r="L664" s="2" t="s">
        <v>1870</v>
      </c>
      <c r="M664" s="2" t="s">
        <v>57</v>
      </c>
      <c r="N664" s="2" t="s">
        <v>58</v>
      </c>
      <c r="O664" s="2" t="s">
        <v>2075</v>
      </c>
      <c r="P664" s="2" t="s">
        <v>2076</v>
      </c>
      <c r="Q664" s="2" t="s">
        <v>2077</v>
      </c>
      <c r="R664" s="2"/>
    </row>
    <row r="665" spans="1:18">
      <c r="A665" s="2" t="s">
        <v>2078</v>
      </c>
      <c r="B665" s="2" t="s">
        <v>2079</v>
      </c>
      <c r="C665" s="2" t="s">
        <v>2080</v>
      </c>
      <c r="D665" s="2">
        <v>5</v>
      </c>
      <c r="E665" s="2">
        <v>0.01</v>
      </c>
      <c r="F665" s="3">
        <f>IF(COUNT(D665,E665)=2,D665*E665,NA())</f>
        <v>0.05</v>
      </c>
      <c r="G665" s="2" t="s">
        <v>1946</v>
      </c>
      <c r="H665" s="2"/>
      <c r="I665" s="2" t="s">
        <v>2081</v>
      </c>
      <c r="J665" s="2" t="s">
        <v>2082</v>
      </c>
      <c r="K665" s="2" t="s">
        <v>1742</v>
      </c>
      <c r="L665" s="2" t="s">
        <v>1713</v>
      </c>
      <c r="M665" s="2" t="s">
        <v>1946</v>
      </c>
      <c r="N665" s="2" t="s">
        <v>58</v>
      </c>
      <c r="O665" s="2" t="s">
        <v>2083</v>
      </c>
      <c r="P665" s="2"/>
      <c r="Q665" s="2" t="s">
        <v>2084</v>
      </c>
      <c r="R665" s="2"/>
    </row>
    <row r="666" spans="1:18">
      <c r="A666" s="2" t="s">
        <v>2085</v>
      </c>
      <c r="B666" s="2" t="s">
        <v>2086</v>
      </c>
      <c r="C666" s="2" t="s">
        <v>2087</v>
      </c>
      <c r="D666" s="2">
        <v>-17.2</v>
      </c>
      <c r="E666" s="2">
        <v>0.01</v>
      </c>
      <c r="F666" s="3">
        <f>IF(COUNT(D666,E666)=2,D666*E666,NA())</f>
        <v>-0.172</v>
      </c>
      <c r="G666" s="2" t="s">
        <v>1946</v>
      </c>
      <c r="H666" s="2"/>
      <c r="I666" s="2" t="s">
        <v>2081</v>
      </c>
      <c r="J666" s="2" t="s">
        <v>2082</v>
      </c>
      <c r="K666" s="2" t="s">
        <v>392</v>
      </c>
      <c r="L666" s="2" t="s">
        <v>56</v>
      </c>
      <c r="M666" s="2" t="s">
        <v>1946</v>
      </c>
      <c r="N666" s="2" t="s">
        <v>58</v>
      </c>
      <c r="O666" s="2" t="s">
        <v>2083</v>
      </c>
      <c r="P666" s="2"/>
      <c r="Q666" s="2" t="s">
        <v>2088</v>
      </c>
      <c r="R666" s="2"/>
    </row>
    <row r="667" spans="1:18">
      <c r="A667" s="2" t="s">
        <v>2089</v>
      </c>
      <c r="B667" s="2" t="s">
        <v>2090</v>
      </c>
      <c r="C667" s="2" t="s">
        <v>2091</v>
      </c>
      <c r="D667" s="2">
        <v>-16.2</v>
      </c>
      <c r="E667" s="2">
        <v>0.01</v>
      </c>
      <c r="F667" s="3">
        <f>IF(COUNT(D667,E667)=2,D667*E667,NA())</f>
        <v>-0.162</v>
      </c>
      <c r="G667" s="2" t="s">
        <v>1946</v>
      </c>
      <c r="H667" s="2"/>
      <c r="I667" s="2" t="s">
        <v>2081</v>
      </c>
      <c r="J667" s="2" t="s">
        <v>2082</v>
      </c>
      <c r="K667" s="2" t="s">
        <v>1742</v>
      </c>
      <c r="L667" s="2" t="s">
        <v>2092</v>
      </c>
      <c r="M667" s="2" t="s">
        <v>1946</v>
      </c>
      <c r="N667" s="2" t="s">
        <v>58</v>
      </c>
      <c r="O667" s="2" t="s">
        <v>2083</v>
      </c>
      <c r="P667" s="2"/>
      <c r="Q667" s="2" t="s">
        <v>2093</v>
      </c>
      <c r="R667" s="2"/>
    </row>
    <row r="668" spans="1:18">
      <c r="A668" s="2" t="s">
        <v>2094</v>
      </c>
      <c r="B668" s="2" t="s">
        <v>2095</v>
      </c>
      <c r="C668" s="2" t="s">
        <v>2091</v>
      </c>
      <c r="D668" s="2">
        <v>-22.6</v>
      </c>
      <c r="E668" s="2">
        <v>0.01</v>
      </c>
      <c r="F668" s="3">
        <f>IF(COUNT(D668,E668)=2,D668*E668,NA())</f>
        <v>-0.226</v>
      </c>
      <c r="G668" s="2" t="s">
        <v>1946</v>
      </c>
      <c r="H668" s="2"/>
      <c r="I668" s="2" t="s">
        <v>2081</v>
      </c>
      <c r="J668" s="2" t="s">
        <v>2082</v>
      </c>
      <c r="K668" s="2" t="s">
        <v>1742</v>
      </c>
      <c r="L668" s="2" t="s">
        <v>2092</v>
      </c>
      <c r="M668" s="2" t="s">
        <v>1946</v>
      </c>
      <c r="N668" s="2" t="s">
        <v>58</v>
      </c>
      <c r="O668" s="2" t="s">
        <v>2083</v>
      </c>
      <c r="P668" s="2"/>
      <c r="Q668" s="2" t="s">
        <v>2096</v>
      </c>
      <c r="R668" s="2"/>
    </row>
    <row r="669" spans="1:18">
      <c r="A669" s="2" t="s">
        <v>2097</v>
      </c>
      <c r="B669" s="2" t="s">
        <v>2098</v>
      </c>
      <c r="C669" s="2" t="s">
        <v>2091</v>
      </c>
      <c r="D669" s="2">
        <v>-19</v>
      </c>
      <c r="E669" s="2">
        <v>0.01</v>
      </c>
      <c r="F669" s="3">
        <f>IF(COUNT(D669,E669)=2,D669*E669,NA())</f>
        <v>-0.19</v>
      </c>
      <c r="G669" s="2" t="s">
        <v>1946</v>
      </c>
      <c r="H669" s="2"/>
      <c r="I669" s="2" t="s">
        <v>2081</v>
      </c>
      <c r="J669" s="2" t="s">
        <v>2082</v>
      </c>
      <c r="K669" s="2" t="s">
        <v>1742</v>
      </c>
      <c r="L669" s="2" t="s">
        <v>2092</v>
      </c>
      <c r="M669" s="2" t="s">
        <v>1946</v>
      </c>
      <c r="N669" s="2" t="s">
        <v>58</v>
      </c>
      <c r="O669" s="2" t="s">
        <v>2083</v>
      </c>
      <c r="P669" s="2"/>
      <c r="Q669" s="2" t="s">
        <v>2099</v>
      </c>
      <c r="R669" s="2"/>
    </row>
    <row r="670" spans="1:18">
      <c r="A670" s="2" t="s">
        <v>2100</v>
      </c>
      <c r="B670" s="2" t="s">
        <v>2101</v>
      </c>
      <c r="C670" s="2" t="s">
        <v>2102</v>
      </c>
      <c r="D670" s="2">
        <v>-4.1</v>
      </c>
      <c r="E670" s="2">
        <v>0.01</v>
      </c>
      <c r="F670" s="3">
        <f>IF(COUNT(D670,E670)=2,D670*E670,NA())</f>
        <v>-0.041</v>
      </c>
      <c r="G670" s="2" t="s">
        <v>1946</v>
      </c>
      <c r="H670" s="2"/>
      <c r="I670" s="2" t="s">
        <v>2081</v>
      </c>
      <c r="J670" s="2" t="s">
        <v>2082</v>
      </c>
      <c r="K670" s="2" t="s">
        <v>1742</v>
      </c>
      <c r="L670" s="2" t="s">
        <v>2092</v>
      </c>
      <c r="M670" s="2" t="s">
        <v>1946</v>
      </c>
      <c r="N670" s="2" t="s">
        <v>58</v>
      </c>
      <c r="O670" s="2" t="s">
        <v>2083</v>
      </c>
      <c r="P670" s="2"/>
      <c r="Q670" s="2" t="s">
        <v>2103</v>
      </c>
      <c r="R670" s="2"/>
    </row>
    <row r="671" spans="1:18">
      <c r="A671" s="2" t="s">
        <v>2104</v>
      </c>
      <c r="B671" s="2" t="s">
        <v>2105</v>
      </c>
      <c r="C671" s="2" t="s">
        <v>2102</v>
      </c>
      <c r="D671" s="2">
        <v>0.6</v>
      </c>
      <c r="E671" s="2">
        <v>0.01</v>
      </c>
      <c r="F671" s="3">
        <f>IF(COUNT(D671,E671)=2,D671*E671,NA())</f>
        <v>0.006</v>
      </c>
      <c r="G671" s="2" t="s">
        <v>1946</v>
      </c>
      <c r="H671" s="2"/>
      <c r="I671" s="2" t="s">
        <v>2081</v>
      </c>
      <c r="J671" s="2" t="s">
        <v>2082</v>
      </c>
      <c r="K671" s="2" t="s">
        <v>1742</v>
      </c>
      <c r="L671" s="2" t="s">
        <v>2092</v>
      </c>
      <c r="M671" s="2" t="s">
        <v>1946</v>
      </c>
      <c r="N671" s="2" t="s">
        <v>58</v>
      </c>
      <c r="O671" s="2" t="s">
        <v>2083</v>
      </c>
      <c r="P671" s="2"/>
      <c r="Q671" s="2" t="s">
        <v>2106</v>
      </c>
      <c r="R671" s="2"/>
    </row>
    <row r="672" spans="1:18">
      <c r="A672" s="2" t="s">
        <v>2107</v>
      </c>
      <c r="B672" s="2" t="s">
        <v>2108</v>
      </c>
      <c r="C672" s="2" t="s">
        <v>2109</v>
      </c>
      <c r="D672" s="2">
        <v>4</v>
      </c>
      <c r="E672" s="2">
        <v>1</v>
      </c>
      <c r="F672" s="3">
        <f>IF(COUNT(D672,E672)=2,D672*E672,NA())</f>
        <v>4.0</v>
      </c>
      <c r="G672" s="2" t="s">
        <v>1983</v>
      </c>
      <c r="H672" s="2"/>
      <c r="I672" s="2" t="s">
        <v>1913</v>
      </c>
      <c r="J672" s="2" t="s">
        <v>1914</v>
      </c>
      <c r="K672" s="2"/>
      <c r="L672" s="2" t="s">
        <v>7</v>
      </c>
      <c r="M672" s="2" t="s">
        <v>2110</v>
      </c>
      <c r="N672" s="2" t="s">
        <v>2110</v>
      </c>
      <c r="O672" s="2" t="s">
        <v>2111</v>
      </c>
      <c r="P672" s="2" t="s">
        <v>2112</v>
      </c>
      <c r="Q672" s="2" t="s">
        <v>2113</v>
      </c>
      <c r="R672" s="2" t="s">
        <v>2114</v>
      </c>
    </row>
    <row r="673" spans="1:18">
      <c r="A673" s="2" t="s">
        <v>2115</v>
      </c>
      <c r="B673" s="2" t="s">
        <v>2116</v>
      </c>
      <c r="C673" s="2" t="s">
        <v>2109</v>
      </c>
      <c r="D673" s="2">
        <v>3.5</v>
      </c>
      <c r="E673" s="2">
        <v>1</v>
      </c>
      <c r="F673" s="3">
        <f>IF(COUNT(D673,E673)=2,D673*E673,NA())</f>
        <v>3.5</v>
      </c>
      <c r="G673" s="2" t="s">
        <v>1983</v>
      </c>
      <c r="H673" s="2"/>
      <c r="I673" s="2" t="s">
        <v>1913</v>
      </c>
      <c r="J673" s="2" t="s">
        <v>1914</v>
      </c>
      <c r="K673" s="2"/>
      <c r="L673" s="2" t="s">
        <v>7</v>
      </c>
      <c r="M673" s="2" t="s">
        <v>2110</v>
      </c>
      <c r="N673" s="2" t="s">
        <v>2110</v>
      </c>
      <c r="O673" s="2" t="s">
        <v>2111</v>
      </c>
      <c r="P673" s="2" t="s">
        <v>2112</v>
      </c>
      <c r="Q673" s="2" t="s">
        <v>2117</v>
      </c>
      <c r="R673" s="2" t="s">
        <v>2114</v>
      </c>
    </row>
    <row r="674" spans="1:18">
      <c r="A674" s="2" t="s">
        <v>2118</v>
      </c>
      <c r="B674" s="2" t="s">
        <v>2119</v>
      </c>
      <c r="C674" s="2" t="s">
        <v>2109</v>
      </c>
      <c r="D674" s="2">
        <v>4.5</v>
      </c>
      <c r="E674" s="2">
        <v>1</v>
      </c>
      <c r="F674" s="3">
        <f>IF(COUNT(D674,E674)=2,D674*E674,NA())</f>
        <v>4.5</v>
      </c>
      <c r="G674" s="2" t="s">
        <v>1983</v>
      </c>
      <c r="H674" s="2"/>
      <c r="I674" s="2" t="s">
        <v>1913</v>
      </c>
      <c r="J674" s="2" t="s">
        <v>1914</v>
      </c>
      <c r="K674" s="2"/>
      <c r="L674" s="2" t="s">
        <v>7</v>
      </c>
      <c r="M674" s="2" t="s">
        <v>2110</v>
      </c>
      <c r="N674" s="2" t="s">
        <v>2110</v>
      </c>
      <c r="O674" s="2" t="s">
        <v>2111</v>
      </c>
      <c r="P674" s="2" t="s">
        <v>2112</v>
      </c>
      <c r="Q674" s="2" t="s">
        <v>2120</v>
      </c>
      <c r="R674" s="2" t="s">
        <v>2114</v>
      </c>
    </row>
    <row r="675" spans="1:18">
      <c r="A675" s="2" t="s">
        <v>2121</v>
      </c>
      <c r="B675" s="2" t="s">
        <v>2122</v>
      </c>
      <c r="C675" s="2" t="s">
        <v>2123</v>
      </c>
      <c r="D675" s="2">
        <v>2.5</v>
      </c>
      <c r="E675" s="2">
        <v>1</v>
      </c>
      <c r="F675" s="3">
        <f>IF(COUNT(D675,E675)=2,D675*E675,NA())</f>
        <v>2.5</v>
      </c>
      <c r="G675" s="2" t="s">
        <v>1983</v>
      </c>
      <c r="H675" s="2"/>
      <c r="I675" s="2" t="s">
        <v>1913</v>
      </c>
      <c r="J675" s="2" t="s">
        <v>1914</v>
      </c>
      <c r="K675" s="2"/>
      <c r="L675" s="2" t="s">
        <v>7</v>
      </c>
      <c r="M675" s="2" t="s">
        <v>2110</v>
      </c>
      <c r="N675" s="2" t="s">
        <v>2110</v>
      </c>
      <c r="O675" s="2" t="s">
        <v>2111</v>
      </c>
      <c r="P675" s="2" t="s">
        <v>2112</v>
      </c>
      <c r="Q675" s="2" t="s">
        <v>2124</v>
      </c>
      <c r="R675" s="2" t="s">
        <v>2114</v>
      </c>
    </row>
    <row r="676" spans="1:18">
      <c r="A676" s="2" t="s">
        <v>2125</v>
      </c>
      <c r="B676" s="2" t="s">
        <v>2126</v>
      </c>
      <c r="C676" s="2" t="s">
        <v>2123</v>
      </c>
      <c r="D676" s="2">
        <v>2</v>
      </c>
      <c r="E676" s="2">
        <v>1</v>
      </c>
      <c r="F676" s="3">
        <f>IF(COUNT(D676,E676)=2,D676*E676,NA())</f>
        <v>2.0</v>
      </c>
      <c r="G676" s="2" t="s">
        <v>1983</v>
      </c>
      <c r="H676" s="2"/>
      <c r="I676" s="2" t="s">
        <v>1913</v>
      </c>
      <c r="J676" s="2" t="s">
        <v>1914</v>
      </c>
      <c r="K676" s="2"/>
      <c r="L676" s="2" t="s">
        <v>7</v>
      </c>
      <c r="M676" s="2" t="s">
        <v>2110</v>
      </c>
      <c r="N676" s="2" t="s">
        <v>2110</v>
      </c>
      <c r="O676" s="2" t="s">
        <v>2111</v>
      </c>
      <c r="P676" s="2" t="s">
        <v>2112</v>
      </c>
      <c r="Q676" s="2" t="s">
        <v>2127</v>
      </c>
      <c r="R676" s="2" t="s">
        <v>2114</v>
      </c>
    </row>
    <row r="677" spans="1:18">
      <c r="A677" s="2" t="s">
        <v>2128</v>
      </c>
      <c r="B677" s="2" t="s">
        <v>2129</v>
      </c>
      <c r="C677" s="2" t="s">
        <v>2123</v>
      </c>
      <c r="D677" s="2">
        <v>3</v>
      </c>
      <c r="E677" s="2">
        <v>1</v>
      </c>
      <c r="F677" s="3">
        <f>IF(COUNT(D677,E677)=2,D677*E677,NA())</f>
        <v>3.0</v>
      </c>
      <c r="G677" s="2" t="s">
        <v>1983</v>
      </c>
      <c r="H677" s="2"/>
      <c r="I677" s="2" t="s">
        <v>1913</v>
      </c>
      <c r="J677" s="2" t="s">
        <v>1914</v>
      </c>
      <c r="K677" s="2"/>
      <c r="L677" s="2" t="s">
        <v>7</v>
      </c>
      <c r="M677" s="2" t="s">
        <v>2110</v>
      </c>
      <c r="N677" s="2" t="s">
        <v>2110</v>
      </c>
      <c r="O677" s="2" t="s">
        <v>2111</v>
      </c>
      <c r="P677" s="2" t="s">
        <v>2112</v>
      </c>
      <c r="Q677" s="2" t="s">
        <v>2130</v>
      </c>
      <c r="R677" s="2" t="s">
        <v>2114</v>
      </c>
    </row>
    <row r="678" spans="1:18">
      <c r="A678" s="2" t="s">
        <v>2131</v>
      </c>
      <c r="B678" s="2" t="s">
        <v>2132</v>
      </c>
      <c r="C678" s="2" t="s">
        <v>2133</v>
      </c>
      <c r="D678" s="2">
        <v>4</v>
      </c>
      <c r="E678" s="2">
        <v>1</v>
      </c>
      <c r="F678" s="3">
        <f>IF(COUNT(D678,E678)=2,D678*E678,NA())</f>
        <v>4.0</v>
      </c>
      <c r="G678" s="2" t="s">
        <v>1983</v>
      </c>
      <c r="H678" s="2"/>
      <c r="I678" s="2" t="s">
        <v>1913</v>
      </c>
      <c r="J678" s="2" t="s">
        <v>1914</v>
      </c>
      <c r="K678" s="2"/>
      <c r="L678" s="2" t="s">
        <v>7</v>
      </c>
      <c r="M678" s="2" t="s">
        <v>2110</v>
      </c>
      <c r="N678" s="2" t="s">
        <v>2110</v>
      </c>
      <c r="O678" s="2" t="s">
        <v>2111</v>
      </c>
      <c r="P678" s="2" t="s">
        <v>2112</v>
      </c>
      <c r="Q678" s="2" t="s">
        <v>2134</v>
      </c>
      <c r="R678" s="2" t="s">
        <v>2114</v>
      </c>
    </row>
    <row r="679" spans="1:18">
      <c r="A679" s="2" t="s">
        <v>2135</v>
      </c>
      <c r="B679" s="2" t="s">
        <v>2136</v>
      </c>
      <c r="C679" s="2" t="s">
        <v>2133</v>
      </c>
      <c r="D679" s="2">
        <v>3.5</v>
      </c>
      <c r="E679" s="2">
        <v>1</v>
      </c>
      <c r="F679" s="3">
        <f>IF(COUNT(D679,E679)=2,D679*E679,NA())</f>
        <v>3.5</v>
      </c>
      <c r="G679" s="2" t="s">
        <v>1983</v>
      </c>
      <c r="H679" s="2"/>
      <c r="I679" s="2" t="s">
        <v>1913</v>
      </c>
      <c r="J679" s="2" t="s">
        <v>1914</v>
      </c>
      <c r="K679" s="2"/>
      <c r="L679" s="2" t="s">
        <v>7</v>
      </c>
      <c r="M679" s="2" t="s">
        <v>2110</v>
      </c>
      <c r="N679" s="2" t="s">
        <v>2110</v>
      </c>
      <c r="O679" s="2" t="s">
        <v>2111</v>
      </c>
      <c r="P679" s="2" t="s">
        <v>2112</v>
      </c>
      <c r="Q679" s="2" t="s">
        <v>2137</v>
      </c>
      <c r="R679" s="2" t="s">
        <v>2114</v>
      </c>
    </row>
    <row r="680" spans="1:18">
      <c r="A680" s="2" t="s">
        <v>2138</v>
      </c>
      <c r="B680" s="2" t="s">
        <v>2139</v>
      </c>
      <c r="C680" s="2" t="s">
        <v>2133</v>
      </c>
      <c r="D680" s="2">
        <v>4.5</v>
      </c>
      <c r="E680" s="2">
        <v>1</v>
      </c>
      <c r="F680" s="3">
        <f>IF(COUNT(D680,E680)=2,D680*E680,NA())</f>
        <v>4.5</v>
      </c>
      <c r="G680" s="2" t="s">
        <v>1983</v>
      </c>
      <c r="H680" s="2"/>
      <c r="I680" s="2" t="s">
        <v>1913</v>
      </c>
      <c r="J680" s="2" t="s">
        <v>1914</v>
      </c>
      <c r="K680" s="2"/>
      <c r="L680" s="2" t="s">
        <v>7</v>
      </c>
      <c r="M680" s="2" t="s">
        <v>2110</v>
      </c>
      <c r="N680" s="2" t="s">
        <v>2110</v>
      </c>
      <c r="O680" s="2" t="s">
        <v>2111</v>
      </c>
      <c r="P680" s="2" t="s">
        <v>2112</v>
      </c>
      <c r="Q680" s="2" t="s">
        <v>2140</v>
      </c>
      <c r="R680" s="2" t="s">
        <v>2114</v>
      </c>
    </row>
    <row r="681" spans="1:18">
      <c r="A681" s="2" t="s">
        <v>2141</v>
      </c>
      <c r="B681" s="2" t="s">
        <v>2142</v>
      </c>
      <c r="C681" s="2" t="s">
        <v>2143</v>
      </c>
      <c r="D681" s="2">
        <v>4</v>
      </c>
      <c r="E681" s="2">
        <v>1</v>
      </c>
      <c r="F681" s="3">
        <f>IF(COUNT(D681,E681)=2,D681*E681,NA())</f>
        <v>4.0</v>
      </c>
      <c r="G681" s="2" t="s">
        <v>1983</v>
      </c>
      <c r="H681" s="2"/>
      <c r="I681" s="2" t="s">
        <v>1913</v>
      </c>
      <c r="J681" s="2" t="s">
        <v>1914</v>
      </c>
      <c r="K681" s="2"/>
      <c r="L681" s="2" t="s">
        <v>7</v>
      </c>
      <c r="M681" s="2" t="s">
        <v>2110</v>
      </c>
      <c r="N681" s="2" t="s">
        <v>2110</v>
      </c>
      <c r="O681" s="2" t="s">
        <v>2111</v>
      </c>
      <c r="P681" s="2" t="s">
        <v>2112</v>
      </c>
      <c r="Q681" s="2" t="s">
        <v>2144</v>
      </c>
      <c r="R681" s="2" t="s">
        <v>2114</v>
      </c>
    </row>
    <row r="682" spans="1:18">
      <c r="A682" s="2" t="s">
        <v>2145</v>
      </c>
      <c r="B682" s="2" t="s">
        <v>2146</v>
      </c>
      <c r="C682" s="2" t="s">
        <v>2143</v>
      </c>
      <c r="D682" s="2">
        <v>3.5</v>
      </c>
      <c r="E682" s="2">
        <v>1</v>
      </c>
      <c r="F682" s="3">
        <f>IF(COUNT(D682,E682)=2,D682*E682,NA())</f>
        <v>3.5</v>
      </c>
      <c r="G682" s="2" t="s">
        <v>1983</v>
      </c>
      <c r="H682" s="2"/>
      <c r="I682" s="2" t="s">
        <v>1913</v>
      </c>
      <c r="J682" s="2" t="s">
        <v>1914</v>
      </c>
      <c r="K682" s="2"/>
      <c r="L682" s="2" t="s">
        <v>7</v>
      </c>
      <c r="M682" s="2" t="s">
        <v>2110</v>
      </c>
      <c r="N682" s="2" t="s">
        <v>2110</v>
      </c>
      <c r="O682" s="2" t="s">
        <v>2111</v>
      </c>
      <c r="P682" s="2" t="s">
        <v>2112</v>
      </c>
      <c r="Q682" s="2" t="s">
        <v>2147</v>
      </c>
      <c r="R682" s="2" t="s">
        <v>2114</v>
      </c>
    </row>
    <row r="683" spans="1:18">
      <c r="A683" s="2" t="s">
        <v>2148</v>
      </c>
      <c r="B683" s="2" t="s">
        <v>2149</v>
      </c>
      <c r="C683" s="2" t="s">
        <v>2143</v>
      </c>
      <c r="D683" s="2">
        <v>4.5</v>
      </c>
      <c r="E683" s="2">
        <v>1</v>
      </c>
      <c r="F683" s="3">
        <f>IF(COUNT(D683,E683)=2,D683*E683,NA())</f>
        <v>4.5</v>
      </c>
      <c r="G683" s="2" t="s">
        <v>1983</v>
      </c>
      <c r="H683" s="2"/>
      <c r="I683" s="2" t="s">
        <v>1913</v>
      </c>
      <c r="J683" s="2" t="s">
        <v>1914</v>
      </c>
      <c r="K683" s="2"/>
      <c r="L683" s="2" t="s">
        <v>7</v>
      </c>
      <c r="M683" s="2" t="s">
        <v>2110</v>
      </c>
      <c r="N683" s="2" t="s">
        <v>2110</v>
      </c>
      <c r="O683" s="2" t="s">
        <v>2111</v>
      </c>
      <c r="P683" s="2" t="s">
        <v>2112</v>
      </c>
      <c r="Q683" s="2" t="s">
        <v>2150</v>
      </c>
      <c r="R683" s="2" t="s">
        <v>2114</v>
      </c>
    </row>
    <row r="684" spans="1:18">
      <c r="A684" s="2" t="s">
        <v>2151</v>
      </c>
      <c r="B684" s="2" t="s">
        <v>2152</v>
      </c>
      <c r="C684" s="2" t="s">
        <v>2153</v>
      </c>
      <c r="D684" s="2">
        <v>3</v>
      </c>
      <c r="E684" s="2">
        <v>1</v>
      </c>
      <c r="F684" s="3">
        <f>IF(COUNT(D684,E684)=2,D684*E684,NA())</f>
        <v>3.0</v>
      </c>
      <c r="G684" s="2" t="s">
        <v>1983</v>
      </c>
      <c r="H684" s="2"/>
      <c r="I684" s="2" t="s">
        <v>1913</v>
      </c>
      <c r="J684" s="2" t="s">
        <v>1914</v>
      </c>
      <c r="K684" s="2"/>
      <c r="L684" s="2" t="s">
        <v>7</v>
      </c>
      <c r="M684" s="2" t="s">
        <v>2110</v>
      </c>
      <c r="N684" s="2" t="s">
        <v>2110</v>
      </c>
      <c r="O684" s="2" t="s">
        <v>2111</v>
      </c>
      <c r="P684" s="2" t="s">
        <v>2112</v>
      </c>
      <c r="Q684" s="2" t="s">
        <v>2154</v>
      </c>
      <c r="R684" s="2" t="s">
        <v>2114</v>
      </c>
    </row>
    <row r="685" spans="1:18">
      <c r="A685" s="2" t="s">
        <v>2155</v>
      </c>
      <c r="B685" s="2" t="s">
        <v>2156</v>
      </c>
      <c r="C685" s="2" t="s">
        <v>2153</v>
      </c>
      <c r="D685" s="2">
        <v>2.5</v>
      </c>
      <c r="E685" s="2">
        <v>1</v>
      </c>
      <c r="F685" s="3">
        <f>IF(COUNT(D685,E685)=2,D685*E685,NA())</f>
        <v>2.5</v>
      </c>
      <c r="G685" s="2" t="s">
        <v>1983</v>
      </c>
      <c r="H685" s="2"/>
      <c r="I685" s="2" t="s">
        <v>1913</v>
      </c>
      <c r="J685" s="2" t="s">
        <v>1914</v>
      </c>
      <c r="K685" s="2"/>
      <c r="L685" s="2" t="s">
        <v>7</v>
      </c>
      <c r="M685" s="2" t="s">
        <v>2110</v>
      </c>
      <c r="N685" s="2" t="s">
        <v>2110</v>
      </c>
      <c r="O685" s="2" t="s">
        <v>2111</v>
      </c>
      <c r="P685" s="2" t="s">
        <v>2112</v>
      </c>
      <c r="Q685" s="2" t="s">
        <v>2157</v>
      </c>
      <c r="R685" s="2" t="s">
        <v>2114</v>
      </c>
    </row>
    <row r="686" spans="1:18">
      <c r="A686" s="2" t="s">
        <v>2158</v>
      </c>
      <c r="B686" s="2" t="s">
        <v>2159</v>
      </c>
      <c r="C686" s="2" t="s">
        <v>2153</v>
      </c>
      <c r="D686" s="2">
        <v>3.5</v>
      </c>
      <c r="E686" s="2">
        <v>1</v>
      </c>
      <c r="F686" s="3">
        <f>IF(COUNT(D686,E686)=2,D686*E686,NA())</f>
        <v>3.5</v>
      </c>
      <c r="G686" s="2" t="s">
        <v>1983</v>
      </c>
      <c r="H686" s="2"/>
      <c r="I686" s="2" t="s">
        <v>1913</v>
      </c>
      <c r="J686" s="2" t="s">
        <v>1914</v>
      </c>
      <c r="K686" s="2"/>
      <c r="L686" s="2" t="s">
        <v>7</v>
      </c>
      <c r="M686" s="2" t="s">
        <v>2110</v>
      </c>
      <c r="N686" s="2" t="s">
        <v>2110</v>
      </c>
      <c r="O686" s="2" t="s">
        <v>2111</v>
      </c>
      <c r="P686" s="2" t="s">
        <v>2112</v>
      </c>
      <c r="Q686" s="2" t="s">
        <v>2160</v>
      </c>
      <c r="R686" s="2" t="s">
        <v>2114</v>
      </c>
    </row>
    <row r="687" spans="1:18">
      <c r="A687" s="2" t="s">
        <v>2161</v>
      </c>
      <c r="B687" s="2" t="s">
        <v>2162</v>
      </c>
      <c r="C687" s="2" t="s">
        <v>2163</v>
      </c>
      <c r="D687" s="2">
        <v>4</v>
      </c>
      <c r="E687" s="2">
        <v>1</v>
      </c>
      <c r="F687" s="3">
        <f>IF(COUNT(D687,E687)=2,D687*E687,NA())</f>
        <v>4.0</v>
      </c>
      <c r="G687" s="2" t="s">
        <v>1983</v>
      </c>
      <c r="H687" s="2"/>
      <c r="I687" s="2" t="s">
        <v>1913</v>
      </c>
      <c r="J687" s="2" t="s">
        <v>1914</v>
      </c>
      <c r="K687" s="2"/>
      <c r="L687" s="2" t="s">
        <v>7</v>
      </c>
      <c r="M687" s="2" t="s">
        <v>2110</v>
      </c>
      <c r="N687" s="2" t="s">
        <v>2110</v>
      </c>
      <c r="O687" s="2" t="s">
        <v>2111</v>
      </c>
      <c r="P687" s="2" t="s">
        <v>2112</v>
      </c>
      <c r="Q687" s="2" t="s">
        <v>2164</v>
      </c>
      <c r="R687" s="2" t="s">
        <v>2114</v>
      </c>
    </row>
    <row r="688" spans="1:18">
      <c r="A688" s="2" t="s">
        <v>2165</v>
      </c>
      <c r="B688" s="2" t="s">
        <v>2166</v>
      </c>
      <c r="C688" s="2" t="s">
        <v>2163</v>
      </c>
      <c r="D688" s="2">
        <v>3.5</v>
      </c>
      <c r="E688" s="2">
        <v>1</v>
      </c>
      <c r="F688" s="3">
        <f>IF(COUNT(D688,E688)=2,D688*E688,NA())</f>
        <v>3.5</v>
      </c>
      <c r="G688" s="2" t="s">
        <v>1983</v>
      </c>
      <c r="H688" s="2"/>
      <c r="I688" s="2" t="s">
        <v>1913</v>
      </c>
      <c r="J688" s="2" t="s">
        <v>1914</v>
      </c>
      <c r="K688" s="2"/>
      <c r="L688" s="2" t="s">
        <v>7</v>
      </c>
      <c r="M688" s="2" t="s">
        <v>2110</v>
      </c>
      <c r="N688" s="2" t="s">
        <v>2110</v>
      </c>
      <c r="O688" s="2" t="s">
        <v>2111</v>
      </c>
      <c r="P688" s="2" t="s">
        <v>2112</v>
      </c>
      <c r="Q688" s="2" t="s">
        <v>2167</v>
      </c>
      <c r="R688" s="2" t="s">
        <v>2114</v>
      </c>
    </row>
    <row r="689" spans="1:18">
      <c r="A689" s="2" t="s">
        <v>2168</v>
      </c>
      <c r="B689" s="2" t="s">
        <v>2169</v>
      </c>
      <c r="C689" s="2" t="s">
        <v>2163</v>
      </c>
      <c r="D689" s="2">
        <v>4.5</v>
      </c>
      <c r="E689" s="2">
        <v>1</v>
      </c>
      <c r="F689" s="3">
        <f>IF(COUNT(D689,E689)=2,D689*E689,NA())</f>
        <v>4.5</v>
      </c>
      <c r="G689" s="2" t="s">
        <v>1983</v>
      </c>
      <c r="H689" s="2"/>
      <c r="I689" s="2" t="s">
        <v>1913</v>
      </c>
      <c r="J689" s="2" t="s">
        <v>1914</v>
      </c>
      <c r="K689" s="2"/>
      <c r="L689" s="2" t="s">
        <v>7</v>
      </c>
      <c r="M689" s="2" t="s">
        <v>2110</v>
      </c>
      <c r="N689" s="2" t="s">
        <v>2110</v>
      </c>
      <c r="O689" s="2" t="s">
        <v>2111</v>
      </c>
      <c r="P689" s="2" t="s">
        <v>2112</v>
      </c>
      <c r="Q689" s="2" t="s">
        <v>2170</v>
      </c>
      <c r="R689" s="2" t="s">
        <v>2114</v>
      </c>
    </row>
    <row r="690" spans="1:18">
      <c r="A690" s="2" t="s">
        <v>2171</v>
      </c>
      <c r="B690" s="2" t="s">
        <v>2172</v>
      </c>
      <c r="C690" s="2" t="s">
        <v>2173</v>
      </c>
      <c r="D690" s="2">
        <v>3</v>
      </c>
      <c r="E690" s="2">
        <v>1</v>
      </c>
      <c r="F690" s="3">
        <f>IF(COUNT(D690,E690)=2,D690*E690,NA())</f>
        <v>3.0</v>
      </c>
      <c r="G690" s="2" t="s">
        <v>1983</v>
      </c>
      <c r="H690" s="2"/>
      <c r="I690" s="2" t="s">
        <v>1913</v>
      </c>
      <c r="J690" s="2" t="s">
        <v>1914</v>
      </c>
      <c r="K690" s="2"/>
      <c r="L690" s="2" t="s">
        <v>7</v>
      </c>
      <c r="M690" s="2" t="s">
        <v>2110</v>
      </c>
      <c r="N690" s="2" t="s">
        <v>2110</v>
      </c>
      <c r="O690" s="2" t="s">
        <v>2111</v>
      </c>
      <c r="P690" s="2" t="s">
        <v>2112</v>
      </c>
      <c r="Q690" s="2" t="s">
        <v>2174</v>
      </c>
      <c r="R690" s="2" t="s">
        <v>2114</v>
      </c>
    </row>
    <row r="691" spans="1:18">
      <c r="A691" s="2" t="s">
        <v>2175</v>
      </c>
      <c r="B691" s="2" t="s">
        <v>2176</v>
      </c>
      <c r="C691" s="2" t="s">
        <v>2173</v>
      </c>
      <c r="D691" s="2">
        <v>2.5</v>
      </c>
      <c r="E691" s="2">
        <v>1</v>
      </c>
      <c r="F691" s="3">
        <f>IF(COUNT(D691,E691)=2,D691*E691,NA())</f>
        <v>2.5</v>
      </c>
      <c r="G691" s="2" t="s">
        <v>1983</v>
      </c>
      <c r="H691" s="2"/>
      <c r="I691" s="2" t="s">
        <v>1913</v>
      </c>
      <c r="J691" s="2" t="s">
        <v>1914</v>
      </c>
      <c r="K691" s="2"/>
      <c r="L691" s="2" t="s">
        <v>7</v>
      </c>
      <c r="M691" s="2" t="s">
        <v>2110</v>
      </c>
      <c r="N691" s="2" t="s">
        <v>2110</v>
      </c>
      <c r="O691" s="2" t="s">
        <v>2111</v>
      </c>
      <c r="P691" s="2" t="s">
        <v>2112</v>
      </c>
      <c r="Q691" s="2" t="s">
        <v>2177</v>
      </c>
      <c r="R691" s="2" t="s">
        <v>2114</v>
      </c>
    </row>
    <row r="692" spans="1:18">
      <c r="A692" s="2" t="s">
        <v>2178</v>
      </c>
      <c r="B692" s="2" t="s">
        <v>2179</v>
      </c>
      <c r="C692" s="2" t="s">
        <v>2173</v>
      </c>
      <c r="D692" s="2">
        <v>3.5</v>
      </c>
      <c r="E692" s="2">
        <v>1</v>
      </c>
      <c r="F692" s="3">
        <f>IF(COUNT(D692,E692)=2,D692*E692,NA())</f>
        <v>3.5</v>
      </c>
      <c r="G692" s="2" t="s">
        <v>1983</v>
      </c>
      <c r="H692" s="2"/>
      <c r="I692" s="2" t="s">
        <v>1913</v>
      </c>
      <c r="J692" s="2" t="s">
        <v>1914</v>
      </c>
      <c r="K692" s="2"/>
      <c r="L692" s="2" t="s">
        <v>7</v>
      </c>
      <c r="M692" s="2" t="s">
        <v>2110</v>
      </c>
      <c r="N692" s="2" t="s">
        <v>2110</v>
      </c>
      <c r="O692" s="2" t="s">
        <v>2111</v>
      </c>
      <c r="P692" s="2" t="s">
        <v>2112</v>
      </c>
      <c r="Q692" s="2" t="s">
        <v>2180</v>
      </c>
      <c r="R692" s="2" t="s">
        <v>2114</v>
      </c>
    </row>
    <row r="693" spans="1:18">
      <c r="A693" s="2" t="s">
        <v>2181</v>
      </c>
      <c r="B693" s="2" t="s">
        <v>2182</v>
      </c>
      <c r="C693" s="2" t="s">
        <v>2183</v>
      </c>
      <c r="D693" s="2">
        <v>3</v>
      </c>
      <c r="E693" s="2">
        <v>1</v>
      </c>
      <c r="F693" s="3">
        <f>IF(COUNT(D693,E693)=2,D693*E693,NA())</f>
        <v>3.0</v>
      </c>
      <c r="G693" s="2" t="s">
        <v>1983</v>
      </c>
      <c r="H693" s="2"/>
      <c r="I693" s="2" t="s">
        <v>1913</v>
      </c>
      <c r="J693" s="2" t="s">
        <v>1914</v>
      </c>
      <c r="K693" s="2"/>
      <c r="L693" s="2" t="s">
        <v>7</v>
      </c>
      <c r="M693" s="2" t="s">
        <v>2110</v>
      </c>
      <c r="N693" s="2" t="s">
        <v>2110</v>
      </c>
      <c r="O693" s="2" t="s">
        <v>2111</v>
      </c>
      <c r="P693" s="2" t="s">
        <v>2112</v>
      </c>
      <c r="Q693" s="2" t="s">
        <v>2184</v>
      </c>
      <c r="R693" s="2" t="s">
        <v>2114</v>
      </c>
    </row>
    <row r="694" spans="1:18">
      <c r="A694" s="2" t="s">
        <v>2185</v>
      </c>
      <c r="B694" s="2" t="s">
        <v>2186</v>
      </c>
      <c r="C694" s="2" t="s">
        <v>2183</v>
      </c>
      <c r="D694" s="2">
        <v>2.5</v>
      </c>
      <c r="E694" s="2">
        <v>1</v>
      </c>
      <c r="F694" s="3">
        <f>IF(COUNT(D694,E694)=2,D694*E694,NA())</f>
        <v>2.5</v>
      </c>
      <c r="G694" s="2" t="s">
        <v>1983</v>
      </c>
      <c r="H694" s="2"/>
      <c r="I694" s="2" t="s">
        <v>1913</v>
      </c>
      <c r="J694" s="2" t="s">
        <v>1914</v>
      </c>
      <c r="K694" s="2"/>
      <c r="L694" s="2" t="s">
        <v>7</v>
      </c>
      <c r="M694" s="2" t="s">
        <v>2110</v>
      </c>
      <c r="N694" s="2" t="s">
        <v>2110</v>
      </c>
      <c r="O694" s="2" t="s">
        <v>2111</v>
      </c>
      <c r="P694" s="2" t="s">
        <v>2112</v>
      </c>
      <c r="Q694" s="2" t="s">
        <v>2187</v>
      </c>
      <c r="R694" s="2" t="s">
        <v>2114</v>
      </c>
    </row>
    <row r="695" spans="1:18">
      <c r="A695" s="2" t="s">
        <v>2188</v>
      </c>
      <c r="B695" s="2" t="s">
        <v>2189</v>
      </c>
      <c r="C695" s="2" t="s">
        <v>2183</v>
      </c>
      <c r="D695" s="2">
        <v>3.5</v>
      </c>
      <c r="E695" s="2">
        <v>1</v>
      </c>
      <c r="F695" s="3">
        <f>IF(COUNT(D695,E695)=2,D695*E695,NA())</f>
        <v>3.5</v>
      </c>
      <c r="G695" s="2" t="s">
        <v>1983</v>
      </c>
      <c r="H695" s="2"/>
      <c r="I695" s="2" t="s">
        <v>1913</v>
      </c>
      <c r="J695" s="2" t="s">
        <v>1914</v>
      </c>
      <c r="K695" s="2"/>
      <c r="L695" s="2" t="s">
        <v>7</v>
      </c>
      <c r="M695" s="2" t="s">
        <v>2110</v>
      </c>
      <c r="N695" s="2" t="s">
        <v>2110</v>
      </c>
      <c r="O695" s="2" t="s">
        <v>2111</v>
      </c>
      <c r="P695" s="2" t="s">
        <v>2112</v>
      </c>
      <c r="Q695" s="2" t="s">
        <v>2190</v>
      </c>
      <c r="R695" s="2" t="s">
        <v>2114</v>
      </c>
    </row>
    <row r="696" spans="1:18">
      <c r="A696" s="2" t="s">
        <v>2191</v>
      </c>
      <c r="B696" s="2" t="s">
        <v>2192</v>
      </c>
      <c r="C696" s="2" t="s">
        <v>1912</v>
      </c>
      <c r="D696" s="2">
        <v>3071546311.9</v>
      </c>
      <c r="E696" s="2">
        <v>1</v>
      </c>
      <c r="F696" s="3">
        <f>IF(COUNT(D696,E696)=2,D696*E696,NA())</f>
        <v>3071546311.9</v>
      </c>
      <c r="G696" s="2" t="s">
        <v>52</v>
      </c>
      <c r="H696" s="2" t="s">
        <v>53</v>
      </c>
      <c r="I696" s="2" t="s">
        <v>1913</v>
      </c>
      <c r="J696" s="2" t="s">
        <v>1914</v>
      </c>
      <c r="K696" s="2" t="s">
        <v>392</v>
      </c>
      <c r="L696" s="2" t="s">
        <v>56</v>
      </c>
      <c r="M696" s="2" t="s">
        <v>393</v>
      </c>
      <c r="N696" s="2" t="s">
        <v>58</v>
      </c>
      <c r="O696" s="2" t="s">
        <v>1915</v>
      </c>
      <c r="P696" s="2" t="s">
        <v>2193</v>
      </c>
      <c r="Q696" s="2" t="s">
        <v>2194</v>
      </c>
      <c r="R696" s="2"/>
    </row>
    <row r="697" spans="1:18">
      <c r="A697" s="2" t="s">
        <v>2195</v>
      </c>
      <c r="B697" s="2" t="s">
        <v>2196</v>
      </c>
      <c r="C697" s="2" t="s">
        <v>2038</v>
      </c>
      <c r="D697" s="2">
        <v>24.62</v>
      </c>
      <c r="E697" s="2">
        <v>0.01</v>
      </c>
      <c r="F697" s="3">
        <f>IF(COUNT(D697,E697)=2,D697*E697,NA())</f>
        <v>0.2462</v>
      </c>
      <c r="G697" s="2" t="s">
        <v>1946</v>
      </c>
      <c r="H697" s="2"/>
      <c r="I697" s="2" t="s">
        <v>1913</v>
      </c>
      <c r="J697" s="2" t="s">
        <v>2197</v>
      </c>
      <c r="K697" s="2"/>
      <c r="L697" s="2" t="s">
        <v>56</v>
      </c>
      <c r="M697" s="2" t="s">
        <v>1946</v>
      </c>
      <c r="N697" s="2" t="s">
        <v>58</v>
      </c>
      <c r="O697" s="2" t="s">
        <v>2198</v>
      </c>
      <c r="P697" s="2" t="s">
        <v>2199</v>
      </c>
      <c r="Q697" s="2" t="s">
        <v>2200</v>
      </c>
      <c r="R697" s="2"/>
    </row>
    <row r="698" spans="1:18">
      <c r="A698" s="2" t="s">
        <v>2201</v>
      </c>
      <c r="B698" s="2" t="s">
        <v>2202</v>
      </c>
      <c r="C698" s="2" t="s">
        <v>2038</v>
      </c>
      <c r="D698" s="2">
        <v>6.83</v>
      </c>
      <c r="E698" s="2">
        <v>0.01</v>
      </c>
      <c r="F698" s="3">
        <f>IF(COUNT(D698,E698)=2,D698*E698,NA())</f>
        <v>0.0683</v>
      </c>
      <c r="G698" s="2" t="s">
        <v>1946</v>
      </c>
      <c r="H698" s="2"/>
      <c r="I698" s="2" t="s">
        <v>1913</v>
      </c>
      <c r="J698" s="2" t="s">
        <v>2197</v>
      </c>
      <c r="K698" s="2"/>
      <c r="L698" s="2" t="s">
        <v>56</v>
      </c>
      <c r="M698" s="2" t="s">
        <v>1946</v>
      </c>
      <c r="N698" s="2" t="s">
        <v>58</v>
      </c>
      <c r="O698" s="2" t="s">
        <v>2198</v>
      </c>
      <c r="P698" s="2" t="s">
        <v>2199</v>
      </c>
      <c r="Q698" s="2" t="s">
        <v>2203</v>
      </c>
      <c r="R698" s="2"/>
    </row>
    <row r="699" spans="1:18">
      <c r="A699" s="2" t="s">
        <v>2204</v>
      </c>
      <c r="B699" s="2" t="s">
        <v>2205</v>
      </c>
      <c r="C699" s="2" t="s">
        <v>2206</v>
      </c>
      <c r="D699" s="2">
        <v>-10</v>
      </c>
      <c r="E699" s="2">
        <v>0.01</v>
      </c>
      <c r="F699" s="3">
        <f>IF(COUNT(D699,E699)=2,D699*E699,NA())</f>
        <v>-0.1</v>
      </c>
      <c r="G699" s="2" t="s">
        <v>1946</v>
      </c>
      <c r="H699" s="2"/>
      <c r="I699" s="2" t="s">
        <v>1913</v>
      </c>
      <c r="J699" s="2" t="s">
        <v>1914</v>
      </c>
      <c r="K699" s="2" t="s">
        <v>1742</v>
      </c>
      <c r="L699" s="2" t="s">
        <v>2207</v>
      </c>
      <c r="M699" s="2" t="s">
        <v>2110</v>
      </c>
      <c r="N699" s="2" t="s">
        <v>2110</v>
      </c>
      <c r="O699" s="2" t="s">
        <v>2208</v>
      </c>
      <c r="P699" s="2" t="s">
        <v>2209</v>
      </c>
      <c r="Q699" s="2" t="s">
        <v>2210</v>
      </c>
      <c r="R699" s="2"/>
    </row>
    <row r="700" spans="1:18">
      <c r="A700" s="2" t="s">
        <v>2211</v>
      </c>
      <c r="B700" s="2" t="s">
        <v>2212</v>
      </c>
      <c r="C700" s="2" t="s">
        <v>2206</v>
      </c>
      <c r="D700" s="2">
        <v>0</v>
      </c>
      <c r="E700" s="2">
        <v>0.01</v>
      </c>
      <c r="F700" s="3">
        <f>IF(COUNT(D700,E700)=2,D700*E700,NA())</f>
        <v>0.0</v>
      </c>
      <c r="G700" s="2" t="s">
        <v>1946</v>
      </c>
      <c r="H700" s="2"/>
      <c r="I700" s="2" t="s">
        <v>1913</v>
      </c>
      <c r="J700" s="2" t="s">
        <v>1914</v>
      </c>
      <c r="K700" s="2" t="s">
        <v>1742</v>
      </c>
      <c r="L700" s="2" t="s">
        <v>2207</v>
      </c>
      <c r="M700" s="2" t="s">
        <v>2110</v>
      </c>
      <c r="N700" s="2" t="s">
        <v>2110</v>
      </c>
      <c r="O700" s="2" t="s">
        <v>2208</v>
      </c>
      <c r="P700" s="2" t="s">
        <v>2209</v>
      </c>
      <c r="Q700" s="2" t="s">
        <v>2213</v>
      </c>
      <c r="R700" s="2"/>
    </row>
    <row r="701" spans="1:18">
      <c r="A701" s="2" t="s">
        <v>2214</v>
      </c>
      <c r="B701" s="2" t="s">
        <v>2215</v>
      </c>
      <c r="C701" s="2" t="s">
        <v>2206</v>
      </c>
      <c r="D701" s="2">
        <v>-5</v>
      </c>
      <c r="E701" s="2">
        <v>0.01</v>
      </c>
      <c r="F701" s="3">
        <f>IF(COUNT(D701,E701)=2,D701*E701,NA())</f>
        <v>-0.05</v>
      </c>
      <c r="G701" s="2" t="s">
        <v>1946</v>
      </c>
      <c r="H701" s="2"/>
      <c r="I701" s="2" t="s">
        <v>1913</v>
      </c>
      <c r="J701" s="2" t="s">
        <v>1914</v>
      </c>
      <c r="K701" s="2" t="s">
        <v>1742</v>
      </c>
      <c r="L701" s="2" t="s">
        <v>2207</v>
      </c>
      <c r="M701" s="2" t="s">
        <v>2110</v>
      </c>
      <c r="N701" s="2" t="s">
        <v>2110</v>
      </c>
      <c r="O701" s="2" t="s">
        <v>2208</v>
      </c>
      <c r="P701" s="2" t="s">
        <v>2209</v>
      </c>
      <c r="Q701" s="2" t="s">
        <v>2210</v>
      </c>
      <c r="R701" s="2"/>
    </row>
    <row r="702" spans="1:18">
      <c r="A702" s="2" t="s">
        <v>2216</v>
      </c>
      <c r="B702" s="2" t="s">
        <v>2217</v>
      </c>
      <c r="C702" s="2" t="s">
        <v>2206</v>
      </c>
      <c r="D702" s="2">
        <v>20</v>
      </c>
      <c r="E702" s="2">
        <v>0.01</v>
      </c>
      <c r="F702" s="3">
        <f>IF(COUNT(D702,E702)=2,D702*E702,NA())</f>
        <v>0.2</v>
      </c>
      <c r="G702" s="2" t="s">
        <v>1946</v>
      </c>
      <c r="H702" s="2"/>
      <c r="I702" s="2" t="s">
        <v>1913</v>
      </c>
      <c r="J702" s="2" t="s">
        <v>1914</v>
      </c>
      <c r="K702" s="2" t="s">
        <v>1742</v>
      </c>
      <c r="L702" s="2" t="s">
        <v>2207</v>
      </c>
      <c r="M702" s="2" t="s">
        <v>2110</v>
      </c>
      <c r="N702" s="2" t="s">
        <v>2110</v>
      </c>
      <c r="O702" s="2" t="s">
        <v>2208</v>
      </c>
      <c r="P702" s="2" t="s">
        <v>2209</v>
      </c>
      <c r="Q702" s="2" t="s">
        <v>2213</v>
      </c>
      <c r="R702" s="2"/>
    </row>
    <row r="703" spans="1:18">
      <c r="A703" s="2" t="s">
        <v>2218</v>
      </c>
      <c r="B703" s="2" t="s">
        <v>2219</v>
      </c>
      <c r="C703" s="2" t="s">
        <v>2206</v>
      </c>
      <c r="D703" s="2">
        <v>-3</v>
      </c>
      <c r="E703" s="2">
        <v>0.01</v>
      </c>
      <c r="F703" s="3">
        <f>IF(COUNT(D703,E703)=2,D703*E703,NA())</f>
        <v>-0.03</v>
      </c>
      <c r="G703" s="2" t="s">
        <v>1946</v>
      </c>
      <c r="H703" s="2"/>
      <c r="I703" s="2" t="s">
        <v>1913</v>
      </c>
      <c r="J703" s="2" t="s">
        <v>1914</v>
      </c>
      <c r="K703" s="2" t="s">
        <v>1742</v>
      </c>
      <c r="L703" s="2" t="s">
        <v>2207</v>
      </c>
      <c r="M703" s="2" t="s">
        <v>2110</v>
      </c>
      <c r="N703" s="2" t="s">
        <v>2110</v>
      </c>
      <c r="O703" s="2" t="s">
        <v>2208</v>
      </c>
      <c r="P703" s="2" t="s">
        <v>2209</v>
      </c>
      <c r="Q703" s="2" t="s">
        <v>2210</v>
      </c>
      <c r="R703" s="2"/>
    </row>
    <row r="704" spans="1:18">
      <c r="A704" s="2" t="s">
        <v>2220</v>
      </c>
      <c r="B704" s="2" t="s">
        <v>2221</v>
      </c>
      <c r="C704" s="2" t="s">
        <v>2206</v>
      </c>
      <c r="D704" s="2">
        <v>15</v>
      </c>
      <c r="E704" s="2">
        <v>0.01</v>
      </c>
      <c r="F704" s="3">
        <f>IF(COUNT(D704,E704)=2,D704*E704,NA())</f>
        <v>0.15</v>
      </c>
      <c r="G704" s="2" t="s">
        <v>1946</v>
      </c>
      <c r="H704" s="2"/>
      <c r="I704" s="2" t="s">
        <v>1913</v>
      </c>
      <c r="J704" s="2" t="s">
        <v>1914</v>
      </c>
      <c r="K704" s="2" t="s">
        <v>1742</v>
      </c>
      <c r="L704" s="2" t="s">
        <v>2207</v>
      </c>
      <c r="M704" s="2" t="s">
        <v>2110</v>
      </c>
      <c r="N704" s="2" t="s">
        <v>2110</v>
      </c>
      <c r="O704" s="2" t="s">
        <v>2208</v>
      </c>
      <c r="P704" s="2" t="s">
        <v>2209</v>
      </c>
      <c r="Q704" s="2" t="s">
        <v>2213</v>
      </c>
      <c r="R704" s="2"/>
    </row>
    <row r="705" spans="1:18">
      <c r="A705" s="2" t="s">
        <v>2222</v>
      </c>
      <c r="B705" s="2" t="s">
        <v>2223</v>
      </c>
      <c r="C705" s="2" t="s">
        <v>2206</v>
      </c>
      <c r="D705" s="2">
        <v>3</v>
      </c>
      <c r="E705" s="2">
        <v>0.01</v>
      </c>
      <c r="F705" s="3">
        <f>IF(COUNT(D705,E705)=2,D705*E705,NA())</f>
        <v>0.03</v>
      </c>
      <c r="G705" s="2" t="s">
        <v>1946</v>
      </c>
      <c r="H705" s="2"/>
      <c r="I705" s="2" t="s">
        <v>1913</v>
      </c>
      <c r="J705" s="2" t="s">
        <v>1914</v>
      </c>
      <c r="K705" s="2" t="s">
        <v>1742</v>
      </c>
      <c r="L705" s="2" t="s">
        <v>2207</v>
      </c>
      <c r="M705" s="2" t="s">
        <v>2110</v>
      </c>
      <c r="N705" s="2" t="s">
        <v>2110</v>
      </c>
      <c r="O705" s="2" t="s">
        <v>2208</v>
      </c>
      <c r="P705" s="2" t="s">
        <v>2209</v>
      </c>
      <c r="Q705" s="2" t="s">
        <v>2210</v>
      </c>
      <c r="R705" s="2"/>
    </row>
    <row r="706" spans="1:18">
      <c r="A706" s="2" t="s">
        <v>2224</v>
      </c>
      <c r="B706" s="2" t="s">
        <v>2225</v>
      </c>
      <c r="C706" s="2" t="s">
        <v>2206</v>
      </c>
      <c r="D706" s="2">
        <v>35</v>
      </c>
      <c r="E706" s="2">
        <v>0.01</v>
      </c>
      <c r="F706" s="3">
        <f>IF(COUNT(D706,E706)=2,D706*E706,NA())</f>
        <v>0.35</v>
      </c>
      <c r="G706" s="2" t="s">
        <v>1946</v>
      </c>
      <c r="H706" s="2"/>
      <c r="I706" s="2" t="s">
        <v>1913</v>
      </c>
      <c r="J706" s="2" t="s">
        <v>1914</v>
      </c>
      <c r="K706" s="2" t="s">
        <v>1742</v>
      </c>
      <c r="L706" s="2" t="s">
        <v>2207</v>
      </c>
      <c r="M706" s="2" t="s">
        <v>2110</v>
      </c>
      <c r="N706" s="2" t="s">
        <v>2110</v>
      </c>
      <c r="O706" s="2" t="s">
        <v>2208</v>
      </c>
      <c r="P706" s="2" t="s">
        <v>2209</v>
      </c>
      <c r="Q706" s="2" t="s">
        <v>2213</v>
      </c>
      <c r="R706" s="2"/>
    </row>
    <row r="707" spans="1:18">
      <c r="A707" s="2" t="s">
        <v>2226</v>
      </c>
      <c r="B707" s="2" t="s">
        <v>2227</v>
      </c>
      <c r="C707" s="2" t="s">
        <v>2206</v>
      </c>
      <c r="D707" s="2">
        <v>5</v>
      </c>
      <c r="E707" s="2">
        <v>0.01</v>
      </c>
      <c r="F707" s="3">
        <f>IF(COUNT(D707,E707)=2,D707*E707,NA())</f>
        <v>0.05</v>
      </c>
      <c r="G707" s="2" t="s">
        <v>1946</v>
      </c>
      <c r="H707" s="2"/>
      <c r="I707" s="2" t="s">
        <v>1913</v>
      </c>
      <c r="J707" s="2" t="s">
        <v>1914</v>
      </c>
      <c r="K707" s="2" t="s">
        <v>1742</v>
      </c>
      <c r="L707" s="2" t="s">
        <v>2207</v>
      </c>
      <c r="M707" s="2" t="s">
        <v>2110</v>
      </c>
      <c r="N707" s="2" t="s">
        <v>2110</v>
      </c>
      <c r="O707" s="2" t="s">
        <v>2208</v>
      </c>
      <c r="P707" s="2" t="s">
        <v>2209</v>
      </c>
      <c r="Q707" s="2" t="s">
        <v>2210</v>
      </c>
      <c r="R707" s="2"/>
    </row>
    <row r="708" spans="1:18">
      <c r="A708" s="2" t="s">
        <v>2228</v>
      </c>
      <c r="B708" s="2" t="s">
        <v>2229</v>
      </c>
      <c r="C708" s="2" t="s">
        <v>2206</v>
      </c>
      <c r="D708" s="2">
        <v>35</v>
      </c>
      <c r="E708" s="2">
        <v>0.01</v>
      </c>
      <c r="F708" s="3">
        <f>IF(COUNT(D708,E708)=2,D708*E708,NA())</f>
        <v>0.35</v>
      </c>
      <c r="G708" s="2" t="s">
        <v>1946</v>
      </c>
      <c r="H708" s="2"/>
      <c r="I708" s="2" t="s">
        <v>1913</v>
      </c>
      <c r="J708" s="2" t="s">
        <v>1914</v>
      </c>
      <c r="K708" s="2" t="s">
        <v>1742</v>
      </c>
      <c r="L708" s="2" t="s">
        <v>2207</v>
      </c>
      <c r="M708" s="2" t="s">
        <v>2110</v>
      </c>
      <c r="N708" s="2" t="s">
        <v>2110</v>
      </c>
      <c r="O708" s="2" t="s">
        <v>2208</v>
      </c>
      <c r="P708" s="2" t="s">
        <v>2209</v>
      </c>
      <c r="Q708" s="2" t="s">
        <v>2213</v>
      </c>
      <c r="R708" s="2"/>
    </row>
    <row r="709" spans="1:18">
      <c r="A709" s="2" t="s">
        <v>2230</v>
      </c>
      <c r="B709" s="2" t="s">
        <v>2231</v>
      </c>
      <c r="C709" s="2" t="s">
        <v>2206</v>
      </c>
      <c r="D709" s="2">
        <v>8</v>
      </c>
      <c r="E709" s="2">
        <v>0.01</v>
      </c>
      <c r="F709" s="3">
        <f>IF(COUNT(D709,E709)=2,D709*E709,NA())</f>
        <v>0.08</v>
      </c>
      <c r="G709" s="2" t="s">
        <v>1946</v>
      </c>
      <c r="H709" s="2"/>
      <c r="I709" s="2" t="s">
        <v>1913</v>
      </c>
      <c r="J709" s="2" t="s">
        <v>1914</v>
      </c>
      <c r="K709" s="2" t="s">
        <v>1742</v>
      </c>
      <c r="L709" s="2" t="s">
        <v>2207</v>
      </c>
      <c r="M709" s="2" t="s">
        <v>2110</v>
      </c>
      <c r="N709" s="2" t="s">
        <v>2110</v>
      </c>
      <c r="O709" s="2" t="s">
        <v>2208</v>
      </c>
      <c r="P709" s="2" t="s">
        <v>2209</v>
      </c>
      <c r="Q709" s="2" t="s">
        <v>2210</v>
      </c>
      <c r="R709" s="2"/>
    </row>
    <row r="710" spans="1:18">
      <c r="A710" s="2" t="s">
        <v>2232</v>
      </c>
      <c r="B710" s="2" t="s">
        <v>2233</v>
      </c>
      <c r="C710" s="2" t="s">
        <v>2206</v>
      </c>
      <c r="D710" s="2">
        <v>45</v>
      </c>
      <c r="E710" s="2">
        <v>0.01</v>
      </c>
      <c r="F710" s="3">
        <f>IF(COUNT(D710,E710)=2,D710*E710,NA())</f>
        <v>0.45</v>
      </c>
      <c r="G710" s="2" t="s">
        <v>1946</v>
      </c>
      <c r="H710" s="2"/>
      <c r="I710" s="2" t="s">
        <v>1913</v>
      </c>
      <c r="J710" s="2" t="s">
        <v>1914</v>
      </c>
      <c r="K710" s="2" t="s">
        <v>1742</v>
      </c>
      <c r="L710" s="2" t="s">
        <v>2207</v>
      </c>
      <c r="M710" s="2" t="s">
        <v>2110</v>
      </c>
      <c r="N710" s="2" t="s">
        <v>2110</v>
      </c>
      <c r="O710" s="2" t="s">
        <v>2208</v>
      </c>
      <c r="P710" s="2" t="s">
        <v>2209</v>
      </c>
      <c r="Q710" s="2" t="s">
        <v>2213</v>
      </c>
      <c r="R710" s="2"/>
    </row>
    <row r="711" spans="1:18">
      <c r="A711" s="2" t="s">
        <v>2234</v>
      </c>
      <c r="B711" s="2" t="s">
        <v>2235</v>
      </c>
      <c r="C711" s="2" t="s">
        <v>2236</v>
      </c>
      <c r="D711" s="2">
        <v>2313383227.05</v>
      </c>
      <c r="E711" s="2">
        <v>1</v>
      </c>
      <c r="F711" s="3">
        <f>IF(COUNT(D711,E711)=2,D711*E711,NA())</f>
        <v>2313383227.05</v>
      </c>
      <c r="G711" s="2" t="s">
        <v>52</v>
      </c>
      <c r="H711" s="2" t="s">
        <v>53</v>
      </c>
      <c r="I711" s="2" t="s">
        <v>54</v>
      </c>
      <c r="J711" s="2" t="s">
        <v>1914</v>
      </c>
      <c r="K711" s="2"/>
      <c r="L711" s="2" t="s">
        <v>56</v>
      </c>
      <c r="M711" s="2" t="s">
        <v>57</v>
      </c>
      <c r="N711" s="2" t="s">
        <v>58</v>
      </c>
      <c r="O711" s="2" t="s">
        <v>1915</v>
      </c>
      <c r="P711" s="2" t="s">
        <v>2237</v>
      </c>
      <c r="Q711" s="2" t="s">
        <v>2238</v>
      </c>
      <c r="R711" s="2"/>
    </row>
    <row r="712" spans="1:18">
      <c r="A712" s="2" t="s">
        <v>2239</v>
      </c>
      <c r="B712" s="2" t="s">
        <v>2240</v>
      </c>
      <c r="C712" s="2" t="s">
        <v>2241</v>
      </c>
      <c r="D712" s="2">
        <v>4052073804.75</v>
      </c>
      <c r="E712" s="2">
        <v>1</v>
      </c>
      <c r="F712" s="3">
        <f>IF(COUNT(D712,E712)=2,D712*E712,NA())</f>
        <v>4052073804.75</v>
      </c>
      <c r="G712" s="2" t="s">
        <v>52</v>
      </c>
      <c r="H712" s="2" t="s">
        <v>53</v>
      </c>
      <c r="I712" s="2" t="s">
        <v>54</v>
      </c>
      <c r="J712" s="2" t="s">
        <v>1914</v>
      </c>
      <c r="K712" s="2"/>
      <c r="L712" s="2" t="s">
        <v>56</v>
      </c>
      <c r="M712" s="2" t="s">
        <v>57</v>
      </c>
      <c r="N712" s="2" t="s">
        <v>58</v>
      </c>
      <c r="O712" s="2" t="s">
        <v>1915</v>
      </c>
      <c r="P712" s="2" t="s">
        <v>2237</v>
      </c>
      <c r="Q712" s="2" t="s">
        <v>2242</v>
      </c>
      <c r="R712" s="2"/>
    </row>
    <row r="713" spans="1:18">
      <c r="A713" s="2" t="s">
        <v>2243</v>
      </c>
      <c r="B713" s="2" t="s">
        <v>2244</v>
      </c>
      <c r="C713" s="2" t="s">
        <v>2241</v>
      </c>
      <c r="D713" s="2">
        <v>3968797075.77</v>
      </c>
      <c r="E713" s="2">
        <v>1</v>
      </c>
      <c r="F713" s="3">
        <f>IF(COUNT(D713,E713)=2,D713*E713,NA())</f>
        <v>3968797075.77</v>
      </c>
      <c r="G713" s="2" t="s">
        <v>52</v>
      </c>
      <c r="H713" s="2" t="s">
        <v>53</v>
      </c>
      <c r="I713" s="2" t="s">
        <v>54</v>
      </c>
      <c r="J713" s="2" t="s">
        <v>1914</v>
      </c>
      <c r="K713" s="2"/>
      <c r="L713" s="2" t="s">
        <v>56</v>
      </c>
      <c r="M713" s="2" t="s">
        <v>57</v>
      </c>
      <c r="N713" s="2" t="s">
        <v>58</v>
      </c>
      <c r="O713" s="2" t="s">
        <v>1915</v>
      </c>
      <c r="P713" s="2" t="s">
        <v>2245</v>
      </c>
      <c r="Q713" s="2" t="s">
        <v>2246</v>
      </c>
      <c r="R713" s="2"/>
    </row>
    <row r="714" spans="1:18">
      <c r="A714" s="2" t="s">
        <v>2247</v>
      </c>
      <c r="B714" s="2" t="s">
        <v>2248</v>
      </c>
      <c r="C714" s="2" t="s">
        <v>2241</v>
      </c>
      <c r="D714" s="2">
        <v>83276728.98</v>
      </c>
      <c r="E714" s="2">
        <v>1</v>
      </c>
      <c r="F714" s="3">
        <f>IF(COUNT(D714,E714)=2,D714*E714,NA())</f>
        <v>83276728.98</v>
      </c>
      <c r="G714" s="2" t="s">
        <v>52</v>
      </c>
      <c r="H714" s="2" t="s">
        <v>53</v>
      </c>
      <c r="I714" s="2" t="s">
        <v>54</v>
      </c>
      <c r="J714" s="2" t="s">
        <v>1914</v>
      </c>
      <c r="K714" s="2"/>
      <c r="L714" s="2" t="s">
        <v>56</v>
      </c>
      <c r="M714" s="2" t="s">
        <v>57</v>
      </c>
      <c r="N714" s="2" t="s">
        <v>58</v>
      </c>
      <c r="O714" s="2" t="s">
        <v>1915</v>
      </c>
      <c r="P714" s="2" t="s">
        <v>2249</v>
      </c>
      <c r="Q714" s="2" t="s">
        <v>2250</v>
      </c>
      <c r="R714" s="2"/>
    </row>
    <row r="715" spans="1:18">
      <c r="A715" s="2" t="s">
        <v>2251</v>
      </c>
      <c r="B715" s="2" t="s">
        <v>2252</v>
      </c>
      <c r="C715" s="2" t="s">
        <v>2236</v>
      </c>
      <c r="D715" s="2">
        <v>2243045749.84</v>
      </c>
      <c r="E715" s="2">
        <v>1</v>
      </c>
      <c r="F715" s="3">
        <f>IF(COUNT(D715,E715)=2,D715*E715,NA())</f>
        <v>2243045749.84</v>
      </c>
      <c r="G715" s="2" t="s">
        <v>52</v>
      </c>
      <c r="H715" s="2" t="s">
        <v>53</v>
      </c>
      <c r="I715" s="2" t="s">
        <v>54</v>
      </c>
      <c r="J715" s="2" t="s">
        <v>1914</v>
      </c>
      <c r="K715" s="2"/>
      <c r="L715" s="2" t="s">
        <v>63</v>
      </c>
      <c r="M715" s="2" t="s">
        <v>57</v>
      </c>
      <c r="N715" s="2" t="s">
        <v>58</v>
      </c>
      <c r="O715" s="2" t="s">
        <v>1915</v>
      </c>
      <c r="P715" s="2" t="s">
        <v>2253</v>
      </c>
      <c r="Q715" s="2" t="s">
        <v>2238</v>
      </c>
      <c r="R715" s="2"/>
    </row>
    <row r="716" spans="1:18">
      <c r="A716" s="2" t="s">
        <v>2254</v>
      </c>
      <c r="B716" s="2" t="s">
        <v>2255</v>
      </c>
      <c r="C716" s="2" t="s">
        <v>2236</v>
      </c>
      <c r="D716" s="2">
        <v>15685984.48</v>
      </c>
      <c r="E716" s="2">
        <v>1</v>
      </c>
      <c r="F716" s="3">
        <f>IF(COUNT(D716,E716)=2,D716*E716,NA())</f>
        <v>15685984.48</v>
      </c>
      <c r="G716" s="2" t="s">
        <v>52</v>
      </c>
      <c r="H716" s="2" t="s">
        <v>53</v>
      </c>
      <c r="I716" s="2" t="s">
        <v>54</v>
      </c>
      <c r="J716" s="2" t="s">
        <v>1914</v>
      </c>
      <c r="K716" s="2" t="s">
        <v>392</v>
      </c>
      <c r="L716" s="2" t="s">
        <v>56</v>
      </c>
      <c r="M716" s="2" t="s">
        <v>393</v>
      </c>
      <c r="N716" s="2" t="s">
        <v>58</v>
      </c>
      <c r="O716" s="2" t="s">
        <v>1915</v>
      </c>
      <c r="P716" s="2" t="s">
        <v>2256</v>
      </c>
      <c r="Q716" s="2" t="s">
        <v>2257</v>
      </c>
      <c r="R716" s="2"/>
    </row>
    <row r="717" spans="1:18">
      <c r="A717" s="2" t="s">
        <v>2258</v>
      </c>
      <c r="B717" s="2" t="s">
        <v>2259</v>
      </c>
      <c r="C717" s="2" t="s">
        <v>2236</v>
      </c>
      <c r="D717" s="2">
        <v>65658391.23</v>
      </c>
      <c r="E717" s="2">
        <v>1</v>
      </c>
      <c r="F717" s="3">
        <f>IF(COUNT(D717,E717)=2,D717*E717,NA())</f>
        <v>65658391.23</v>
      </c>
      <c r="G717" s="2" t="s">
        <v>52</v>
      </c>
      <c r="H717" s="2" t="s">
        <v>53</v>
      </c>
      <c r="I717" s="2" t="s">
        <v>54</v>
      </c>
      <c r="J717" s="2" t="s">
        <v>1914</v>
      </c>
      <c r="K717" s="2" t="s">
        <v>392</v>
      </c>
      <c r="L717" s="2" t="s">
        <v>56</v>
      </c>
      <c r="M717" s="2" t="s">
        <v>393</v>
      </c>
      <c r="N717" s="2" t="s">
        <v>58</v>
      </c>
      <c r="O717" s="2" t="s">
        <v>1915</v>
      </c>
      <c r="P717" s="2" t="s">
        <v>2256</v>
      </c>
      <c r="Q717" s="2" t="s">
        <v>2260</v>
      </c>
      <c r="R717" s="2"/>
    </row>
    <row r="718" spans="1:18">
      <c r="A718" s="2" t="s">
        <v>2261</v>
      </c>
      <c r="B718" s="2" t="s">
        <v>2262</v>
      </c>
      <c r="C718" s="2" t="s">
        <v>2236</v>
      </c>
      <c r="D718" s="2">
        <v>10989198.5</v>
      </c>
      <c r="E718" s="2">
        <v>1</v>
      </c>
      <c r="F718" s="3">
        <f>IF(COUNT(D718,E718)=2,D718*E718,NA())</f>
        <v>10989198.5</v>
      </c>
      <c r="G718" s="2" t="s">
        <v>52</v>
      </c>
      <c r="H718" s="2" t="s">
        <v>53</v>
      </c>
      <c r="I718" s="2" t="s">
        <v>54</v>
      </c>
      <c r="J718" s="2" t="s">
        <v>1914</v>
      </c>
      <c r="K718" s="2" t="s">
        <v>392</v>
      </c>
      <c r="L718" s="2" t="s">
        <v>56</v>
      </c>
      <c r="M718" s="2" t="s">
        <v>393</v>
      </c>
      <c r="N718" s="2" t="s">
        <v>58</v>
      </c>
      <c r="O718" s="2" t="s">
        <v>1915</v>
      </c>
      <c r="P718" s="2" t="s">
        <v>2256</v>
      </c>
      <c r="Q718" s="2" t="s">
        <v>2263</v>
      </c>
      <c r="R718" s="2"/>
    </row>
    <row r="719" spans="1:18">
      <c r="A719" s="2" t="s">
        <v>2264</v>
      </c>
      <c r="B719" s="2" t="s">
        <v>2265</v>
      </c>
      <c r="C719" s="2" t="s">
        <v>2236</v>
      </c>
      <c r="D719" s="2">
        <v>17700</v>
      </c>
      <c r="E719" s="2">
        <v>1</v>
      </c>
      <c r="F719" s="3">
        <f>IF(COUNT(D719,E719)=2,D719*E719,NA())</f>
        <v>17700.0</v>
      </c>
      <c r="G719" s="2" t="s">
        <v>52</v>
      </c>
      <c r="H719" s="2" t="s">
        <v>53</v>
      </c>
      <c r="I719" s="2" t="s">
        <v>54</v>
      </c>
      <c r="J719" s="2" t="s">
        <v>1914</v>
      </c>
      <c r="K719" s="2" t="s">
        <v>392</v>
      </c>
      <c r="L719" s="2" t="s">
        <v>56</v>
      </c>
      <c r="M719" s="2" t="s">
        <v>393</v>
      </c>
      <c r="N719" s="2" t="s">
        <v>58</v>
      </c>
      <c r="O719" s="2" t="s">
        <v>1915</v>
      </c>
      <c r="P719" s="2" t="s">
        <v>2256</v>
      </c>
      <c r="Q719" s="2" t="s">
        <v>2266</v>
      </c>
      <c r="R719" s="2"/>
    </row>
    <row r="720" spans="1:18">
      <c r="A720" s="2" t="s">
        <v>2267</v>
      </c>
      <c r="B720" s="2" t="s">
        <v>2268</v>
      </c>
      <c r="C720" s="2" t="s">
        <v>2269</v>
      </c>
      <c r="D720" s="2">
        <v>50</v>
      </c>
      <c r="E720" s="2">
        <v>0.01</v>
      </c>
      <c r="F720" s="3">
        <f>IF(COUNT(D720,E720)=2,D720*E720,NA())</f>
        <v>0.5</v>
      </c>
      <c r="G720" s="2" t="s">
        <v>1946</v>
      </c>
      <c r="H720" s="2"/>
      <c r="I720" s="2" t="s">
        <v>54</v>
      </c>
      <c r="J720" s="2" t="s">
        <v>2270</v>
      </c>
      <c r="K720" s="2"/>
      <c r="L720" s="2" t="s">
        <v>2271</v>
      </c>
      <c r="M720" s="2" t="s">
        <v>57</v>
      </c>
      <c r="N720" s="2" t="s">
        <v>58</v>
      </c>
      <c r="O720" s="2" t="s">
        <v>2272</v>
      </c>
      <c r="P720" s="2" t="s">
        <v>2273</v>
      </c>
      <c r="Q720" s="2" t="s">
        <v>2274</v>
      </c>
      <c r="R720" s="2"/>
    </row>
    <row r="721" spans="1:18">
      <c r="A721" s="2" t="s">
        <v>2275</v>
      </c>
      <c r="B721" s="2" t="s">
        <v>2276</v>
      </c>
      <c r="C721" s="2" t="s">
        <v>2277</v>
      </c>
      <c r="D721" s="2">
        <v>2198000000</v>
      </c>
      <c r="E721" s="2">
        <v>1</v>
      </c>
      <c r="F721" s="3">
        <f>IF(COUNT(D721,E721)=2,D721*E721,NA())</f>
        <v>2198000000.0</v>
      </c>
      <c r="G721" s="2" t="s">
        <v>52</v>
      </c>
      <c r="H721" s="2" t="s">
        <v>53</v>
      </c>
      <c r="I721" s="2" t="s">
        <v>54</v>
      </c>
      <c r="J721" s="2" t="s">
        <v>2270</v>
      </c>
      <c r="K721" s="2"/>
      <c r="L721" s="2" t="s">
        <v>2278</v>
      </c>
      <c r="M721" s="2" t="s">
        <v>57</v>
      </c>
      <c r="N721" s="2" t="s">
        <v>58</v>
      </c>
      <c r="O721" s="2" t="s">
        <v>2272</v>
      </c>
      <c r="P721" s="2" t="s">
        <v>2279</v>
      </c>
      <c r="Q721" s="2" t="s">
        <v>2280</v>
      </c>
      <c r="R721" s="2"/>
    </row>
    <row r="722" spans="1:18">
      <c r="A722" s="2" t="s">
        <v>2281</v>
      </c>
      <c r="B722" s="2" t="s">
        <v>2282</v>
      </c>
      <c r="C722" s="2" t="s">
        <v>2283</v>
      </c>
      <c r="D722" s="2">
        <v>2197846800</v>
      </c>
      <c r="E722" s="2">
        <v>1</v>
      </c>
      <c r="F722" s="3">
        <f>IF(COUNT(D722,E722)=2,D722*E722,NA())</f>
        <v>2197846800.0</v>
      </c>
      <c r="G722" s="2" t="s">
        <v>52</v>
      </c>
      <c r="H722" s="2" t="s">
        <v>53</v>
      </c>
      <c r="I722" s="2" t="s">
        <v>54</v>
      </c>
      <c r="J722" s="2" t="s">
        <v>2270</v>
      </c>
      <c r="K722" s="2"/>
      <c r="L722" s="2" t="s">
        <v>63</v>
      </c>
      <c r="M722" s="2" t="s">
        <v>57</v>
      </c>
      <c r="N722" s="2" t="s">
        <v>58</v>
      </c>
      <c r="O722" s="2" t="s">
        <v>2272</v>
      </c>
      <c r="P722" s="2"/>
      <c r="Q722" s="2" t="s">
        <v>2280</v>
      </c>
      <c r="R722" s="2"/>
    </row>
    <row r="723" spans="1:18">
      <c r="A723" s="2" t="s">
        <v>2284</v>
      </c>
      <c r="B723" s="2" t="s">
        <v>2285</v>
      </c>
      <c r="C723" s="2" t="s">
        <v>2283</v>
      </c>
      <c r="D723" s="2">
        <v>2197829100</v>
      </c>
      <c r="E723" s="2">
        <v>1</v>
      </c>
      <c r="F723" s="3">
        <f>IF(COUNT(D723,E723)=2,D723*E723,NA())</f>
        <v>2197829100.0</v>
      </c>
      <c r="G723" s="2" t="s">
        <v>52</v>
      </c>
      <c r="H723" s="2" t="s">
        <v>53</v>
      </c>
      <c r="I723" s="2" t="s">
        <v>54</v>
      </c>
      <c r="J723" s="2" t="s">
        <v>2270</v>
      </c>
      <c r="K723" s="2"/>
      <c r="L723" s="2" t="s">
        <v>56</v>
      </c>
      <c r="M723" s="2" t="s">
        <v>57</v>
      </c>
      <c r="N723" s="2" t="s">
        <v>58</v>
      </c>
      <c r="O723" s="2" t="s">
        <v>2272</v>
      </c>
      <c r="P723" s="2"/>
      <c r="Q723" s="2" t="s">
        <v>2280</v>
      </c>
      <c r="R723" s="2"/>
    </row>
    <row r="724" spans="1:18">
      <c r="A724" s="2" t="s">
        <v>2286</v>
      </c>
      <c r="B724" s="2" t="s">
        <v>2287</v>
      </c>
      <c r="C724" s="2" t="s">
        <v>2283</v>
      </c>
      <c r="D724" s="2">
        <v>17700</v>
      </c>
      <c r="E724" s="2">
        <v>1</v>
      </c>
      <c r="F724" s="3">
        <f>IF(COUNT(D724,E724)=2,D724*E724,NA())</f>
        <v>17700.0</v>
      </c>
      <c r="G724" s="2" t="s">
        <v>52</v>
      </c>
      <c r="H724" s="2" t="s">
        <v>53</v>
      </c>
      <c r="I724" s="2" t="s">
        <v>54</v>
      </c>
      <c r="J724" s="2" t="s">
        <v>2270</v>
      </c>
      <c r="K724" s="2" t="s">
        <v>392</v>
      </c>
      <c r="L724" s="2" t="s">
        <v>56</v>
      </c>
      <c r="M724" s="2" t="s">
        <v>393</v>
      </c>
      <c r="N724" s="2" t="s">
        <v>58</v>
      </c>
      <c r="O724" s="2" t="s">
        <v>2272</v>
      </c>
      <c r="P724" s="2"/>
      <c r="Q724" s="2" t="s">
        <v>2288</v>
      </c>
      <c r="R724" s="2"/>
    </row>
    <row r="725" spans="1:18">
      <c r="A725" s="2" t="s">
        <v>2289</v>
      </c>
      <c r="B725" s="2" t="s">
        <v>2290</v>
      </c>
      <c r="C725" s="2" t="s">
        <v>2291</v>
      </c>
      <c r="D725" s="2">
        <v>2197820500</v>
      </c>
      <c r="E725" s="2">
        <v>1</v>
      </c>
      <c r="F725" s="3">
        <f>IF(COUNT(D725,E725)=2,D725*E725,NA())</f>
        <v>2197820500.0</v>
      </c>
      <c r="G725" s="2" t="s">
        <v>52</v>
      </c>
      <c r="H725" s="2" t="s">
        <v>53</v>
      </c>
      <c r="I725" s="2" t="s">
        <v>54</v>
      </c>
      <c r="J725" s="2" t="s">
        <v>2270</v>
      </c>
      <c r="K725" s="2"/>
      <c r="L725" s="2" t="s">
        <v>1713</v>
      </c>
      <c r="M725" s="2" t="s">
        <v>57</v>
      </c>
      <c r="N725" s="2" t="s">
        <v>58</v>
      </c>
      <c r="O725" s="2" t="s">
        <v>2272</v>
      </c>
      <c r="P725" s="2" t="s">
        <v>2292</v>
      </c>
      <c r="Q725" s="2" t="s">
        <v>2280</v>
      </c>
      <c r="R725" s="2"/>
    </row>
    <row r="726" spans="1:18">
      <c r="A726" s="2" t="s">
        <v>2293</v>
      </c>
      <c r="B726" s="2" t="s">
        <v>2294</v>
      </c>
      <c r="C726" s="2" t="s">
        <v>2291</v>
      </c>
      <c r="D726" s="2">
        <v>8600</v>
      </c>
      <c r="E726" s="2">
        <v>1</v>
      </c>
      <c r="F726" s="3">
        <f>IF(COUNT(D726,E726)=2,D726*E726,NA())</f>
        <v>8600.0</v>
      </c>
      <c r="G726" s="2" t="s">
        <v>52</v>
      </c>
      <c r="H726" s="2" t="s">
        <v>53</v>
      </c>
      <c r="I726" s="2" t="s">
        <v>54</v>
      </c>
      <c r="J726" s="2" t="s">
        <v>2270</v>
      </c>
      <c r="K726" s="2" t="s">
        <v>1742</v>
      </c>
      <c r="L726" s="2" t="s">
        <v>1713</v>
      </c>
      <c r="M726" s="2" t="s">
        <v>393</v>
      </c>
      <c r="N726" s="2" t="s">
        <v>58</v>
      </c>
      <c r="O726" s="2" t="s">
        <v>2272</v>
      </c>
      <c r="P726" s="2"/>
      <c r="Q726" s="2" t="s">
        <v>2288</v>
      </c>
      <c r="R726" s="2"/>
    </row>
    <row r="727" spans="1:18">
      <c r="A727" s="2" t="s">
        <v>2295</v>
      </c>
      <c r="B727" s="2" t="s">
        <v>2296</v>
      </c>
      <c r="C727" s="2" t="s">
        <v>2291</v>
      </c>
      <c r="D727" s="2"/>
      <c r="E727" s="2">
        <v>1</v>
      </c>
      <c r="F727" s="3" t="e">
        <f>IF(COUNT(D727,E727)=2,D727*E727,NA())</f>
        <v>#N/A</v>
      </c>
      <c r="G727" s="2" t="s">
        <v>52</v>
      </c>
      <c r="H727" s="2" t="s">
        <v>53</v>
      </c>
      <c r="I727" s="2" t="s">
        <v>54</v>
      </c>
      <c r="J727" s="2" t="s">
        <v>2270</v>
      </c>
      <c r="K727" s="2"/>
      <c r="L727" s="2" t="s">
        <v>7</v>
      </c>
      <c r="M727" s="2" t="s">
        <v>57</v>
      </c>
      <c r="N727" s="2" t="s">
        <v>1693</v>
      </c>
      <c r="O727" s="2" t="s">
        <v>2272</v>
      </c>
      <c r="P727" s="2" t="s">
        <v>2297</v>
      </c>
      <c r="Q727" s="2" t="s">
        <v>2280</v>
      </c>
      <c r="R727" s="2"/>
    </row>
    <row r="728" spans="1:18">
      <c r="A728" s="2" t="s">
        <v>2298</v>
      </c>
      <c r="B728" s="2" t="s">
        <v>2299</v>
      </c>
      <c r="C728" s="2" t="s">
        <v>2300</v>
      </c>
      <c r="D728" s="2">
        <v>0.3</v>
      </c>
      <c r="E728" s="2">
        <v>0.01</v>
      </c>
      <c r="F728" s="3">
        <f>IF(COUNT(D728,E728)=2,D728*E728,NA())</f>
        <v>0.003</v>
      </c>
      <c r="G728" s="2" t="s">
        <v>1946</v>
      </c>
      <c r="H728" s="2"/>
      <c r="I728" s="2" t="s">
        <v>54</v>
      </c>
      <c r="J728" s="2" t="s">
        <v>2270</v>
      </c>
      <c r="K728" s="2" t="s">
        <v>2278</v>
      </c>
      <c r="L728" s="2" t="s">
        <v>2301</v>
      </c>
      <c r="M728" s="2" t="s">
        <v>1946</v>
      </c>
      <c r="N728" s="2" t="s">
        <v>58</v>
      </c>
      <c r="O728" s="2" t="s">
        <v>2272</v>
      </c>
      <c r="P728" s="2" t="s">
        <v>2302</v>
      </c>
      <c r="Q728" s="2" t="s">
        <v>2303</v>
      </c>
      <c r="R728" s="2"/>
    </row>
    <row r="729" spans="1:18">
      <c r="A729" s="2" t="s">
        <v>2304</v>
      </c>
      <c r="B729" s="2" t="s">
        <v>2305</v>
      </c>
      <c r="C729" s="2" t="s">
        <v>2300</v>
      </c>
      <c r="D729" s="2">
        <v>0.5</v>
      </c>
      <c r="E729" s="2">
        <v>0.01</v>
      </c>
      <c r="F729" s="3">
        <f>IF(COUNT(D729,E729)=2,D729*E729,NA())</f>
        <v>0.005</v>
      </c>
      <c r="G729" s="2" t="s">
        <v>1946</v>
      </c>
      <c r="H729" s="2"/>
      <c r="I729" s="2" t="s">
        <v>54</v>
      </c>
      <c r="J729" s="2" t="s">
        <v>2270</v>
      </c>
      <c r="K729" s="2" t="s">
        <v>2306</v>
      </c>
      <c r="L729" s="2" t="s">
        <v>2307</v>
      </c>
      <c r="M729" s="2" t="s">
        <v>1946</v>
      </c>
      <c r="N729" s="2" t="s">
        <v>58</v>
      </c>
      <c r="O729" s="2" t="s">
        <v>2272</v>
      </c>
      <c r="P729" s="2" t="s">
        <v>2302</v>
      </c>
      <c r="Q729" s="2" t="s">
        <v>2303</v>
      </c>
      <c r="R729" s="2"/>
    </row>
    <row r="730" spans="1:18">
      <c r="A730" s="2" t="s">
        <v>2308</v>
      </c>
      <c r="B730" s="2" t="s">
        <v>2309</v>
      </c>
      <c r="C730" s="2" t="s">
        <v>2300</v>
      </c>
      <c r="D730" s="2">
        <v>1</v>
      </c>
      <c r="E730" s="2">
        <v>0.01</v>
      </c>
      <c r="F730" s="3">
        <f>IF(COUNT(D730,E730)=2,D730*E730,NA())</f>
        <v>0.01</v>
      </c>
      <c r="G730" s="2" t="s">
        <v>1946</v>
      </c>
      <c r="H730" s="2"/>
      <c r="I730" s="2" t="s">
        <v>54</v>
      </c>
      <c r="J730" s="2" t="s">
        <v>2270</v>
      </c>
      <c r="K730" s="2" t="s">
        <v>2310</v>
      </c>
      <c r="L730" s="2" t="s">
        <v>2311</v>
      </c>
      <c r="M730" s="2" t="s">
        <v>1946</v>
      </c>
      <c r="N730" s="2" t="s">
        <v>58</v>
      </c>
      <c r="O730" s="2" t="s">
        <v>2272</v>
      </c>
      <c r="P730" s="2" t="s">
        <v>2302</v>
      </c>
      <c r="Q730" s="2" t="s">
        <v>2303</v>
      </c>
      <c r="R730" s="2"/>
    </row>
    <row r="731" spans="1:18">
      <c r="A731" s="2" t="s">
        <v>2312</v>
      </c>
      <c r="B731" s="2" t="s">
        <v>2313</v>
      </c>
      <c r="C731" s="2" t="s">
        <v>2300</v>
      </c>
      <c r="D731" s="2">
        <v>1.5</v>
      </c>
      <c r="E731" s="2">
        <v>0.01</v>
      </c>
      <c r="F731" s="3">
        <f>IF(COUNT(D731,E731)=2,D731*E731,NA())</f>
        <v>0.015</v>
      </c>
      <c r="G731" s="2" t="s">
        <v>1946</v>
      </c>
      <c r="H731" s="2"/>
      <c r="I731" s="2" t="s">
        <v>54</v>
      </c>
      <c r="J731" s="2" t="s">
        <v>2270</v>
      </c>
      <c r="K731" s="2" t="s">
        <v>2314</v>
      </c>
      <c r="L731" s="2" t="s">
        <v>2315</v>
      </c>
      <c r="M731" s="2" t="s">
        <v>1946</v>
      </c>
      <c r="N731" s="2" t="s">
        <v>58</v>
      </c>
      <c r="O731" s="2" t="s">
        <v>2272</v>
      </c>
      <c r="P731" s="2" t="s">
        <v>2302</v>
      </c>
      <c r="Q731" s="2" t="s">
        <v>2303</v>
      </c>
      <c r="R731" s="2"/>
    </row>
    <row r="732" spans="1:18">
      <c r="A732" s="2" t="s">
        <v>2316</v>
      </c>
      <c r="B732" s="2" t="s">
        <v>2317</v>
      </c>
      <c r="C732" s="2" t="s">
        <v>2300</v>
      </c>
      <c r="D732" s="2">
        <v>1.8</v>
      </c>
      <c r="E732" s="2">
        <v>0.01</v>
      </c>
      <c r="F732" s="3">
        <f>IF(COUNT(D732,E732)=2,D732*E732,NA())</f>
        <v>0.018</v>
      </c>
      <c r="G732" s="2" t="s">
        <v>1946</v>
      </c>
      <c r="H732" s="2"/>
      <c r="I732" s="2" t="s">
        <v>54</v>
      </c>
      <c r="J732" s="2" t="s">
        <v>2270</v>
      </c>
      <c r="K732" s="2" t="s">
        <v>2318</v>
      </c>
      <c r="L732" s="2" t="s">
        <v>2319</v>
      </c>
      <c r="M732" s="2" t="s">
        <v>1946</v>
      </c>
      <c r="N732" s="2" t="s">
        <v>58</v>
      </c>
      <c r="O732" s="2" t="s">
        <v>2272</v>
      </c>
      <c r="P732" s="2" t="s">
        <v>2302</v>
      </c>
      <c r="Q732" s="2" t="s">
        <v>2303</v>
      </c>
      <c r="R732" s="2"/>
    </row>
    <row r="733" spans="1:18">
      <c r="A733" s="2" t="s">
        <v>2320</v>
      </c>
      <c r="B733" s="2" t="s">
        <v>2321</v>
      </c>
      <c r="C733" s="2" t="s">
        <v>2300</v>
      </c>
      <c r="D733" s="2">
        <v>2</v>
      </c>
      <c r="E733" s="2">
        <v>0.01</v>
      </c>
      <c r="F733" s="3">
        <f>IF(COUNT(D733,E733)=2,D733*E733,NA())</f>
        <v>0.02</v>
      </c>
      <c r="G733" s="2" t="s">
        <v>1946</v>
      </c>
      <c r="H733" s="2"/>
      <c r="I733" s="2" t="s">
        <v>54</v>
      </c>
      <c r="J733" s="2" t="s">
        <v>2270</v>
      </c>
      <c r="K733" s="2" t="s">
        <v>2322</v>
      </c>
      <c r="L733" s="2" t="s">
        <v>2323</v>
      </c>
      <c r="M733" s="2" t="s">
        <v>1946</v>
      </c>
      <c r="N733" s="2" t="s">
        <v>58</v>
      </c>
      <c r="O733" s="2" t="s">
        <v>2272</v>
      </c>
      <c r="P733" s="2" t="s">
        <v>2302</v>
      </c>
      <c r="Q733" s="2" t="s">
        <v>2303</v>
      </c>
      <c r="R733" s="2"/>
    </row>
    <row r="734" spans="1:18">
      <c r="A734" s="2" t="s">
        <v>2324</v>
      </c>
      <c r="B734" s="2" t="s">
        <v>2325</v>
      </c>
      <c r="C734" s="2" t="s">
        <v>2326</v>
      </c>
      <c r="D734" s="2">
        <v>115</v>
      </c>
      <c r="E734" s="2">
        <v>0.01</v>
      </c>
      <c r="F734" s="3">
        <f>IF(COUNT(D734,E734)=2,D734*E734,NA())</f>
        <v>1.15</v>
      </c>
      <c r="G734" s="2" t="s">
        <v>1946</v>
      </c>
      <c r="H734" s="2"/>
      <c r="I734" s="2" t="s">
        <v>54</v>
      </c>
      <c r="J734" s="2" t="s">
        <v>2270</v>
      </c>
      <c r="K734" s="2"/>
      <c r="L734" s="2" t="s">
        <v>2278</v>
      </c>
      <c r="M734" s="2" t="s">
        <v>57</v>
      </c>
      <c r="N734" s="2" t="s">
        <v>58</v>
      </c>
      <c r="O734" s="2" t="s">
        <v>2272</v>
      </c>
      <c r="P734" s="2" t="s">
        <v>2327</v>
      </c>
      <c r="Q734" s="2" t="s">
        <v>2328</v>
      </c>
      <c r="R734" s="2"/>
    </row>
    <row r="735" spans="1:18">
      <c r="A735" s="2" t="s">
        <v>2329</v>
      </c>
      <c r="B735" s="2" t="s">
        <v>2330</v>
      </c>
      <c r="C735" s="2" t="s">
        <v>2331</v>
      </c>
      <c r="D735" s="2">
        <v>70</v>
      </c>
      <c r="E735" s="2">
        <v>0.01</v>
      </c>
      <c r="F735" s="3">
        <f>IF(COUNT(D735,E735)=2,D735*E735,NA())</f>
        <v>0.7</v>
      </c>
      <c r="G735" s="2" t="s">
        <v>1946</v>
      </c>
      <c r="H735" s="2"/>
      <c r="I735" s="2" t="s">
        <v>54</v>
      </c>
      <c r="J735" s="2" t="s">
        <v>2270</v>
      </c>
      <c r="K735" s="2"/>
      <c r="L735" s="2" t="s">
        <v>2278</v>
      </c>
      <c r="M735" s="2" t="s">
        <v>57</v>
      </c>
      <c r="N735" s="2" t="s">
        <v>58</v>
      </c>
      <c r="O735" s="2" t="s">
        <v>2272</v>
      </c>
      <c r="P735" s="2" t="s">
        <v>2332</v>
      </c>
      <c r="Q735" s="2" t="s">
        <v>2333</v>
      </c>
      <c r="R735" s="2"/>
    </row>
    <row r="736" spans="1:18">
      <c r="A736" s="2" t="s">
        <v>2334</v>
      </c>
      <c r="B736" s="2" t="s">
        <v>2335</v>
      </c>
      <c r="C736" s="2" t="s">
        <v>2336</v>
      </c>
      <c r="D736" s="2">
        <v>85</v>
      </c>
      <c r="E736" s="2">
        <v>0.01</v>
      </c>
      <c r="F736" s="3">
        <f>IF(COUNT(D736,E736)=2,D736*E736,NA())</f>
        <v>0.85</v>
      </c>
      <c r="G736" s="2" t="s">
        <v>1946</v>
      </c>
      <c r="H736" s="2"/>
      <c r="I736" s="2" t="s">
        <v>54</v>
      </c>
      <c r="J736" s="2" t="s">
        <v>2270</v>
      </c>
      <c r="K736" s="2"/>
      <c r="L736" s="2" t="s">
        <v>2278</v>
      </c>
      <c r="M736" s="2" t="s">
        <v>57</v>
      </c>
      <c r="N736" s="2" t="s">
        <v>58</v>
      </c>
      <c r="O736" s="2" t="s">
        <v>2272</v>
      </c>
      <c r="P736" s="2" t="s">
        <v>2332</v>
      </c>
      <c r="Q736" s="2" t="s">
        <v>2333</v>
      </c>
      <c r="R736" s="2"/>
    </row>
    <row r="737" spans="1:18">
      <c r="A737" s="2" t="s">
        <v>2337</v>
      </c>
      <c r="B737" s="2" t="s">
        <v>2338</v>
      </c>
      <c r="C737" s="2" t="s">
        <v>2326</v>
      </c>
      <c r="D737" s="2">
        <v>130</v>
      </c>
      <c r="E737" s="2">
        <v>0.01</v>
      </c>
      <c r="F737" s="3">
        <f>IF(COUNT(D737,E737)=2,D737*E737,NA())</f>
        <v>1.3</v>
      </c>
      <c r="G737" s="2" t="s">
        <v>1946</v>
      </c>
      <c r="H737" s="2"/>
      <c r="I737" s="2" t="s">
        <v>54</v>
      </c>
      <c r="J737" s="2" t="s">
        <v>2270</v>
      </c>
      <c r="K737" s="2"/>
      <c r="L737" s="2" t="s">
        <v>2278</v>
      </c>
      <c r="M737" s="2" t="s">
        <v>57</v>
      </c>
      <c r="N737" s="2" t="s">
        <v>58</v>
      </c>
      <c r="O737" s="2" t="s">
        <v>2272</v>
      </c>
      <c r="P737" s="2" t="s">
        <v>2332</v>
      </c>
      <c r="Q737" s="2" t="s">
        <v>2333</v>
      </c>
      <c r="R737" s="2"/>
    </row>
    <row r="738" spans="1:18">
      <c r="A738" s="2" t="s">
        <v>2339</v>
      </c>
      <c r="B738" s="2" t="s">
        <v>2340</v>
      </c>
      <c r="C738" s="2" t="s">
        <v>2326</v>
      </c>
      <c r="D738" s="2">
        <v>3000</v>
      </c>
      <c r="E738" s="2">
        <v>10000</v>
      </c>
      <c r="F738" s="3">
        <f>IF(COUNT(D738,E738)=2,D738*E738,NA())</f>
        <v>30000000.0</v>
      </c>
      <c r="G738" s="2" t="s">
        <v>52</v>
      </c>
      <c r="H738" s="2" t="s">
        <v>53</v>
      </c>
      <c r="I738" s="2" t="s">
        <v>54</v>
      </c>
      <c r="J738" s="2" t="s">
        <v>2270</v>
      </c>
      <c r="K738" s="2"/>
      <c r="L738" s="2" t="s">
        <v>2278</v>
      </c>
      <c r="M738" s="2" t="s">
        <v>57</v>
      </c>
      <c r="N738" s="2" t="s">
        <v>58</v>
      </c>
      <c r="O738" s="2" t="s">
        <v>2272</v>
      </c>
      <c r="P738" s="2" t="s">
        <v>2341</v>
      </c>
      <c r="Q738" s="2" t="s">
        <v>2342</v>
      </c>
      <c r="R738" s="2"/>
    </row>
    <row r="739" spans="1:18">
      <c r="A739" s="2" t="s">
        <v>2343</v>
      </c>
      <c r="B739" s="2" t="s">
        <v>2344</v>
      </c>
      <c r="C739" s="2" t="s">
        <v>2345</v>
      </c>
      <c r="D739" s="2">
        <v>6.72</v>
      </c>
      <c r="E739" s="2">
        <v>1</v>
      </c>
      <c r="F739" s="3">
        <f>IF(COUNT(D739,E739)=2,D739*E739,NA())</f>
        <v>6.72</v>
      </c>
      <c r="G739" s="2" t="s">
        <v>52</v>
      </c>
      <c r="H739" s="2" t="s">
        <v>53</v>
      </c>
      <c r="I739" s="2" t="s">
        <v>54</v>
      </c>
      <c r="J739" s="2" t="s">
        <v>2346</v>
      </c>
      <c r="K739" s="2"/>
      <c r="L739" s="2" t="s">
        <v>2347</v>
      </c>
      <c r="M739" s="2" t="s">
        <v>57</v>
      </c>
      <c r="N739" s="2" t="s">
        <v>58</v>
      </c>
      <c r="O739" s="2" t="s">
        <v>2348</v>
      </c>
      <c r="P739" s="2" t="s">
        <v>2349</v>
      </c>
      <c r="Q739" s="2" t="s">
        <v>2350</v>
      </c>
      <c r="R739" s="2" t="s">
        <v>2351</v>
      </c>
    </row>
    <row r="740" spans="1:18">
      <c r="A740" s="2" t="s">
        <v>2352</v>
      </c>
      <c r="B740" s="2" t="s">
        <v>2353</v>
      </c>
      <c r="C740" s="2" t="s">
        <v>2354</v>
      </c>
      <c r="D740" s="2">
        <v>6.67</v>
      </c>
      <c r="E740" s="2">
        <v>1</v>
      </c>
      <c r="F740" s="3">
        <f>IF(COUNT(D740,E740)=2,D740*E740,NA())</f>
        <v>6.67</v>
      </c>
      <c r="G740" s="2" t="s">
        <v>52</v>
      </c>
      <c r="H740" s="2" t="s">
        <v>53</v>
      </c>
      <c r="I740" s="2" t="s">
        <v>54</v>
      </c>
      <c r="J740" s="2" t="s">
        <v>2346</v>
      </c>
      <c r="K740" s="2"/>
      <c r="L740" s="2" t="s">
        <v>2355</v>
      </c>
      <c r="M740" s="2" t="s">
        <v>57</v>
      </c>
      <c r="N740" s="2" t="s">
        <v>58</v>
      </c>
      <c r="O740" s="2" t="s">
        <v>2348</v>
      </c>
      <c r="P740" s="2" t="s">
        <v>2349</v>
      </c>
      <c r="Q740" s="2" t="s">
        <v>2350</v>
      </c>
      <c r="R740" s="2" t="s">
        <v>2351</v>
      </c>
    </row>
    <row r="741" spans="1:18">
      <c r="A741" s="2" t="s">
        <v>2356</v>
      </c>
      <c r="B741" s="2" t="s">
        <v>2357</v>
      </c>
      <c r="C741" s="2" t="s">
        <v>2358</v>
      </c>
      <c r="D741" s="2">
        <v>6.61</v>
      </c>
      <c r="E741" s="2">
        <v>1</v>
      </c>
      <c r="F741" s="3">
        <f>IF(COUNT(D741,E741)=2,D741*E741,NA())</f>
        <v>6.61</v>
      </c>
      <c r="G741" s="2" t="s">
        <v>52</v>
      </c>
      <c r="H741" s="2" t="s">
        <v>53</v>
      </c>
      <c r="I741" s="2" t="s">
        <v>54</v>
      </c>
      <c r="J741" s="2" t="s">
        <v>2346</v>
      </c>
      <c r="K741" s="2"/>
      <c r="L741" s="2" t="s">
        <v>2359</v>
      </c>
      <c r="M741" s="2" t="s">
        <v>57</v>
      </c>
      <c r="N741" s="2" t="s">
        <v>58</v>
      </c>
      <c r="O741" s="2" t="s">
        <v>2348</v>
      </c>
      <c r="P741" s="2" t="s">
        <v>2360</v>
      </c>
      <c r="Q741" s="2" t="s">
        <v>2350</v>
      </c>
      <c r="R741" s="2" t="s">
        <v>2351</v>
      </c>
    </row>
    <row r="742" spans="1:18">
      <c r="A742" s="2" t="s">
        <v>2361</v>
      </c>
      <c r="B742" s="2" t="s">
        <v>2362</v>
      </c>
      <c r="C742" s="2" t="s">
        <v>2363</v>
      </c>
      <c r="D742" s="2">
        <v>0.06</v>
      </c>
      <c r="E742" s="2">
        <v>1</v>
      </c>
      <c r="F742" s="3">
        <f>IF(COUNT(D742,E742)=2,D742*E742,NA())</f>
        <v>0.06</v>
      </c>
      <c r="G742" s="2" t="s">
        <v>52</v>
      </c>
      <c r="H742" s="2" t="s">
        <v>53</v>
      </c>
      <c r="I742" s="2" t="s">
        <v>54</v>
      </c>
      <c r="J742" s="2" t="s">
        <v>2346</v>
      </c>
      <c r="K742" s="2"/>
      <c r="L742" s="2" t="s">
        <v>2359</v>
      </c>
      <c r="M742" s="2" t="s">
        <v>57</v>
      </c>
      <c r="N742" s="2" t="s">
        <v>58</v>
      </c>
      <c r="O742" s="2" t="s">
        <v>2348</v>
      </c>
      <c r="P742" s="2" t="s">
        <v>2364</v>
      </c>
      <c r="Q742" s="2" t="s">
        <v>2365</v>
      </c>
      <c r="R742" s="2" t="s">
        <v>2351</v>
      </c>
    </row>
    <row r="743" spans="1:18">
      <c r="A743" s="2" t="s">
        <v>2366</v>
      </c>
      <c r="B743" s="2" t="s">
        <v>2367</v>
      </c>
      <c r="C743" s="2" t="s">
        <v>2368</v>
      </c>
      <c r="D743" s="2">
        <v>218131.36</v>
      </c>
      <c r="E743" s="2">
        <v>10000</v>
      </c>
      <c r="F743" s="3">
        <f>IF(COUNT(D743,E743)=2,D743*E743,NA())</f>
        <v>2181313600.0</v>
      </c>
      <c r="G743" s="2" t="s">
        <v>52</v>
      </c>
      <c r="H743" s="2" t="s">
        <v>53</v>
      </c>
      <c r="I743" s="2" t="s">
        <v>54</v>
      </c>
      <c r="J743" s="2" t="s">
        <v>2369</v>
      </c>
      <c r="K743" s="2"/>
      <c r="L743" s="2" t="s">
        <v>56</v>
      </c>
      <c r="M743" s="2" t="s">
        <v>57</v>
      </c>
      <c r="N743" s="2" t="s">
        <v>58</v>
      </c>
      <c r="O743" s="2" t="s">
        <v>2370</v>
      </c>
      <c r="P743" s="2" t="s">
        <v>2371</v>
      </c>
      <c r="Q743" s="2" t="s">
        <v>2372</v>
      </c>
      <c r="R743" s="2"/>
    </row>
    <row r="744" spans="1:18">
      <c r="A744" s="2" t="s">
        <v>2373</v>
      </c>
      <c r="B744" s="2" t="s">
        <v>2374</v>
      </c>
      <c r="C744" s="2" t="s">
        <v>2368</v>
      </c>
      <c r="D744" s="2">
        <v>84685.85000000001</v>
      </c>
      <c r="E744" s="2">
        <v>10000</v>
      </c>
      <c r="F744" s="3">
        <f>IF(COUNT(D744,E744)=2,D744*E744,NA())</f>
        <v>846858500.0</v>
      </c>
      <c r="G744" s="2" t="s">
        <v>52</v>
      </c>
      <c r="H744" s="2" t="s">
        <v>53</v>
      </c>
      <c r="I744" s="2" t="s">
        <v>54</v>
      </c>
      <c r="J744" s="2" t="s">
        <v>2369</v>
      </c>
      <c r="K744" s="2"/>
      <c r="L744" s="2" t="s">
        <v>56</v>
      </c>
      <c r="M744" s="2" t="s">
        <v>57</v>
      </c>
      <c r="N744" s="2" t="s">
        <v>58</v>
      </c>
      <c r="O744" s="2" t="s">
        <v>2370</v>
      </c>
      <c r="P744" s="2" t="s">
        <v>2375</v>
      </c>
      <c r="Q744" s="2" t="s">
        <v>2376</v>
      </c>
      <c r="R744" s="2"/>
    </row>
    <row r="745" spans="1:18">
      <c r="A745" s="2" t="s">
        <v>2377</v>
      </c>
      <c r="B745" s="2" t="s">
        <v>2378</v>
      </c>
      <c r="C745" s="2" t="s">
        <v>2368</v>
      </c>
      <c r="D745" s="2">
        <v>2685</v>
      </c>
      <c r="E745" s="2">
        <v>10000</v>
      </c>
      <c r="F745" s="3">
        <f>IF(COUNT(D745,E745)=2,D745*E745,NA())</f>
        <v>26850000.0</v>
      </c>
      <c r="G745" s="2" t="s">
        <v>52</v>
      </c>
      <c r="H745" s="2" t="s">
        <v>53</v>
      </c>
      <c r="I745" s="2" t="s">
        <v>54</v>
      </c>
      <c r="J745" s="2" t="s">
        <v>2369</v>
      </c>
      <c r="K745" s="2"/>
      <c r="L745" s="2" t="s">
        <v>56</v>
      </c>
      <c r="M745" s="2" t="s">
        <v>57</v>
      </c>
      <c r="N745" s="2" t="s">
        <v>58</v>
      </c>
      <c r="O745" s="2" t="s">
        <v>2370</v>
      </c>
      <c r="P745" s="2" t="s">
        <v>2375</v>
      </c>
      <c r="Q745" s="2" t="s">
        <v>2379</v>
      </c>
      <c r="R745" s="2"/>
    </row>
    <row r="746" spans="1:18">
      <c r="A746" s="2" t="s">
        <v>2380</v>
      </c>
      <c r="B746" s="2" t="s">
        <v>2381</v>
      </c>
      <c r="C746" s="2" t="s">
        <v>2368</v>
      </c>
      <c r="D746" s="2">
        <v>136130.51</v>
      </c>
      <c r="E746" s="2">
        <v>10000</v>
      </c>
      <c r="F746" s="3">
        <f>IF(COUNT(D746,E746)=2,D746*E746,NA())</f>
        <v>1361305100.0</v>
      </c>
      <c r="G746" s="2" t="s">
        <v>52</v>
      </c>
      <c r="H746" s="2" t="s">
        <v>53</v>
      </c>
      <c r="I746" s="2" t="s">
        <v>54</v>
      </c>
      <c r="J746" s="2" t="s">
        <v>2369</v>
      </c>
      <c r="K746" s="2"/>
      <c r="L746" s="2" t="s">
        <v>56</v>
      </c>
      <c r="M746" s="2" t="s">
        <v>57</v>
      </c>
      <c r="N746" s="2" t="s">
        <v>58</v>
      </c>
      <c r="O746" s="2" t="s">
        <v>2370</v>
      </c>
      <c r="P746" s="2" t="s">
        <v>2375</v>
      </c>
      <c r="Q746" s="2" t="s">
        <v>2382</v>
      </c>
      <c r="R746" s="2"/>
    </row>
    <row r="747" spans="1:18">
      <c r="A747" s="2" t="s">
        <v>2383</v>
      </c>
      <c r="B747" s="2" t="s">
        <v>2384</v>
      </c>
      <c r="C747" s="2" t="s">
        <v>2368</v>
      </c>
      <c r="D747" s="2">
        <v>127487.39</v>
      </c>
      <c r="E747" s="2">
        <v>10000</v>
      </c>
      <c r="F747" s="3">
        <f>IF(COUNT(D747,E747)=2,D747*E747,NA())</f>
        <v>1274873900.0</v>
      </c>
      <c r="G747" s="2" t="s">
        <v>52</v>
      </c>
      <c r="H747" s="2" t="s">
        <v>53</v>
      </c>
      <c r="I747" s="2" t="s">
        <v>54</v>
      </c>
      <c r="J747" s="2" t="s">
        <v>2369</v>
      </c>
      <c r="K747" s="2"/>
      <c r="L747" s="2" t="s">
        <v>56</v>
      </c>
      <c r="M747" s="2" t="s">
        <v>57</v>
      </c>
      <c r="N747" s="2" t="s">
        <v>58</v>
      </c>
      <c r="O747" s="2" t="s">
        <v>2370</v>
      </c>
      <c r="P747" s="2" t="s">
        <v>2375</v>
      </c>
      <c r="Q747" s="2" t="s">
        <v>2385</v>
      </c>
      <c r="R747" s="2"/>
    </row>
    <row r="748" spans="1:18">
      <c r="A748" s="2" t="s">
        <v>2386</v>
      </c>
      <c r="B748" s="2" t="s">
        <v>2387</v>
      </c>
      <c r="C748" s="2" t="s">
        <v>2368</v>
      </c>
      <c r="D748" s="2">
        <v>8643.120000000001</v>
      </c>
      <c r="E748" s="2">
        <v>10000</v>
      </c>
      <c r="F748" s="3">
        <f>IF(COUNT(D748,E748)=2,D748*E748,NA())</f>
        <v>86431200.0</v>
      </c>
      <c r="G748" s="2" t="s">
        <v>52</v>
      </c>
      <c r="H748" s="2" t="s">
        <v>53</v>
      </c>
      <c r="I748" s="2" t="s">
        <v>54</v>
      </c>
      <c r="J748" s="2" t="s">
        <v>2369</v>
      </c>
      <c r="K748" s="2"/>
      <c r="L748" s="2" t="s">
        <v>56</v>
      </c>
      <c r="M748" s="2" t="s">
        <v>57</v>
      </c>
      <c r="N748" s="2" t="s">
        <v>58</v>
      </c>
      <c r="O748" s="2" t="s">
        <v>2370</v>
      </c>
      <c r="P748" s="2" t="s">
        <v>2375</v>
      </c>
      <c r="Q748" s="2" t="s">
        <v>2388</v>
      </c>
      <c r="R748" s="2"/>
    </row>
    <row r="749" spans="1:18">
      <c r="A749" s="2" t="s">
        <v>2389</v>
      </c>
      <c r="B749" s="2" t="s">
        <v>2390</v>
      </c>
      <c r="C749" s="2" t="s">
        <v>2391</v>
      </c>
      <c r="D749" s="2">
        <v>130000</v>
      </c>
      <c r="E749" s="2">
        <v>10000</v>
      </c>
      <c r="F749" s="3">
        <f>IF(COUNT(D749,E749)=2,D749*E749,NA())</f>
        <v>1300000000.0</v>
      </c>
      <c r="G749" s="2" t="s">
        <v>52</v>
      </c>
      <c r="H749" s="2" t="s">
        <v>53</v>
      </c>
      <c r="I749" s="2" t="s">
        <v>54</v>
      </c>
      <c r="J749" s="2" t="s">
        <v>2369</v>
      </c>
      <c r="K749" s="2" t="s">
        <v>2392</v>
      </c>
      <c r="L749" s="2" t="s">
        <v>1866</v>
      </c>
      <c r="M749" s="2" t="s">
        <v>393</v>
      </c>
      <c r="N749" s="2" t="s">
        <v>58</v>
      </c>
      <c r="O749" s="2" t="s">
        <v>2370</v>
      </c>
      <c r="P749" s="2" t="s">
        <v>2393</v>
      </c>
      <c r="Q749" s="2" t="s">
        <v>2394</v>
      </c>
      <c r="R749" s="2"/>
    </row>
    <row r="750" spans="1:18">
      <c r="A750" s="2" t="s">
        <v>2395</v>
      </c>
      <c r="B750" s="2" t="s">
        <v>2396</v>
      </c>
      <c r="C750" s="2" t="s">
        <v>2397</v>
      </c>
      <c r="D750" s="2">
        <v>130000</v>
      </c>
      <c r="E750" s="2">
        <v>10000</v>
      </c>
      <c r="F750" s="3">
        <f>IF(COUNT(D750,E750)=2,D750*E750,NA())</f>
        <v>1300000000.0</v>
      </c>
      <c r="G750" s="2" t="s">
        <v>52</v>
      </c>
      <c r="H750" s="2" t="s">
        <v>53</v>
      </c>
      <c r="I750" s="2" t="s">
        <v>54</v>
      </c>
      <c r="J750" s="2" t="s">
        <v>2369</v>
      </c>
      <c r="K750" s="2"/>
      <c r="L750" s="2" t="s">
        <v>1870</v>
      </c>
      <c r="M750" s="2" t="s">
        <v>57</v>
      </c>
      <c r="N750" s="2" t="s">
        <v>58</v>
      </c>
      <c r="O750" s="2" t="s">
        <v>2370</v>
      </c>
      <c r="P750" s="2" t="s">
        <v>2398</v>
      </c>
      <c r="Q750" s="2" t="s">
        <v>2399</v>
      </c>
      <c r="R750" s="2"/>
    </row>
    <row r="751" spans="1:18">
      <c r="A751" s="2" t="s">
        <v>2400</v>
      </c>
      <c r="B751" s="2" t="s">
        <v>2401</v>
      </c>
      <c r="C751" s="2" t="s">
        <v>2397</v>
      </c>
      <c r="D751" s="2"/>
      <c r="E751" s="2">
        <v>1</v>
      </c>
      <c r="F751" s="3" t="e">
        <f>IF(COUNT(D751,E751)=2,D751*E751,NA())</f>
        <v>#N/A</v>
      </c>
      <c r="G751" s="2" t="s">
        <v>52</v>
      </c>
      <c r="H751" s="2" t="s">
        <v>53</v>
      </c>
      <c r="I751" s="2" t="s">
        <v>54</v>
      </c>
      <c r="J751" s="2" t="s">
        <v>2369</v>
      </c>
      <c r="K751" s="2"/>
      <c r="L751" s="2" t="s">
        <v>7</v>
      </c>
      <c r="M751" s="2" t="s">
        <v>57</v>
      </c>
      <c r="N751" s="2" t="s">
        <v>1693</v>
      </c>
      <c r="O751" s="2" t="s">
        <v>2370</v>
      </c>
      <c r="P751" s="2" t="s">
        <v>2402</v>
      </c>
      <c r="Q751" s="2" t="s">
        <v>2385</v>
      </c>
      <c r="R751" s="2"/>
    </row>
    <row r="752" spans="1:18">
      <c r="A752" s="2" t="s">
        <v>2403</v>
      </c>
      <c r="B752" s="2" t="s">
        <v>2404</v>
      </c>
      <c r="C752" s="2" t="s">
        <v>2405</v>
      </c>
      <c r="D752" s="2">
        <v>30</v>
      </c>
      <c r="E752" s="2">
        <v>1</v>
      </c>
      <c r="F752" s="3">
        <f>IF(COUNT(D752,E752)=2,D752*E752,NA())</f>
        <v>30.0</v>
      </c>
      <c r="G752" s="2" t="s">
        <v>1983</v>
      </c>
      <c r="H752" s="2"/>
      <c r="I752" s="2" t="s">
        <v>54</v>
      </c>
      <c r="J752" s="2" t="s">
        <v>2270</v>
      </c>
      <c r="K752" s="2"/>
      <c r="L752" s="2" t="s">
        <v>2278</v>
      </c>
      <c r="M752" s="2" t="s">
        <v>57</v>
      </c>
      <c r="N752" s="2" t="s">
        <v>58</v>
      </c>
      <c r="O752" s="2" t="s">
        <v>2272</v>
      </c>
      <c r="P752" s="2" t="s">
        <v>2406</v>
      </c>
      <c r="Q752" s="2" t="s">
        <v>2407</v>
      </c>
      <c r="R752" s="2" t="s">
        <v>2408</v>
      </c>
    </row>
    <row r="753" spans="1:18">
      <c r="A753" s="2" t="s">
        <v>2409</v>
      </c>
      <c r="B753" s="2" t="s">
        <v>2410</v>
      </c>
      <c r="C753" s="2" t="s">
        <v>2411</v>
      </c>
      <c r="D753" s="2">
        <v>15</v>
      </c>
      <c r="E753" s="2">
        <v>1</v>
      </c>
      <c r="F753" s="3">
        <f>IF(COUNT(D753,E753)=2,D753*E753,NA())</f>
        <v>15.0</v>
      </c>
      <c r="G753" s="2" t="s">
        <v>1983</v>
      </c>
      <c r="H753" s="2"/>
      <c r="I753" s="2" t="s">
        <v>54</v>
      </c>
      <c r="J753" s="2" t="s">
        <v>2270</v>
      </c>
      <c r="K753" s="2"/>
      <c r="L753" s="2" t="s">
        <v>2278</v>
      </c>
      <c r="M753" s="2" t="s">
        <v>57</v>
      </c>
      <c r="N753" s="2" t="s">
        <v>58</v>
      </c>
      <c r="O753" s="2" t="s">
        <v>2272</v>
      </c>
      <c r="P753" s="2" t="s">
        <v>2406</v>
      </c>
      <c r="Q753" s="2" t="s">
        <v>2412</v>
      </c>
      <c r="R753" s="2" t="s">
        <v>2408</v>
      </c>
    </row>
    <row r="754" spans="1:18">
      <c r="A754" s="2" t="s">
        <v>2413</v>
      </c>
      <c r="B754" s="2" t="s">
        <v>2414</v>
      </c>
      <c r="C754" s="2" t="s">
        <v>2415</v>
      </c>
      <c r="D754" s="2">
        <v>1521089853.16</v>
      </c>
      <c r="E754" s="2">
        <v>1</v>
      </c>
      <c r="F754" s="3">
        <f>IF(COUNT(D754,E754)=2,D754*E754,NA())</f>
        <v>1521089853.16</v>
      </c>
      <c r="G754" s="2" t="s">
        <v>52</v>
      </c>
      <c r="H754" s="2" t="s">
        <v>53</v>
      </c>
      <c r="I754" s="2" t="s">
        <v>54</v>
      </c>
      <c r="J754" s="2" t="s">
        <v>55</v>
      </c>
      <c r="K754" s="2" t="s">
        <v>1742</v>
      </c>
      <c r="L754" s="2" t="s">
        <v>1713</v>
      </c>
      <c r="M754" s="2" t="s">
        <v>393</v>
      </c>
      <c r="N754" s="2" t="s">
        <v>58</v>
      </c>
      <c r="O754" s="2" t="s">
        <v>2416</v>
      </c>
      <c r="P754" s="2" t="s">
        <v>2417</v>
      </c>
      <c r="Q754" s="2" t="s">
        <v>2418</v>
      </c>
      <c r="R754" s="2"/>
    </row>
    <row r="755" spans="1:18">
      <c r="A755" s="2" t="s">
        <v>2419</v>
      </c>
      <c r="B755" s="2" t="s">
        <v>2420</v>
      </c>
      <c r="C755" s="2" t="s">
        <v>2421</v>
      </c>
      <c r="D755" s="2">
        <v>1471135133.66</v>
      </c>
      <c r="E755" s="2">
        <v>1</v>
      </c>
      <c r="F755" s="3">
        <f>IF(COUNT(D755,E755)=2,D755*E755,NA())</f>
        <v>1471135133.66</v>
      </c>
      <c r="G755" s="2" t="s">
        <v>52</v>
      </c>
      <c r="H755" s="2" t="s">
        <v>53</v>
      </c>
      <c r="I755" s="2" t="s">
        <v>54</v>
      </c>
      <c r="J755" s="2" t="s">
        <v>55</v>
      </c>
      <c r="K755" s="2" t="s">
        <v>392</v>
      </c>
      <c r="L755" s="2" t="s">
        <v>2422</v>
      </c>
      <c r="M755" s="2" t="s">
        <v>393</v>
      </c>
      <c r="N755" s="2" t="s">
        <v>58</v>
      </c>
      <c r="O755" s="2" t="s">
        <v>2423</v>
      </c>
      <c r="P755" s="2" t="s">
        <v>2424</v>
      </c>
      <c r="Q755" s="2" t="s">
        <v>2425</v>
      </c>
      <c r="R755" s="2"/>
    </row>
    <row r="756" spans="1:18">
      <c r="A756" s="2" t="s">
        <v>2426</v>
      </c>
      <c r="B756" s="2" t="s">
        <v>2427</v>
      </c>
      <c r="C756" s="2" t="s">
        <v>2428</v>
      </c>
      <c r="D756" s="2">
        <v>1173785046.05</v>
      </c>
      <c r="E756" s="2">
        <v>1</v>
      </c>
      <c r="F756" s="3">
        <f>IF(COUNT(D756,E756)=2,D756*E756,NA())</f>
        <v>1173785046.05</v>
      </c>
      <c r="G756" s="2" t="s">
        <v>52</v>
      </c>
      <c r="H756" s="2" t="s">
        <v>53</v>
      </c>
      <c r="I756" s="2" t="s">
        <v>54</v>
      </c>
      <c r="J756" s="2" t="s">
        <v>55</v>
      </c>
      <c r="K756" s="2" t="s">
        <v>1742</v>
      </c>
      <c r="L756" s="2" t="s">
        <v>1713</v>
      </c>
      <c r="M756" s="2" t="s">
        <v>393</v>
      </c>
      <c r="N756" s="2" t="s">
        <v>58</v>
      </c>
      <c r="O756" s="2" t="s">
        <v>2416</v>
      </c>
      <c r="P756" s="2" t="s">
        <v>2417</v>
      </c>
      <c r="Q756" s="2" t="s">
        <v>2429</v>
      </c>
      <c r="R756" s="2"/>
    </row>
    <row r="757" spans="1:18">
      <c r="A757" s="2" t="s">
        <v>2430</v>
      </c>
      <c r="B757" s="2" t="s">
        <v>2431</v>
      </c>
      <c r="C757" s="2" t="s">
        <v>2432</v>
      </c>
      <c r="D757" s="2">
        <v>1500131598.29</v>
      </c>
      <c r="E757" s="2">
        <v>1</v>
      </c>
      <c r="F757" s="3">
        <f>IF(COUNT(D757,E757)=2,D757*E757,NA())</f>
        <v>1500131598.29</v>
      </c>
      <c r="G757" s="2" t="s">
        <v>52</v>
      </c>
      <c r="H757" s="2" t="s">
        <v>53</v>
      </c>
      <c r="I757" s="2" t="s">
        <v>54</v>
      </c>
      <c r="J757" s="2" t="s">
        <v>55</v>
      </c>
      <c r="K757" s="2" t="s">
        <v>392</v>
      </c>
      <c r="L757" s="2" t="s">
        <v>2422</v>
      </c>
      <c r="M757" s="2" t="s">
        <v>393</v>
      </c>
      <c r="N757" s="2" t="s">
        <v>58</v>
      </c>
      <c r="O757" s="2" t="s">
        <v>2423</v>
      </c>
      <c r="P757" s="2" t="s">
        <v>2424</v>
      </c>
      <c r="Q757" s="2" t="s">
        <v>2433</v>
      </c>
      <c r="R757" s="2"/>
    </row>
    <row r="758" spans="1:18">
      <c r="A758" s="2" t="s">
        <v>2434</v>
      </c>
      <c r="B758" s="2" t="s">
        <v>2435</v>
      </c>
      <c r="C758" s="2" t="s">
        <v>2436</v>
      </c>
      <c r="D758" s="2">
        <v>221170225.65</v>
      </c>
      <c r="E758" s="2">
        <v>1</v>
      </c>
      <c r="F758" s="3">
        <f>IF(COUNT(D758,E758)=2,D758*E758,NA())</f>
        <v>221170225.65</v>
      </c>
      <c r="G758" s="2" t="s">
        <v>52</v>
      </c>
      <c r="H758" s="2" t="s">
        <v>53</v>
      </c>
      <c r="I758" s="2" t="s">
        <v>54</v>
      </c>
      <c r="J758" s="2" t="s">
        <v>55</v>
      </c>
      <c r="K758" s="2" t="s">
        <v>1742</v>
      </c>
      <c r="L758" s="2" t="s">
        <v>1713</v>
      </c>
      <c r="M758" s="2" t="s">
        <v>393</v>
      </c>
      <c r="N758" s="2" t="s">
        <v>58</v>
      </c>
      <c r="O758" s="2" t="s">
        <v>2416</v>
      </c>
      <c r="P758" s="2" t="s">
        <v>2417</v>
      </c>
      <c r="Q758" s="2" t="s">
        <v>2437</v>
      </c>
      <c r="R758" s="2"/>
    </row>
    <row r="759" spans="1:18">
      <c r="A759" s="2" t="s">
        <v>2438</v>
      </c>
      <c r="B759" s="2" t="s">
        <v>2439</v>
      </c>
      <c r="C759" s="2" t="s">
        <v>2440</v>
      </c>
      <c r="D759" s="2">
        <v>254375757.35</v>
      </c>
      <c r="E759" s="2">
        <v>1</v>
      </c>
      <c r="F759" s="3">
        <f>IF(COUNT(D759,E759)=2,D759*E759,NA())</f>
        <v>254375757.35</v>
      </c>
      <c r="G759" s="2" t="s">
        <v>52</v>
      </c>
      <c r="H759" s="2" t="s">
        <v>53</v>
      </c>
      <c r="I759" s="2" t="s">
        <v>54</v>
      </c>
      <c r="J759" s="2" t="s">
        <v>55</v>
      </c>
      <c r="K759" s="2" t="s">
        <v>392</v>
      </c>
      <c r="L759" s="2" t="s">
        <v>2422</v>
      </c>
      <c r="M759" s="2" t="s">
        <v>393</v>
      </c>
      <c r="N759" s="2" t="s">
        <v>58</v>
      </c>
      <c r="O759" s="2" t="s">
        <v>2423</v>
      </c>
      <c r="P759" s="2" t="s">
        <v>2424</v>
      </c>
      <c r="Q759" s="2" t="s">
        <v>2441</v>
      </c>
      <c r="R759" s="2"/>
    </row>
    <row r="760" spans="1:18">
      <c r="A760" s="2" t="s">
        <v>2442</v>
      </c>
      <c r="B760" s="2" t="s">
        <v>2443</v>
      </c>
      <c r="C760" s="2" t="s">
        <v>2444</v>
      </c>
      <c r="D760" s="2">
        <v>69957485.98</v>
      </c>
      <c r="E760" s="2">
        <v>1</v>
      </c>
      <c r="F760" s="3">
        <f>IF(COUNT(D760,E760)=2,D760*E760,NA())</f>
        <v>69957485.98</v>
      </c>
      <c r="G760" s="2" t="s">
        <v>52</v>
      </c>
      <c r="H760" s="2" t="s">
        <v>53</v>
      </c>
      <c r="I760" s="2" t="s">
        <v>54</v>
      </c>
      <c r="J760" s="2" t="s">
        <v>55</v>
      </c>
      <c r="K760" s="2" t="s">
        <v>1742</v>
      </c>
      <c r="L760" s="2" t="s">
        <v>1713</v>
      </c>
      <c r="M760" s="2" t="s">
        <v>393</v>
      </c>
      <c r="N760" s="2" t="s">
        <v>58</v>
      </c>
      <c r="O760" s="2" t="s">
        <v>2416</v>
      </c>
      <c r="P760" s="2" t="s">
        <v>2417</v>
      </c>
      <c r="Q760" s="2" t="s">
        <v>2445</v>
      </c>
      <c r="R760" s="2"/>
    </row>
    <row r="761" spans="1:18">
      <c r="A761" s="2" t="s">
        <v>2446</v>
      </c>
      <c r="B761" s="2" t="s">
        <v>2447</v>
      </c>
      <c r="C761" s="2" t="s">
        <v>2448</v>
      </c>
      <c r="D761" s="2">
        <v>58023509.17</v>
      </c>
      <c r="E761" s="2">
        <v>1</v>
      </c>
      <c r="F761" s="3">
        <f>IF(COUNT(D761,E761)=2,D761*E761,NA())</f>
        <v>58023509.17</v>
      </c>
      <c r="G761" s="2" t="s">
        <v>52</v>
      </c>
      <c r="H761" s="2" t="s">
        <v>53</v>
      </c>
      <c r="I761" s="2" t="s">
        <v>54</v>
      </c>
      <c r="J761" s="2" t="s">
        <v>55</v>
      </c>
      <c r="K761" s="2" t="s">
        <v>392</v>
      </c>
      <c r="L761" s="2" t="s">
        <v>2422</v>
      </c>
      <c r="M761" s="2" t="s">
        <v>393</v>
      </c>
      <c r="N761" s="2" t="s">
        <v>58</v>
      </c>
      <c r="O761" s="2" t="s">
        <v>2423</v>
      </c>
      <c r="P761" s="2" t="s">
        <v>2424</v>
      </c>
      <c r="Q761" s="2" t="s">
        <v>2449</v>
      </c>
      <c r="R761" s="2"/>
    </row>
    <row r="762" spans="1:18">
      <c r="A762" s="2" t="s">
        <v>2450</v>
      </c>
      <c r="B762" s="2" t="s">
        <v>2451</v>
      </c>
      <c r="C762" s="2" t="s">
        <v>2452</v>
      </c>
      <c r="D762" s="2">
        <v>50419169.64</v>
      </c>
      <c r="E762" s="2">
        <v>1</v>
      </c>
      <c r="F762" s="3">
        <f>IF(COUNT(D762,E762)=2,D762*E762,NA())</f>
        <v>50419169.64</v>
      </c>
      <c r="G762" s="2" t="s">
        <v>52</v>
      </c>
      <c r="H762" s="2" t="s">
        <v>53</v>
      </c>
      <c r="I762" s="2" t="s">
        <v>54</v>
      </c>
      <c r="J762" s="2" t="s">
        <v>55</v>
      </c>
      <c r="K762" s="2" t="s">
        <v>1742</v>
      </c>
      <c r="L762" s="2" t="s">
        <v>1713</v>
      </c>
      <c r="M762" s="2" t="s">
        <v>393</v>
      </c>
      <c r="N762" s="2" t="s">
        <v>58</v>
      </c>
      <c r="O762" s="2" t="s">
        <v>2416</v>
      </c>
      <c r="P762" s="2" t="s">
        <v>2417</v>
      </c>
      <c r="Q762" s="2" t="s">
        <v>2453</v>
      </c>
      <c r="R762" s="2"/>
    </row>
    <row r="763" spans="1:18">
      <c r="A763" s="2" t="s">
        <v>2454</v>
      </c>
      <c r="B763" s="2" t="s">
        <v>2455</v>
      </c>
      <c r="C763" s="2" t="s">
        <v>2456</v>
      </c>
      <c r="D763" s="2">
        <v>48893992.48</v>
      </c>
      <c r="E763" s="2">
        <v>1</v>
      </c>
      <c r="F763" s="3">
        <f>IF(COUNT(D763,E763)=2,D763*E763,NA())</f>
        <v>48893992.48</v>
      </c>
      <c r="G763" s="2" t="s">
        <v>52</v>
      </c>
      <c r="H763" s="2" t="s">
        <v>53</v>
      </c>
      <c r="I763" s="2" t="s">
        <v>54</v>
      </c>
      <c r="J763" s="2" t="s">
        <v>55</v>
      </c>
      <c r="K763" s="2" t="s">
        <v>392</v>
      </c>
      <c r="L763" s="2" t="s">
        <v>2422</v>
      </c>
      <c r="M763" s="2" t="s">
        <v>393</v>
      </c>
      <c r="N763" s="2" t="s">
        <v>58</v>
      </c>
      <c r="O763" s="2" t="s">
        <v>2423</v>
      </c>
      <c r="P763" s="2" t="s">
        <v>2424</v>
      </c>
      <c r="Q763" s="2" t="s">
        <v>2457</v>
      </c>
      <c r="R763" s="2"/>
    </row>
    <row r="764" spans="1:18">
      <c r="A764" s="2" t="s">
        <v>2458</v>
      </c>
      <c r="B764" s="2" t="s">
        <v>2459</v>
      </c>
      <c r="C764" s="2" t="s">
        <v>2460</v>
      </c>
      <c r="D764" s="2">
        <v>161779155.77</v>
      </c>
      <c r="E764" s="2">
        <v>1</v>
      </c>
      <c r="F764" s="3">
        <f>IF(COUNT(D764,E764)=2,D764*E764,NA())</f>
        <v>161779155.77</v>
      </c>
      <c r="G764" s="2" t="s">
        <v>52</v>
      </c>
      <c r="H764" s="2" t="s">
        <v>53</v>
      </c>
      <c r="I764" s="2" t="s">
        <v>54</v>
      </c>
      <c r="J764" s="2" t="s">
        <v>55</v>
      </c>
      <c r="K764" s="2" t="s">
        <v>1742</v>
      </c>
      <c r="L764" s="2" t="s">
        <v>1713</v>
      </c>
      <c r="M764" s="2" t="s">
        <v>393</v>
      </c>
      <c r="N764" s="2" t="s">
        <v>58</v>
      </c>
      <c r="O764" s="2" t="s">
        <v>2416</v>
      </c>
      <c r="P764" s="2" t="s">
        <v>2417</v>
      </c>
      <c r="Q764" s="2" t="s">
        <v>2461</v>
      </c>
      <c r="R764" s="2"/>
    </row>
    <row r="765" spans="1:18">
      <c r="A765" s="2" t="s">
        <v>2462</v>
      </c>
      <c r="B765" s="2" t="s">
        <v>2463</v>
      </c>
      <c r="C765" s="2" t="s">
        <v>2464</v>
      </c>
      <c r="D765" s="2">
        <v>89850533.42</v>
      </c>
      <c r="E765" s="2">
        <v>1</v>
      </c>
      <c r="F765" s="3">
        <f>IF(COUNT(D765,E765)=2,D765*E765,NA())</f>
        <v>89850533.42</v>
      </c>
      <c r="G765" s="2" t="s">
        <v>52</v>
      </c>
      <c r="H765" s="2" t="s">
        <v>53</v>
      </c>
      <c r="I765" s="2" t="s">
        <v>54</v>
      </c>
      <c r="J765" s="2" t="s">
        <v>55</v>
      </c>
      <c r="K765" s="2" t="s">
        <v>392</v>
      </c>
      <c r="L765" s="2" t="s">
        <v>2422</v>
      </c>
      <c r="M765" s="2" t="s">
        <v>393</v>
      </c>
      <c r="N765" s="2" t="s">
        <v>58</v>
      </c>
      <c r="O765" s="2" t="s">
        <v>2423</v>
      </c>
      <c r="P765" s="2" t="s">
        <v>2424</v>
      </c>
      <c r="Q765" s="2" t="s">
        <v>2465</v>
      </c>
      <c r="R765" s="2"/>
    </row>
    <row r="766" spans="1:18">
      <c r="A766" s="2" t="s">
        <v>2466</v>
      </c>
      <c r="B766" s="2" t="s">
        <v>2467</v>
      </c>
      <c r="C766" s="2" t="s">
        <v>2468</v>
      </c>
      <c r="D766" s="2">
        <v>710652843.97</v>
      </c>
      <c r="E766" s="2">
        <v>1</v>
      </c>
      <c r="F766" s="3">
        <f>IF(COUNT(D766,E766)=2,D766*E766,NA())</f>
        <v>710652843.97</v>
      </c>
      <c r="G766" s="2" t="s">
        <v>52</v>
      </c>
      <c r="H766" s="2" t="s">
        <v>53</v>
      </c>
      <c r="I766" s="2" t="s">
        <v>54</v>
      </c>
      <c r="J766" s="2" t="s">
        <v>55</v>
      </c>
      <c r="K766" s="2" t="s">
        <v>1742</v>
      </c>
      <c r="L766" s="2" t="s">
        <v>1713</v>
      </c>
      <c r="M766" s="2" t="s">
        <v>393</v>
      </c>
      <c r="N766" s="2" t="s">
        <v>58</v>
      </c>
      <c r="O766" s="2" t="s">
        <v>2416</v>
      </c>
      <c r="P766" s="2" t="s">
        <v>2417</v>
      </c>
      <c r="Q766" s="2" t="s">
        <v>2469</v>
      </c>
      <c r="R766" s="2"/>
    </row>
    <row r="767" spans="1:18">
      <c r="A767" s="2" t="s">
        <v>2470</v>
      </c>
      <c r="B767" s="2" t="s">
        <v>2471</v>
      </c>
      <c r="C767" s="2" t="s">
        <v>2472</v>
      </c>
      <c r="D767" s="2">
        <v>227892911.8</v>
      </c>
      <c r="E767" s="2">
        <v>1</v>
      </c>
      <c r="F767" s="3">
        <f>IF(COUNT(D767,E767)=2,D767*E767,NA())</f>
        <v>227892911.8</v>
      </c>
      <c r="G767" s="2" t="s">
        <v>52</v>
      </c>
      <c r="H767" s="2" t="s">
        <v>53</v>
      </c>
      <c r="I767" s="2" t="s">
        <v>54</v>
      </c>
      <c r="J767" s="2" t="s">
        <v>55</v>
      </c>
      <c r="K767" s="2" t="s">
        <v>392</v>
      </c>
      <c r="L767" s="2" t="s">
        <v>2422</v>
      </c>
      <c r="M767" s="2" t="s">
        <v>393</v>
      </c>
      <c r="N767" s="2" t="s">
        <v>58</v>
      </c>
      <c r="O767" s="2" t="s">
        <v>2423</v>
      </c>
      <c r="P767" s="2" t="s">
        <v>2424</v>
      </c>
      <c r="Q767" s="2" t="s">
        <v>2473</v>
      </c>
      <c r="R767" s="2"/>
    </row>
    <row r="768" spans="1:18">
      <c r="A768" s="2" t="s">
        <v>2474</v>
      </c>
      <c r="B768" s="2" t="s">
        <v>2475</v>
      </c>
      <c r="C768" s="2" t="s">
        <v>2476</v>
      </c>
      <c r="D768" s="2">
        <v>527174157.28</v>
      </c>
      <c r="E768" s="2">
        <v>1</v>
      </c>
      <c r="F768" s="3">
        <f>IF(COUNT(D768,E768)=2,D768*E768,NA())</f>
        <v>527174157.28</v>
      </c>
      <c r="G768" s="2" t="s">
        <v>52</v>
      </c>
      <c r="H768" s="2" t="s">
        <v>53</v>
      </c>
      <c r="I768" s="2" t="s">
        <v>54</v>
      </c>
      <c r="J768" s="2" t="s">
        <v>55</v>
      </c>
      <c r="K768" s="2" t="s">
        <v>1742</v>
      </c>
      <c r="L768" s="2" t="s">
        <v>1713</v>
      </c>
      <c r="M768" s="2" t="s">
        <v>393</v>
      </c>
      <c r="N768" s="2" t="s">
        <v>58</v>
      </c>
      <c r="O768" s="2" t="s">
        <v>2416</v>
      </c>
      <c r="P768" s="2" t="s">
        <v>2417</v>
      </c>
      <c r="Q768" s="2" t="s">
        <v>2477</v>
      </c>
      <c r="R768" s="2"/>
    </row>
    <row r="769" spans="1:18">
      <c r="A769" s="2" t="s">
        <v>2478</v>
      </c>
      <c r="B769" s="2" t="s">
        <v>2479</v>
      </c>
      <c r="C769" s="2" t="s">
        <v>2480</v>
      </c>
      <c r="D769" s="2">
        <v>102727410.27</v>
      </c>
      <c r="E769" s="2">
        <v>1</v>
      </c>
      <c r="F769" s="3">
        <f>IF(COUNT(D769,E769)=2,D769*E769,NA())</f>
        <v>102727410.27</v>
      </c>
      <c r="G769" s="2" t="s">
        <v>52</v>
      </c>
      <c r="H769" s="2" t="s">
        <v>53</v>
      </c>
      <c r="I769" s="2" t="s">
        <v>54</v>
      </c>
      <c r="J769" s="2" t="s">
        <v>55</v>
      </c>
      <c r="K769" s="2" t="s">
        <v>392</v>
      </c>
      <c r="L769" s="2" t="s">
        <v>2422</v>
      </c>
      <c r="M769" s="2" t="s">
        <v>393</v>
      </c>
      <c r="N769" s="2" t="s">
        <v>58</v>
      </c>
      <c r="O769" s="2" t="s">
        <v>2423</v>
      </c>
      <c r="P769" s="2" t="s">
        <v>2424</v>
      </c>
      <c r="Q769" s="2" t="s">
        <v>2481</v>
      </c>
      <c r="R769" s="2"/>
    </row>
    <row r="770" spans="1:18">
      <c r="A770" s="2" t="s">
        <v>2482</v>
      </c>
      <c r="B770" s="2" t="s">
        <v>2483</v>
      </c>
      <c r="C770" s="2" t="s">
        <v>2484</v>
      </c>
      <c r="D770" s="2">
        <v>45256384.94</v>
      </c>
      <c r="E770" s="2">
        <v>1</v>
      </c>
      <c r="F770" s="3">
        <f>IF(COUNT(D770,E770)=2,D770*E770,NA())</f>
        <v>45256384.94</v>
      </c>
      <c r="G770" s="2" t="s">
        <v>52</v>
      </c>
      <c r="H770" s="2" t="s">
        <v>53</v>
      </c>
      <c r="I770" s="2" t="s">
        <v>54</v>
      </c>
      <c r="J770" s="2" t="s">
        <v>55</v>
      </c>
      <c r="K770" s="2" t="s">
        <v>1742</v>
      </c>
      <c r="L770" s="2" t="s">
        <v>1713</v>
      </c>
      <c r="M770" s="2" t="s">
        <v>393</v>
      </c>
      <c r="N770" s="2" t="s">
        <v>58</v>
      </c>
      <c r="O770" s="2" t="s">
        <v>2416</v>
      </c>
      <c r="P770" s="2" t="s">
        <v>2417</v>
      </c>
      <c r="Q770" s="2" t="s">
        <v>2485</v>
      </c>
      <c r="R770" s="2"/>
    </row>
    <row r="771" spans="1:18">
      <c r="A771" s="2" t="s">
        <v>2486</v>
      </c>
      <c r="B771" s="2" t="s">
        <v>2487</v>
      </c>
      <c r="C771" s="2" t="s">
        <v>2488</v>
      </c>
      <c r="D771" s="2">
        <v>229274388.49</v>
      </c>
      <c r="E771" s="2">
        <v>1</v>
      </c>
      <c r="F771" s="3">
        <f>IF(COUNT(D771,E771)=2,D771*E771,NA())</f>
        <v>229274388.49</v>
      </c>
      <c r="G771" s="2" t="s">
        <v>52</v>
      </c>
      <c r="H771" s="2" t="s">
        <v>53</v>
      </c>
      <c r="I771" s="2" t="s">
        <v>54</v>
      </c>
      <c r="J771" s="2" t="s">
        <v>55</v>
      </c>
      <c r="K771" s="2" t="s">
        <v>392</v>
      </c>
      <c r="L771" s="2" t="s">
        <v>2422</v>
      </c>
      <c r="M771" s="2" t="s">
        <v>393</v>
      </c>
      <c r="N771" s="2" t="s">
        <v>58</v>
      </c>
      <c r="O771" s="2" t="s">
        <v>2423</v>
      </c>
      <c r="P771" s="2" t="s">
        <v>2424</v>
      </c>
      <c r="Q771" s="2" t="s">
        <v>2489</v>
      </c>
      <c r="R771" s="2"/>
    </row>
    <row r="772" spans="1:18">
      <c r="A772" s="2" t="s">
        <v>2490</v>
      </c>
      <c r="B772" s="2" t="s">
        <v>2491</v>
      </c>
      <c r="C772" s="2" t="s">
        <v>2492</v>
      </c>
      <c r="D772" s="2">
        <v>2450798.04</v>
      </c>
      <c r="E772" s="2">
        <v>1</v>
      </c>
      <c r="F772" s="3">
        <f>IF(COUNT(D772,E772)=2,D772*E772,NA())</f>
        <v>2450798.04</v>
      </c>
      <c r="G772" s="2" t="s">
        <v>52</v>
      </c>
      <c r="H772" s="2" t="s">
        <v>53</v>
      </c>
      <c r="I772" s="2" t="s">
        <v>54</v>
      </c>
      <c r="J772" s="2" t="s">
        <v>55</v>
      </c>
      <c r="K772" s="2" t="s">
        <v>1742</v>
      </c>
      <c r="L772" s="2" t="s">
        <v>1713</v>
      </c>
      <c r="M772" s="2" t="s">
        <v>393</v>
      </c>
      <c r="N772" s="2" t="s">
        <v>58</v>
      </c>
      <c r="O772" s="2" t="s">
        <v>2416</v>
      </c>
      <c r="P772" s="2" t="s">
        <v>2417</v>
      </c>
      <c r="Q772" s="2" t="s">
        <v>2493</v>
      </c>
      <c r="R772" s="2"/>
    </row>
    <row r="773" spans="1:18">
      <c r="A773" s="2" t="s">
        <v>2494</v>
      </c>
      <c r="B773" s="2" t="s">
        <v>2495</v>
      </c>
      <c r="C773" s="2" t="s">
        <v>2496</v>
      </c>
      <c r="D773" s="2">
        <v>15008042.5</v>
      </c>
      <c r="E773" s="2">
        <v>1</v>
      </c>
      <c r="F773" s="3">
        <f>IF(COUNT(D773,E773)=2,D773*E773,NA())</f>
        <v>15008042.5</v>
      </c>
      <c r="G773" s="2" t="s">
        <v>52</v>
      </c>
      <c r="H773" s="2" t="s">
        <v>53</v>
      </c>
      <c r="I773" s="2" t="s">
        <v>54</v>
      </c>
      <c r="J773" s="2" t="s">
        <v>55</v>
      </c>
      <c r="K773" s="2" t="s">
        <v>392</v>
      </c>
      <c r="L773" s="2" t="s">
        <v>2422</v>
      </c>
      <c r="M773" s="2" t="s">
        <v>393</v>
      </c>
      <c r="N773" s="2" t="s">
        <v>58</v>
      </c>
      <c r="O773" s="2" t="s">
        <v>2423</v>
      </c>
      <c r="P773" s="2" t="s">
        <v>2424</v>
      </c>
      <c r="Q773" s="2" t="s">
        <v>2497</v>
      </c>
      <c r="R773" s="2"/>
    </row>
    <row r="774" spans="1:18">
      <c r="A774" s="2" t="s">
        <v>2498</v>
      </c>
      <c r="B774" s="2" t="s">
        <v>2499</v>
      </c>
      <c r="C774" s="2" t="s">
        <v>2500</v>
      </c>
      <c r="D774" s="2">
        <v>11018739.22</v>
      </c>
      <c r="E774" s="2">
        <v>1</v>
      </c>
      <c r="F774" s="3">
        <f>IF(COUNT(D774,E774)=2,D774*E774,NA())</f>
        <v>11018739.22</v>
      </c>
      <c r="G774" s="2" t="s">
        <v>52</v>
      </c>
      <c r="H774" s="2" t="s">
        <v>53</v>
      </c>
      <c r="I774" s="2" t="s">
        <v>54</v>
      </c>
      <c r="J774" s="2" t="s">
        <v>55</v>
      </c>
      <c r="K774" s="2" t="s">
        <v>1742</v>
      </c>
      <c r="L774" s="2" t="s">
        <v>1713</v>
      </c>
      <c r="M774" s="2" t="s">
        <v>393</v>
      </c>
      <c r="N774" s="2" t="s">
        <v>58</v>
      </c>
      <c r="O774" s="2" t="s">
        <v>2416</v>
      </c>
      <c r="P774" s="2" t="s">
        <v>2417</v>
      </c>
      <c r="Q774" s="2" t="s">
        <v>2501</v>
      </c>
      <c r="R774" s="2"/>
    </row>
    <row r="775" spans="1:18">
      <c r="A775" s="2" t="s">
        <v>2502</v>
      </c>
      <c r="B775" s="2" t="s">
        <v>2503</v>
      </c>
      <c r="C775" s="2" t="s">
        <v>2504</v>
      </c>
      <c r="D775" s="2">
        <v>60383919.33</v>
      </c>
      <c r="E775" s="2">
        <v>1</v>
      </c>
      <c r="F775" s="3">
        <f>IF(COUNT(D775,E775)=2,D775*E775,NA())</f>
        <v>60383919.33</v>
      </c>
      <c r="G775" s="2" t="s">
        <v>52</v>
      </c>
      <c r="H775" s="2" t="s">
        <v>53</v>
      </c>
      <c r="I775" s="2" t="s">
        <v>54</v>
      </c>
      <c r="J775" s="2" t="s">
        <v>55</v>
      </c>
      <c r="K775" s="2" t="s">
        <v>392</v>
      </c>
      <c r="L775" s="2" t="s">
        <v>2422</v>
      </c>
      <c r="M775" s="2" t="s">
        <v>393</v>
      </c>
      <c r="N775" s="2" t="s">
        <v>58</v>
      </c>
      <c r="O775" s="2" t="s">
        <v>2423</v>
      </c>
      <c r="P775" s="2" t="s">
        <v>2424</v>
      </c>
      <c r="Q775" s="2" t="s">
        <v>2505</v>
      </c>
      <c r="R775" s="2"/>
    </row>
    <row r="776" spans="1:18">
      <c r="A776" s="2" t="s">
        <v>2506</v>
      </c>
      <c r="B776" s="2" t="s">
        <v>2507</v>
      </c>
      <c r="C776" s="2" t="s">
        <v>2508</v>
      </c>
      <c r="D776" s="2">
        <v>95610189.36</v>
      </c>
      <c r="E776" s="2">
        <v>1</v>
      </c>
      <c r="F776" s="3">
        <f>IF(COUNT(D776,E776)=2,D776*E776,NA())</f>
        <v>95610189.36</v>
      </c>
      <c r="G776" s="2" t="s">
        <v>52</v>
      </c>
      <c r="H776" s="2" t="s">
        <v>53</v>
      </c>
      <c r="I776" s="2" t="s">
        <v>54</v>
      </c>
      <c r="J776" s="2" t="s">
        <v>55</v>
      </c>
      <c r="K776" s="2" t="s">
        <v>392</v>
      </c>
      <c r="L776" s="2" t="s">
        <v>2422</v>
      </c>
      <c r="M776" s="2" t="s">
        <v>393</v>
      </c>
      <c r="N776" s="2" t="s">
        <v>58</v>
      </c>
      <c r="O776" s="2" t="s">
        <v>2423</v>
      </c>
      <c r="P776" s="2" t="s">
        <v>2424</v>
      </c>
      <c r="Q776" s="2" t="s">
        <v>2509</v>
      </c>
      <c r="R776" s="2"/>
    </row>
    <row r="777" spans="1:18">
      <c r="A777" s="2" t="s">
        <v>2510</v>
      </c>
      <c r="B777" s="2" t="s">
        <v>2511</v>
      </c>
      <c r="C777" s="2" t="s">
        <v>2512</v>
      </c>
      <c r="D777" s="2">
        <v>-382352272.09</v>
      </c>
      <c r="E777" s="2">
        <v>1</v>
      </c>
      <c r="F777" s="3">
        <f>IF(COUNT(D777,E777)=2,D777*E777,NA())</f>
        <v>-382352272.09</v>
      </c>
      <c r="G777" s="2" t="s">
        <v>52</v>
      </c>
      <c r="H777" s="2" t="s">
        <v>53</v>
      </c>
      <c r="I777" s="2" t="s">
        <v>54</v>
      </c>
      <c r="J777" s="2" t="s">
        <v>55</v>
      </c>
      <c r="K777" s="2" t="s">
        <v>392</v>
      </c>
      <c r="L777" s="2" t="s">
        <v>2422</v>
      </c>
      <c r="M777" s="2" t="s">
        <v>393</v>
      </c>
      <c r="N777" s="2" t="s">
        <v>58</v>
      </c>
      <c r="O777" s="2" t="s">
        <v>2423</v>
      </c>
      <c r="P777" s="2" t="s">
        <v>2424</v>
      </c>
      <c r="Q777" s="2" t="s">
        <v>2513</v>
      </c>
      <c r="R777" s="2"/>
    </row>
    <row r="778" spans="1:18">
      <c r="A778" s="2" t="s">
        <v>2514</v>
      </c>
      <c r="B778" s="2" t="s">
        <v>2515</v>
      </c>
      <c r="C778" s="2" t="s">
        <v>2516</v>
      </c>
      <c r="D778" s="2">
        <v>1395038910.94</v>
      </c>
      <c r="E778" s="2">
        <v>1</v>
      </c>
      <c r="F778" s="3">
        <f>IF(COUNT(D778,E778)=2,D778*E778,NA())</f>
        <v>1395038910.94</v>
      </c>
      <c r="G778" s="2" t="s">
        <v>52</v>
      </c>
      <c r="H778" s="2" t="s">
        <v>53</v>
      </c>
      <c r="I778" s="2" t="s">
        <v>54</v>
      </c>
      <c r="J778" s="2" t="s">
        <v>55</v>
      </c>
      <c r="K778" s="2" t="s">
        <v>392</v>
      </c>
      <c r="L778" s="2" t="s">
        <v>2422</v>
      </c>
      <c r="M778" s="2" t="s">
        <v>393</v>
      </c>
      <c r="N778" s="2" t="s">
        <v>58</v>
      </c>
      <c r="O778" s="2" t="s">
        <v>2423</v>
      </c>
      <c r="P778" s="2" t="s">
        <v>2424</v>
      </c>
      <c r="Q778" s="2" t="s">
        <v>2517</v>
      </c>
      <c r="R778" s="2"/>
    </row>
    <row r="779" spans="1:18">
      <c r="A779" s="2" t="s">
        <v>2518</v>
      </c>
      <c r="B779" s="2" t="s">
        <v>2519</v>
      </c>
      <c r="C779" s="2" t="s">
        <v>2520</v>
      </c>
      <c r="D779" s="2">
        <v>1825082227.41</v>
      </c>
      <c r="E779" s="2">
        <v>1</v>
      </c>
      <c r="F779" s="3">
        <f>IF(COUNT(D779,E779)=2,D779*E779,NA())</f>
        <v>1825082227.41</v>
      </c>
      <c r="G779" s="2" t="s">
        <v>52</v>
      </c>
      <c r="H779" s="2" t="s">
        <v>53</v>
      </c>
      <c r="I779" s="2" t="s">
        <v>54</v>
      </c>
      <c r="J779" s="2" t="s">
        <v>55</v>
      </c>
      <c r="K779" s="2" t="s">
        <v>2521</v>
      </c>
      <c r="L779" s="2" t="s">
        <v>2522</v>
      </c>
      <c r="M779" s="2" t="s">
        <v>393</v>
      </c>
      <c r="N779" s="2" t="s">
        <v>58</v>
      </c>
      <c r="O779" s="2" t="s">
        <v>2416</v>
      </c>
      <c r="P779" s="2"/>
      <c r="Q779" s="2" t="s">
        <v>2523</v>
      </c>
      <c r="R779" s="2"/>
    </row>
    <row r="780" spans="1:18">
      <c r="A780" s="2" t="s">
        <v>2524</v>
      </c>
      <c r="B780" s="2" t="s">
        <v>2525</v>
      </c>
      <c r="C780" s="2" t="s">
        <v>2526</v>
      </c>
      <c r="D780" s="2">
        <v>-178820074.36</v>
      </c>
      <c r="E780" s="2">
        <v>1</v>
      </c>
      <c r="F780" s="3">
        <f>IF(COUNT(D780,E780)=2,D780*E780,NA())</f>
        <v>-178820074.36</v>
      </c>
      <c r="G780" s="2" t="s">
        <v>52</v>
      </c>
      <c r="H780" s="2" t="s">
        <v>53</v>
      </c>
      <c r="I780" s="2" t="s">
        <v>54</v>
      </c>
      <c r="J780" s="2" t="s">
        <v>55</v>
      </c>
      <c r="K780" s="2" t="s">
        <v>2521</v>
      </c>
      <c r="L780" s="2" t="s">
        <v>2522</v>
      </c>
      <c r="M780" s="2" t="s">
        <v>393</v>
      </c>
      <c r="N780" s="2" t="s">
        <v>58</v>
      </c>
      <c r="O780" s="2" t="s">
        <v>2527</v>
      </c>
      <c r="P780" s="2" t="s">
        <v>2528</v>
      </c>
      <c r="Q780" s="2" t="s">
        <v>2529</v>
      </c>
      <c r="R780" s="2"/>
    </row>
    <row r="781" spans="1:18">
      <c r="A781" s="2" t="s">
        <v>2530</v>
      </c>
      <c r="B781" s="2" t="s">
        <v>2519</v>
      </c>
      <c r="C781" s="2" t="s">
        <v>2531</v>
      </c>
      <c r="D781" s="2">
        <v>1483062678.37</v>
      </c>
      <c r="E781" s="2">
        <v>1</v>
      </c>
      <c r="F781" s="3">
        <f>IF(COUNT(D781,E781)=2,D781*E781,NA())</f>
        <v>1483062678.37</v>
      </c>
      <c r="G781" s="2" t="s">
        <v>52</v>
      </c>
      <c r="H781" s="2" t="s">
        <v>53</v>
      </c>
      <c r="I781" s="2" t="s">
        <v>54</v>
      </c>
      <c r="J781" s="2" t="s">
        <v>55</v>
      </c>
      <c r="K781" s="2" t="s">
        <v>2532</v>
      </c>
      <c r="L781" s="2" t="s">
        <v>2533</v>
      </c>
      <c r="M781" s="2" t="s">
        <v>393</v>
      </c>
      <c r="N781" s="2" t="s">
        <v>58</v>
      </c>
      <c r="O781" s="2" t="s">
        <v>2416</v>
      </c>
      <c r="P781" s="2"/>
      <c r="Q781" s="2" t="s">
        <v>2534</v>
      </c>
      <c r="R781" s="2"/>
    </row>
    <row r="782" spans="1:18">
      <c r="A782" s="2" t="s">
        <v>2535</v>
      </c>
      <c r="B782" s="2" t="s">
        <v>2525</v>
      </c>
      <c r="C782" s="2" t="s">
        <v>2536</v>
      </c>
      <c r="D782" s="2">
        <v>-262745918.72</v>
      </c>
      <c r="E782" s="2">
        <v>1</v>
      </c>
      <c r="F782" s="3">
        <f>IF(COUNT(D782,E782)=2,D782*E782,NA())</f>
        <v>-262745918.72</v>
      </c>
      <c r="G782" s="2" t="s">
        <v>52</v>
      </c>
      <c r="H782" s="2" t="s">
        <v>53</v>
      </c>
      <c r="I782" s="2" t="s">
        <v>54</v>
      </c>
      <c r="J782" s="2" t="s">
        <v>55</v>
      </c>
      <c r="K782" s="2" t="s">
        <v>2532</v>
      </c>
      <c r="L782" s="2" t="s">
        <v>2533</v>
      </c>
      <c r="M782" s="2" t="s">
        <v>393</v>
      </c>
      <c r="N782" s="2" t="s">
        <v>58</v>
      </c>
      <c r="O782" s="2" t="s">
        <v>2527</v>
      </c>
      <c r="P782" s="2" t="s">
        <v>2528</v>
      </c>
      <c r="Q782" s="2" t="s">
        <v>2537</v>
      </c>
      <c r="R782" s="2"/>
    </row>
    <row r="783" spans="1:18">
      <c r="A783" s="2" t="s">
        <v>2538</v>
      </c>
      <c r="B783" s="2" t="s">
        <v>2519</v>
      </c>
      <c r="C783" s="2" t="s">
        <v>2539</v>
      </c>
      <c r="D783" s="2">
        <v>1340940976.69</v>
      </c>
      <c r="E783" s="2">
        <v>1</v>
      </c>
      <c r="F783" s="3">
        <f>IF(COUNT(D783,E783)=2,D783*E783,NA())</f>
        <v>1340940976.69</v>
      </c>
      <c r="G783" s="2" t="s">
        <v>52</v>
      </c>
      <c r="H783" s="2" t="s">
        <v>53</v>
      </c>
      <c r="I783" s="2" t="s">
        <v>54</v>
      </c>
      <c r="J783" s="2" t="s">
        <v>55</v>
      </c>
      <c r="K783" s="2" t="s">
        <v>1563</v>
      </c>
      <c r="L783" s="2" t="s">
        <v>56</v>
      </c>
      <c r="M783" s="2" t="s">
        <v>393</v>
      </c>
      <c r="N783" s="2" t="s">
        <v>58</v>
      </c>
      <c r="O783" s="2" t="s">
        <v>2416</v>
      </c>
      <c r="P783" s="2"/>
      <c r="Q783" s="2" t="s">
        <v>2540</v>
      </c>
      <c r="R783" s="2"/>
    </row>
    <row r="784" spans="1:18">
      <c r="A784" s="2" t="s">
        <v>2541</v>
      </c>
      <c r="B784" s="2" t="s">
        <v>2525</v>
      </c>
      <c r="C784" s="2" t="s">
        <v>2542</v>
      </c>
      <c r="D784" s="2">
        <v>1143546285.82</v>
      </c>
      <c r="E784" s="2">
        <v>1</v>
      </c>
      <c r="F784" s="3">
        <f>IF(COUNT(D784,E784)=2,D784*E784,NA())</f>
        <v>1143546285.82</v>
      </c>
      <c r="G784" s="2" t="s">
        <v>52</v>
      </c>
      <c r="H784" s="2" t="s">
        <v>53</v>
      </c>
      <c r="I784" s="2" t="s">
        <v>54</v>
      </c>
      <c r="J784" s="2" t="s">
        <v>55</v>
      </c>
      <c r="K784" s="2" t="s">
        <v>1563</v>
      </c>
      <c r="L784" s="2" t="s">
        <v>56</v>
      </c>
      <c r="M784" s="2" t="s">
        <v>393</v>
      </c>
      <c r="N784" s="2" t="s">
        <v>58</v>
      </c>
      <c r="O784" s="2" t="s">
        <v>2527</v>
      </c>
      <c r="P784" s="2" t="s">
        <v>2528</v>
      </c>
      <c r="Q784" s="2" t="s">
        <v>2543</v>
      </c>
      <c r="R784" s="2"/>
    </row>
    <row r="785" spans="1:18">
      <c r="A785" s="2" t="s">
        <v>2544</v>
      </c>
      <c r="B785" s="2" t="s">
        <v>2545</v>
      </c>
      <c r="C785" s="2" t="s">
        <v>2546</v>
      </c>
      <c r="D785" s="2">
        <v>953293.41</v>
      </c>
      <c r="E785" s="2">
        <v>1</v>
      </c>
      <c r="F785" s="3">
        <f>IF(COUNT(D785,E785)=2,D785*E785,NA())</f>
        <v>953293.41</v>
      </c>
      <c r="G785" s="2" t="s">
        <v>52</v>
      </c>
      <c r="H785" s="2" t="s">
        <v>53</v>
      </c>
      <c r="I785" s="2" t="s">
        <v>54</v>
      </c>
      <c r="J785" s="2" t="s">
        <v>55</v>
      </c>
      <c r="K785" s="2" t="s">
        <v>392</v>
      </c>
      <c r="L785" s="2" t="s">
        <v>56</v>
      </c>
      <c r="M785" s="2" t="s">
        <v>393</v>
      </c>
      <c r="N785" s="2" t="s">
        <v>58</v>
      </c>
      <c r="O785" s="2" t="s">
        <v>2416</v>
      </c>
      <c r="P785" s="2"/>
      <c r="Q785" s="2" t="s">
        <v>2547</v>
      </c>
      <c r="R785" s="2"/>
    </row>
    <row r="786" spans="1:18">
      <c r="A786" s="2" t="s">
        <v>2548</v>
      </c>
      <c r="B786" s="2" t="s">
        <v>2549</v>
      </c>
      <c r="C786" s="2" t="s">
        <v>2550</v>
      </c>
      <c r="D786" s="2">
        <v>1538893522.81</v>
      </c>
      <c r="E786" s="2">
        <v>1</v>
      </c>
      <c r="F786" s="3">
        <f>IF(COUNT(D786,E786)=2,D786*E786,NA())</f>
        <v>1538893522.81</v>
      </c>
      <c r="G786" s="2" t="s">
        <v>52</v>
      </c>
      <c r="H786" s="2" t="s">
        <v>53</v>
      </c>
      <c r="I786" s="2" t="s">
        <v>54</v>
      </c>
      <c r="J786" s="2" t="s">
        <v>55</v>
      </c>
      <c r="K786" s="2"/>
      <c r="L786" s="2" t="s">
        <v>1713</v>
      </c>
      <c r="M786" s="2" t="s">
        <v>57</v>
      </c>
      <c r="N786" s="2" t="s">
        <v>58</v>
      </c>
      <c r="O786" s="2" t="s">
        <v>2416</v>
      </c>
      <c r="P786" s="2"/>
      <c r="Q786" s="2" t="s">
        <v>2551</v>
      </c>
      <c r="R786" s="2"/>
    </row>
    <row r="787" spans="1:18">
      <c r="A787" s="2" t="s">
        <v>2552</v>
      </c>
      <c r="B787" s="2" t="s">
        <v>2553</v>
      </c>
      <c r="C787" s="2" t="s">
        <v>2554</v>
      </c>
      <c r="D787" s="2">
        <v>395487256.65</v>
      </c>
      <c r="E787" s="2">
        <v>1</v>
      </c>
      <c r="F787" s="3">
        <f>IF(COUNT(D787,E787)=2,D787*E787,NA())</f>
        <v>395487256.65</v>
      </c>
      <c r="G787" s="2" t="s">
        <v>52</v>
      </c>
      <c r="H787" s="2" t="s">
        <v>53</v>
      </c>
      <c r="I787" s="2" t="s">
        <v>54</v>
      </c>
      <c r="J787" s="2" t="s">
        <v>55</v>
      </c>
      <c r="K787" s="2"/>
      <c r="L787" s="2" t="s">
        <v>1713</v>
      </c>
      <c r="M787" s="2" t="s">
        <v>57</v>
      </c>
      <c r="N787" s="2" t="s">
        <v>58</v>
      </c>
      <c r="O787" s="2" t="s">
        <v>2416</v>
      </c>
      <c r="P787" s="2" t="s">
        <v>2555</v>
      </c>
      <c r="Q787" s="2" t="s">
        <v>2556</v>
      </c>
      <c r="R787" s="2"/>
    </row>
    <row r="788" spans="1:18">
      <c r="A788" s="2" t="s">
        <v>2557</v>
      </c>
      <c r="B788" s="2" t="s">
        <v>2558</v>
      </c>
      <c r="C788" s="2" t="s">
        <v>2559</v>
      </c>
      <c r="D788" s="2">
        <v>544544.3100000001</v>
      </c>
      <c r="E788" s="2">
        <v>1</v>
      </c>
      <c r="F788" s="3">
        <f>IF(COUNT(D788,E788)=2,D788*E788,NA())</f>
        <v>544544.31</v>
      </c>
      <c r="G788" s="2" t="s">
        <v>52</v>
      </c>
      <c r="H788" s="2" t="s">
        <v>53</v>
      </c>
      <c r="I788" s="2" t="s">
        <v>54</v>
      </c>
      <c r="J788" s="2" t="s">
        <v>55</v>
      </c>
      <c r="K788" s="2"/>
      <c r="L788" s="2" t="s">
        <v>56</v>
      </c>
      <c r="M788" s="2" t="s">
        <v>57</v>
      </c>
      <c r="N788" s="2" t="s">
        <v>58</v>
      </c>
      <c r="O788" s="2" t="s">
        <v>2416</v>
      </c>
      <c r="P788" s="2"/>
      <c r="Q788" s="2" t="s">
        <v>2560</v>
      </c>
      <c r="R788" s="2"/>
    </row>
    <row r="789" spans="1:18">
      <c r="A789" s="2" t="s">
        <v>2561</v>
      </c>
      <c r="B789" s="2" t="s">
        <v>2562</v>
      </c>
      <c r="C789" s="2" t="s">
        <v>2563</v>
      </c>
      <c r="D789" s="2">
        <v>395116000</v>
      </c>
      <c r="E789" s="2">
        <v>1</v>
      </c>
      <c r="F789" s="3">
        <f>IF(COUNT(D789,E789)=2,D789*E789,NA())</f>
        <v>395116000.0</v>
      </c>
      <c r="G789" s="2" t="s">
        <v>52</v>
      </c>
      <c r="H789" s="2" t="s">
        <v>53</v>
      </c>
      <c r="I789" s="2" t="s">
        <v>54</v>
      </c>
      <c r="J789" s="2" t="s">
        <v>55</v>
      </c>
      <c r="K789" s="2"/>
      <c r="L789" s="2" t="s">
        <v>56</v>
      </c>
      <c r="M789" s="2" t="s">
        <v>57</v>
      </c>
      <c r="N789" s="2" t="s">
        <v>58</v>
      </c>
      <c r="O789" s="2" t="s">
        <v>2416</v>
      </c>
      <c r="P789" s="2" t="s">
        <v>2564</v>
      </c>
      <c r="Q789" s="2" t="s">
        <v>2565</v>
      </c>
      <c r="R789" s="2"/>
    </row>
    <row r="790" spans="1:18">
      <c r="A790" s="2" t="s">
        <v>2566</v>
      </c>
      <c r="B790" s="2" t="s">
        <v>2567</v>
      </c>
      <c r="C790" s="2" t="s">
        <v>2568</v>
      </c>
      <c r="D790" s="2">
        <v>11448000</v>
      </c>
      <c r="E790" s="2">
        <v>1</v>
      </c>
      <c r="F790" s="3">
        <f>IF(COUNT(D790,E790)=2,D790*E790,NA())</f>
        <v>11448000.0</v>
      </c>
      <c r="G790" s="2" t="s">
        <v>52</v>
      </c>
      <c r="H790" s="2" t="s">
        <v>53</v>
      </c>
      <c r="I790" s="2" t="s">
        <v>54</v>
      </c>
      <c r="J790" s="2" t="s">
        <v>55</v>
      </c>
      <c r="K790" s="2"/>
      <c r="L790" s="2" t="s">
        <v>56</v>
      </c>
      <c r="M790" s="2" t="s">
        <v>57</v>
      </c>
      <c r="N790" s="2" t="s">
        <v>58</v>
      </c>
      <c r="O790" s="2" t="s">
        <v>2416</v>
      </c>
      <c r="P790" s="2"/>
      <c r="Q790" s="2" t="s">
        <v>2569</v>
      </c>
      <c r="R790" s="2"/>
    </row>
    <row r="791" spans="1:18">
      <c r="A791" s="2" t="s">
        <v>2570</v>
      </c>
      <c r="B791" s="2" t="s">
        <v>2571</v>
      </c>
      <c r="C791" s="2" t="s">
        <v>2572</v>
      </c>
      <c r="D791" s="2">
        <v>335970.48</v>
      </c>
      <c r="E791" s="2">
        <v>1</v>
      </c>
      <c r="F791" s="3">
        <f>IF(COUNT(D791,E791)=2,D791*E791,NA())</f>
        <v>335970.48</v>
      </c>
      <c r="G791" s="2" t="s">
        <v>52</v>
      </c>
      <c r="H791" s="2" t="s">
        <v>53</v>
      </c>
      <c r="I791" s="2" t="s">
        <v>54</v>
      </c>
      <c r="J791" s="2" t="s">
        <v>55</v>
      </c>
      <c r="K791" s="2"/>
      <c r="L791" s="2" t="s">
        <v>56</v>
      </c>
      <c r="M791" s="2" t="s">
        <v>57</v>
      </c>
      <c r="N791" s="2" t="s">
        <v>58</v>
      </c>
      <c r="O791" s="2" t="s">
        <v>2416</v>
      </c>
      <c r="P791" s="2"/>
      <c r="Q791" s="2" t="s">
        <v>2573</v>
      </c>
      <c r="R791" s="2"/>
    </row>
    <row r="792" spans="1:18">
      <c r="A792" s="2" t="s">
        <v>2574</v>
      </c>
      <c r="B792" s="2" t="s">
        <v>824</v>
      </c>
      <c r="C792" s="2" t="s">
        <v>2575</v>
      </c>
      <c r="D792" s="2">
        <v>11001813.71</v>
      </c>
      <c r="E792" s="2">
        <v>1</v>
      </c>
      <c r="F792" s="3">
        <f>IF(COUNT(D792,E792)=2,D792*E792,NA())</f>
        <v>11001813.71</v>
      </c>
      <c r="G792" s="2" t="s">
        <v>52</v>
      </c>
      <c r="H792" s="2" t="s">
        <v>53</v>
      </c>
      <c r="I792" s="2" t="s">
        <v>54</v>
      </c>
      <c r="J792" s="2" t="s">
        <v>55</v>
      </c>
      <c r="K792" s="2"/>
      <c r="L792" s="2" t="s">
        <v>56</v>
      </c>
      <c r="M792" s="2" t="s">
        <v>57</v>
      </c>
      <c r="N792" s="2" t="s">
        <v>58</v>
      </c>
      <c r="O792" s="2" t="s">
        <v>2416</v>
      </c>
      <c r="P792" s="2"/>
      <c r="Q792" s="2" t="s">
        <v>2576</v>
      </c>
      <c r="R792" s="2"/>
    </row>
    <row r="793" spans="1:18">
      <c r="A793" s="2" t="s">
        <v>2577</v>
      </c>
      <c r="B793" s="2" t="s">
        <v>834</v>
      </c>
      <c r="C793" s="2" t="s">
        <v>2578</v>
      </c>
      <c r="D793" s="2">
        <v>22530890.53</v>
      </c>
      <c r="E793" s="2">
        <v>1</v>
      </c>
      <c r="F793" s="3">
        <f>IF(COUNT(D793,E793)=2,D793*E793,NA())</f>
        <v>22530890.53</v>
      </c>
      <c r="G793" s="2" t="s">
        <v>52</v>
      </c>
      <c r="H793" s="2" t="s">
        <v>53</v>
      </c>
      <c r="I793" s="2" t="s">
        <v>54</v>
      </c>
      <c r="J793" s="2" t="s">
        <v>55</v>
      </c>
      <c r="K793" s="2"/>
      <c r="L793" s="2" t="s">
        <v>56</v>
      </c>
      <c r="M793" s="2" t="s">
        <v>57</v>
      </c>
      <c r="N793" s="2" t="s">
        <v>58</v>
      </c>
      <c r="O793" s="2" t="s">
        <v>2416</v>
      </c>
      <c r="P793" s="2"/>
      <c r="Q793" s="2" t="s">
        <v>2579</v>
      </c>
      <c r="R793" s="2"/>
    </row>
    <row r="794" spans="1:18">
      <c r="A794" s="2" t="s">
        <v>2580</v>
      </c>
      <c r="B794" s="2" t="s">
        <v>2581</v>
      </c>
      <c r="C794" s="2" t="s">
        <v>2582</v>
      </c>
      <c r="D794" s="2">
        <v>108000</v>
      </c>
      <c r="E794" s="2">
        <v>10000</v>
      </c>
      <c r="F794" s="3">
        <f>IF(COUNT(D794,E794)=2,D794*E794,NA())</f>
        <v>1080000000.0</v>
      </c>
      <c r="G794" s="2" t="s">
        <v>52</v>
      </c>
      <c r="H794" s="2" t="s">
        <v>53</v>
      </c>
      <c r="I794" s="2" t="s">
        <v>54</v>
      </c>
      <c r="J794" s="2" t="s">
        <v>55</v>
      </c>
      <c r="K794" s="2"/>
      <c r="L794" s="2" t="s">
        <v>56</v>
      </c>
      <c r="M794" s="2" t="s">
        <v>57</v>
      </c>
      <c r="N794" s="2" t="s">
        <v>58</v>
      </c>
      <c r="O794" s="2" t="s">
        <v>2416</v>
      </c>
      <c r="P794" s="2" t="s">
        <v>2583</v>
      </c>
      <c r="Q794" s="2" t="s">
        <v>2584</v>
      </c>
      <c r="R794" s="2"/>
    </row>
    <row r="795" spans="1:18">
      <c r="A795" s="2" t="s">
        <v>2585</v>
      </c>
      <c r="B795" s="2" t="s">
        <v>2586</v>
      </c>
      <c r="C795" s="2" t="s">
        <v>2587</v>
      </c>
      <c r="D795" s="2">
        <v>1109971693</v>
      </c>
      <c r="E795" s="2">
        <v>1</v>
      </c>
      <c r="F795" s="3">
        <f>IF(COUNT(D795,E795)=2,D795*E795,NA())</f>
        <v>1109971693.0</v>
      </c>
      <c r="G795" s="2" t="s">
        <v>1983</v>
      </c>
      <c r="H795" s="2"/>
      <c r="I795" s="2" t="s">
        <v>54</v>
      </c>
      <c r="J795" s="2" t="s">
        <v>2588</v>
      </c>
      <c r="K795" s="2"/>
      <c r="L795" s="2" t="s">
        <v>2589</v>
      </c>
      <c r="M795" s="2" t="s">
        <v>57</v>
      </c>
      <c r="N795" s="2" t="s">
        <v>58</v>
      </c>
      <c r="O795" s="2" t="s">
        <v>2590</v>
      </c>
      <c r="P795" s="2" t="s">
        <v>2591</v>
      </c>
      <c r="Q795" s="2" t="s">
        <v>2592</v>
      </c>
      <c r="R795" s="2" t="s">
        <v>2043</v>
      </c>
    </row>
    <row r="796" spans="1:18">
      <c r="A796" s="2" t="s">
        <v>2593</v>
      </c>
      <c r="B796" s="2" t="s">
        <v>2594</v>
      </c>
      <c r="C796" s="2" t="s">
        <v>2595</v>
      </c>
      <c r="D796" s="2">
        <v>1935184381.75</v>
      </c>
      <c r="E796" s="2">
        <v>1</v>
      </c>
      <c r="F796" s="3">
        <f>IF(COUNT(D796,E796)=2,D796*E796,NA())</f>
        <v>1935184381.75</v>
      </c>
      <c r="G796" s="2" t="s">
        <v>52</v>
      </c>
      <c r="H796" s="2" t="s">
        <v>53</v>
      </c>
      <c r="I796" s="2" t="s">
        <v>54</v>
      </c>
      <c r="J796" s="2" t="s">
        <v>1296</v>
      </c>
      <c r="K796" s="2"/>
      <c r="L796" s="2" t="s">
        <v>56</v>
      </c>
      <c r="M796" s="2" t="s">
        <v>57</v>
      </c>
      <c r="N796" s="2" t="s">
        <v>58</v>
      </c>
      <c r="O796" s="2" t="s">
        <v>2596</v>
      </c>
      <c r="P796" s="2" t="s">
        <v>2597</v>
      </c>
      <c r="Q796" s="2" t="s">
        <v>2598</v>
      </c>
      <c r="R796" s="2"/>
    </row>
    <row r="797" spans="1:18">
      <c r="A797" s="2" t="s">
        <v>2599</v>
      </c>
      <c r="B797" s="2" t="s">
        <v>2600</v>
      </c>
      <c r="C797" s="2" t="s">
        <v>2601</v>
      </c>
      <c r="D797" s="2">
        <v>799139470.86</v>
      </c>
      <c r="E797" s="2">
        <v>1</v>
      </c>
      <c r="F797" s="3">
        <f>IF(COUNT(D797,E797)=2,D797*E797,NA())</f>
        <v>799139470.86</v>
      </c>
      <c r="G797" s="2" t="s">
        <v>52</v>
      </c>
      <c r="H797" s="2" t="s">
        <v>53</v>
      </c>
      <c r="I797" s="2" t="s">
        <v>54</v>
      </c>
      <c r="J797" s="2" t="s">
        <v>1296</v>
      </c>
      <c r="K797" s="2"/>
      <c r="L797" s="2" t="s">
        <v>56</v>
      </c>
      <c r="M797" s="2" t="s">
        <v>57</v>
      </c>
      <c r="N797" s="2" t="s">
        <v>58</v>
      </c>
      <c r="O797" s="2" t="s">
        <v>2596</v>
      </c>
      <c r="P797" s="2" t="s">
        <v>2597</v>
      </c>
      <c r="Q797" s="2" t="s">
        <v>2602</v>
      </c>
      <c r="R797" s="2"/>
    </row>
    <row r="798" spans="1:18">
      <c r="A798" s="2" t="s">
        <v>2603</v>
      </c>
      <c r="B798" s="2" t="s">
        <v>2604</v>
      </c>
      <c r="C798" s="2" t="s">
        <v>2605</v>
      </c>
      <c r="D798" s="2">
        <v>1579399896.6</v>
      </c>
      <c r="E798" s="2">
        <v>1</v>
      </c>
      <c r="F798" s="3">
        <f>IF(COUNT(D798,E798)=2,D798*E798,NA())</f>
        <v>1579399896.6</v>
      </c>
      <c r="G798" s="2" t="s">
        <v>52</v>
      </c>
      <c r="H798" s="2" t="s">
        <v>53</v>
      </c>
      <c r="I798" s="2" t="s">
        <v>54</v>
      </c>
      <c r="J798" s="2" t="s">
        <v>1296</v>
      </c>
      <c r="K798" s="2"/>
      <c r="L798" s="2" t="s">
        <v>56</v>
      </c>
      <c r="M798" s="2" t="s">
        <v>57</v>
      </c>
      <c r="N798" s="2" t="s">
        <v>58</v>
      </c>
      <c r="O798" s="2" t="s">
        <v>2596</v>
      </c>
      <c r="P798" s="2" t="s">
        <v>2597</v>
      </c>
      <c r="Q798" s="2" t="s">
        <v>2606</v>
      </c>
      <c r="R798" s="2"/>
    </row>
    <row r="799" spans="1:18">
      <c r="A799" s="2" t="s">
        <v>2607</v>
      </c>
      <c r="B799" s="2" t="s">
        <v>2608</v>
      </c>
      <c r="C799" s="2" t="s">
        <v>2609</v>
      </c>
      <c r="D799" s="2">
        <v>416446753.35</v>
      </c>
      <c r="E799" s="2">
        <v>1</v>
      </c>
      <c r="F799" s="3">
        <f>IF(COUNT(D799,E799)=2,D799*E799,NA())</f>
        <v>416446753.35</v>
      </c>
      <c r="G799" s="2" t="s">
        <v>52</v>
      </c>
      <c r="H799" s="2" t="s">
        <v>53</v>
      </c>
      <c r="I799" s="2" t="s">
        <v>54</v>
      </c>
      <c r="J799" s="2" t="s">
        <v>1296</v>
      </c>
      <c r="K799" s="2"/>
      <c r="L799" s="2" t="s">
        <v>56</v>
      </c>
      <c r="M799" s="2" t="s">
        <v>57</v>
      </c>
      <c r="N799" s="2" t="s">
        <v>58</v>
      </c>
      <c r="O799" s="2" t="s">
        <v>2596</v>
      </c>
      <c r="P799" s="2" t="s">
        <v>2597</v>
      </c>
      <c r="Q799" s="2" t="s">
        <v>2610</v>
      </c>
      <c r="R799" s="2"/>
    </row>
    <row r="800" spans="1:18">
      <c r="A800" s="2" t="s">
        <v>2611</v>
      </c>
      <c r="B800" s="2" t="s">
        <v>2612</v>
      </c>
      <c r="C800" s="2" t="s">
        <v>2613</v>
      </c>
      <c r="D800" s="2">
        <v>399067537.86</v>
      </c>
      <c r="E800" s="2">
        <v>1</v>
      </c>
      <c r="F800" s="3">
        <f>IF(COUNT(D800,E800)=2,D800*E800,NA())</f>
        <v>399067537.86</v>
      </c>
      <c r="G800" s="2" t="s">
        <v>52</v>
      </c>
      <c r="H800" s="2" t="s">
        <v>53</v>
      </c>
      <c r="I800" s="2" t="s">
        <v>54</v>
      </c>
      <c r="J800" s="2" t="s">
        <v>1296</v>
      </c>
      <c r="K800" s="2"/>
      <c r="L800" s="2" t="s">
        <v>56</v>
      </c>
      <c r="M800" s="2" t="s">
        <v>57</v>
      </c>
      <c r="N800" s="2" t="s">
        <v>58</v>
      </c>
      <c r="O800" s="2" t="s">
        <v>2596</v>
      </c>
      <c r="P800" s="2" t="s">
        <v>2597</v>
      </c>
      <c r="Q800" s="2" t="s">
        <v>2614</v>
      </c>
      <c r="R800" s="2"/>
    </row>
    <row r="801" spans="1:18">
      <c r="A801" s="2" t="s">
        <v>2615</v>
      </c>
      <c r="B801" s="2" t="s">
        <v>2616</v>
      </c>
      <c r="C801" s="2" t="s">
        <v>2617</v>
      </c>
      <c r="D801" s="2">
        <v>4632192095.49</v>
      </c>
      <c r="E801" s="2">
        <v>1</v>
      </c>
      <c r="F801" s="3">
        <f>IF(COUNT(D801,E801)=2,D801*E801,NA())</f>
        <v>4632192095.49</v>
      </c>
      <c r="G801" s="2" t="s">
        <v>52</v>
      </c>
      <c r="H801" s="2" t="s">
        <v>53</v>
      </c>
      <c r="I801" s="2" t="s">
        <v>54</v>
      </c>
      <c r="J801" s="2" t="s">
        <v>1296</v>
      </c>
      <c r="K801" s="2"/>
      <c r="L801" s="2" t="s">
        <v>56</v>
      </c>
      <c r="M801" s="2" t="s">
        <v>57</v>
      </c>
      <c r="N801" s="2" t="s">
        <v>58</v>
      </c>
      <c r="O801" s="2" t="s">
        <v>2596</v>
      </c>
      <c r="P801" s="2" t="s">
        <v>2597</v>
      </c>
      <c r="Q801" s="2" t="s">
        <v>2618</v>
      </c>
      <c r="R801" s="2"/>
    </row>
    <row r="802" spans="1:18">
      <c r="A802" s="2" t="s">
        <v>2619</v>
      </c>
      <c r="B802" s="2" t="s">
        <v>2620</v>
      </c>
      <c r="C802" s="2" t="s">
        <v>2621</v>
      </c>
      <c r="D802" s="2">
        <v>2313383227.05</v>
      </c>
      <c r="E802" s="2">
        <v>1</v>
      </c>
      <c r="F802" s="3">
        <f>IF(COUNT(D802,E802)=2,D802*E802,NA())</f>
        <v>2313383227.05</v>
      </c>
      <c r="G802" s="2" t="s">
        <v>52</v>
      </c>
      <c r="H802" s="2" t="s">
        <v>53</v>
      </c>
      <c r="I802" s="2" t="s">
        <v>54</v>
      </c>
      <c r="J802" s="2" t="s">
        <v>1296</v>
      </c>
      <c r="K802" s="2"/>
      <c r="L802" s="2" t="s">
        <v>56</v>
      </c>
      <c r="M802" s="2" t="s">
        <v>57</v>
      </c>
      <c r="N802" s="2" t="s">
        <v>58</v>
      </c>
      <c r="O802" s="2" t="s">
        <v>2596</v>
      </c>
      <c r="P802" s="2" t="s">
        <v>2597</v>
      </c>
      <c r="Q802" s="2" t="s">
        <v>2622</v>
      </c>
      <c r="R802" s="2"/>
    </row>
    <row r="803" spans="1:18">
      <c r="A803" s="2" t="s">
        <v>2623</v>
      </c>
      <c r="B803" s="2" t="s">
        <v>2624</v>
      </c>
      <c r="C803" s="2" t="s">
        <v>2625</v>
      </c>
      <c r="D803" s="2">
        <v>521016327.84</v>
      </c>
      <c r="E803" s="2">
        <v>1</v>
      </c>
      <c r="F803" s="3">
        <f>IF(COUNT(D803,E803)=2,D803*E803,NA())</f>
        <v>521016327.84</v>
      </c>
      <c r="G803" s="2" t="s">
        <v>52</v>
      </c>
      <c r="H803" s="2" t="s">
        <v>53</v>
      </c>
      <c r="I803" s="2" t="s">
        <v>54</v>
      </c>
      <c r="J803" s="2" t="s">
        <v>1296</v>
      </c>
      <c r="K803" s="2" t="s">
        <v>392</v>
      </c>
      <c r="L803" s="2" t="s">
        <v>56</v>
      </c>
      <c r="M803" s="2" t="s">
        <v>393</v>
      </c>
      <c r="N803" s="2" t="s">
        <v>58</v>
      </c>
      <c r="O803" s="2" t="s">
        <v>2596</v>
      </c>
      <c r="P803" s="2" t="s">
        <v>2597</v>
      </c>
      <c r="Q803" s="2" t="s">
        <v>2626</v>
      </c>
      <c r="R803" s="2"/>
    </row>
    <row r="804" spans="1:18">
      <c r="A804" s="2" t="s">
        <v>2627</v>
      </c>
      <c r="B804" s="2" t="s">
        <v>2628</v>
      </c>
      <c r="C804" s="2" t="s">
        <v>2629</v>
      </c>
      <c r="D804" s="2">
        <v>1098.92</v>
      </c>
      <c r="E804" s="2">
        <v>10000</v>
      </c>
      <c r="F804" s="3">
        <f>IF(COUNT(D804,E804)=2,D804*E804,NA())</f>
        <v>10989200.0</v>
      </c>
      <c r="G804" s="2" t="s">
        <v>52</v>
      </c>
      <c r="H804" s="2" t="s">
        <v>53</v>
      </c>
      <c r="I804" s="2" t="s">
        <v>54</v>
      </c>
      <c r="J804" s="2" t="s">
        <v>2630</v>
      </c>
      <c r="K804" s="2"/>
      <c r="L804" s="2" t="s">
        <v>56</v>
      </c>
      <c r="M804" s="2" t="s">
        <v>57</v>
      </c>
      <c r="N804" s="2" t="s">
        <v>58</v>
      </c>
      <c r="O804" s="2" t="s">
        <v>2631</v>
      </c>
      <c r="P804" s="2" t="s">
        <v>2632</v>
      </c>
      <c r="Q804" s="2" t="s">
        <v>2633</v>
      </c>
      <c r="R804" s="2"/>
    </row>
    <row r="805" spans="1:18">
      <c r="A805" s="2" t="s">
        <v>2634</v>
      </c>
      <c r="B805" s="2" t="s">
        <v>2635</v>
      </c>
      <c r="C805" s="2" t="s">
        <v>2629</v>
      </c>
      <c r="D805" s="2">
        <v>5494.62</v>
      </c>
      <c r="E805" s="2">
        <v>10000</v>
      </c>
      <c r="F805" s="3">
        <f>IF(COUNT(D805,E805)=2,D805*E805,NA())</f>
        <v>54946200.0</v>
      </c>
      <c r="G805" s="2" t="s">
        <v>52</v>
      </c>
      <c r="H805" s="2" t="s">
        <v>53</v>
      </c>
      <c r="I805" s="2" t="s">
        <v>54</v>
      </c>
      <c r="J805" s="2" t="s">
        <v>2630</v>
      </c>
      <c r="K805" s="2"/>
      <c r="L805" s="2" t="s">
        <v>56</v>
      </c>
      <c r="M805" s="2" t="s">
        <v>57</v>
      </c>
      <c r="N805" s="2" t="s">
        <v>58</v>
      </c>
      <c r="O805" s="2" t="s">
        <v>2631</v>
      </c>
      <c r="P805" s="2" t="s">
        <v>2632</v>
      </c>
      <c r="Q805" s="2" t="s">
        <v>2636</v>
      </c>
      <c r="R805" s="2"/>
    </row>
    <row r="806" spans="1:18">
      <c r="A806" s="2" t="s">
        <v>2637</v>
      </c>
      <c r="B806" s="2" t="s">
        <v>2638</v>
      </c>
      <c r="C806" s="2" t="s">
        <v>2629</v>
      </c>
      <c r="D806" s="2">
        <v>256706.51</v>
      </c>
      <c r="E806" s="2">
        <v>10000</v>
      </c>
      <c r="F806" s="3">
        <f>IF(COUNT(D806,E806)=2,D806*E806,NA())</f>
        <v>2567065100.0</v>
      </c>
      <c r="G806" s="2" t="s">
        <v>52</v>
      </c>
      <c r="H806" s="2" t="s">
        <v>53</v>
      </c>
      <c r="I806" s="2" t="s">
        <v>54</v>
      </c>
      <c r="J806" s="2" t="s">
        <v>2630</v>
      </c>
      <c r="K806" s="2"/>
      <c r="L806" s="2" t="s">
        <v>56</v>
      </c>
      <c r="M806" s="2" t="s">
        <v>57</v>
      </c>
      <c r="N806" s="2" t="s">
        <v>58</v>
      </c>
      <c r="O806" s="2" t="s">
        <v>2631</v>
      </c>
      <c r="P806" s="2" t="s">
        <v>2632</v>
      </c>
      <c r="Q806" s="2" t="s">
        <v>2639</v>
      </c>
      <c r="R806" s="2"/>
    </row>
    <row r="807" spans="1:18">
      <c r="A807" s="2" t="s">
        <v>2640</v>
      </c>
      <c r="B807" s="2" t="s">
        <v>2641</v>
      </c>
      <c r="C807" s="2" t="s">
        <v>2629</v>
      </c>
      <c r="D807" s="2">
        <v>263300.05</v>
      </c>
      <c r="E807" s="2">
        <v>10000</v>
      </c>
      <c r="F807" s="3">
        <f>IF(COUNT(D807,E807)=2,D807*E807,NA())</f>
        <v>2633000500.0</v>
      </c>
      <c r="G807" s="2" t="s">
        <v>52</v>
      </c>
      <c r="H807" s="2" t="s">
        <v>53</v>
      </c>
      <c r="I807" s="2" t="s">
        <v>54</v>
      </c>
      <c r="J807" s="2" t="s">
        <v>2630</v>
      </c>
      <c r="K807" s="2"/>
      <c r="L807" s="2" t="s">
        <v>56</v>
      </c>
      <c r="M807" s="2" t="s">
        <v>57</v>
      </c>
      <c r="N807" s="2" t="s">
        <v>58</v>
      </c>
      <c r="O807" s="2" t="s">
        <v>2631</v>
      </c>
      <c r="P807" s="2" t="s">
        <v>2632</v>
      </c>
      <c r="Q807" s="2" t="s">
        <v>2642</v>
      </c>
      <c r="R807" s="2"/>
    </row>
    <row r="808" spans="1:18">
      <c r="A808" s="2" t="s">
        <v>2643</v>
      </c>
      <c r="B808" s="2" t="s">
        <v>2644</v>
      </c>
      <c r="C808" s="2" t="s">
        <v>2645</v>
      </c>
      <c r="D808" s="2">
        <v>776896.22</v>
      </c>
      <c r="E808" s="2">
        <v>10000</v>
      </c>
      <c r="F808" s="3">
        <f>IF(COUNT(D808,E808)=2,D808*E808,NA())</f>
        <v>7768962200.0</v>
      </c>
      <c r="G808" s="2" t="s">
        <v>52</v>
      </c>
      <c r="H808" s="2" t="s">
        <v>53</v>
      </c>
      <c r="I808" s="2" t="s">
        <v>54</v>
      </c>
      <c r="J808" s="2" t="s">
        <v>2646</v>
      </c>
      <c r="K808" s="2"/>
      <c r="L808" s="2" t="s">
        <v>2271</v>
      </c>
      <c r="M808" s="2" t="s">
        <v>57</v>
      </c>
      <c r="N808" s="2" t="s">
        <v>58</v>
      </c>
      <c r="O808" s="2" t="s">
        <v>2647</v>
      </c>
      <c r="P808" s="2" t="s">
        <v>2648</v>
      </c>
      <c r="Q808" s="2" t="s">
        <v>2649</v>
      </c>
      <c r="R808" s="2"/>
    </row>
    <row r="809" spans="1:18">
      <c r="A809" s="2" t="s">
        <v>2650</v>
      </c>
      <c r="B809" s="2" t="s">
        <v>2651</v>
      </c>
      <c r="C809" s="2" t="s">
        <v>2645</v>
      </c>
      <c r="D809" s="2">
        <v>532159.58</v>
      </c>
      <c r="E809" s="2">
        <v>10000</v>
      </c>
      <c r="F809" s="3">
        <f>IF(COUNT(D809,E809)=2,D809*E809,NA())</f>
        <v>5321595800.0</v>
      </c>
      <c r="G809" s="2" t="s">
        <v>52</v>
      </c>
      <c r="H809" s="2" t="s">
        <v>53</v>
      </c>
      <c r="I809" s="2" t="s">
        <v>54</v>
      </c>
      <c r="J809" s="2" t="s">
        <v>2646</v>
      </c>
      <c r="K809" s="2"/>
      <c r="L809" s="2" t="s">
        <v>2271</v>
      </c>
      <c r="M809" s="2" t="s">
        <v>57</v>
      </c>
      <c r="N809" s="2" t="s">
        <v>58</v>
      </c>
      <c r="O809" s="2" t="s">
        <v>2647</v>
      </c>
      <c r="P809" s="2" t="s">
        <v>2648</v>
      </c>
      <c r="Q809" s="2" t="s">
        <v>2652</v>
      </c>
      <c r="R809" s="2"/>
    </row>
    <row r="810" spans="1:18">
      <c r="A810" s="2" t="s">
        <v>2653</v>
      </c>
      <c r="B810" s="2" t="s">
        <v>2654</v>
      </c>
      <c r="C810" s="2" t="s">
        <v>2645</v>
      </c>
      <c r="D810" s="2">
        <v>244736.64</v>
      </c>
      <c r="E810" s="2">
        <v>10000</v>
      </c>
      <c r="F810" s="3">
        <f>IF(COUNT(D810,E810)=2,D810*E810,NA())</f>
        <v>2447366400.0</v>
      </c>
      <c r="G810" s="2" t="s">
        <v>52</v>
      </c>
      <c r="H810" s="2" t="s">
        <v>53</v>
      </c>
      <c r="I810" s="2" t="s">
        <v>54</v>
      </c>
      <c r="J810" s="2" t="s">
        <v>2646</v>
      </c>
      <c r="K810" s="2"/>
      <c r="L810" s="2" t="s">
        <v>2271</v>
      </c>
      <c r="M810" s="2" t="s">
        <v>57</v>
      </c>
      <c r="N810" s="2" t="s">
        <v>58</v>
      </c>
      <c r="O810" s="2" t="s">
        <v>2647</v>
      </c>
      <c r="P810" s="2" t="s">
        <v>2648</v>
      </c>
      <c r="Q810" s="2" t="s">
        <v>2655</v>
      </c>
      <c r="R810" s="2"/>
    </row>
    <row r="811" spans="1:18">
      <c r="A811" s="2" t="s">
        <v>2656</v>
      </c>
      <c r="B811" s="2" t="s">
        <v>2657</v>
      </c>
      <c r="C811" s="2" t="s">
        <v>2645</v>
      </c>
      <c r="D811" s="2">
        <v>102133.72</v>
      </c>
      <c r="E811" s="2">
        <v>10000</v>
      </c>
      <c r="F811" s="3">
        <f>IF(COUNT(D811,E811)=2,D811*E811,NA())</f>
        <v>1021337200.0</v>
      </c>
      <c r="G811" s="2" t="s">
        <v>52</v>
      </c>
      <c r="H811" s="2" t="s">
        <v>53</v>
      </c>
      <c r="I811" s="2" t="s">
        <v>54</v>
      </c>
      <c r="J811" s="2" t="s">
        <v>2646</v>
      </c>
      <c r="K811" s="2"/>
      <c r="L811" s="2" t="s">
        <v>2271</v>
      </c>
      <c r="M811" s="2" t="s">
        <v>57</v>
      </c>
      <c r="N811" s="2" t="s">
        <v>58</v>
      </c>
      <c r="O811" s="2" t="s">
        <v>2647</v>
      </c>
      <c r="P811" s="2" t="s">
        <v>2648</v>
      </c>
      <c r="Q811" s="2" t="s">
        <v>161</v>
      </c>
      <c r="R811" s="2"/>
    </row>
    <row r="812" spans="1:18">
      <c r="A812" s="2" t="s">
        <v>2658</v>
      </c>
      <c r="B812" s="2" t="s">
        <v>2659</v>
      </c>
      <c r="C812" s="2" t="s">
        <v>2645</v>
      </c>
      <c r="D812" s="2">
        <v>92394.39999999999</v>
      </c>
      <c r="E812" s="2">
        <v>10000</v>
      </c>
      <c r="F812" s="3">
        <f>IF(COUNT(D812,E812)=2,D812*E812,NA())</f>
        <v>923944000.0</v>
      </c>
      <c r="G812" s="2" t="s">
        <v>52</v>
      </c>
      <c r="H812" s="2" t="s">
        <v>53</v>
      </c>
      <c r="I812" s="2" t="s">
        <v>54</v>
      </c>
      <c r="J812" s="2" t="s">
        <v>2646</v>
      </c>
      <c r="K812" s="2"/>
      <c r="L812" s="2" t="s">
        <v>2271</v>
      </c>
      <c r="M812" s="2" t="s">
        <v>57</v>
      </c>
      <c r="N812" s="2" t="s">
        <v>58</v>
      </c>
      <c r="O812" s="2" t="s">
        <v>2647</v>
      </c>
      <c r="P812" s="2" t="s">
        <v>2648</v>
      </c>
      <c r="Q812" s="2" t="s">
        <v>2660</v>
      </c>
      <c r="R812" s="2"/>
    </row>
    <row r="813" spans="1:18">
      <c r="A813" s="2" t="s">
        <v>2661</v>
      </c>
      <c r="B813" s="2" t="s">
        <v>2662</v>
      </c>
      <c r="C813" s="2" t="s">
        <v>2645</v>
      </c>
      <c r="D813" s="2">
        <v>219800</v>
      </c>
      <c r="E813" s="2">
        <v>10000</v>
      </c>
      <c r="F813" s="3">
        <f>IF(COUNT(D813,E813)=2,D813*E813,NA())</f>
        <v>2198000000.0</v>
      </c>
      <c r="G813" s="2" t="s">
        <v>52</v>
      </c>
      <c r="H813" s="2" t="s">
        <v>53</v>
      </c>
      <c r="I813" s="2" t="s">
        <v>54</v>
      </c>
      <c r="J813" s="2" t="s">
        <v>2646</v>
      </c>
      <c r="K813" s="2"/>
      <c r="L813" s="2" t="s">
        <v>2271</v>
      </c>
      <c r="M813" s="2" t="s">
        <v>57</v>
      </c>
      <c r="N813" s="2" t="s">
        <v>58</v>
      </c>
      <c r="O813" s="2" t="s">
        <v>2647</v>
      </c>
      <c r="P813" s="2" t="s">
        <v>2648</v>
      </c>
      <c r="Q813" s="2" t="s">
        <v>2663</v>
      </c>
      <c r="R813" s="2"/>
    </row>
    <row r="814" spans="1:18">
      <c r="A814" s="2" t="s">
        <v>2664</v>
      </c>
      <c r="B814" s="2" t="s">
        <v>2665</v>
      </c>
      <c r="C814" s="2" t="s">
        <v>2645</v>
      </c>
      <c r="D814" s="2">
        <v>228592</v>
      </c>
      <c r="E814" s="2">
        <v>10000</v>
      </c>
      <c r="F814" s="3">
        <f>IF(COUNT(D814,E814)=2,D814*E814,NA())</f>
        <v>2285920000.0</v>
      </c>
      <c r="G814" s="2" t="s">
        <v>52</v>
      </c>
      <c r="H814" s="2" t="s">
        <v>53</v>
      </c>
      <c r="I814" s="2" t="s">
        <v>54</v>
      </c>
      <c r="J814" s="2" t="s">
        <v>2646</v>
      </c>
      <c r="K814" s="2"/>
      <c r="L814" s="2" t="s">
        <v>2271</v>
      </c>
      <c r="M814" s="2" t="s">
        <v>57</v>
      </c>
      <c r="N814" s="2" t="s">
        <v>58</v>
      </c>
      <c r="O814" s="2" t="s">
        <v>2647</v>
      </c>
      <c r="P814" s="2" t="s">
        <v>2648</v>
      </c>
      <c r="Q814" s="2" t="s">
        <v>2666</v>
      </c>
      <c r="R814" s="2"/>
    </row>
    <row r="815" spans="1:18">
      <c r="A815" s="2" t="s">
        <v>2667</v>
      </c>
      <c r="B815" s="2" t="s">
        <v>2668</v>
      </c>
      <c r="C815" s="2" t="s">
        <v>2326</v>
      </c>
      <c r="D815" s="2">
        <v>115</v>
      </c>
      <c r="E815" s="2">
        <v>0.01</v>
      </c>
      <c r="F815" s="3">
        <f>IF(COUNT(D815,E815)=2,D815*E815,NA())</f>
        <v>1.15</v>
      </c>
      <c r="G815" s="2" t="s">
        <v>1946</v>
      </c>
      <c r="H815" s="2"/>
      <c r="I815" s="2" t="s">
        <v>54</v>
      </c>
      <c r="J815" s="2" t="s">
        <v>2646</v>
      </c>
      <c r="K815" s="2"/>
      <c r="L815" s="2" t="s">
        <v>2271</v>
      </c>
      <c r="M815" s="2" t="s">
        <v>57</v>
      </c>
      <c r="N815" s="2" t="s">
        <v>2110</v>
      </c>
      <c r="O815" s="2" t="s">
        <v>2647</v>
      </c>
      <c r="P815" s="2" t="s">
        <v>2669</v>
      </c>
      <c r="Q815" s="2" t="s">
        <v>2670</v>
      </c>
      <c r="R815" s="2"/>
    </row>
    <row r="816" spans="1:18">
      <c r="A816" s="2" t="s">
        <v>2671</v>
      </c>
      <c r="B816" s="2" t="s">
        <v>2672</v>
      </c>
      <c r="C816" s="2" t="s">
        <v>2673</v>
      </c>
      <c r="D816" s="2">
        <v>79731.36</v>
      </c>
      <c r="E816" s="2">
        <v>10000</v>
      </c>
      <c r="F816" s="3">
        <f>IF(COUNT(D816,E816)=2,D816*E816,NA())</f>
        <v>797313600.0</v>
      </c>
      <c r="G816" s="2" t="s">
        <v>52</v>
      </c>
      <c r="H816" s="2" t="s">
        <v>53</v>
      </c>
      <c r="I816" s="2" t="s">
        <v>54</v>
      </c>
      <c r="J816" s="2" t="s">
        <v>2674</v>
      </c>
      <c r="K816" s="2"/>
      <c r="L816" s="2" t="s">
        <v>56</v>
      </c>
      <c r="M816" s="2" t="s">
        <v>57</v>
      </c>
      <c r="N816" s="2" t="s">
        <v>58</v>
      </c>
      <c r="O816" s="2" t="s">
        <v>2675</v>
      </c>
      <c r="P816" s="2" t="s">
        <v>2676</v>
      </c>
      <c r="Q816" s="2" t="s">
        <v>2677</v>
      </c>
      <c r="R816" s="2"/>
    </row>
    <row r="817" spans="1:18">
      <c r="A817" s="2" t="s">
        <v>2678</v>
      </c>
      <c r="B817" s="2" t="s">
        <v>2679</v>
      </c>
      <c r="C817" s="2" t="s">
        <v>2673</v>
      </c>
      <c r="D817" s="2">
        <v>1408.1</v>
      </c>
      <c r="E817" s="2">
        <v>10000</v>
      </c>
      <c r="F817" s="3">
        <f>IF(COUNT(D817,E817)=2,D817*E817,NA())</f>
        <v>14081000.0</v>
      </c>
      <c r="G817" s="2" t="s">
        <v>52</v>
      </c>
      <c r="H817" s="2" t="s">
        <v>53</v>
      </c>
      <c r="I817" s="2" t="s">
        <v>54</v>
      </c>
      <c r="J817" s="2" t="s">
        <v>2674</v>
      </c>
      <c r="K817" s="2"/>
      <c r="L817" s="2" t="s">
        <v>56</v>
      </c>
      <c r="M817" s="2" t="s">
        <v>57</v>
      </c>
      <c r="N817" s="2" t="s">
        <v>58</v>
      </c>
      <c r="O817" s="2" t="s">
        <v>2675</v>
      </c>
      <c r="P817" s="2" t="s">
        <v>2680</v>
      </c>
      <c r="Q817" s="2" t="s">
        <v>2681</v>
      </c>
      <c r="R817" s="2"/>
    </row>
    <row r="818" spans="1:18">
      <c r="A818" s="2" t="s">
        <v>2682</v>
      </c>
      <c r="B818" s="2" t="s">
        <v>2683</v>
      </c>
      <c r="C818" s="2" t="s">
        <v>2673</v>
      </c>
      <c r="D818" s="2">
        <v>28000</v>
      </c>
      <c r="E818" s="2">
        <v>10000</v>
      </c>
      <c r="F818" s="3">
        <f>IF(COUNT(D818,E818)=2,D818*E818,NA())</f>
        <v>280000000.0</v>
      </c>
      <c r="G818" s="2" t="s">
        <v>52</v>
      </c>
      <c r="H818" s="2" t="s">
        <v>53</v>
      </c>
      <c r="I818" s="2" t="s">
        <v>54</v>
      </c>
      <c r="J818" s="2" t="s">
        <v>2674</v>
      </c>
      <c r="K818" s="2"/>
      <c r="L818" s="2" t="s">
        <v>56</v>
      </c>
      <c r="M818" s="2" t="s">
        <v>57</v>
      </c>
      <c r="N818" s="2" t="s">
        <v>58</v>
      </c>
      <c r="O818" s="2" t="s">
        <v>2675</v>
      </c>
      <c r="P818" s="2" t="s">
        <v>2676</v>
      </c>
      <c r="Q818" s="2" t="s">
        <v>2684</v>
      </c>
      <c r="R818" s="2"/>
    </row>
    <row r="819" spans="1:18">
      <c r="A819" s="2" t="s">
        <v>2685</v>
      </c>
      <c r="B819" s="2" t="s">
        <v>2686</v>
      </c>
      <c r="C819" s="2" t="s">
        <v>2673</v>
      </c>
      <c r="D819" s="2">
        <v>3793.83</v>
      </c>
      <c r="E819" s="2">
        <v>10000</v>
      </c>
      <c r="F819" s="3">
        <f>IF(COUNT(D819,E819)=2,D819*E819,NA())</f>
        <v>37938300.0</v>
      </c>
      <c r="G819" s="2" t="s">
        <v>52</v>
      </c>
      <c r="H819" s="2" t="s">
        <v>53</v>
      </c>
      <c r="I819" s="2" t="s">
        <v>54</v>
      </c>
      <c r="J819" s="2" t="s">
        <v>2674</v>
      </c>
      <c r="K819" s="2"/>
      <c r="L819" s="2" t="s">
        <v>56</v>
      </c>
      <c r="M819" s="2" t="s">
        <v>57</v>
      </c>
      <c r="N819" s="2" t="s">
        <v>58</v>
      </c>
      <c r="O819" s="2" t="s">
        <v>2675</v>
      </c>
      <c r="P819" s="2" t="s">
        <v>2680</v>
      </c>
      <c r="Q819" s="2" t="s">
        <v>2687</v>
      </c>
      <c r="R819" s="2"/>
    </row>
    <row r="820" spans="1:18">
      <c r="A820" s="2" t="s">
        <v>2688</v>
      </c>
      <c r="B820" s="2" t="s">
        <v>2689</v>
      </c>
      <c r="C820" s="2" t="s">
        <v>2673</v>
      </c>
      <c r="D820" s="2">
        <v>19000</v>
      </c>
      <c r="E820" s="2">
        <v>10000</v>
      </c>
      <c r="F820" s="3">
        <f>IF(COUNT(D820,E820)=2,D820*E820,NA())</f>
        <v>190000000.0</v>
      </c>
      <c r="G820" s="2" t="s">
        <v>52</v>
      </c>
      <c r="H820" s="2" t="s">
        <v>53</v>
      </c>
      <c r="I820" s="2" t="s">
        <v>54</v>
      </c>
      <c r="J820" s="2" t="s">
        <v>2674</v>
      </c>
      <c r="K820" s="2"/>
      <c r="L820" s="2" t="s">
        <v>56</v>
      </c>
      <c r="M820" s="2" t="s">
        <v>57</v>
      </c>
      <c r="N820" s="2" t="s">
        <v>58</v>
      </c>
      <c r="O820" s="2" t="s">
        <v>2675</v>
      </c>
      <c r="P820" s="2" t="s">
        <v>2676</v>
      </c>
      <c r="Q820" s="2" t="s">
        <v>2690</v>
      </c>
      <c r="R820" s="2"/>
    </row>
    <row r="821" spans="1:18">
      <c r="A821" s="2" t="s">
        <v>2691</v>
      </c>
      <c r="B821" s="2" t="s">
        <v>2692</v>
      </c>
      <c r="C821" s="2" t="s">
        <v>2673</v>
      </c>
      <c r="D821" s="2">
        <v>1170.71</v>
      </c>
      <c r="E821" s="2">
        <v>10000</v>
      </c>
      <c r="F821" s="3">
        <f>IF(COUNT(D821,E821)=2,D821*E821,NA())</f>
        <v>11707100.0</v>
      </c>
      <c r="G821" s="2" t="s">
        <v>52</v>
      </c>
      <c r="H821" s="2" t="s">
        <v>53</v>
      </c>
      <c r="I821" s="2" t="s">
        <v>54</v>
      </c>
      <c r="J821" s="2" t="s">
        <v>2674</v>
      </c>
      <c r="K821" s="2"/>
      <c r="L821" s="2" t="s">
        <v>56</v>
      </c>
      <c r="M821" s="2" t="s">
        <v>57</v>
      </c>
      <c r="N821" s="2" t="s">
        <v>58</v>
      </c>
      <c r="O821" s="2" t="s">
        <v>2675</v>
      </c>
      <c r="P821" s="2" t="s">
        <v>2680</v>
      </c>
      <c r="Q821" s="2" t="s">
        <v>2693</v>
      </c>
      <c r="R821" s="2"/>
    </row>
    <row r="822" spans="1:18">
      <c r="A822" s="2" t="s">
        <v>2694</v>
      </c>
      <c r="B822" s="2" t="s">
        <v>2695</v>
      </c>
      <c r="C822" s="2" t="s">
        <v>2673</v>
      </c>
      <c r="D822" s="2">
        <v>26000</v>
      </c>
      <c r="E822" s="2">
        <v>10000</v>
      </c>
      <c r="F822" s="3">
        <f>IF(COUNT(D822,E822)=2,D822*E822,NA())</f>
        <v>260000000.0</v>
      </c>
      <c r="G822" s="2" t="s">
        <v>52</v>
      </c>
      <c r="H822" s="2" t="s">
        <v>53</v>
      </c>
      <c r="I822" s="2" t="s">
        <v>54</v>
      </c>
      <c r="J822" s="2" t="s">
        <v>2674</v>
      </c>
      <c r="K822" s="2"/>
      <c r="L822" s="2" t="s">
        <v>56</v>
      </c>
      <c r="M822" s="2" t="s">
        <v>57</v>
      </c>
      <c r="N822" s="2" t="s">
        <v>58</v>
      </c>
      <c r="O822" s="2" t="s">
        <v>2675</v>
      </c>
      <c r="P822" s="2" t="s">
        <v>2676</v>
      </c>
      <c r="Q822" s="2" t="s">
        <v>2696</v>
      </c>
      <c r="R822" s="2"/>
    </row>
    <row r="823" spans="1:18">
      <c r="A823" s="2" t="s">
        <v>2697</v>
      </c>
      <c r="B823" s="2" t="s">
        <v>2698</v>
      </c>
      <c r="C823" s="2" t="s">
        <v>2673</v>
      </c>
      <c r="D823" s="2">
        <v>12913.21</v>
      </c>
      <c r="E823" s="2">
        <v>10000</v>
      </c>
      <c r="F823" s="3">
        <f>IF(COUNT(D823,E823)=2,D823*E823,NA())</f>
        <v>129132100.0</v>
      </c>
      <c r="G823" s="2" t="s">
        <v>52</v>
      </c>
      <c r="H823" s="2" t="s">
        <v>53</v>
      </c>
      <c r="I823" s="2" t="s">
        <v>54</v>
      </c>
      <c r="J823" s="2" t="s">
        <v>2674</v>
      </c>
      <c r="K823" s="2"/>
      <c r="L823" s="2" t="s">
        <v>56</v>
      </c>
      <c r="M823" s="2" t="s">
        <v>57</v>
      </c>
      <c r="N823" s="2" t="s">
        <v>58</v>
      </c>
      <c r="O823" s="2" t="s">
        <v>2675</v>
      </c>
      <c r="P823" s="2" t="s">
        <v>2680</v>
      </c>
      <c r="Q823" s="2" t="s">
        <v>2699</v>
      </c>
      <c r="R823" s="2"/>
    </row>
    <row r="824" spans="1:18">
      <c r="A824" s="2" t="s">
        <v>2700</v>
      </c>
      <c r="B824" s="2" t="s">
        <v>2701</v>
      </c>
      <c r="C824" s="2" t="s">
        <v>2673</v>
      </c>
      <c r="D824" s="2">
        <v>65400</v>
      </c>
      <c r="E824" s="2">
        <v>10000</v>
      </c>
      <c r="F824" s="3">
        <f>IF(COUNT(D824,E824)=2,D824*E824,NA())</f>
        <v>654000000.0</v>
      </c>
      <c r="G824" s="2" t="s">
        <v>52</v>
      </c>
      <c r="H824" s="2" t="s">
        <v>53</v>
      </c>
      <c r="I824" s="2" t="s">
        <v>54</v>
      </c>
      <c r="J824" s="2" t="s">
        <v>2674</v>
      </c>
      <c r="K824" s="2"/>
      <c r="L824" s="2" t="s">
        <v>56</v>
      </c>
      <c r="M824" s="2" t="s">
        <v>57</v>
      </c>
      <c r="N824" s="2" t="s">
        <v>58</v>
      </c>
      <c r="O824" s="2" t="s">
        <v>2675</v>
      </c>
      <c r="P824" s="2" t="s">
        <v>2702</v>
      </c>
      <c r="Q824" s="2" t="s">
        <v>2703</v>
      </c>
      <c r="R824" s="2"/>
    </row>
    <row r="825" spans="1:18">
      <c r="A825" s="2" t="s">
        <v>2704</v>
      </c>
      <c r="B825" s="2" t="s">
        <v>2705</v>
      </c>
      <c r="C825" s="2" t="s">
        <v>2397</v>
      </c>
      <c r="D825" s="2">
        <v>650000000</v>
      </c>
      <c r="E825" s="2">
        <v>1</v>
      </c>
      <c r="F825" s="3">
        <f>IF(COUNT(D825,E825)=2,D825*E825,NA())</f>
        <v>650000000.0</v>
      </c>
      <c r="G825" s="2" t="s">
        <v>52</v>
      </c>
      <c r="H825" s="2" t="s">
        <v>53</v>
      </c>
      <c r="I825" s="2" t="s">
        <v>54</v>
      </c>
      <c r="J825" s="2" t="s">
        <v>2706</v>
      </c>
      <c r="K825" s="2"/>
      <c r="L825" s="2" t="s">
        <v>2707</v>
      </c>
      <c r="M825" s="2" t="s">
        <v>57</v>
      </c>
      <c r="N825" s="2" t="s">
        <v>2110</v>
      </c>
      <c r="O825" s="2" t="s">
        <v>2708</v>
      </c>
      <c r="P825" s="2" t="s">
        <v>2709</v>
      </c>
      <c r="Q825" s="2" t="s">
        <v>2710</v>
      </c>
      <c r="R825" s="2"/>
    </row>
    <row r="826" spans="1:18">
      <c r="A826" s="2" t="s">
        <v>2711</v>
      </c>
      <c r="B826" s="2" t="s">
        <v>2712</v>
      </c>
      <c r="C826" s="2" t="s">
        <v>2713</v>
      </c>
      <c r="D826" s="2">
        <v>3116316201.72</v>
      </c>
      <c r="E826" s="2">
        <v>1</v>
      </c>
      <c r="F826" s="3">
        <f>IF(COUNT(D826,E826)=2,D826*E826,NA())</f>
        <v>3116316201.72</v>
      </c>
      <c r="G826" s="2" t="s">
        <v>52</v>
      </c>
      <c r="H826" s="2" t="s">
        <v>53</v>
      </c>
      <c r="I826" s="2" t="s">
        <v>54</v>
      </c>
      <c r="J826" s="2" t="s">
        <v>2714</v>
      </c>
      <c r="K826" s="2" t="s">
        <v>392</v>
      </c>
      <c r="L826" s="2" t="s">
        <v>2522</v>
      </c>
      <c r="M826" s="2" t="s">
        <v>393</v>
      </c>
      <c r="N826" s="2" t="s">
        <v>58</v>
      </c>
      <c r="O826" s="2" t="s">
        <v>2715</v>
      </c>
      <c r="P826" s="2" t="s">
        <v>2716</v>
      </c>
      <c r="Q826" s="2" t="s">
        <v>2717</v>
      </c>
      <c r="R826" s="2"/>
    </row>
    <row r="827" spans="1:18">
      <c r="A827" s="2" t="s">
        <v>2718</v>
      </c>
      <c r="B827" s="2" t="s">
        <v>2719</v>
      </c>
      <c r="C827" s="2" t="s">
        <v>2713</v>
      </c>
      <c r="D827" s="2">
        <v>117263659.93</v>
      </c>
      <c r="E827" s="2">
        <v>1</v>
      </c>
      <c r="F827" s="3">
        <f>IF(COUNT(D827,E827)=2,D827*E827,NA())</f>
        <v>117263659.93</v>
      </c>
      <c r="G827" s="2" t="s">
        <v>52</v>
      </c>
      <c r="H827" s="2" t="s">
        <v>53</v>
      </c>
      <c r="I827" s="2" t="s">
        <v>54</v>
      </c>
      <c r="J827" s="2" t="s">
        <v>2714</v>
      </c>
      <c r="K827" s="2" t="s">
        <v>392</v>
      </c>
      <c r="L827" s="2" t="s">
        <v>2522</v>
      </c>
      <c r="M827" s="2" t="s">
        <v>393</v>
      </c>
      <c r="N827" s="2" t="s">
        <v>58</v>
      </c>
      <c r="O827" s="2" t="s">
        <v>2715</v>
      </c>
      <c r="P827" s="2" t="s">
        <v>2716</v>
      </c>
      <c r="Q827" s="2" t="s">
        <v>2720</v>
      </c>
      <c r="R827" s="2"/>
    </row>
    <row r="828" spans="1:18">
      <c r="A828" s="2" t="s">
        <v>2721</v>
      </c>
      <c r="B828" s="2" t="s">
        <v>2722</v>
      </c>
      <c r="C828" s="2" t="s">
        <v>2713</v>
      </c>
      <c r="D828" s="2">
        <v>3030340600.46</v>
      </c>
      <c r="E828" s="2">
        <v>1</v>
      </c>
      <c r="F828" s="3">
        <f>IF(COUNT(D828,E828)=2,D828*E828,NA())</f>
        <v>3030340600.46</v>
      </c>
      <c r="G828" s="2" t="s">
        <v>52</v>
      </c>
      <c r="H828" s="2" t="s">
        <v>53</v>
      </c>
      <c r="I828" s="2" t="s">
        <v>54</v>
      </c>
      <c r="J828" s="2" t="s">
        <v>2714</v>
      </c>
      <c r="K828" s="2" t="s">
        <v>392</v>
      </c>
      <c r="L828" s="2" t="s">
        <v>2522</v>
      </c>
      <c r="M828" s="2" t="s">
        <v>393</v>
      </c>
      <c r="N828" s="2" t="s">
        <v>58</v>
      </c>
      <c r="O828" s="2" t="s">
        <v>2715</v>
      </c>
      <c r="P828" s="2" t="s">
        <v>2716</v>
      </c>
      <c r="Q828" s="2" t="s">
        <v>2723</v>
      </c>
      <c r="R828" s="2"/>
    </row>
    <row r="829" spans="1:18">
      <c r="A829" s="2" t="s">
        <v>2724</v>
      </c>
      <c r="B829" s="2" t="s">
        <v>2725</v>
      </c>
      <c r="C829" s="2" t="s">
        <v>2713</v>
      </c>
      <c r="D829" s="2">
        <v>401629422.52</v>
      </c>
      <c r="E829" s="2">
        <v>1</v>
      </c>
      <c r="F829" s="3">
        <f>IF(COUNT(D829,E829)=2,D829*E829,NA())</f>
        <v>401629422.52</v>
      </c>
      <c r="G829" s="2" t="s">
        <v>52</v>
      </c>
      <c r="H829" s="2" t="s">
        <v>53</v>
      </c>
      <c r="I829" s="2" t="s">
        <v>54</v>
      </c>
      <c r="J829" s="2" t="s">
        <v>2714</v>
      </c>
      <c r="K829" s="2" t="s">
        <v>392</v>
      </c>
      <c r="L829" s="2" t="s">
        <v>2522</v>
      </c>
      <c r="M829" s="2" t="s">
        <v>393</v>
      </c>
      <c r="N829" s="2" t="s">
        <v>58</v>
      </c>
      <c r="O829" s="2" t="s">
        <v>2715</v>
      </c>
      <c r="P829" s="2" t="s">
        <v>2716</v>
      </c>
      <c r="Q829" s="2" t="s">
        <v>2726</v>
      </c>
      <c r="R829" s="2"/>
    </row>
    <row r="830" spans="1:18">
      <c r="A830" s="2" t="s">
        <v>2727</v>
      </c>
      <c r="B830" s="2" t="s">
        <v>2728</v>
      </c>
      <c r="C830" s="2" t="s">
        <v>2713</v>
      </c>
      <c r="D830" s="2">
        <v>175817108.19</v>
      </c>
      <c r="E830" s="2">
        <v>1</v>
      </c>
      <c r="F830" s="3">
        <f>IF(COUNT(D830,E830)=2,D830*E830,NA())</f>
        <v>175817108.19</v>
      </c>
      <c r="G830" s="2" t="s">
        <v>52</v>
      </c>
      <c r="H830" s="2" t="s">
        <v>53</v>
      </c>
      <c r="I830" s="2" t="s">
        <v>54</v>
      </c>
      <c r="J830" s="2" t="s">
        <v>2714</v>
      </c>
      <c r="K830" s="2" t="s">
        <v>392</v>
      </c>
      <c r="L830" s="2" t="s">
        <v>2522</v>
      </c>
      <c r="M830" s="2" t="s">
        <v>393</v>
      </c>
      <c r="N830" s="2" t="s">
        <v>58</v>
      </c>
      <c r="O830" s="2" t="s">
        <v>2715</v>
      </c>
      <c r="P830" s="2" t="s">
        <v>2716</v>
      </c>
      <c r="Q830" s="2" t="s">
        <v>2729</v>
      </c>
      <c r="R830" s="2"/>
    </row>
    <row r="831" spans="1:18">
      <c r="A831" s="2" t="s">
        <v>2730</v>
      </c>
      <c r="B831" s="2" t="s">
        <v>2731</v>
      </c>
      <c r="C831" s="2" t="s">
        <v>2713</v>
      </c>
      <c r="D831" s="2">
        <v>186965076.93</v>
      </c>
      <c r="E831" s="2">
        <v>1</v>
      </c>
      <c r="F831" s="3">
        <f>IF(COUNT(D831,E831)=2,D831*E831,NA())</f>
        <v>186965076.93</v>
      </c>
      <c r="G831" s="2" t="s">
        <v>52</v>
      </c>
      <c r="H831" s="2" t="s">
        <v>53</v>
      </c>
      <c r="I831" s="2" t="s">
        <v>54</v>
      </c>
      <c r="J831" s="2" t="s">
        <v>2714</v>
      </c>
      <c r="K831" s="2" t="s">
        <v>392</v>
      </c>
      <c r="L831" s="2" t="s">
        <v>2522</v>
      </c>
      <c r="M831" s="2" t="s">
        <v>393</v>
      </c>
      <c r="N831" s="2" t="s">
        <v>58</v>
      </c>
      <c r="O831" s="2" t="s">
        <v>2715</v>
      </c>
      <c r="P831" s="2" t="s">
        <v>2716</v>
      </c>
      <c r="Q831" s="2" t="s">
        <v>2732</v>
      </c>
      <c r="R831" s="2"/>
    </row>
    <row r="832" spans="1:18">
      <c r="A832" s="2" t="s">
        <v>2733</v>
      </c>
      <c r="B832" s="2" t="s">
        <v>2734</v>
      </c>
      <c r="C832" s="2" t="s">
        <v>2713</v>
      </c>
      <c r="D832" s="2">
        <v>132437094.72</v>
      </c>
      <c r="E832" s="2">
        <v>1</v>
      </c>
      <c r="F832" s="3">
        <f>IF(COUNT(D832,E832)=2,D832*E832,NA())</f>
        <v>132437094.72</v>
      </c>
      <c r="G832" s="2" t="s">
        <v>52</v>
      </c>
      <c r="H832" s="2" t="s">
        <v>53</v>
      </c>
      <c r="I832" s="2" t="s">
        <v>54</v>
      </c>
      <c r="J832" s="2" t="s">
        <v>2714</v>
      </c>
      <c r="K832" s="2" t="s">
        <v>392</v>
      </c>
      <c r="L832" s="2" t="s">
        <v>2522</v>
      </c>
      <c r="M832" s="2" t="s">
        <v>393</v>
      </c>
      <c r="N832" s="2" t="s">
        <v>58</v>
      </c>
      <c r="O832" s="2" t="s">
        <v>2715</v>
      </c>
      <c r="P832" s="2" t="s">
        <v>2716</v>
      </c>
      <c r="Q832" s="2" t="s">
        <v>2735</v>
      </c>
      <c r="R832" s="2"/>
    </row>
    <row r="833" spans="1:18">
      <c r="A833" s="2" t="s">
        <v>2736</v>
      </c>
      <c r="B833" s="2" t="s">
        <v>2737</v>
      </c>
      <c r="C833" s="2" t="s">
        <v>2713</v>
      </c>
      <c r="D833" s="2">
        <v>-561172346.45</v>
      </c>
      <c r="E833" s="2">
        <v>1</v>
      </c>
      <c r="F833" s="3">
        <f>IF(COUNT(D833,E833)=2,D833*E833,NA())</f>
        <v>-561172346.45</v>
      </c>
      <c r="G833" s="2" t="s">
        <v>52</v>
      </c>
      <c r="H833" s="2" t="s">
        <v>53</v>
      </c>
      <c r="I833" s="2" t="s">
        <v>54</v>
      </c>
      <c r="J833" s="2" t="s">
        <v>2714</v>
      </c>
      <c r="K833" s="2" t="s">
        <v>392</v>
      </c>
      <c r="L833" s="2" t="s">
        <v>2522</v>
      </c>
      <c r="M833" s="2" t="s">
        <v>393</v>
      </c>
      <c r="N833" s="2" t="s">
        <v>58</v>
      </c>
      <c r="O833" s="2" t="s">
        <v>2715</v>
      </c>
      <c r="P833" s="2" t="s">
        <v>2716</v>
      </c>
      <c r="Q833" s="2" t="s">
        <v>2738</v>
      </c>
      <c r="R833" s="2"/>
    </row>
    <row r="834" spans="1:18">
      <c r="A834" s="2" t="s">
        <v>2739</v>
      </c>
      <c r="B834" s="2" t="s">
        <v>2740</v>
      </c>
      <c r="C834" s="2" t="s">
        <v>2713</v>
      </c>
      <c r="D834" s="2">
        <v>3233579861.65</v>
      </c>
      <c r="E834" s="2">
        <v>1</v>
      </c>
      <c r="F834" s="3">
        <f>IF(COUNT(D834,E834)=2,D834*E834,NA())</f>
        <v>3233579861.65</v>
      </c>
      <c r="G834" s="2" t="s">
        <v>52</v>
      </c>
      <c r="H834" s="2" t="s">
        <v>53</v>
      </c>
      <c r="I834" s="2" t="s">
        <v>54</v>
      </c>
      <c r="J834" s="2" t="s">
        <v>2714</v>
      </c>
      <c r="K834" s="2" t="s">
        <v>392</v>
      </c>
      <c r="L834" s="2" t="s">
        <v>2522</v>
      </c>
      <c r="M834" s="2" t="s">
        <v>393</v>
      </c>
      <c r="N834" s="2" t="s">
        <v>58</v>
      </c>
      <c r="O834" s="2" t="s">
        <v>2715</v>
      </c>
      <c r="P834" s="2" t="s">
        <v>2716</v>
      </c>
      <c r="Q834" s="2" t="s">
        <v>2741</v>
      </c>
      <c r="R834" s="2"/>
    </row>
    <row r="835" spans="1:18">
      <c r="A835" s="2" t="s">
        <v>2742</v>
      </c>
      <c r="B835" s="2" t="s">
        <v>2743</v>
      </c>
      <c r="C835" s="2" t="s">
        <v>2713</v>
      </c>
      <c r="D835" s="2">
        <v>3794752208.1</v>
      </c>
      <c r="E835" s="2">
        <v>1</v>
      </c>
      <c r="F835" s="3">
        <f>IF(COUNT(D835,E835)=2,D835*E835,NA())</f>
        <v>3794752208.1</v>
      </c>
      <c r="G835" s="2" t="s">
        <v>52</v>
      </c>
      <c r="H835" s="2" t="s">
        <v>53</v>
      </c>
      <c r="I835" s="2" t="s">
        <v>54</v>
      </c>
      <c r="J835" s="2" t="s">
        <v>2714</v>
      </c>
      <c r="K835" s="2" t="s">
        <v>392</v>
      </c>
      <c r="L835" s="2" t="s">
        <v>2522</v>
      </c>
      <c r="M835" s="2" t="s">
        <v>393</v>
      </c>
      <c r="N835" s="2" t="s">
        <v>58</v>
      </c>
      <c r="O835" s="2" t="s">
        <v>2715</v>
      </c>
      <c r="P835" s="2" t="s">
        <v>2716</v>
      </c>
      <c r="Q835" s="2" t="s">
        <v>2744</v>
      </c>
      <c r="R835" s="2"/>
    </row>
    <row r="836" spans="1:18">
      <c r="A836" s="2" t="s">
        <v>2745</v>
      </c>
      <c r="B836" s="2" t="s">
        <v>2746</v>
      </c>
      <c r="C836" s="2" t="s">
        <v>2747</v>
      </c>
      <c r="D836" s="2">
        <v>1087008498.69</v>
      </c>
      <c r="E836" s="2">
        <v>1</v>
      </c>
      <c r="F836" s="3">
        <f>IF(COUNT(D836,E836)=2,D836*E836,NA())</f>
        <v>1087008498.69</v>
      </c>
      <c r="G836" s="2" t="s">
        <v>52</v>
      </c>
      <c r="H836" s="2" t="s">
        <v>53</v>
      </c>
      <c r="I836" s="2" t="s">
        <v>54</v>
      </c>
      <c r="J836" s="2" t="s">
        <v>1296</v>
      </c>
      <c r="K836" s="2"/>
      <c r="L836" s="2" t="s">
        <v>2522</v>
      </c>
      <c r="M836" s="2" t="s">
        <v>57</v>
      </c>
      <c r="N836" s="2" t="s">
        <v>58</v>
      </c>
      <c r="O836" s="2" t="s">
        <v>2748</v>
      </c>
      <c r="P836" s="2" t="s">
        <v>2749</v>
      </c>
      <c r="Q836" s="2" t="s">
        <v>2750</v>
      </c>
      <c r="R836" s="2"/>
    </row>
    <row r="837" spans="1:18">
      <c r="A837" s="2" t="s">
        <v>2751</v>
      </c>
      <c r="B837" s="2" t="s">
        <v>2752</v>
      </c>
      <c r="C837" s="2" t="s">
        <v>2753</v>
      </c>
      <c r="D837" s="2">
        <v>9190290.66</v>
      </c>
      <c r="E837" s="2">
        <v>1</v>
      </c>
      <c r="F837" s="3">
        <f>IF(COUNT(D837,E837)=2,D837*E837,NA())</f>
        <v>9190290.66</v>
      </c>
      <c r="G837" s="2" t="s">
        <v>52</v>
      </c>
      <c r="H837" s="2" t="s">
        <v>53</v>
      </c>
      <c r="I837" s="2" t="s">
        <v>54</v>
      </c>
      <c r="J837" s="2" t="s">
        <v>2754</v>
      </c>
      <c r="K837" s="2"/>
      <c r="L837" s="2" t="s">
        <v>2755</v>
      </c>
      <c r="M837" s="2" t="s">
        <v>57</v>
      </c>
      <c r="N837" s="2" t="s">
        <v>58</v>
      </c>
      <c r="O837" s="2" t="s">
        <v>2756</v>
      </c>
      <c r="P837" s="2" t="s">
        <v>2757</v>
      </c>
      <c r="Q837" s="2" t="s">
        <v>2758</v>
      </c>
      <c r="R837" s="2"/>
    </row>
    <row r="838" spans="1:18">
      <c r="A838" s="2" t="s">
        <v>2759</v>
      </c>
      <c r="B838" s="2" t="s">
        <v>2760</v>
      </c>
      <c r="C838" s="2" t="s">
        <v>2761</v>
      </c>
      <c r="D838" s="2">
        <v>9637800.960000001</v>
      </c>
      <c r="E838" s="2">
        <v>1</v>
      </c>
      <c r="F838" s="3">
        <f>IF(COUNT(D838,E838)=2,D838*E838,NA())</f>
        <v>9637800.96</v>
      </c>
      <c r="G838" s="2" t="s">
        <v>52</v>
      </c>
      <c r="H838" s="2" t="s">
        <v>53</v>
      </c>
      <c r="I838" s="2" t="s">
        <v>54</v>
      </c>
      <c r="J838" s="2" t="s">
        <v>2754</v>
      </c>
      <c r="K838" s="2"/>
      <c r="L838" s="2" t="s">
        <v>2762</v>
      </c>
      <c r="M838" s="2" t="s">
        <v>57</v>
      </c>
      <c r="N838" s="2" t="s">
        <v>58</v>
      </c>
      <c r="O838" s="2" t="s">
        <v>2763</v>
      </c>
      <c r="P838" s="2" t="s">
        <v>2757</v>
      </c>
      <c r="Q838" s="2" t="s">
        <v>2764</v>
      </c>
      <c r="R838" s="2"/>
    </row>
    <row r="839" spans="1:18">
      <c r="A839" s="2" t="s">
        <v>2765</v>
      </c>
      <c r="B839" s="2" t="s">
        <v>2766</v>
      </c>
      <c r="C839" s="2" t="s">
        <v>2753</v>
      </c>
      <c r="D839" s="2">
        <v>-1135150.31</v>
      </c>
      <c r="E839" s="2">
        <v>1</v>
      </c>
      <c r="F839" s="3">
        <f>IF(COUNT(D839,E839)=2,D839*E839,NA())</f>
        <v>-1135150.31</v>
      </c>
      <c r="G839" s="2" t="s">
        <v>52</v>
      </c>
      <c r="H839" s="2" t="s">
        <v>53</v>
      </c>
      <c r="I839" s="2" t="s">
        <v>54</v>
      </c>
      <c r="J839" s="2" t="s">
        <v>2754</v>
      </c>
      <c r="K839" s="2" t="s">
        <v>392</v>
      </c>
      <c r="L839" s="2" t="s">
        <v>2755</v>
      </c>
      <c r="M839" s="2" t="s">
        <v>393</v>
      </c>
      <c r="N839" s="2" t="s">
        <v>58</v>
      </c>
      <c r="O839" s="2" t="s">
        <v>2756</v>
      </c>
      <c r="P839" s="2" t="s">
        <v>2757</v>
      </c>
      <c r="Q839" s="2" t="s">
        <v>2767</v>
      </c>
      <c r="R839" s="2"/>
    </row>
    <row r="840" spans="1:18">
      <c r="A840" s="2" t="s">
        <v>2768</v>
      </c>
      <c r="B840" s="2" t="s">
        <v>2769</v>
      </c>
      <c r="C840" s="2" t="s">
        <v>2761</v>
      </c>
      <c r="D840" s="2">
        <v>-302696.79</v>
      </c>
      <c r="E840" s="2">
        <v>1</v>
      </c>
      <c r="F840" s="3">
        <f>IF(COUNT(D840,E840)=2,D840*E840,NA())</f>
        <v>-302696.79</v>
      </c>
      <c r="G840" s="2" t="s">
        <v>52</v>
      </c>
      <c r="H840" s="2" t="s">
        <v>53</v>
      </c>
      <c r="I840" s="2" t="s">
        <v>54</v>
      </c>
      <c r="J840" s="2" t="s">
        <v>2754</v>
      </c>
      <c r="K840" s="2" t="s">
        <v>392</v>
      </c>
      <c r="L840" s="2" t="s">
        <v>2762</v>
      </c>
      <c r="M840" s="2" t="s">
        <v>393</v>
      </c>
      <c r="N840" s="2" t="s">
        <v>58</v>
      </c>
      <c r="O840" s="2" t="s">
        <v>2763</v>
      </c>
      <c r="P840" s="2" t="s">
        <v>2757</v>
      </c>
      <c r="Q840" s="2" t="s">
        <v>2770</v>
      </c>
      <c r="R840" s="2"/>
    </row>
    <row r="841" spans="1:18">
      <c r="A841" s="2" t="s">
        <v>2771</v>
      </c>
      <c r="B841" s="2" t="s">
        <v>2772</v>
      </c>
      <c r="C841" s="2" t="s">
        <v>2773</v>
      </c>
      <c r="D841" s="2">
        <v>2328727798.48</v>
      </c>
      <c r="E841" s="2">
        <v>1</v>
      </c>
      <c r="F841" s="3">
        <f>IF(COUNT(D841,E841)=2,D841*E841,NA())</f>
        <v>2328727798.48</v>
      </c>
      <c r="G841" s="2" t="s">
        <v>52</v>
      </c>
      <c r="H841" s="2" t="s">
        <v>53</v>
      </c>
      <c r="I841" s="2" t="s">
        <v>54</v>
      </c>
      <c r="J841" s="2" t="s">
        <v>55</v>
      </c>
      <c r="K841" s="2"/>
      <c r="L841" s="2" t="s">
        <v>63</v>
      </c>
      <c r="M841" s="2" t="s">
        <v>57</v>
      </c>
      <c r="N841" s="2" t="s">
        <v>58</v>
      </c>
      <c r="O841" s="2" t="s">
        <v>2774</v>
      </c>
      <c r="P841" s="2" t="s">
        <v>2757</v>
      </c>
      <c r="Q841" s="2" t="s">
        <v>2775</v>
      </c>
      <c r="R841" s="2"/>
    </row>
    <row r="842" spans="1:18">
      <c r="A842" s="2" t="s">
        <v>2776</v>
      </c>
      <c r="B842" s="2" t="s">
        <v>2777</v>
      </c>
      <c r="C842" s="2" t="s">
        <v>2753</v>
      </c>
      <c r="D842" s="2">
        <v>2329561219.72</v>
      </c>
      <c r="E842" s="2">
        <v>1</v>
      </c>
      <c r="F842" s="3">
        <f>IF(COUNT(D842,E842)=2,D842*E842,NA())</f>
        <v>2329561219.72</v>
      </c>
      <c r="G842" s="2" t="s">
        <v>52</v>
      </c>
      <c r="H842" s="2" t="s">
        <v>53</v>
      </c>
      <c r="I842" s="2" t="s">
        <v>54</v>
      </c>
      <c r="J842" s="2" t="s">
        <v>55</v>
      </c>
      <c r="K842" s="2"/>
      <c r="L842" s="2" t="s">
        <v>63</v>
      </c>
      <c r="M842" s="2" t="s">
        <v>57</v>
      </c>
      <c r="N842" s="2" t="s">
        <v>58</v>
      </c>
      <c r="O842" s="2" t="s">
        <v>2715</v>
      </c>
      <c r="P842" s="2" t="s">
        <v>2757</v>
      </c>
      <c r="Q842" s="2" t="s">
        <v>2778</v>
      </c>
      <c r="R842" s="2"/>
    </row>
    <row r="843" spans="1:18">
      <c r="A843" s="2" t="s">
        <v>2779</v>
      </c>
      <c r="B843" s="2" t="s">
        <v>2780</v>
      </c>
      <c r="C843" s="2" t="s">
        <v>2781</v>
      </c>
      <c r="D843" s="2">
        <v>21239320</v>
      </c>
      <c r="E843" s="2">
        <v>1</v>
      </c>
      <c r="F843" s="3">
        <f>IF(COUNT(D843,E843)=2,D843*E843,NA())</f>
        <v>21239320.0</v>
      </c>
      <c r="G843" s="2" t="s">
        <v>52</v>
      </c>
      <c r="H843" s="2" t="s">
        <v>53</v>
      </c>
      <c r="I843" s="2" t="s">
        <v>54</v>
      </c>
      <c r="J843" s="2" t="s">
        <v>55</v>
      </c>
      <c r="K843" s="2"/>
      <c r="L843" s="2" t="s">
        <v>2782</v>
      </c>
      <c r="M843" s="2" t="s">
        <v>57</v>
      </c>
      <c r="N843" s="2" t="s">
        <v>58</v>
      </c>
      <c r="O843" s="2" t="s">
        <v>2783</v>
      </c>
      <c r="P843" s="2" t="s">
        <v>2757</v>
      </c>
      <c r="Q843" s="2" t="s">
        <v>2784</v>
      </c>
      <c r="R843" s="2"/>
    </row>
    <row r="844" spans="1:18">
      <c r="A844" s="2" t="s">
        <v>2785</v>
      </c>
      <c r="B844" s="2" t="s">
        <v>2786</v>
      </c>
      <c r="C844" s="2" t="s">
        <v>2787</v>
      </c>
      <c r="D844" s="2">
        <v>358583441.98</v>
      </c>
      <c r="E844" s="2">
        <v>1</v>
      </c>
      <c r="F844" s="3">
        <f>IF(COUNT(D844,E844)=2,D844*E844,NA())</f>
        <v>358583441.98</v>
      </c>
      <c r="G844" s="2" t="s">
        <v>52</v>
      </c>
      <c r="H844" s="2" t="s">
        <v>53</v>
      </c>
      <c r="I844" s="2" t="s">
        <v>54</v>
      </c>
      <c r="J844" s="2" t="s">
        <v>55</v>
      </c>
      <c r="K844" s="2"/>
      <c r="L844" s="2" t="s">
        <v>56</v>
      </c>
      <c r="M844" s="2" t="s">
        <v>57</v>
      </c>
      <c r="N844" s="2" t="s">
        <v>58</v>
      </c>
      <c r="O844" s="2" t="s">
        <v>59</v>
      </c>
      <c r="P844" s="2" t="s">
        <v>2788</v>
      </c>
      <c r="Q844" s="2" t="s">
        <v>2789</v>
      </c>
      <c r="R844" s="2"/>
    </row>
    <row r="845" spans="1:18">
      <c r="A845" s="2" t="s">
        <v>2790</v>
      </c>
      <c r="B845" s="2" t="s">
        <v>2786</v>
      </c>
      <c r="C845" s="2" t="s">
        <v>2787</v>
      </c>
      <c r="D845" s="2">
        <v>285562435.83</v>
      </c>
      <c r="E845" s="2">
        <v>1</v>
      </c>
      <c r="F845" s="3">
        <f>IF(COUNT(D845,E845)=2,D845*E845,NA())</f>
        <v>285562435.83</v>
      </c>
      <c r="G845" s="2" t="s">
        <v>52</v>
      </c>
      <c r="H845" s="2" t="s">
        <v>53</v>
      </c>
      <c r="I845" s="2" t="s">
        <v>54</v>
      </c>
      <c r="J845" s="2" t="s">
        <v>55</v>
      </c>
      <c r="K845" s="2"/>
      <c r="L845" s="2" t="s">
        <v>63</v>
      </c>
      <c r="M845" s="2" t="s">
        <v>57</v>
      </c>
      <c r="N845" s="2" t="s">
        <v>64</v>
      </c>
      <c r="O845" s="2" t="s">
        <v>59</v>
      </c>
      <c r="P845" s="2" t="s">
        <v>2788</v>
      </c>
      <c r="Q845" s="2" t="s">
        <v>2789</v>
      </c>
      <c r="R845" s="2"/>
    </row>
    <row r="846" spans="1:18">
      <c r="A846" s="2" t="s">
        <v>2791</v>
      </c>
      <c r="B846" s="2" t="s">
        <v>1456</v>
      </c>
      <c r="C846" s="2" t="s">
        <v>2787</v>
      </c>
      <c r="D846" s="2">
        <v>33735429.18</v>
      </c>
      <c r="E846" s="2">
        <v>1</v>
      </c>
      <c r="F846" s="3">
        <f>IF(COUNT(D846,E846)=2,D846*E846,NA())</f>
        <v>33735429.18</v>
      </c>
      <c r="G846" s="2" t="s">
        <v>52</v>
      </c>
      <c r="H846" s="2" t="s">
        <v>53</v>
      </c>
      <c r="I846" s="2" t="s">
        <v>54</v>
      </c>
      <c r="J846" s="2" t="s">
        <v>55</v>
      </c>
      <c r="K846" s="2"/>
      <c r="L846" s="2" t="s">
        <v>63</v>
      </c>
      <c r="M846" s="2" t="s">
        <v>57</v>
      </c>
      <c r="N846" s="2" t="s">
        <v>64</v>
      </c>
      <c r="O846" s="2" t="s">
        <v>59</v>
      </c>
      <c r="P846" s="2" t="s">
        <v>2788</v>
      </c>
      <c r="Q846" s="2" t="s">
        <v>1458</v>
      </c>
      <c r="R846" s="2"/>
    </row>
    <row r="847" spans="1:18">
      <c r="A847" s="2" t="s">
        <v>2792</v>
      </c>
      <c r="B847" s="2" t="s">
        <v>2793</v>
      </c>
      <c r="C847" s="2" t="s">
        <v>2787</v>
      </c>
      <c r="D847" s="2">
        <v>6432709.86</v>
      </c>
      <c r="E847" s="2">
        <v>1</v>
      </c>
      <c r="F847" s="3">
        <f>IF(COUNT(D847,E847)=2,D847*E847,NA())</f>
        <v>6432709.86</v>
      </c>
      <c r="G847" s="2" t="s">
        <v>52</v>
      </c>
      <c r="H847" s="2" t="s">
        <v>53</v>
      </c>
      <c r="I847" s="2" t="s">
        <v>54</v>
      </c>
      <c r="J847" s="2" t="s">
        <v>55</v>
      </c>
      <c r="K847" s="2"/>
      <c r="L847" s="2" t="s">
        <v>56</v>
      </c>
      <c r="M847" s="2" t="s">
        <v>57</v>
      </c>
      <c r="N847" s="2" t="s">
        <v>58</v>
      </c>
      <c r="O847" s="2" t="s">
        <v>59</v>
      </c>
      <c r="P847" s="2" t="s">
        <v>2794</v>
      </c>
      <c r="Q847" s="2" t="s">
        <v>2795</v>
      </c>
      <c r="R847" s="2"/>
    </row>
    <row r="848" spans="1:18">
      <c r="A848" s="2" t="s">
        <v>2796</v>
      </c>
      <c r="B848" s="2" t="s">
        <v>2797</v>
      </c>
      <c r="C848" s="2" t="s">
        <v>2798</v>
      </c>
      <c r="D848" s="2">
        <v>-8726704.300000001</v>
      </c>
      <c r="E848" s="2">
        <v>1</v>
      </c>
      <c r="F848" s="3">
        <f>IF(COUNT(D848,E848)=2,D848*E848,NA())</f>
        <v>-8726704.3</v>
      </c>
      <c r="G848" s="2" t="s">
        <v>52</v>
      </c>
      <c r="H848" s="2" t="s">
        <v>53</v>
      </c>
      <c r="I848" s="2" t="s">
        <v>54</v>
      </c>
      <c r="J848" s="2" t="s">
        <v>55</v>
      </c>
      <c r="K848" s="2" t="s">
        <v>392</v>
      </c>
      <c r="L848" s="2" t="s">
        <v>56</v>
      </c>
      <c r="M848" s="2" t="s">
        <v>393</v>
      </c>
      <c r="N848" s="2" t="s">
        <v>58</v>
      </c>
      <c r="O848" s="2" t="s">
        <v>59</v>
      </c>
      <c r="P848" s="2" t="s">
        <v>2799</v>
      </c>
      <c r="Q848" s="2" t="s">
        <v>2800</v>
      </c>
      <c r="R848" s="2"/>
    </row>
    <row r="849" spans="1:18">
      <c r="A849" s="2" t="s">
        <v>2801</v>
      </c>
      <c r="B849" s="2" t="s">
        <v>2797</v>
      </c>
      <c r="C849" s="2" t="s">
        <v>2798</v>
      </c>
      <c r="D849" s="2">
        <v>-2960952.87</v>
      </c>
      <c r="E849" s="2">
        <v>1</v>
      </c>
      <c r="F849" s="3">
        <f>IF(COUNT(D849,E849)=2,D849*E849,NA())</f>
        <v>-2960952.87</v>
      </c>
      <c r="G849" s="2" t="s">
        <v>52</v>
      </c>
      <c r="H849" s="2" t="s">
        <v>53</v>
      </c>
      <c r="I849" s="2" t="s">
        <v>54</v>
      </c>
      <c r="J849" s="2" t="s">
        <v>55</v>
      </c>
      <c r="K849" s="2" t="s">
        <v>397</v>
      </c>
      <c r="L849" s="2" t="s">
        <v>63</v>
      </c>
      <c r="M849" s="2" t="s">
        <v>393</v>
      </c>
      <c r="N849" s="2" t="s">
        <v>58</v>
      </c>
      <c r="O849" s="2" t="s">
        <v>59</v>
      </c>
      <c r="P849" s="2" t="s">
        <v>2802</v>
      </c>
      <c r="Q849" s="2" t="s">
        <v>2800</v>
      </c>
      <c r="R849" s="2"/>
    </row>
    <row r="850" spans="1:18">
      <c r="A850" s="2" t="s">
        <v>2803</v>
      </c>
      <c r="B850" s="2" t="s">
        <v>2804</v>
      </c>
      <c r="C850" s="2" t="s">
        <v>2798</v>
      </c>
      <c r="D850" s="2">
        <v>10228833.7</v>
      </c>
      <c r="E850" s="2">
        <v>1</v>
      </c>
      <c r="F850" s="3">
        <f>IF(COUNT(D850,E850)=2,D850*E850,NA())</f>
        <v>10228833.7</v>
      </c>
      <c r="G850" s="2" t="s">
        <v>52</v>
      </c>
      <c r="H850" s="2" t="s">
        <v>53</v>
      </c>
      <c r="I850" s="2" t="s">
        <v>54</v>
      </c>
      <c r="J850" s="2" t="s">
        <v>55</v>
      </c>
      <c r="K850" s="2" t="s">
        <v>392</v>
      </c>
      <c r="L850" s="2" t="s">
        <v>56</v>
      </c>
      <c r="M850" s="2" t="s">
        <v>393</v>
      </c>
      <c r="N850" s="2" t="s">
        <v>58</v>
      </c>
      <c r="O850" s="2" t="s">
        <v>59</v>
      </c>
      <c r="P850" s="2" t="s">
        <v>2799</v>
      </c>
      <c r="Q850" s="2" t="s">
        <v>2805</v>
      </c>
      <c r="R850" s="2"/>
    </row>
    <row r="851" spans="1:18">
      <c r="A851" s="2" t="s">
        <v>2806</v>
      </c>
      <c r="B851" s="2" t="s">
        <v>2804</v>
      </c>
      <c r="C851" s="2" t="s">
        <v>2798</v>
      </c>
      <c r="D851" s="2">
        <v>9600852.880000001</v>
      </c>
      <c r="E851" s="2">
        <v>1</v>
      </c>
      <c r="F851" s="3">
        <f>IF(COUNT(D851,E851)=2,D851*E851,NA())</f>
        <v>9600852.88</v>
      </c>
      <c r="G851" s="2" t="s">
        <v>52</v>
      </c>
      <c r="H851" s="2" t="s">
        <v>53</v>
      </c>
      <c r="I851" s="2" t="s">
        <v>54</v>
      </c>
      <c r="J851" s="2" t="s">
        <v>55</v>
      </c>
      <c r="K851" s="2" t="s">
        <v>397</v>
      </c>
      <c r="L851" s="2" t="s">
        <v>63</v>
      </c>
      <c r="M851" s="2" t="s">
        <v>393</v>
      </c>
      <c r="N851" s="2" t="s">
        <v>58</v>
      </c>
      <c r="O851" s="2" t="s">
        <v>59</v>
      </c>
      <c r="P851" s="2" t="s">
        <v>2802</v>
      </c>
      <c r="Q851" s="2" t="s">
        <v>2805</v>
      </c>
      <c r="R851" s="2"/>
    </row>
    <row r="852" spans="1:18">
      <c r="A852" s="2" t="s">
        <v>2807</v>
      </c>
      <c r="B852" s="2" t="s">
        <v>2808</v>
      </c>
      <c r="C852" s="2" t="s">
        <v>2798</v>
      </c>
      <c r="D852" s="2">
        <v>2034052.35</v>
      </c>
      <c r="E852" s="2">
        <v>1</v>
      </c>
      <c r="F852" s="3">
        <f>IF(COUNT(D852,E852)=2,D852*E852,NA())</f>
        <v>2034052.35</v>
      </c>
      <c r="G852" s="2" t="s">
        <v>52</v>
      </c>
      <c r="H852" s="2" t="s">
        <v>53</v>
      </c>
      <c r="I852" s="2" t="s">
        <v>54</v>
      </c>
      <c r="J852" s="2" t="s">
        <v>55</v>
      </c>
      <c r="K852" s="2" t="s">
        <v>392</v>
      </c>
      <c r="L852" s="2" t="s">
        <v>56</v>
      </c>
      <c r="M852" s="2" t="s">
        <v>393</v>
      </c>
      <c r="N852" s="2" t="s">
        <v>58</v>
      </c>
      <c r="O852" s="2" t="s">
        <v>59</v>
      </c>
      <c r="P852" s="2" t="s">
        <v>2799</v>
      </c>
      <c r="Q852" s="2" t="s">
        <v>2809</v>
      </c>
      <c r="R852" s="2"/>
    </row>
    <row r="853" spans="1:18">
      <c r="A853" s="2" t="s">
        <v>2810</v>
      </c>
      <c r="B853" s="2" t="s">
        <v>2808</v>
      </c>
      <c r="C853" s="2" t="s">
        <v>2798</v>
      </c>
      <c r="D853" s="2">
        <v>177197562.45</v>
      </c>
      <c r="E853" s="2">
        <v>1</v>
      </c>
      <c r="F853" s="3">
        <f>IF(COUNT(D853,E853)=2,D853*E853,NA())</f>
        <v>177197562.45</v>
      </c>
      <c r="G853" s="2" t="s">
        <v>52</v>
      </c>
      <c r="H853" s="2" t="s">
        <v>53</v>
      </c>
      <c r="I853" s="2" t="s">
        <v>54</v>
      </c>
      <c r="J853" s="2" t="s">
        <v>55</v>
      </c>
      <c r="K853" s="2" t="s">
        <v>397</v>
      </c>
      <c r="L853" s="2" t="s">
        <v>63</v>
      </c>
      <c r="M853" s="2" t="s">
        <v>393</v>
      </c>
      <c r="N853" s="2" t="s">
        <v>58</v>
      </c>
      <c r="O853" s="2" t="s">
        <v>59</v>
      </c>
      <c r="P853" s="2" t="s">
        <v>2802</v>
      </c>
      <c r="Q853" s="2" t="s">
        <v>2809</v>
      </c>
      <c r="R853" s="2"/>
    </row>
    <row r="854" spans="1:18">
      <c r="A854" s="2" t="s">
        <v>2811</v>
      </c>
      <c r="B854" s="2" t="s">
        <v>2812</v>
      </c>
      <c r="C854" s="2" t="s">
        <v>2798</v>
      </c>
      <c r="D854" s="2">
        <v>2276929.62</v>
      </c>
      <c r="E854" s="2">
        <v>1</v>
      </c>
      <c r="F854" s="3">
        <f>IF(COUNT(D854,E854)=2,D854*E854,NA())</f>
        <v>2276929.62</v>
      </c>
      <c r="G854" s="2" t="s">
        <v>52</v>
      </c>
      <c r="H854" s="2" t="s">
        <v>53</v>
      </c>
      <c r="I854" s="2" t="s">
        <v>54</v>
      </c>
      <c r="J854" s="2" t="s">
        <v>55</v>
      </c>
      <c r="K854" s="2" t="s">
        <v>397</v>
      </c>
      <c r="L854" s="2" t="s">
        <v>63</v>
      </c>
      <c r="M854" s="2" t="s">
        <v>393</v>
      </c>
      <c r="N854" s="2" t="s">
        <v>58</v>
      </c>
      <c r="O854" s="2" t="s">
        <v>59</v>
      </c>
      <c r="P854" s="2" t="s">
        <v>2802</v>
      </c>
      <c r="Q854" s="2" t="s">
        <v>2813</v>
      </c>
      <c r="R854" s="2"/>
    </row>
    <row r="855" spans="1:18">
      <c r="A855" s="2" t="s">
        <v>2814</v>
      </c>
      <c r="B855" s="2" t="s">
        <v>2815</v>
      </c>
      <c r="C855" s="2" t="s">
        <v>2798</v>
      </c>
      <c r="D855" s="2">
        <v>79870768.92</v>
      </c>
      <c r="E855" s="2">
        <v>1</v>
      </c>
      <c r="F855" s="3">
        <f>IF(COUNT(D855,E855)=2,D855*E855,NA())</f>
        <v>79870768.92</v>
      </c>
      <c r="G855" s="2" t="s">
        <v>52</v>
      </c>
      <c r="H855" s="2" t="s">
        <v>53</v>
      </c>
      <c r="I855" s="2" t="s">
        <v>54</v>
      </c>
      <c r="J855" s="2" t="s">
        <v>55</v>
      </c>
      <c r="K855" s="2" t="s">
        <v>392</v>
      </c>
      <c r="L855" s="2" t="s">
        <v>56</v>
      </c>
      <c r="M855" s="2" t="s">
        <v>393</v>
      </c>
      <c r="N855" s="2" t="s">
        <v>58</v>
      </c>
      <c r="O855" s="2" t="s">
        <v>59</v>
      </c>
      <c r="P855" s="2" t="s">
        <v>2799</v>
      </c>
      <c r="Q855" s="2" t="s">
        <v>2816</v>
      </c>
      <c r="R855" s="2"/>
    </row>
    <row r="856" spans="1:18">
      <c r="A856" s="2" t="s">
        <v>2817</v>
      </c>
      <c r="B856" s="2" t="s">
        <v>2815</v>
      </c>
      <c r="C856" s="2" t="s">
        <v>2798</v>
      </c>
      <c r="D856" s="2">
        <v>137484626.46</v>
      </c>
      <c r="E856" s="2">
        <v>1</v>
      </c>
      <c r="F856" s="3">
        <f>IF(COUNT(D856,E856)=2,D856*E856,NA())</f>
        <v>137484626.46</v>
      </c>
      <c r="G856" s="2" t="s">
        <v>52</v>
      </c>
      <c r="H856" s="2" t="s">
        <v>53</v>
      </c>
      <c r="I856" s="2" t="s">
        <v>54</v>
      </c>
      <c r="J856" s="2" t="s">
        <v>55</v>
      </c>
      <c r="K856" s="2" t="s">
        <v>397</v>
      </c>
      <c r="L856" s="2" t="s">
        <v>63</v>
      </c>
      <c r="M856" s="2" t="s">
        <v>393</v>
      </c>
      <c r="N856" s="2" t="s">
        <v>58</v>
      </c>
      <c r="O856" s="2" t="s">
        <v>59</v>
      </c>
      <c r="P856" s="2" t="s">
        <v>2802</v>
      </c>
      <c r="Q856" s="2" t="s">
        <v>2816</v>
      </c>
      <c r="R856" s="2"/>
    </row>
    <row r="857" spans="1:18">
      <c r="A857" s="2" t="s">
        <v>2818</v>
      </c>
      <c r="B857" s="2" t="s">
        <v>2819</v>
      </c>
      <c r="C857" s="2" t="s">
        <v>2798</v>
      </c>
      <c r="D857" s="2">
        <v>-302696.79</v>
      </c>
      <c r="E857" s="2">
        <v>1</v>
      </c>
      <c r="F857" s="3">
        <f>IF(COUNT(D857,E857)=2,D857*E857,NA())</f>
        <v>-302696.79</v>
      </c>
      <c r="G857" s="2" t="s">
        <v>52</v>
      </c>
      <c r="H857" s="2" t="s">
        <v>53</v>
      </c>
      <c r="I857" s="2" t="s">
        <v>54</v>
      </c>
      <c r="J857" s="2" t="s">
        <v>55</v>
      </c>
      <c r="K857" s="2" t="s">
        <v>392</v>
      </c>
      <c r="L857" s="2" t="s">
        <v>56</v>
      </c>
      <c r="M857" s="2" t="s">
        <v>393</v>
      </c>
      <c r="N857" s="2" t="s">
        <v>58</v>
      </c>
      <c r="O857" s="2" t="s">
        <v>59</v>
      </c>
      <c r="P857" s="2" t="s">
        <v>2799</v>
      </c>
      <c r="Q857" s="2" t="s">
        <v>2820</v>
      </c>
      <c r="R857" s="2"/>
    </row>
    <row r="858" spans="1:18">
      <c r="A858" s="2" t="s">
        <v>2821</v>
      </c>
      <c r="B858" s="2" t="s">
        <v>2822</v>
      </c>
      <c r="C858" s="2" t="s">
        <v>2798</v>
      </c>
      <c r="D858" s="2">
        <v>-8691371.359999999</v>
      </c>
      <c r="E858" s="2">
        <v>1</v>
      </c>
      <c r="F858" s="3">
        <f>IF(COUNT(D858,E858)=2,D858*E858,NA())</f>
        <v>-8691371.36</v>
      </c>
      <c r="G858" s="2" t="s">
        <v>52</v>
      </c>
      <c r="H858" s="2" t="s">
        <v>53</v>
      </c>
      <c r="I858" s="2" t="s">
        <v>54</v>
      </c>
      <c r="J858" s="2" t="s">
        <v>55</v>
      </c>
      <c r="K858" s="2" t="s">
        <v>392</v>
      </c>
      <c r="L858" s="2" t="s">
        <v>56</v>
      </c>
      <c r="M858" s="2" t="s">
        <v>393</v>
      </c>
      <c r="N858" s="2" t="s">
        <v>58</v>
      </c>
      <c r="O858" s="2" t="s">
        <v>59</v>
      </c>
      <c r="P858" s="2" t="s">
        <v>2799</v>
      </c>
      <c r="Q858" s="2" t="s">
        <v>2823</v>
      </c>
      <c r="R858" s="2"/>
    </row>
    <row r="859" spans="1:18">
      <c r="A859" s="2" t="s">
        <v>2824</v>
      </c>
      <c r="B859" s="2" t="s">
        <v>2822</v>
      </c>
      <c r="C859" s="2" t="s">
        <v>2798</v>
      </c>
      <c r="D859" s="2">
        <v>5467512.3</v>
      </c>
      <c r="E859" s="2">
        <v>1</v>
      </c>
      <c r="F859" s="3">
        <f>IF(COUNT(D859,E859)=2,D859*E859,NA())</f>
        <v>5467512.3</v>
      </c>
      <c r="G859" s="2" t="s">
        <v>52</v>
      </c>
      <c r="H859" s="2" t="s">
        <v>53</v>
      </c>
      <c r="I859" s="2" t="s">
        <v>54</v>
      </c>
      <c r="J859" s="2" t="s">
        <v>55</v>
      </c>
      <c r="K859" s="2" t="s">
        <v>397</v>
      </c>
      <c r="L859" s="2" t="s">
        <v>63</v>
      </c>
      <c r="M859" s="2" t="s">
        <v>393</v>
      </c>
      <c r="N859" s="2" t="s">
        <v>58</v>
      </c>
      <c r="O859" s="2" t="s">
        <v>59</v>
      </c>
      <c r="P859" s="2" t="s">
        <v>2802</v>
      </c>
      <c r="Q859" s="2" t="s">
        <v>2823</v>
      </c>
      <c r="R859" s="2"/>
    </row>
    <row r="860" spans="1:18">
      <c r="A860" s="2" t="s">
        <v>2825</v>
      </c>
      <c r="B860" s="2" t="s">
        <v>2826</v>
      </c>
      <c r="C860" s="2" t="s">
        <v>2798</v>
      </c>
      <c r="D860" s="2">
        <v>-7674762.5</v>
      </c>
      <c r="E860" s="2">
        <v>1</v>
      </c>
      <c r="F860" s="3">
        <f>IF(COUNT(D860,E860)=2,D860*E860,NA())</f>
        <v>-7674762.5</v>
      </c>
      <c r="G860" s="2" t="s">
        <v>52</v>
      </c>
      <c r="H860" s="2" t="s">
        <v>53</v>
      </c>
      <c r="I860" s="2" t="s">
        <v>54</v>
      </c>
      <c r="J860" s="2" t="s">
        <v>55</v>
      </c>
      <c r="K860" s="2" t="s">
        <v>392</v>
      </c>
      <c r="L860" s="2" t="s">
        <v>56</v>
      </c>
      <c r="M860" s="2" t="s">
        <v>393</v>
      </c>
      <c r="N860" s="2" t="s">
        <v>58</v>
      </c>
      <c r="O860" s="2" t="s">
        <v>59</v>
      </c>
      <c r="P860" s="2" t="s">
        <v>2799</v>
      </c>
      <c r="Q860" s="2" t="s">
        <v>2827</v>
      </c>
      <c r="R860" s="2"/>
    </row>
    <row r="861" spans="1:18">
      <c r="A861" s="2" t="s">
        <v>2828</v>
      </c>
      <c r="B861" s="2" t="s">
        <v>2826</v>
      </c>
      <c r="C861" s="2" t="s">
        <v>2798</v>
      </c>
      <c r="D861" s="2">
        <v>24216579.82</v>
      </c>
      <c r="E861" s="2">
        <v>1</v>
      </c>
      <c r="F861" s="3">
        <f>IF(COUNT(D861,E861)=2,D861*E861,NA())</f>
        <v>24216579.82</v>
      </c>
      <c r="G861" s="2" t="s">
        <v>52</v>
      </c>
      <c r="H861" s="2" t="s">
        <v>53</v>
      </c>
      <c r="I861" s="2" t="s">
        <v>54</v>
      </c>
      <c r="J861" s="2" t="s">
        <v>55</v>
      </c>
      <c r="K861" s="2" t="s">
        <v>397</v>
      </c>
      <c r="L861" s="2" t="s">
        <v>63</v>
      </c>
      <c r="M861" s="2" t="s">
        <v>393</v>
      </c>
      <c r="N861" s="2" t="s">
        <v>58</v>
      </c>
      <c r="O861" s="2" t="s">
        <v>59</v>
      </c>
      <c r="P861" s="2" t="s">
        <v>2802</v>
      </c>
      <c r="Q861" s="2" t="s">
        <v>2827</v>
      </c>
      <c r="R861" s="2"/>
    </row>
    <row r="862" spans="1:18">
      <c r="A862" s="2" t="s">
        <v>2829</v>
      </c>
      <c r="B862" s="2" t="s">
        <v>2830</v>
      </c>
      <c r="C862" s="2" t="s">
        <v>2798</v>
      </c>
      <c r="D862" s="2">
        <v>12827799.34</v>
      </c>
      <c r="E862" s="2">
        <v>1</v>
      </c>
      <c r="F862" s="3">
        <f>IF(COUNT(D862,E862)=2,D862*E862,NA())</f>
        <v>12827799.34</v>
      </c>
      <c r="G862" s="2" t="s">
        <v>52</v>
      </c>
      <c r="H862" s="2" t="s">
        <v>53</v>
      </c>
      <c r="I862" s="2" t="s">
        <v>54</v>
      </c>
      <c r="J862" s="2" t="s">
        <v>55</v>
      </c>
      <c r="K862" s="2" t="s">
        <v>392</v>
      </c>
      <c r="L862" s="2" t="s">
        <v>56</v>
      </c>
      <c r="M862" s="2" t="s">
        <v>393</v>
      </c>
      <c r="N862" s="2" t="s">
        <v>58</v>
      </c>
      <c r="O862" s="2" t="s">
        <v>59</v>
      </c>
      <c r="P862" s="2" t="s">
        <v>2799</v>
      </c>
      <c r="Q862" s="2" t="s">
        <v>2831</v>
      </c>
      <c r="R862" s="2"/>
    </row>
    <row r="863" spans="1:18">
      <c r="A863" s="2" t="s">
        <v>2832</v>
      </c>
      <c r="B863" s="2" t="s">
        <v>2830</v>
      </c>
      <c r="C863" s="2" t="s">
        <v>2798</v>
      </c>
      <c r="D863" s="2">
        <v>53310050.92</v>
      </c>
      <c r="E863" s="2">
        <v>1</v>
      </c>
      <c r="F863" s="3">
        <f>IF(COUNT(D863,E863)=2,D863*E863,NA())</f>
        <v>53310050.92</v>
      </c>
      <c r="G863" s="2" t="s">
        <v>52</v>
      </c>
      <c r="H863" s="2" t="s">
        <v>53</v>
      </c>
      <c r="I863" s="2" t="s">
        <v>54</v>
      </c>
      <c r="J863" s="2" t="s">
        <v>55</v>
      </c>
      <c r="K863" s="2" t="s">
        <v>397</v>
      </c>
      <c r="L863" s="2" t="s">
        <v>63</v>
      </c>
      <c r="M863" s="2" t="s">
        <v>393</v>
      </c>
      <c r="N863" s="2" t="s">
        <v>58</v>
      </c>
      <c r="O863" s="2" t="s">
        <v>59</v>
      </c>
      <c r="P863" s="2" t="s">
        <v>2802</v>
      </c>
      <c r="Q863" s="2" t="s">
        <v>2831</v>
      </c>
      <c r="R863" s="2"/>
    </row>
    <row r="864" spans="1:18">
      <c r="A864" s="2" t="s">
        <v>2833</v>
      </c>
      <c r="B864" s="2" t="s">
        <v>2834</v>
      </c>
      <c r="C864" s="2" t="s">
        <v>2798</v>
      </c>
      <c r="D864" s="2">
        <v>-531957.6800000001</v>
      </c>
      <c r="E864" s="2">
        <v>1</v>
      </c>
      <c r="F864" s="3">
        <f>IF(COUNT(D864,E864)=2,D864*E864,NA())</f>
        <v>-531957.68</v>
      </c>
      <c r="G864" s="2" t="s">
        <v>52</v>
      </c>
      <c r="H864" s="2" t="s">
        <v>53</v>
      </c>
      <c r="I864" s="2" t="s">
        <v>54</v>
      </c>
      <c r="J864" s="2" t="s">
        <v>55</v>
      </c>
      <c r="K864" s="2" t="s">
        <v>392</v>
      </c>
      <c r="L864" s="2" t="s">
        <v>56</v>
      </c>
      <c r="M864" s="2" t="s">
        <v>393</v>
      </c>
      <c r="N864" s="2" t="s">
        <v>58</v>
      </c>
      <c r="O864" s="2" t="s">
        <v>59</v>
      </c>
      <c r="P864" s="2" t="s">
        <v>2799</v>
      </c>
      <c r="Q864" s="2" t="s">
        <v>2835</v>
      </c>
      <c r="R864" s="2"/>
    </row>
    <row r="865" spans="1:18">
      <c r="A865" s="2" t="s">
        <v>2836</v>
      </c>
      <c r="B865" s="2" t="s">
        <v>2834</v>
      </c>
      <c r="C865" s="2" t="s">
        <v>2798</v>
      </c>
      <c r="D865" s="2">
        <v>2903643.75</v>
      </c>
      <c r="E865" s="2">
        <v>1</v>
      </c>
      <c r="F865" s="3">
        <f>IF(COUNT(D865,E865)=2,D865*E865,NA())</f>
        <v>2903643.75</v>
      </c>
      <c r="G865" s="2" t="s">
        <v>52</v>
      </c>
      <c r="H865" s="2" t="s">
        <v>53</v>
      </c>
      <c r="I865" s="2" t="s">
        <v>54</v>
      </c>
      <c r="J865" s="2" t="s">
        <v>55</v>
      </c>
      <c r="K865" s="2" t="s">
        <v>397</v>
      </c>
      <c r="L865" s="2" t="s">
        <v>63</v>
      </c>
      <c r="M865" s="2" t="s">
        <v>393</v>
      </c>
      <c r="N865" s="2" t="s">
        <v>58</v>
      </c>
      <c r="O865" s="2" t="s">
        <v>59</v>
      </c>
      <c r="P865" s="2" t="s">
        <v>2802</v>
      </c>
      <c r="Q865" s="2" t="s">
        <v>2835</v>
      </c>
      <c r="R865" s="2"/>
    </row>
    <row r="866" spans="1:18">
      <c r="A866" s="2" t="s">
        <v>2837</v>
      </c>
      <c r="B866" s="2" t="s">
        <v>2838</v>
      </c>
      <c r="C866" s="2" t="s">
        <v>2798</v>
      </c>
      <c r="D866" s="2">
        <v>54442278.36</v>
      </c>
      <c r="E866" s="2">
        <v>1</v>
      </c>
      <c r="F866" s="3">
        <f>IF(COUNT(D866,E866)=2,D866*E866,NA())</f>
        <v>54442278.36</v>
      </c>
      <c r="G866" s="2" t="s">
        <v>52</v>
      </c>
      <c r="H866" s="2" t="s">
        <v>53</v>
      </c>
      <c r="I866" s="2" t="s">
        <v>54</v>
      </c>
      <c r="J866" s="2" t="s">
        <v>55</v>
      </c>
      <c r="K866" s="2" t="s">
        <v>392</v>
      </c>
      <c r="L866" s="2" t="s">
        <v>56</v>
      </c>
      <c r="M866" s="2" t="s">
        <v>393</v>
      </c>
      <c r="N866" s="2" t="s">
        <v>58</v>
      </c>
      <c r="O866" s="2" t="s">
        <v>59</v>
      </c>
      <c r="P866" s="2" t="s">
        <v>2799</v>
      </c>
      <c r="Q866" s="2" t="s">
        <v>2839</v>
      </c>
      <c r="R866" s="2"/>
    </row>
    <row r="867" spans="1:18">
      <c r="A867" s="2" t="s">
        <v>2840</v>
      </c>
      <c r="B867" s="2" t="s">
        <v>2838</v>
      </c>
      <c r="C867" s="2" t="s">
        <v>2798</v>
      </c>
      <c r="D867" s="2">
        <v>297069415.99</v>
      </c>
      <c r="E867" s="2">
        <v>1</v>
      </c>
      <c r="F867" s="3">
        <f>IF(COUNT(D867,E867)=2,D867*E867,NA())</f>
        <v>297069415.99</v>
      </c>
      <c r="G867" s="2" t="s">
        <v>52</v>
      </c>
      <c r="H867" s="2" t="s">
        <v>53</v>
      </c>
      <c r="I867" s="2" t="s">
        <v>54</v>
      </c>
      <c r="J867" s="2" t="s">
        <v>55</v>
      </c>
      <c r="K867" s="2" t="s">
        <v>397</v>
      </c>
      <c r="L867" s="2" t="s">
        <v>63</v>
      </c>
      <c r="M867" s="2" t="s">
        <v>393</v>
      </c>
      <c r="N867" s="2" t="s">
        <v>58</v>
      </c>
      <c r="O867" s="2" t="s">
        <v>59</v>
      </c>
      <c r="P867" s="2" t="s">
        <v>2802</v>
      </c>
      <c r="Q867" s="2" t="s">
        <v>2839</v>
      </c>
      <c r="R867" s="2"/>
    </row>
    <row r="868" spans="1:18">
      <c r="A868" s="2" t="s">
        <v>2841</v>
      </c>
      <c r="B868" s="2" t="s">
        <v>2842</v>
      </c>
      <c r="C868" s="2" t="s">
        <v>2843</v>
      </c>
      <c r="D868" s="2">
        <v>73</v>
      </c>
      <c r="E868" s="2">
        <v>100000000</v>
      </c>
      <c r="F868" s="3">
        <f>IF(COUNT(D868,E868)=2,D868*E868,NA())</f>
        <v>7300000000.0</v>
      </c>
      <c r="G868" s="2" t="s">
        <v>52</v>
      </c>
      <c r="H868" s="2" t="s">
        <v>53</v>
      </c>
      <c r="I868" s="2" t="s">
        <v>54</v>
      </c>
      <c r="J868" s="2" t="s">
        <v>1543</v>
      </c>
      <c r="K868" s="2"/>
      <c r="L868" s="2" t="s">
        <v>56</v>
      </c>
      <c r="M868" s="2" t="s">
        <v>57</v>
      </c>
      <c r="N868" s="2" t="s">
        <v>58</v>
      </c>
      <c r="O868" s="2" t="s">
        <v>1544</v>
      </c>
      <c r="P868" s="2" t="s">
        <v>2844</v>
      </c>
      <c r="Q868" s="2" t="s">
        <v>2845</v>
      </c>
      <c r="R868" s="2"/>
    </row>
    <row r="869" spans="1:18">
      <c r="A869" s="2" t="s">
        <v>2846</v>
      </c>
      <c r="B869" s="2" t="s">
        <v>2847</v>
      </c>
      <c r="C869" s="2" t="s">
        <v>2843</v>
      </c>
      <c r="D869" s="2">
        <v>47</v>
      </c>
      <c r="E869" s="2">
        <v>100000000</v>
      </c>
      <c r="F869" s="3">
        <f>IF(COUNT(D869,E869)=2,D869*E869,NA())</f>
        <v>4700000000.0</v>
      </c>
      <c r="G869" s="2" t="s">
        <v>52</v>
      </c>
      <c r="H869" s="2" t="s">
        <v>53</v>
      </c>
      <c r="I869" s="2" t="s">
        <v>54</v>
      </c>
      <c r="J869" s="2" t="s">
        <v>1543</v>
      </c>
      <c r="K869" s="2"/>
      <c r="L869" s="2" t="s">
        <v>56</v>
      </c>
      <c r="M869" s="2" t="s">
        <v>57</v>
      </c>
      <c r="N869" s="2" t="s">
        <v>58</v>
      </c>
      <c r="O869" s="2" t="s">
        <v>1544</v>
      </c>
      <c r="P869" s="2" t="s">
        <v>2848</v>
      </c>
      <c r="Q869" s="2" t="s">
        <v>2849</v>
      </c>
      <c r="R869" s="2"/>
    </row>
    <row r="870" spans="1:18">
      <c r="A870" s="2" t="s">
        <v>2850</v>
      </c>
      <c r="B870" s="2" t="s">
        <v>2851</v>
      </c>
      <c r="C870" s="2" t="s">
        <v>1531</v>
      </c>
      <c r="D870" s="2">
        <v>28000000</v>
      </c>
      <c r="E870" s="2">
        <v>1</v>
      </c>
      <c r="F870" s="3">
        <f>IF(COUNT(D870,E870)=2,D870*E870,NA())</f>
        <v>28000000.0</v>
      </c>
      <c r="G870" s="2" t="s">
        <v>52</v>
      </c>
      <c r="H870" s="2" t="s">
        <v>53</v>
      </c>
      <c r="I870" s="2" t="s">
        <v>54</v>
      </c>
      <c r="J870" s="2" t="s">
        <v>1532</v>
      </c>
      <c r="K870" s="2"/>
      <c r="L870" s="2" t="s">
        <v>56</v>
      </c>
      <c r="M870" s="2" t="s">
        <v>57</v>
      </c>
      <c r="N870" s="2" t="s">
        <v>58</v>
      </c>
      <c r="O870" s="2" t="s">
        <v>1533</v>
      </c>
      <c r="P870" s="2" t="s">
        <v>2852</v>
      </c>
      <c r="Q870" s="2" t="s">
        <v>2853</v>
      </c>
      <c r="R870" s="2"/>
    </row>
    <row r="871" spans="1:18">
      <c r="A871" s="2" t="s">
        <v>2854</v>
      </c>
      <c r="B871" s="2" t="s">
        <v>2855</v>
      </c>
      <c r="C871" s="2" t="s">
        <v>1531</v>
      </c>
      <c r="D871" s="2">
        <v>19214238.46</v>
      </c>
      <c r="E871" s="2">
        <v>1</v>
      </c>
      <c r="F871" s="3">
        <f>IF(COUNT(D871,E871)=2,D871*E871,NA())</f>
        <v>19214238.46</v>
      </c>
      <c r="G871" s="2" t="s">
        <v>52</v>
      </c>
      <c r="H871" s="2" t="s">
        <v>53</v>
      </c>
      <c r="I871" s="2" t="s">
        <v>54</v>
      </c>
      <c r="J871" s="2" t="s">
        <v>1532</v>
      </c>
      <c r="K871" s="2"/>
      <c r="L871" s="2" t="s">
        <v>56</v>
      </c>
      <c r="M871" s="2" t="s">
        <v>57</v>
      </c>
      <c r="N871" s="2" t="s">
        <v>58</v>
      </c>
      <c r="O871" s="2" t="s">
        <v>1533</v>
      </c>
      <c r="P871" s="2" t="s">
        <v>2856</v>
      </c>
      <c r="Q871" s="2" t="s">
        <v>2857</v>
      </c>
      <c r="R871" s="2"/>
    </row>
    <row r="872" spans="1:18">
      <c r="A872" s="2" t="s">
        <v>2858</v>
      </c>
      <c r="B872" s="2" t="s">
        <v>2859</v>
      </c>
      <c r="C872" s="2" t="s">
        <v>1531</v>
      </c>
      <c r="D872" s="2">
        <v>17940000</v>
      </c>
      <c r="E872" s="2">
        <v>1</v>
      </c>
      <c r="F872" s="3">
        <f>IF(COUNT(D872,E872)=2,D872*E872,NA())</f>
        <v>17940000.0</v>
      </c>
      <c r="G872" s="2" t="s">
        <v>52</v>
      </c>
      <c r="H872" s="2" t="s">
        <v>53</v>
      </c>
      <c r="I872" s="2" t="s">
        <v>54</v>
      </c>
      <c r="J872" s="2" t="s">
        <v>1532</v>
      </c>
      <c r="K872" s="2"/>
      <c r="L872" s="2" t="s">
        <v>56</v>
      </c>
      <c r="M872" s="2" t="s">
        <v>57</v>
      </c>
      <c r="N872" s="2" t="s">
        <v>58</v>
      </c>
      <c r="O872" s="2" t="s">
        <v>1533</v>
      </c>
      <c r="P872" s="2" t="s">
        <v>2860</v>
      </c>
      <c r="Q872" s="2" t="s">
        <v>2861</v>
      </c>
      <c r="R872" s="2"/>
    </row>
    <row r="873" spans="1:18">
      <c r="A873" s="2" t="s">
        <v>2862</v>
      </c>
      <c r="B873" s="2" t="s">
        <v>2863</v>
      </c>
      <c r="C873" s="2" t="s">
        <v>1531</v>
      </c>
      <c r="D873" s="2">
        <v>14980000</v>
      </c>
      <c r="E873" s="2">
        <v>1</v>
      </c>
      <c r="F873" s="3">
        <f>IF(COUNT(D873,E873)=2,D873*E873,NA())</f>
        <v>14980000.0</v>
      </c>
      <c r="G873" s="2" t="s">
        <v>52</v>
      </c>
      <c r="H873" s="2" t="s">
        <v>53</v>
      </c>
      <c r="I873" s="2" t="s">
        <v>54</v>
      </c>
      <c r="J873" s="2" t="s">
        <v>1532</v>
      </c>
      <c r="K873" s="2"/>
      <c r="L873" s="2" t="s">
        <v>56</v>
      </c>
      <c r="M873" s="2" t="s">
        <v>57</v>
      </c>
      <c r="N873" s="2" t="s">
        <v>58</v>
      </c>
      <c r="O873" s="2" t="s">
        <v>1533</v>
      </c>
      <c r="P873" s="2" t="s">
        <v>2864</v>
      </c>
      <c r="Q873" s="2" t="s">
        <v>2865</v>
      </c>
      <c r="R873" s="2"/>
    </row>
    <row r="874" spans="1:18">
      <c r="A874" s="2" t="s">
        <v>2866</v>
      </c>
      <c r="B874" s="2" t="s">
        <v>2867</v>
      </c>
      <c r="C874" s="2" t="s">
        <v>1531</v>
      </c>
      <c r="D874" s="2">
        <v>14980000</v>
      </c>
      <c r="E874" s="2">
        <v>1</v>
      </c>
      <c r="F874" s="3">
        <f>IF(COUNT(D874,E874)=2,D874*E874,NA())</f>
        <v>14980000.0</v>
      </c>
      <c r="G874" s="2" t="s">
        <v>52</v>
      </c>
      <c r="H874" s="2" t="s">
        <v>53</v>
      </c>
      <c r="I874" s="2" t="s">
        <v>54</v>
      </c>
      <c r="J874" s="2" t="s">
        <v>1532</v>
      </c>
      <c r="K874" s="2"/>
      <c r="L874" s="2" t="s">
        <v>56</v>
      </c>
      <c r="M874" s="2" t="s">
        <v>57</v>
      </c>
      <c r="N874" s="2" t="s">
        <v>58</v>
      </c>
      <c r="O874" s="2" t="s">
        <v>1533</v>
      </c>
      <c r="P874" s="2" t="s">
        <v>2868</v>
      </c>
      <c r="Q874" s="2" t="s">
        <v>2869</v>
      </c>
      <c r="R874" s="2"/>
    </row>
    <row r="875" spans="1:18">
      <c r="A875" s="2" t="s">
        <v>2870</v>
      </c>
      <c r="B875" s="2" t="s">
        <v>2871</v>
      </c>
      <c r="C875" s="2" t="s">
        <v>1531</v>
      </c>
      <c r="D875" s="2">
        <v>10000000</v>
      </c>
      <c r="E875" s="2">
        <v>1</v>
      </c>
      <c r="F875" s="3">
        <f>IF(COUNT(D875,E875)=2,D875*E875,NA())</f>
        <v>10000000.0</v>
      </c>
      <c r="G875" s="2" t="s">
        <v>52</v>
      </c>
      <c r="H875" s="2" t="s">
        <v>53</v>
      </c>
      <c r="I875" s="2" t="s">
        <v>54</v>
      </c>
      <c r="J875" s="2" t="s">
        <v>1532</v>
      </c>
      <c r="K875" s="2"/>
      <c r="L875" s="2" t="s">
        <v>56</v>
      </c>
      <c r="M875" s="2" t="s">
        <v>57</v>
      </c>
      <c r="N875" s="2" t="s">
        <v>58</v>
      </c>
      <c r="O875" s="2" t="s">
        <v>1533</v>
      </c>
      <c r="P875" s="2" t="s">
        <v>2872</v>
      </c>
      <c r="Q875" s="2" t="s">
        <v>2873</v>
      </c>
      <c r="R875" s="2"/>
    </row>
    <row r="876" spans="1:18">
      <c r="A876" s="2" t="s">
        <v>2874</v>
      </c>
      <c r="B876" s="2" t="s">
        <v>2875</v>
      </c>
      <c r="C876" s="2" t="s">
        <v>1531</v>
      </c>
      <c r="D876" s="2">
        <v>6000000</v>
      </c>
      <c r="E876" s="2">
        <v>1</v>
      </c>
      <c r="F876" s="3">
        <f>IF(COUNT(D876,E876)=2,D876*E876,NA())</f>
        <v>6000000.0</v>
      </c>
      <c r="G876" s="2" t="s">
        <v>52</v>
      </c>
      <c r="H876" s="2" t="s">
        <v>53</v>
      </c>
      <c r="I876" s="2" t="s">
        <v>54</v>
      </c>
      <c r="J876" s="2" t="s">
        <v>1532</v>
      </c>
      <c r="K876" s="2"/>
      <c r="L876" s="2" t="s">
        <v>56</v>
      </c>
      <c r="M876" s="2" t="s">
        <v>57</v>
      </c>
      <c r="N876" s="2" t="s">
        <v>58</v>
      </c>
      <c r="O876" s="2" t="s">
        <v>1533</v>
      </c>
      <c r="P876" s="2" t="s">
        <v>2876</v>
      </c>
      <c r="Q876" s="2" t="s">
        <v>2877</v>
      </c>
      <c r="R876" s="2"/>
    </row>
    <row r="877" spans="1:18">
      <c r="A877" s="2" t="s">
        <v>2878</v>
      </c>
      <c r="B877" s="2" t="s">
        <v>2879</v>
      </c>
      <c r="C877" s="2" t="s">
        <v>1531</v>
      </c>
      <c r="D877" s="2">
        <v>5000000</v>
      </c>
      <c r="E877" s="2">
        <v>1</v>
      </c>
      <c r="F877" s="3">
        <f>IF(COUNT(D877,E877)=2,D877*E877,NA())</f>
        <v>5000000.0</v>
      </c>
      <c r="G877" s="2" t="s">
        <v>52</v>
      </c>
      <c r="H877" s="2" t="s">
        <v>53</v>
      </c>
      <c r="I877" s="2" t="s">
        <v>54</v>
      </c>
      <c r="J877" s="2" t="s">
        <v>1532</v>
      </c>
      <c r="K877" s="2"/>
      <c r="L877" s="2" t="s">
        <v>56</v>
      </c>
      <c r="M877" s="2" t="s">
        <v>57</v>
      </c>
      <c r="N877" s="2" t="s">
        <v>58</v>
      </c>
      <c r="O877" s="2" t="s">
        <v>1533</v>
      </c>
      <c r="P877" s="2" t="s">
        <v>2880</v>
      </c>
      <c r="Q877" s="2" t="s">
        <v>2881</v>
      </c>
      <c r="R877" s="2"/>
    </row>
    <row r="878" spans="1:18">
      <c r="A878" s="2" t="s">
        <v>2882</v>
      </c>
      <c r="B878" s="2" t="s">
        <v>2883</v>
      </c>
      <c r="C878" s="2" t="s">
        <v>1531</v>
      </c>
      <c r="D878" s="2">
        <v>3787923</v>
      </c>
      <c r="E878" s="2">
        <v>1</v>
      </c>
      <c r="F878" s="3">
        <f>IF(COUNT(D878,E878)=2,D878*E878,NA())</f>
        <v>3787923.0</v>
      </c>
      <c r="G878" s="2" t="s">
        <v>52</v>
      </c>
      <c r="H878" s="2" t="s">
        <v>53</v>
      </c>
      <c r="I878" s="2" t="s">
        <v>54</v>
      </c>
      <c r="J878" s="2" t="s">
        <v>1532</v>
      </c>
      <c r="K878" s="2"/>
      <c r="L878" s="2" t="s">
        <v>56</v>
      </c>
      <c r="M878" s="2" t="s">
        <v>57</v>
      </c>
      <c r="N878" s="2" t="s">
        <v>58</v>
      </c>
      <c r="O878" s="2" t="s">
        <v>1533</v>
      </c>
      <c r="P878" s="2" t="s">
        <v>2884</v>
      </c>
      <c r="Q878" s="2" t="s">
        <v>2885</v>
      </c>
      <c r="R878" s="2"/>
    </row>
    <row r="879" spans="1:18">
      <c r="A879" s="2" t="s">
        <v>2886</v>
      </c>
      <c r="B879" s="2" t="s">
        <v>2887</v>
      </c>
      <c r="C879" s="2" t="s">
        <v>1531</v>
      </c>
      <c r="D879" s="2">
        <v>3499906.8</v>
      </c>
      <c r="E879" s="2">
        <v>1</v>
      </c>
      <c r="F879" s="3">
        <f>IF(COUNT(D879,E879)=2,D879*E879,NA())</f>
        <v>3499906.8</v>
      </c>
      <c r="G879" s="2" t="s">
        <v>52</v>
      </c>
      <c r="H879" s="2" t="s">
        <v>53</v>
      </c>
      <c r="I879" s="2" t="s">
        <v>54</v>
      </c>
      <c r="J879" s="2" t="s">
        <v>1532</v>
      </c>
      <c r="K879" s="2"/>
      <c r="L879" s="2" t="s">
        <v>56</v>
      </c>
      <c r="M879" s="2" t="s">
        <v>57</v>
      </c>
      <c r="N879" s="2" t="s">
        <v>58</v>
      </c>
      <c r="O879" s="2" t="s">
        <v>1533</v>
      </c>
      <c r="P879" s="2" t="s">
        <v>2888</v>
      </c>
      <c r="Q879" s="2" t="s">
        <v>2889</v>
      </c>
      <c r="R879" s="2"/>
    </row>
    <row r="880" spans="1:18">
      <c r="A880" s="2" t="s">
        <v>2890</v>
      </c>
      <c r="B880" s="2" t="s">
        <v>2891</v>
      </c>
      <c r="C880" s="2" t="s">
        <v>1531</v>
      </c>
      <c r="D880" s="2">
        <v>36696077.34</v>
      </c>
      <c r="E880" s="2">
        <v>1</v>
      </c>
      <c r="F880" s="3">
        <f>IF(COUNT(D880,E880)=2,D880*E880,NA())</f>
        <v>36696077.34</v>
      </c>
      <c r="G880" s="2" t="s">
        <v>52</v>
      </c>
      <c r="H880" s="2" t="s">
        <v>53</v>
      </c>
      <c r="I880" s="2" t="s">
        <v>54</v>
      </c>
      <c r="J880" s="2" t="s">
        <v>1532</v>
      </c>
      <c r="K880" s="2"/>
      <c r="L880" s="2" t="s">
        <v>56</v>
      </c>
      <c r="M880" s="2" t="s">
        <v>57</v>
      </c>
      <c r="N880" s="2" t="s">
        <v>58</v>
      </c>
      <c r="O880" s="2" t="s">
        <v>1533</v>
      </c>
      <c r="P880" s="2" t="s">
        <v>2892</v>
      </c>
      <c r="Q880" s="2" t="s">
        <v>2893</v>
      </c>
      <c r="R880" s="2"/>
    </row>
    <row r="881" spans="1:18">
      <c r="A881" s="2" t="s">
        <v>2894</v>
      </c>
      <c r="B881" s="2" t="s">
        <v>2895</v>
      </c>
      <c r="C881" s="2" t="s">
        <v>2896</v>
      </c>
      <c r="D881" s="2">
        <v>7655.11</v>
      </c>
      <c r="E881" s="2">
        <v>10000</v>
      </c>
      <c r="F881" s="3">
        <f>IF(COUNT(D881,E881)=2,D881*E881,NA())</f>
        <v>76551100.0</v>
      </c>
      <c r="G881" s="2" t="s">
        <v>52</v>
      </c>
      <c r="H881" s="2" t="s">
        <v>53</v>
      </c>
      <c r="I881" s="2" t="s">
        <v>54</v>
      </c>
      <c r="J881" s="2" t="s">
        <v>1532</v>
      </c>
      <c r="K881" s="2"/>
      <c r="L881" s="2" t="s">
        <v>1713</v>
      </c>
      <c r="M881" s="2" t="s">
        <v>57</v>
      </c>
      <c r="N881" s="2" t="s">
        <v>58</v>
      </c>
      <c r="O881" s="2" t="s">
        <v>1533</v>
      </c>
      <c r="P881" s="2" t="s">
        <v>2897</v>
      </c>
      <c r="Q881" s="2" t="s">
        <v>2898</v>
      </c>
      <c r="R881" s="2"/>
    </row>
    <row r="882" spans="1:18">
      <c r="A882" s="2" t="s">
        <v>2899</v>
      </c>
      <c r="B882" s="2" t="s">
        <v>2900</v>
      </c>
      <c r="C882" s="2" t="s">
        <v>2896</v>
      </c>
      <c r="D882" s="2">
        <v>12055.21</v>
      </c>
      <c r="E882" s="2">
        <v>10000</v>
      </c>
      <c r="F882" s="3">
        <f>IF(COUNT(D882,E882)=2,D882*E882,NA())</f>
        <v>120552100.0</v>
      </c>
      <c r="G882" s="2" t="s">
        <v>52</v>
      </c>
      <c r="H882" s="2" t="s">
        <v>53</v>
      </c>
      <c r="I882" s="2" t="s">
        <v>54</v>
      </c>
      <c r="J882" s="2" t="s">
        <v>1532</v>
      </c>
      <c r="K882" s="2"/>
      <c r="L882" s="2" t="s">
        <v>1713</v>
      </c>
      <c r="M882" s="2" t="s">
        <v>57</v>
      </c>
      <c r="N882" s="2" t="s">
        <v>58</v>
      </c>
      <c r="O882" s="2" t="s">
        <v>1533</v>
      </c>
      <c r="P882" s="2" t="s">
        <v>2897</v>
      </c>
      <c r="Q882" s="2" t="s">
        <v>2901</v>
      </c>
      <c r="R882" s="2"/>
    </row>
    <row r="883" spans="1:18">
      <c r="A883" s="2" t="s">
        <v>2902</v>
      </c>
      <c r="B883" s="2" t="s">
        <v>2903</v>
      </c>
      <c r="C883" s="2" t="s">
        <v>2896</v>
      </c>
      <c r="D883" s="2">
        <v>19710.32</v>
      </c>
      <c r="E883" s="2">
        <v>10000</v>
      </c>
      <c r="F883" s="3">
        <f>IF(COUNT(D883,E883)=2,D883*E883,NA())</f>
        <v>197103200.0</v>
      </c>
      <c r="G883" s="2" t="s">
        <v>52</v>
      </c>
      <c r="H883" s="2" t="s">
        <v>53</v>
      </c>
      <c r="I883" s="2" t="s">
        <v>54</v>
      </c>
      <c r="J883" s="2" t="s">
        <v>1532</v>
      </c>
      <c r="K883" s="2"/>
      <c r="L883" s="2" t="s">
        <v>1713</v>
      </c>
      <c r="M883" s="2" t="s">
        <v>57</v>
      </c>
      <c r="N883" s="2" t="s">
        <v>58</v>
      </c>
      <c r="O883" s="2" t="s">
        <v>1533</v>
      </c>
      <c r="P883" s="2" t="s">
        <v>2897</v>
      </c>
      <c r="Q883" s="2" t="s">
        <v>2904</v>
      </c>
      <c r="R883" s="2"/>
    </row>
    <row r="884" spans="1:18">
      <c r="A884" s="2" t="s">
        <v>2905</v>
      </c>
      <c r="B884" s="2" t="s">
        <v>2906</v>
      </c>
      <c r="C884" s="2" t="s">
        <v>2907</v>
      </c>
      <c r="D884" s="2">
        <v>36000</v>
      </c>
      <c r="E884" s="2">
        <v>10000</v>
      </c>
      <c r="F884" s="3">
        <f>IF(COUNT(D884,E884)=2,D884*E884,NA())</f>
        <v>360000000.0</v>
      </c>
      <c r="G884" s="2" t="s">
        <v>52</v>
      </c>
      <c r="H884" s="2" t="s">
        <v>53</v>
      </c>
      <c r="I884" s="2" t="s">
        <v>54</v>
      </c>
      <c r="J884" s="2" t="s">
        <v>1532</v>
      </c>
      <c r="K884" s="2"/>
      <c r="L884" s="2" t="s">
        <v>2908</v>
      </c>
      <c r="M884" s="2" t="s">
        <v>57</v>
      </c>
      <c r="N884" s="2" t="s">
        <v>58</v>
      </c>
      <c r="O884" s="2" t="s">
        <v>1533</v>
      </c>
      <c r="P884" s="2" t="s">
        <v>2909</v>
      </c>
      <c r="Q884" s="2" t="s">
        <v>2910</v>
      </c>
      <c r="R884" s="2"/>
    </row>
    <row r="885" spans="1:18">
      <c r="A885" s="2" t="s">
        <v>2911</v>
      </c>
      <c r="B885" s="2" t="s">
        <v>2912</v>
      </c>
      <c r="C885" s="2" t="s">
        <v>2913</v>
      </c>
      <c r="D885" s="2">
        <v>5120327681.81</v>
      </c>
      <c r="E885" s="2">
        <v>1</v>
      </c>
      <c r="F885" s="3">
        <f>IF(COUNT(D885,E885)=2,D885*E885,NA())</f>
        <v>5120327681.81</v>
      </c>
      <c r="G885" s="2" t="s">
        <v>52</v>
      </c>
      <c r="H885" s="2" t="s">
        <v>53</v>
      </c>
      <c r="I885" s="2" t="s">
        <v>54</v>
      </c>
      <c r="J885" s="2" t="s">
        <v>55</v>
      </c>
      <c r="K885" s="2"/>
      <c r="L885" s="2" t="s">
        <v>1713</v>
      </c>
      <c r="M885" s="2" t="s">
        <v>57</v>
      </c>
      <c r="N885" s="2" t="s">
        <v>58</v>
      </c>
      <c r="O885" s="2" t="s">
        <v>2914</v>
      </c>
      <c r="P885" s="2" t="s">
        <v>2915</v>
      </c>
      <c r="Q885" s="2" t="s">
        <v>2911</v>
      </c>
      <c r="R885" s="2"/>
    </row>
    <row r="886" spans="1:18">
      <c r="A886" s="2" t="s">
        <v>2916</v>
      </c>
      <c r="B886" s="2" t="s">
        <v>2917</v>
      </c>
      <c r="C886" s="2" t="s">
        <v>2913</v>
      </c>
      <c r="D886" s="2">
        <v>76475489.65000001</v>
      </c>
      <c r="E886" s="2">
        <v>1</v>
      </c>
      <c r="F886" s="3">
        <f>IF(COUNT(D886,E886)=2,D886*E886,NA())</f>
        <v>76475489.65</v>
      </c>
      <c r="G886" s="2" t="s">
        <v>52</v>
      </c>
      <c r="H886" s="2" t="s">
        <v>53</v>
      </c>
      <c r="I886" s="2" t="s">
        <v>54</v>
      </c>
      <c r="J886" s="2" t="s">
        <v>55</v>
      </c>
      <c r="K886" s="2" t="s">
        <v>1742</v>
      </c>
      <c r="L886" s="2" t="s">
        <v>1713</v>
      </c>
      <c r="M886" s="2" t="s">
        <v>393</v>
      </c>
      <c r="N886" s="2" t="s">
        <v>58</v>
      </c>
      <c r="O886" s="2" t="s">
        <v>2914</v>
      </c>
      <c r="P886" s="2" t="s">
        <v>2915</v>
      </c>
      <c r="Q886" s="2" t="s">
        <v>2916</v>
      </c>
      <c r="R886" s="2"/>
    </row>
    <row r="887" spans="1:18">
      <c r="A887" s="2" t="s">
        <v>2918</v>
      </c>
      <c r="B887" s="2" t="s">
        <v>2919</v>
      </c>
      <c r="C887" s="2" t="s">
        <v>2913</v>
      </c>
      <c r="D887" s="2">
        <v>25186873.76</v>
      </c>
      <c r="E887" s="2">
        <v>1</v>
      </c>
      <c r="F887" s="3">
        <f>IF(COUNT(D887,E887)=2,D887*E887,NA())</f>
        <v>25186873.76</v>
      </c>
      <c r="G887" s="2" t="s">
        <v>52</v>
      </c>
      <c r="H887" s="2" t="s">
        <v>53</v>
      </c>
      <c r="I887" s="2" t="s">
        <v>54</v>
      </c>
      <c r="J887" s="2" t="s">
        <v>55</v>
      </c>
      <c r="K887" s="2" t="s">
        <v>1742</v>
      </c>
      <c r="L887" s="2" t="s">
        <v>1713</v>
      </c>
      <c r="M887" s="2" t="s">
        <v>393</v>
      </c>
      <c r="N887" s="2" t="s">
        <v>58</v>
      </c>
      <c r="O887" s="2" t="s">
        <v>2914</v>
      </c>
      <c r="P887" s="2" t="s">
        <v>2915</v>
      </c>
      <c r="Q887" s="2" t="s">
        <v>2918</v>
      </c>
      <c r="R887" s="2"/>
    </row>
    <row r="888" spans="1:18">
      <c r="A888" s="2" t="s">
        <v>2920</v>
      </c>
      <c r="B888" s="2" t="s">
        <v>2921</v>
      </c>
      <c r="C888" s="2" t="s">
        <v>2913</v>
      </c>
      <c r="D888" s="2">
        <v>16187570.98</v>
      </c>
      <c r="E888" s="2">
        <v>1</v>
      </c>
      <c r="F888" s="3">
        <f>IF(COUNT(D888,E888)=2,D888*E888,NA())</f>
        <v>16187570.98</v>
      </c>
      <c r="G888" s="2" t="s">
        <v>52</v>
      </c>
      <c r="H888" s="2" t="s">
        <v>53</v>
      </c>
      <c r="I888" s="2" t="s">
        <v>54</v>
      </c>
      <c r="J888" s="2" t="s">
        <v>55</v>
      </c>
      <c r="K888" s="2" t="s">
        <v>1742</v>
      </c>
      <c r="L888" s="2" t="s">
        <v>1713</v>
      </c>
      <c r="M888" s="2" t="s">
        <v>393</v>
      </c>
      <c r="N888" s="2" t="s">
        <v>58</v>
      </c>
      <c r="O888" s="2" t="s">
        <v>2914</v>
      </c>
      <c r="P888" s="2" t="s">
        <v>2915</v>
      </c>
      <c r="Q888" s="2" t="s">
        <v>2920</v>
      </c>
      <c r="R888" s="2"/>
    </row>
    <row r="889" spans="1:18">
      <c r="A889" s="2" t="s">
        <v>2922</v>
      </c>
      <c r="B889" s="2" t="s">
        <v>2923</v>
      </c>
      <c r="C889" s="2" t="s">
        <v>2913</v>
      </c>
      <c r="D889" s="2">
        <v>395487256.65</v>
      </c>
      <c r="E889" s="2">
        <v>1</v>
      </c>
      <c r="F889" s="3">
        <f>IF(COUNT(D889,E889)=2,D889*E889,NA())</f>
        <v>395487256.65</v>
      </c>
      <c r="G889" s="2" t="s">
        <v>52</v>
      </c>
      <c r="H889" s="2" t="s">
        <v>53</v>
      </c>
      <c r="I889" s="2" t="s">
        <v>54</v>
      </c>
      <c r="J889" s="2" t="s">
        <v>55</v>
      </c>
      <c r="K889" s="2"/>
      <c r="L889" s="2" t="s">
        <v>1713</v>
      </c>
      <c r="M889" s="2" t="s">
        <v>57</v>
      </c>
      <c r="N889" s="2" t="s">
        <v>58</v>
      </c>
      <c r="O889" s="2" t="s">
        <v>2914</v>
      </c>
      <c r="P889" s="2" t="s">
        <v>2915</v>
      </c>
      <c r="Q889" s="2" t="s">
        <v>2922</v>
      </c>
      <c r="R889" s="2"/>
    </row>
    <row r="890" spans="1:18">
      <c r="A890" s="2" t="s">
        <v>2924</v>
      </c>
      <c r="B890" s="2" t="s">
        <v>2925</v>
      </c>
      <c r="C890" s="2" t="s">
        <v>2913</v>
      </c>
      <c r="D890" s="2">
        <v>14270791.61</v>
      </c>
      <c r="E890" s="2">
        <v>1</v>
      </c>
      <c r="F890" s="3">
        <f>IF(COUNT(D890,E890)=2,D890*E890,NA())</f>
        <v>14270791.61</v>
      </c>
      <c r="G890" s="2" t="s">
        <v>52</v>
      </c>
      <c r="H890" s="2" t="s">
        <v>53</v>
      </c>
      <c r="I890" s="2" t="s">
        <v>54</v>
      </c>
      <c r="J890" s="2" t="s">
        <v>55</v>
      </c>
      <c r="K890" s="2"/>
      <c r="L890" s="2" t="s">
        <v>1713</v>
      </c>
      <c r="M890" s="2" t="s">
        <v>57</v>
      </c>
      <c r="N890" s="2" t="s">
        <v>58</v>
      </c>
      <c r="O890" s="2" t="s">
        <v>2914</v>
      </c>
      <c r="P890" s="2" t="s">
        <v>2915</v>
      </c>
      <c r="Q890" s="2" t="s">
        <v>2924</v>
      </c>
      <c r="R890" s="2"/>
    </row>
    <row r="891" spans="1:18">
      <c r="A891" s="2" t="s">
        <v>2926</v>
      </c>
      <c r="B891" s="2" t="s">
        <v>2927</v>
      </c>
      <c r="C891" s="2" t="s">
        <v>2913</v>
      </c>
      <c r="D891" s="2">
        <v>378181344.88</v>
      </c>
      <c r="E891" s="2">
        <v>1</v>
      </c>
      <c r="F891" s="3">
        <f>IF(COUNT(D891,E891)=2,D891*E891,NA())</f>
        <v>378181344.88</v>
      </c>
      <c r="G891" s="2" t="s">
        <v>52</v>
      </c>
      <c r="H891" s="2" t="s">
        <v>53</v>
      </c>
      <c r="I891" s="2" t="s">
        <v>54</v>
      </c>
      <c r="J891" s="2" t="s">
        <v>55</v>
      </c>
      <c r="K891" s="2"/>
      <c r="L891" s="2" t="s">
        <v>1713</v>
      </c>
      <c r="M891" s="2" t="s">
        <v>57</v>
      </c>
      <c r="N891" s="2" t="s">
        <v>58</v>
      </c>
      <c r="O891" s="2" t="s">
        <v>2914</v>
      </c>
      <c r="P891" s="2" t="s">
        <v>2915</v>
      </c>
      <c r="Q891" s="2" t="s">
        <v>2926</v>
      </c>
      <c r="R891" s="2"/>
    </row>
    <row r="892" spans="1:18">
      <c r="A892" s="2" t="s">
        <v>2928</v>
      </c>
      <c r="B892" s="2" t="s">
        <v>2929</v>
      </c>
      <c r="C892" s="2" t="s">
        <v>2913</v>
      </c>
      <c r="D892" s="2">
        <v>421815391.51</v>
      </c>
      <c r="E892" s="2">
        <v>1</v>
      </c>
      <c r="F892" s="3">
        <f>IF(COUNT(D892,E892)=2,D892*E892,NA())</f>
        <v>421815391.51</v>
      </c>
      <c r="G892" s="2" t="s">
        <v>52</v>
      </c>
      <c r="H892" s="2" t="s">
        <v>53</v>
      </c>
      <c r="I892" s="2" t="s">
        <v>54</v>
      </c>
      <c r="J892" s="2" t="s">
        <v>55</v>
      </c>
      <c r="K892" s="2"/>
      <c r="L892" s="2" t="s">
        <v>1713</v>
      </c>
      <c r="M892" s="2" t="s">
        <v>57</v>
      </c>
      <c r="N892" s="2" t="s">
        <v>58</v>
      </c>
      <c r="O892" s="2" t="s">
        <v>2914</v>
      </c>
      <c r="P892" s="2" t="s">
        <v>2915</v>
      </c>
      <c r="Q892" s="2" t="s">
        <v>2928</v>
      </c>
      <c r="R892" s="2"/>
    </row>
    <row r="893" spans="1:18">
      <c r="A893" s="2" t="s">
        <v>2930</v>
      </c>
      <c r="B893" s="2" t="s">
        <v>2931</v>
      </c>
      <c r="C893" s="2" t="s">
        <v>2913</v>
      </c>
      <c r="D893" s="2">
        <v>1538893522.81</v>
      </c>
      <c r="E893" s="2">
        <v>1</v>
      </c>
      <c r="F893" s="3">
        <f>IF(COUNT(D893,E893)=2,D893*E893,NA())</f>
        <v>1538893522.81</v>
      </c>
      <c r="G893" s="2" t="s">
        <v>52</v>
      </c>
      <c r="H893" s="2" t="s">
        <v>53</v>
      </c>
      <c r="I893" s="2" t="s">
        <v>54</v>
      </c>
      <c r="J893" s="2" t="s">
        <v>55</v>
      </c>
      <c r="K893" s="2"/>
      <c r="L893" s="2" t="s">
        <v>1713</v>
      </c>
      <c r="M893" s="2" t="s">
        <v>57</v>
      </c>
      <c r="N893" s="2" t="s">
        <v>58</v>
      </c>
      <c r="O893" s="2" t="s">
        <v>2914</v>
      </c>
      <c r="P893" s="2" t="s">
        <v>2915</v>
      </c>
      <c r="Q893" s="2" t="s">
        <v>2930</v>
      </c>
      <c r="R893" s="2"/>
    </row>
    <row r="894" spans="1:18">
      <c r="A894" s="2" t="s">
        <v>2932</v>
      </c>
      <c r="B894" s="2" t="s">
        <v>2933</v>
      </c>
      <c r="C894" s="2" t="s">
        <v>2934</v>
      </c>
      <c r="D894" s="2">
        <v>3460600340</v>
      </c>
      <c r="E894" s="2">
        <v>1</v>
      </c>
      <c r="F894" s="3">
        <f>IF(COUNT(D894,E894)=2,D894*E894,NA())</f>
        <v>3460600340.0</v>
      </c>
      <c r="G894" s="2" t="s">
        <v>52</v>
      </c>
      <c r="H894" s="2" t="s">
        <v>53</v>
      </c>
      <c r="I894" s="2" t="s">
        <v>54</v>
      </c>
      <c r="J894" s="2" t="s">
        <v>55</v>
      </c>
      <c r="K894" s="2" t="s">
        <v>397</v>
      </c>
      <c r="L894" s="2" t="s">
        <v>63</v>
      </c>
      <c r="M894" s="2" t="s">
        <v>393</v>
      </c>
      <c r="N894" s="2" t="s">
        <v>58</v>
      </c>
      <c r="O894" s="2" t="s">
        <v>2914</v>
      </c>
      <c r="P894" s="2" t="s">
        <v>2915</v>
      </c>
      <c r="Q894" s="2" t="s">
        <v>2932</v>
      </c>
      <c r="R894" s="2"/>
    </row>
    <row r="895" spans="1:18">
      <c r="A895" s="2" t="s">
        <v>2935</v>
      </c>
      <c r="B895" s="2" t="s">
        <v>2936</v>
      </c>
      <c r="C895" s="2" t="s">
        <v>2934</v>
      </c>
      <c r="D895" s="2">
        <v>101281038.65</v>
      </c>
      <c r="E895" s="2">
        <v>1</v>
      </c>
      <c r="F895" s="3">
        <f>IF(COUNT(D895,E895)=2,D895*E895,NA())</f>
        <v>101281038.65</v>
      </c>
      <c r="G895" s="2" t="s">
        <v>52</v>
      </c>
      <c r="H895" s="2" t="s">
        <v>53</v>
      </c>
      <c r="I895" s="2" t="s">
        <v>54</v>
      </c>
      <c r="J895" s="2" t="s">
        <v>55</v>
      </c>
      <c r="K895" s="2" t="s">
        <v>397</v>
      </c>
      <c r="L895" s="2" t="s">
        <v>63</v>
      </c>
      <c r="M895" s="2" t="s">
        <v>393</v>
      </c>
      <c r="N895" s="2" t="s">
        <v>58</v>
      </c>
      <c r="O895" s="2" t="s">
        <v>2914</v>
      </c>
      <c r="P895" s="2" t="s">
        <v>2915</v>
      </c>
      <c r="Q895" s="2" t="s">
        <v>2935</v>
      </c>
      <c r="R895" s="2"/>
    </row>
    <row r="896" spans="1:18">
      <c r="A896" s="2" t="s">
        <v>2937</v>
      </c>
      <c r="B896" s="2" t="s">
        <v>2938</v>
      </c>
      <c r="C896" s="2" t="s">
        <v>2934</v>
      </c>
      <c r="D896" s="2">
        <v>69190459.06999999</v>
      </c>
      <c r="E896" s="2">
        <v>1</v>
      </c>
      <c r="F896" s="3">
        <f>IF(COUNT(D896,E896)=2,D896*E896,NA())</f>
        <v>69190459.07</v>
      </c>
      <c r="G896" s="2" t="s">
        <v>52</v>
      </c>
      <c r="H896" s="2" t="s">
        <v>53</v>
      </c>
      <c r="I896" s="2" t="s">
        <v>54</v>
      </c>
      <c r="J896" s="2" t="s">
        <v>55</v>
      </c>
      <c r="K896" s="2" t="s">
        <v>397</v>
      </c>
      <c r="L896" s="2" t="s">
        <v>63</v>
      </c>
      <c r="M896" s="2" t="s">
        <v>393</v>
      </c>
      <c r="N896" s="2" t="s">
        <v>58</v>
      </c>
      <c r="O896" s="2" t="s">
        <v>2914</v>
      </c>
      <c r="P896" s="2" t="s">
        <v>2915</v>
      </c>
      <c r="Q896" s="2" t="s">
        <v>2937</v>
      </c>
      <c r="R896" s="2"/>
    </row>
    <row r="897" spans="1:18">
      <c r="A897" s="2" t="s">
        <v>2939</v>
      </c>
      <c r="B897" s="2" t="s">
        <v>2940</v>
      </c>
      <c r="C897" s="2" t="s">
        <v>2934</v>
      </c>
      <c r="D897" s="2">
        <v>221383024.34</v>
      </c>
      <c r="E897" s="2">
        <v>1</v>
      </c>
      <c r="F897" s="3">
        <f>IF(COUNT(D897,E897)=2,D897*E897,NA())</f>
        <v>221383024.34</v>
      </c>
      <c r="G897" s="2" t="s">
        <v>52</v>
      </c>
      <c r="H897" s="2" t="s">
        <v>53</v>
      </c>
      <c r="I897" s="2" t="s">
        <v>54</v>
      </c>
      <c r="J897" s="2" t="s">
        <v>55</v>
      </c>
      <c r="K897" s="2" t="s">
        <v>397</v>
      </c>
      <c r="L897" s="2" t="s">
        <v>63</v>
      </c>
      <c r="M897" s="2" t="s">
        <v>393</v>
      </c>
      <c r="N897" s="2" t="s">
        <v>58</v>
      </c>
      <c r="O897" s="2" t="s">
        <v>2914</v>
      </c>
      <c r="P897" s="2" t="s">
        <v>2915</v>
      </c>
      <c r="Q897" s="2" t="s">
        <v>2939</v>
      </c>
      <c r="R897" s="2"/>
    </row>
    <row r="898" spans="1:18">
      <c r="A898" s="2" t="s">
        <v>2941</v>
      </c>
      <c r="B898" s="2" t="s">
        <v>2942</v>
      </c>
      <c r="C898" s="2" t="s">
        <v>2934</v>
      </c>
      <c r="D898" s="2">
        <v>204461786.26</v>
      </c>
      <c r="E898" s="2">
        <v>1</v>
      </c>
      <c r="F898" s="3">
        <f>IF(COUNT(D898,E898)=2,D898*E898,NA())</f>
        <v>204461786.26</v>
      </c>
      <c r="G898" s="2" t="s">
        <v>52</v>
      </c>
      <c r="H898" s="2" t="s">
        <v>53</v>
      </c>
      <c r="I898" s="2" t="s">
        <v>54</v>
      </c>
      <c r="J898" s="2" t="s">
        <v>55</v>
      </c>
      <c r="K898" s="2" t="s">
        <v>397</v>
      </c>
      <c r="L898" s="2" t="s">
        <v>63</v>
      </c>
      <c r="M898" s="2" t="s">
        <v>393</v>
      </c>
      <c r="N898" s="2" t="s">
        <v>58</v>
      </c>
      <c r="O898" s="2" t="s">
        <v>2914</v>
      </c>
      <c r="P898" s="2" t="s">
        <v>2915</v>
      </c>
      <c r="Q898" s="2" t="s">
        <v>2941</v>
      </c>
      <c r="R898" s="2"/>
    </row>
    <row r="899" spans="1:18">
      <c r="A899" s="2" t="s">
        <v>2943</v>
      </c>
      <c r="B899" s="2" t="s">
        <v>2944</v>
      </c>
      <c r="C899" s="2" t="s">
        <v>2934</v>
      </c>
      <c r="D899" s="2">
        <v>5342161191.16</v>
      </c>
      <c r="E899" s="2">
        <v>1</v>
      </c>
      <c r="F899" s="3">
        <f>IF(COUNT(D899,E899)=2,D899*E899,NA())</f>
        <v>5342161191.16</v>
      </c>
      <c r="G899" s="2" t="s">
        <v>52</v>
      </c>
      <c r="H899" s="2" t="s">
        <v>53</v>
      </c>
      <c r="I899" s="2" t="s">
        <v>54</v>
      </c>
      <c r="J899" s="2" t="s">
        <v>55</v>
      </c>
      <c r="K899" s="2" t="s">
        <v>397</v>
      </c>
      <c r="L899" s="2" t="s">
        <v>63</v>
      </c>
      <c r="M899" s="2" t="s">
        <v>393</v>
      </c>
      <c r="N899" s="2" t="s">
        <v>58</v>
      </c>
      <c r="O899" s="2" t="s">
        <v>2914</v>
      </c>
      <c r="P899" s="2" t="s">
        <v>2915</v>
      </c>
      <c r="Q899" s="2" t="s">
        <v>2943</v>
      </c>
      <c r="R899" s="2"/>
    </row>
    <row r="900" spans="1:18">
      <c r="A900" s="2" t="s">
        <v>2945</v>
      </c>
      <c r="B900" s="2" t="s">
        <v>2946</v>
      </c>
      <c r="C900" s="2" t="s">
        <v>2934</v>
      </c>
      <c r="D900" s="2">
        <v>2795949601.56</v>
      </c>
      <c r="E900" s="2">
        <v>1</v>
      </c>
      <c r="F900" s="3">
        <f>IF(COUNT(D900,E900)=2,D900*E900,NA())</f>
        <v>2795949601.56</v>
      </c>
      <c r="G900" s="2" t="s">
        <v>52</v>
      </c>
      <c r="H900" s="2" t="s">
        <v>53</v>
      </c>
      <c r="I900" s="2" t="s">
        <v>54</v>
      </c>
      <c r="J900" s="2" t="s">
        <v>55</v>
      </c>
      <c r="K900" s="2" t="s">
        <v>392</v>
      </c>
      <c r="L900" s="2" t="s">
        <v>56</v>
      </c>
      <c r="M900" s="2" t="s">
        <v>393</v>
      </c>
      <c r="N900" s="2" t="s">
        <v>58</v>
      </c>
      <c r="O900" s="2" t="s">
        <v>2914</v>
      </c>
      <c r="P900" s="2" t="s">
        <v>2915</v>
      </c>
      <c r="Q900" s="2" t="s">
        <v>2945</v>
      </c>
      <c r="R900" s="2"/>
    </row>
    <row r="901" spans="1:18">
      <c r="A901" s="2" t="s">
        <v>2947</v>
      </c>
      <c r="B901" s="2" t="s">
        <v>2948</v>
      </c>
      <c r="C901" s="2" t="s">
        <v>2934</v>
      </c>
      <c r="D901" s="2">
        <v>101164726.08</v>
      </c>
      <c r="E901" s="2">
        <v>1</v>
      </c>
      <c r="F901" s="3">
        <f>IF(COUNT(D901,E901)=2,D901*E901,NA())</f>
        <v>101164726.08</v>
      </c>
      <c r="G901" s="2" t="s">
        <v>52</v>
      </c>
      <c r="H901" s="2" t="s">
        <v>53</v>
      </c>
      <c r="I901" s="2" t="s">
        <v>54</v>
      </c>
      <c r="J901" s="2" t="s">
        <v>55</v>
      </c>
      <c r="K901" s="2" t="s">
        <v>392</v>
      </c>
      <c r="L901" s="2" t="s">
        <v>56</v>
      </c>
      <c r="M901" s="2" t="s">
        <v>393</v>
      </c>
      <c r="N901" s="2" t="s">
        <v>58</v>
      </c>
      <c r="O901" s="2" t="s">
        <v>2914</v>
      </c>
      <c r="P901" s="2" t="s">
        <v>2915</v>
      </c>
      <c r="Q901" s="2" t="s">
        <v>2947</v>
      </c>
      <c r="R901" s="2"/>
    </row>
    <row r="902" spans="1:18">
      <c r="A902" s="2" t="s">
        <v>2949</v>
      </c>
      <c r="B902" s="2" t="s">
        <v>2950</v>
      </c>
      <c r="C902" s="2" t="s">
        <v>2934</v>
      </c>
      <c r="D902" s="2">
        <v>70171294.05</v>
      </c>
      <c r="E902" s="2">
        <v>1</v>
      </c>
      <c r="F902" s="3">
        <f>IF(COUNT(D902,E902)=2,D902*E902,NA())</f>
        <v>70171294.05</v>
      </c>
      <c r="G902" s="2" t="s">
        <v>52</v>
      </c>
      <c r="H902" s="2" t="s">
        <v>53</v>
      </c>
      <c r="I902" s="2" t="s">
        <v>54</v>
      </c>
      <c r="J902" s="2" t="s">
        <v>55</v>
      </c>
      <c r="K902" s="2" t="s">
        <v>392</v>
      </c>
      <c r="L902" s="2" t="s">
        <v>56</v>
      </c>
      <c r="M902" s="2" t="s">
        <v>393</v>
      </c>
      <c r="N902" s="2" t="s">
        <v>58</v>
      </c>
      <c r="O902" s="2" t="s">
        <v>2914</v>
      </c>
      <c r="P902" s="2" t="s">
        <v>2915</v>
      </c>
      <c r="Q902" s="2" t="s">
        <v>2949</v>
      </c>
      <c r="R902" s="2"/>
    </row>
    <row r="903" spans="1:18">
      <c r="A903" s="2" t="s">
        <v>2951</v>
      </c>
      <c r="B903" s="2" t="s">
        <v>2952</v>
      </c>
      <c r="C903" s="2" t="s">
        <v>2934</v>
      </c>
      <c r="D903" s="2">
        <v>200814196.12</v>
      </c>
      <c r="E903" s="2">
        <v>1</v>
      </c>
      <c r="F903" s="3">
        <f>IF(COUNT(D903,E903)=2,D903*E903,NA())</f>
        <v>200814196.12</v>
      </c>
      <c r="G903" s="2" t="s">
        <v>52</v>
      </c>
      <c r="H903" s="2" t="s">
        <v>53</v>
      </c>
      <c r="I903" s="2" t="s">
        <v>54</v>
      </c>
      <c r="J903" s="2" t="s">
        <v>55</v>
      </c>
      <c r="K903" s="2" t="s">
        <v>392</v>
      </c>
      <c r="L903" s="2" t="s">
        <v>56</v>
      </c>
      <c r="M903" s="2" t="s">
        <v>393</v>
      </c>
      <c r="N903" s="2" t="s">
        <v>58</v>
      </c>
      <c r="O903" s="2" t="s">
        <v>2914</v>
      </c>
      <c r="P903" s="2" t="s">
        <v>2915</v>
      </c>
      <c r="Q903" s="2" t="s">
        <v>2951</v>
      </c>
      <c r="R903" s="2"/>
    </row>
    <row r="904" spans="1:18">
      <c r="A904" s="2" t="s">
        <v>2953</v>
      </c>
      <c r="B904" s="2" t="s">
        <v>2954</v>
      </c>
      <c r="C904" s="2" t="s">
        <v>2934</v>
      </c>
      <c r="D904" s="2">
        <v>155774431.97</v>
      </c>
      <c r="E904" s="2">
        <v>1</v>
      </c>
      <c r="F904" s="3">
        <f>IF(COUNT(D904,E904)=2,D904*E904,NA())</f>
        <v>155774431.97</v>
      </c>
      <c r="G904" s="2" t="s">
        <v>52</v>
      </c>
      <c r="H904" s="2" t="s">
        <v>53</v>
      </c>
      <c r="I904" s="2" t="s">
        <v>54</v>
      </c>
      <c r="J904" s="2" t="s">
        <v>55</v>
      </c>
      <c r="K904" s="2" t="s">
        <v>392</v>
      </c>
      <c r="L904" s="2" t="s">
        <v>56</v>
      </c>
      <c r="M904" s="2" t="s">
        <v>393</v>
      </c>
      <c r="N904" s="2" t="s">
        <v>58</v>
      </c>
      <c r="O904" s="2" t="s">
        <v>2914</v>
      </c>
      <c r="P904" s="2" t="s">
        <v>2915</v>
      </c>
      <c r="Q904" s="2" t="s">
        <v>2953</v>
      </c>
      <c r="R904" s="2"/>
    </row>
    <row r="905" spans="1:18">
      <c r="A905" s="2" t="s">
        <v>2955</v>
      </c>
      <c r="B905" s="2" t="s">
        <v>2956</v>
      </c>
      <c r="C905" s="2" t="s">
        <v>2934</v>
      </c>
      <c r="D905" s="2">
        <v>4659529919.68</v>
      </c>
      <c r="E905" s="2">
        <v>1</v>
      </c>
      <c r="F905" s="3">
        <f>IF(COUNT(D905,E905)=2,D905*E905,NA())</f>
        <v>4659529919.68</v>
      </c>
      <c r="G905" s="2" t="s">
        <v>52</v>
      </c>
      <c r="H905" s="2" t="s">
        <v>53</v>
      </c>
      <c r="I905" s="2" t="s">
        <v>54</v>
      </c>
      <c r="J905" s="2" t="s">
        <v>55</v>
      </c>
      <c r="K905" s="2" t="s">
        <v>392</v>
      </c>
      <c r="L905" s="2" t="s">
        <v>56</v>
      </c>
      <c r="M905" s="2" t="s">
        <v>393</v>
      </c>
      <c r="N905" s="2" t="s">
        <v>58</v>
      </c>
      <c r="O905" s="2" t="s">
        <v>2914</v>
      </c>
      <c r="P905" s="2" t="s">
        <v>2915</v>
      </c>
      <c r="Q905" s="2" t="s">
        <v>2955</v>
      </c>
      <c r="R905" s="2"/>
    </row>
    <row r="906" spans="1:18">
      <c r="A906" s="2" t="s">
        <v>2957</v>
      </c>
      <c r="B906" s="2" t="s">
        <v>2958</v>
      </c>
      <c r="C906" s="2" t="s">
        <v>2959</v>
      </c>
      <c r="D906" s="2">
        <v>37576241.8</v>
      </c>
      <c r="E906" s="2">
        <v>1</v>
      </c>
      <c r="F906" s="3">
        <f>IF(COUNT(D906,E906)=2,D906*E906,NA())</f>
        <v>37576241.8</v>
      </c>
      <c r="G906" s="2" t="s">
        <v>52</v>
      </c>
      <c r="H906" s="2" t="s">
        <v>53</v>
      </c>
      <c r="I906" s="2" t="s">
        <v>54</v>
      </c>
      <c r="J906" s="2" t="s">
        <v>55</v>
      </c>
      <c r="K906" s="2" t="s">
        <v>392</v>
      </c>
      <c r="L906" s="2" t="s">
        <v>56</v>
      </c>
      <c r="M906" s="2" t="s">
        <v>393</v>
      </c>
      <c r="N906" s="2" t="s">
        <v>58</v>
      </c>
      <c r="O906" s="2" t="s">
        <v>2960</v>
      </c>
      <c r="P906" s="2" t="s">
        <v>2961</v>
      </c>
      <c r="Q906" s="2" t="s">
        <v>2962</v>
      </c>
      <c r="R906" s="2"/>
    </row>
    <row r="907" spans="1:18">
      <c r="A907" s="2" t="s">
        <v>2963</v>
      </c>
      <c r="B907" s="2" t="s">
        <v>2964</v>
      </c>
      <c r="C907" s="2" t="s">
        <v>2959</v>
      </c>
      <c r="D907" s="2">
        <v>12258398.27</v>
      </c>
      <c r="E907" s="2">
        <v>1</v>
      </c>
      <c r="F907" s="3">
        <f>IF(COUNT(D907,E907)=2,D907*E907,NA())</f>
        <v>12258398.27</v>
      </c>
      <c r="G907" s="2" t="s">
        <v>52</v>
      </c>
      <c r="H907" s="2" t="s">
        <v>53</v>
      </c>
      <c r="I907" s="2" t="s">
        <v>54</v>
      </c>
      <c r="J907" s="2" t="s">
        <v>55</v>
      </c>
      <c r="K907" s="2" t="s">
        <v>392</v>
      </c>
      <c r="L907" s="2" t="s">
        <v>56</v>
      </c>
      <c r="M907" s="2" t="s">
        <v>393</v>
      </c>
      <c r="N907" s="2" t="s">
        <v>58</v>
      </c>
      <c r="O907" s="2" t="s">
        <v>2960</v>
      </c>
      <c r="P907" s="2" t="s">
        <v>2961</v>
      </c>
      <c r="Q907" s="2" t="s">
        <v>2965</v>
      </c>
      <c r="R907" s="2"/>
    </row>
    <row r="908" spans="1:18">
      <c r="A908" s="2" t="s">
        <v>2966</v>
      </c>
      <c r="B908" s="2" t="s">
        <v>2967</v>
      </c>
      <c r="C908" s="2" t="s">
        <v>2959</v>
      </c>
      <c r="D908" s="2">
        <v>262693696.53</v>
      </c>
      <c r="E908" s="2">
        <v>1</v>
      </c>
      <c r="F908" s="3">
        <f>IF(COUNT(D908,E908)=2,D908*E908,NA())</f>
        <v>262693696.53</v>
      </c>
      <c r="G908" s="2" t="s">
        <v>52</v>
      </c>
      <c r="H908" s="2" t="s">
        <v>53</v>
      </c>
      <c r="I908" s="2" t="s">
        <v>54</v>
      </c>
      <c r="J908" s="2" t="s">
        <v>55</v>
      </c>
      <c r="K908" s="2" t="s">
        <v>392</v>
      </c>
      <c r="L908" s="2" t="s">
        <v>56</v>
      </c>
      <c r="M908" s="2" t="s">
        <v>393</v>
      </c>
      <c r="N908" s="2" t="s">
        <v>58</v>
      </c>
      <c r="O908" s="2" t="s">
        <v>2960</v>
      </c>
      <c r="P908" s="2" t="s">
        <v>2961</v>
      </c>
      <c r="Q908" s="2" t="s">
        <v>2968</v>
      </c>
      <c r="R908" s="2"/>
    </row>
    <row r="909" spans="1:18">
      <c r="A909" s="2" t="s">
        <v>2969</v>
      </c>
      <c r="B909" s="2" t="s">
        <v>2970</v>
      </c>
      <c r="C909" s="2" t="s">
        <v>2959</v>
      </c>
      <c r="D909" s="2">
        <v>15786899.57</v>
      </c>
      <c r="E909" s="2">
        <v>1</v>
      </c>
      <c r="F909" s="3">
        <f>IF(COUNT(D909,E909)=2,D909*E909,NA())</f>
        <v>15786899.57</v>
      </c>
      <c r="G909" s="2" t="s">
        <v>52</v>
      </c>
      <c r="H909" s="2" t="s">
        <v>53</v>
      </c>
      <c r="I909" s="2" t="s">
        <v>54</v>
      </c>
      <c r="J909" s="2" t="s">
        <v>55</v>
      </c>
      <c r="K909" s="2" t="s">
        <v>392</v>
      </c>
      <c r="L909" s="2" t="s">
        <v>56</v>
      </c>
      <c r="M909" s="2" t="s">
        <v>393</v>
      </c>
      <c r="N909" s="2" t="s">
        <v>58</v>
      </c>
      <c r="O909" s="2" t="s">
        <v>2960</v>
      </c>
      <c r="P909" s="2" t="s">
        <v>2961</v>
      </c>
      <c r="Q909" s="2" t="s">
        <v>2971</v>
      </c>
      <c r="R909" s="2"/>
    </row>
    <row r="910" spans="1:18">
      <c r="A910" s="2" t="s">
        <v>2972</v>
      </c>
      <c r="B910" s="2" t="s">
        <v>2973</v>
      </c>
      <c r="C910" s="2" t="s">
        <v>2959</v>
      </c>
      <c r="D910" s="2">
        <v>826561.1899999999</v>
      </c>
      <c r="E910" s="2">
        <v>1</v>
      </c>
      <c r="F910" s="3">
        <f>IF(COUNT(D910,E910)=2,D910*E910,NA())</f>
        <v>826561.19</v>
      </c>
      <c r="G910" s="2" t="s">
        <v>52</v>
      </c>
      <c r="H910" s="2" t="s">
        <v>53</v>
      </c>
      <c r="I910" s="2" t="s">
        <v>54</v>
      </c>
      <c r="J910" s="2" t="s">
        <v>55</v>
      </c>
      <c r="K910" s="2" t="s">
        <v>392</v>
      </c>
      <c r="L910" s="2" t="s">
        <v>56</v>
      </c>
      <c r="M910" s="2" t="s">
        <v>393</v>
      </c>
      <c r="N910" s="2" t="s">
        <v>58</v>
      </c>
      <c r="O910" s="2" t="s">
        <v>2960</v>
      </c>
      <c r="P910" s="2" t="s">
        <v>2961</v>
      </c>
      <c r="Q910" s="2" t="s">
        <v>2974</v>
      </c>
      <c r="R910" s="2"/>
    </row>
    <row r="911" spans="1:18">
      <c r="A911" s="2" t="s">
        <v>2975</v>
      </c>
      <c r="B911" s="2" t="s">
        <v>2976</v>
      </c>
      <c r="C911" s="2" t="s">
        <v>2959</v>
      </c>
      <c r="D911" s="2">
        <v>46719135.72</v>
      </c>
      <c r="E911" s="2">
        <v>1</v>
      </c>
      <c r="F911" s="3">
        <f>IF(COUNT(D911,E911)=2,D911*E911,NA())</f>
        <v>46719135.72</v>
      </c>
      <c r="G911" s="2" t="s">
        <v>52</v>
      </c>
      <c r="H911" s="2" t="s">
        <v>53</v>
      </c>
      <c r="I911" s="2" t="s">
        <v>54</v>
      </c>
      <c r="J911" s="2" t="s">
        <v>55</v>
      </c>
      <c r="K911" s="2" t="s">
        <v>392</v>
      </c>
      <c r="L911" s="2" t="s">
        <v>56</v>
      </c>
      <c r="M911" s="2" t="s">
        <v>393</v>
      </c>
      <c r="N911" s="2" t="s">
        <v>58</v>
      </c>
      <c r="O911" s="2" t="s">
        <v>2960</v>
      </c>
      <c r="P911" s="2" t="s">
        <v>2961</v>
      </c>
      <c r="Q911" s="2" t="s">
        <v>2977</v>
      </c>
      <c r="R911" s="2"/>
    </row>
    <row r="912" spans="1:18">
      <c r="A912" s="2" t="s">
        <v>2978</v>
      </c>
      <c r="B912" s="2" t="s">
        <v>2979</v>
      </c>
      <c r="C912" s="2" t="s">
        <v>2959</v>
      </c>
      <c r="D912" s="2">
        <v>14216594.91</v>
      </c>
      <c r="E912" s="2">
        <v>1</v>
      </c>
      <c r="F912" s="3">
        <f>IF(COUNT(D912,E912)=2,D912*E912,NA())</f>
        <v>14216594.91</v>
      </c>
      <c r="G912" s="2" t="s">
        <v>52</v>
      </c>
      <c r="H912" s="2" t="s">
        <v>53</v>
      </c>
      <c r="I912" s="2" t="s">
        <v>54</v>
      </c>
      <c r="J912" s="2" t="s">
        <v>55</v>
      </c>
      <c r="K912" s="2"/>
      <c r="L912" s="2" t="s">
        <v>56</v>
      </c>
      <c r="M912" s="2" t="s">
        <v>57</v>
      </c>
      <c r="N912" s="2" t="s">
        <v>58</v>
      </c>
      <c r="O912" s="2" t="s">
        <v>2960</v>
      </c>
      <c r="P912" s="2" t="s">
        <v>2961</v>
      </c>
      <c r="Q912" s="2" t="s">
        <v>2980</v>
      </c>
      <c r="R912" s="2"/>
    </row>
    <row r="913" spans="1:18">
      <c r="A913" s="2" t="s">
        <v>2981</v>
      </c>
      <c r="B913" s="2" t="s">
        <v>2982</v>
      </c>
      <c r="C913" s="2" t="s">
        <v>2913</v>
      </c>
      <c r="D913" s="2">
        <v>320068385.7</v>
      </c>
      <c r="E913" s="2">
        <v>1</v>
      </c>
      <c r="F913" s="3">
        <f>IF(COUNT(D913,E913)=2,D913*E913,NA())</f>
        <v>320068385.7</v>
      </c>
      <c r="G913" s="2" t="s">
        <v>52</v>
      </c>
      <c r="H913" s="2" t="s">
        <v>53</v>
      </c>
      <c r="I913" s="2" t="s">
        <v>54</v>
      </c>
      <c r="J913" s="2" t="s">
        <v>55</v>
      </c>
      <c r="K913" s="2"/>
      <c r="L913" s="2" t="s">
        <v>1713</v>
      </c>
      <c r="M913" s="2" t="s">
        <v>57</v>
      </c>
      <c r="N913" s="2" t="s">
        <v>58</v>
      </c>
      <c r="O913" s="2" t="s">
        <v>2983</v>
      </c>
      <c r="P913" s="2" t="s">
        <v>2984</v>
      </c>
      <c r="Q913" s="2" t="s">
        <v>2985</v>
      </c>
      <c r="R913" s="2"/>
    </row>
    <row r="914" spans="1:18">
      <c r="A914" s="2" t="s">
        <v>2986</v>
      </c>
      <c r="B914" s="2" t="s">
        <v>2987</v>
      </c>
      <c r="C914" s="2" t="s">
        <v>2913</v>
      </c>
      <c r="D914" s="2">
        <v>63736657.96</v>
      </c>
      <c r="E914" s="2">
        <v>1</v>
      </c>
      <c r="F914" s="3">
        <f>IF(COUNT(D914,E914)=2,D914*E914,NA())</f>
        <v>63736657.96</v>
      </c>
      <c r="G914" s="2" t="s">
        <v>52</v>
      </c>
      <c r="H914" s="2" t="s">
        <v>53</v>
      </c>
      <c r="I914" s="2" t="s">
        <v>54</v>
      </c>
      <c r="J914" s="2" t="s">
        <v>55</v>
      </c>
      <c r="K914" s="2"/>
      <c r="L914" s="2" t="s">
        <v>1713</v>
      </c>
      <c r="M914" s="2" t="s">
        <v>57</v>
      </c>
      <c r="N914" s="2" t="s">
        <v>58</v>
      </c>
      <c r="O914" s="2" t="s">
        <v>2983</v>
      </c>
      <c r="P914" s="2" t="s">
        <v>2984</v>
      </c>
      <c r="Q914" s="2" t="s">
        <v>251</v>
      </c>
      <c r="R914" s="2"/>
    </row>
    <row r="915" spans="1:18">
      <c r="A915" s="2" t="s">
        <v>2988</v>
      </c>
      <c r="B915" s="2" t="s">
        <v>2989</v>
      </c>
      <c r="C915" s="2" t="s">
        <v>2990</v>
      </c>
      <c r="D915" s="2">
        <v>1.4</v>
      </c>
      <c r="E915" s="2">
        <v>1</v>
      </c>
      <c r="F915" s="3">
        <f>IF(COUNT(D915,E915)=2,D915*E915,NA())</f>
        <v>1.4</v>
      </c>
      <c r="G915" s="2" t="s">
        <v>1946</v>
      </c>
      <c r="H915" s="2"/>
      <c r="I915" s="2" t="s">
        <v>54</v>
      </c>
      <c r="J915" s="2" t="s">
        <v>55</v>
      </c>
      <c r="K915" s="2"/>
      <c r="L915" s="2" t="s">
        <v>56</v>
      </c>
      <c r="M915" s="2" t="s">
        <v>1946</v>
      </c>
      <c r="N915" s="2" t="s">
        <v>58</v>
      </c>
      <c r="O915" s="2" t="s">
        <v>2991</v>
      </c>
      <c r="P915" s="2" t="s">
        <v>2992</v>
      </c>
      <c r="Q915" s="2" t="s">
        <v>2993</v>
      </c>
      <c r="R915" s="2" t="s">
        <v>2994</v>
      </c>
    </row>
    <row r="916" spans="1:18">
      <c r="A916" s="2" t="s">
        <v>2995</v>
      </c>
      <c r="B916" s="2" t="s">
        <v>2989</v>
      </c>
      <c r="C916" s="2" t="s">
        <v>2990</v>
      </c>
      <c r="D916" s="2">
        <v>1.62</v>
      </c>
      <c r="E916" s="2">
        <v>1</v>
      </c>
      <c r="F916" s="3">
        <f>IF(COUNT(D916,E916)=2,D916*E916,NA())</f>
        <v>1.62</v>
      </c>
      <c r="G916" s="2" t="s">
        <v>1946</v>
      </c>
      <c r="H916" s="2"/>
      <c r="I916" s="2" t="s">
        <v>54</v>
      </c>
      <c r="J916" s="2" t="s">
        <v>55</v>
      </c>
      <c r="K916" s="2"/>
      <c r="L916" s="2" t="s">
        <v>63</v>
      </c>
      <c r="M916" s="2" t="s">
        <v>1946</v>
      </c>
      <c r="N916" s="2" t="s">
        <v>58</v>
      </c>
      <c r="O916" s="2" t="s">
        <v>2991</v>
      </c>
      <c r="P916" s="2" t="s">
        <v>2992</v>
      </c>
      <c r="Q916" s="2" t="s">
        <v>2993</v>
      </c>
      <c r="R916" s="2" t="s">
        <v>2994</v>
      </c>
    </row>
    <row r="917" spans="1:18">
      <c r="A917" s="2" t="s">
        <v>2996</v>
      </c>
      <c r="B917" s="2" t="s">
        <v>2997</v>
      </c>
      <c r="C917" s="2" t="s">
        <v>2990</v>
      </c>
      <c r="D917" s="2">
        <v>67.31999999999999</v>
      </c>
      <c r="E917" s="2">
        <v>0.01</v>
      </c>
      <c r="F917" s="3">
        <f>IF(COUNT(D917,E917)=2,D917*E917,NA())</f>
        <v>0.6732</v>
      </c>
      <c r="G917" s="2" t="s">
        <v>1946</v>
      </c>
      <c r="H917" s="2"/>
      <c r="I917" s="2" t="s">
        <v>54</v>
      </c>
      <c r="J917" s="2" t="s">
        <v>55</v>
      </c>
      <c r="K917" s="2"/>
      <c r="L917" s="2" t="s">
        <v>56</v>
      </c>
      <c r="M917" s="2" t="s">
        <v>1946</v>
      </c>
      <c r="N917" s="2" t="s">
        <v>58</v>
      </c>
      <c r="O917" s="2" t="s">
        <v>2991</v>
      </c>
      <c r="P917" s="2" t="s">
        <v>2998</v>
      </c>
      <c r="Q917" s="2" t="s">
        <v>2999</v>
      </c>
      <c r="R917" s="2"/>
    </row>
    <row r="918" spans="1:18">
      <c r="A918" s="2" t="s">
        <v>3000</v>
      </c>
      <c r="B918" s="2" t="s">
        <v>2997</v>
      </c>
      <c r="C918" s="2" t="s">
        <v>2990</v>
      </c>
      <c r="D918" s="2">
        <v>64.18000000000001</v>
      </c>
      <c r="E918" s="2">
        <v>0.01</v>
      </c>
      <c r="F918" s="3">
        <f>IF(COUNT(D918,E918)=2,D918*E918,NA())</f>
        <v>0.6418</v>
      </c>
      <c r="G918" s="2" t="s">
        <v>1946</v>
      </c>
      <c r="H918" s="2"/>
      <c r="I918" s="2" t="s">
        <v>54</v>
      </c>
      <c r="J918" s="2" t="s">
        <v>55</v>
      </c>
      <c r="K918" s="2"/>
      <c r="L918" s="2" t="s">
        <v>63</v>
      </c>
      <c r="M918" s="2" t="s">
        <v>1946</v>
      </c>
      <c r="N918" s="2" t="s">
        <v>58</v>
      </c>
      <c r="O918" s="2" t="s">
        <v>2991</v>
      </c>
      <c r="P918" s="2" t="s">
        <v>2998</v>
      </c>
      <c r="Q918" s="2" t="s">
        <v>2999</v>
      </c>
      <c r="R918" s="2"/>
    </row>
    <row r="919" spans="1:18">
      <c r="A919" s="2" t="s">
        <v>3001</v>
      </c>
      <c r="B919" s="2" t="s">
        <v>3002</v>
      </c>
      <c r="C919" s="2" t="s">
        <v>2990</v>
      </c>
      <c r="D919" s="2">
        <v>1.26</v>
      </c>
      <c r="E919" s="2">
        <v>1</v>
      </c>
      <c r="F919" s="3">
        <f>IF(COUNT(D919,E919)=2,D919*E919,NA())</f>
        <v>1.26</v>
      </c>
      <c r="G919" s="2" t="s">
        <v>1946</v>
      </c>
      <c r="H919" s="2"/>
      <c r="I919" s="2" t="s">
        <v>54</v>
      </c>
      <c r="J919" s="2" t="s">
        <v>55</v>
      </c>
      <c r="K919" s="2"/>
      <c r="L919" s="2" t="s">
        <v>56</v>
      </c>
      <c r="M919" s="2" t="s">
        <v>1946</v>
      </c>
      <c r="N919" s="2" t="s">
        <v>58</v>
      </c>
      <c r="O919" s="2" t="s">
        <v>2991</v>
      </c>
      <c r="P919" s="2" t="s">
        <v>2992</v>
      </c>
      <c r="Q919" s="2" t="s">
        <v>3003</v>
      </c>
      <c r="R919" s="2" t="s">
        <v>2994</v>
      </c>
    </row>
    <row r="920" spans="1:18">
      <c r="A920" s="2" t="s">
        <v>3004</v>
      </c>
      <c r="B920" s="2" t="s">
        <v>3002</v>
      </c>
      <c r="C920" s="2" t="s">
        <v>2990</v>
      </c>
      <c r="D920" s="2">
        <v>1.47</v>
      </c>
      <c r="E920" s="2">
        <v>1</v>
      </c>
      <c r="F920" s="3">
        <f>IF(COUNT(D920,E920)=2,D920*E920,NA())</f>
        <v>1.47</v>
      </c>
      <c r="G920" s="2" t="s">
        <v>1946</v>
      </c>
      <c r="H920" s="2"/>
      <c r="I920" s="2" t="s">
        <v>54</v>
      </c>
      <c r="J920" s="2" t="s">
        <v>55</v>
      </c>
      <c r="K920" s="2"/>
      <c r="L920" s="2" t="s">
        <v>63</v>
      </c>
      <c r="M920" s="2" t="s">
        <v>1946</v>
      </c>
      <c r="N920" s="2" t="s">
        <v>58</v>
      </c>
      <c r="O920" s="2" t="s">
        <v>2991</v>
      </c>
      <c r="P920" s="2" t="s">
        <v>2992</v>
      </c>
      <c r="Q920" s="2" t="s">
        <v>3003</v>
      </c>
      <c r="R920" s="2" t="s">
        <v>2994</v>
      </c>
    </row>
    <row r="921" spans="1:18">
      <c r="A921" s="2" t="s">
        <v>3005</v>
      </c>
      <c r="B921" s="2" t="s">
        <v>3006</v>
      </c>
      <c r="C921" s="2" t="s">
        <v>2990</v>
      </c>
      <c r="D921" s="2">
        <v>-2.53</v>
      </c>
      <c r="E921" s="2">
        <v>0.01</v>
      </c>
      <c r="F921" s="3">
        <f>IF(COUNT(D921,E921)=2,D921*E921,NA())</f>
        <v>-0.0253</v>
      </c>
      <c r="G921" s="2" t="s">
        <v>1946</v>
      </c>
      <c r="H921" s="2"/>
      <c r="I921" s="2" t="s">
        <v>54</v>
      </c>
      <c r="J921" s="2" t="s">
        <v>55</v>
      </c>
      <c r="K921" s="2" t="s">
        <v>392</v>
      </c>
      <c r="L921" s="2" t="s">
        <v>56</v>
      </c>
      <c r="M921" s="2" t="s">
        <v>1946</v>
      </c>
      <c r="N921" s="2" t="s">
        <v>58</v>
      </c>
      <c r="O921" s="2" t="s">
        <v>2991</v>
      </c>
      <c r="P921" s="2" t="s">
        <v>2998</v>
      </c>
      <c r="Q921" s="2" t="s">
        <v>3007</v>
      </c>
      <c r="R921" s="2"/>
    </row>
    <row r="922" spans="1:18">
      <c r="A922" s="2" t="s">
        <v>3008</v>
      </c>
      <c r="B922" s="2" t="s">
        <v>3006</v>
      </c>
      <c r="C922" s="2" t="s">
        <v>2990</v>
      </c>
      <c r="D922" s="2">
        <v>4.78</v>
      </c>
      <c r="E922" s="2">
        <v>0.01</v>
      </c>
      <c r="F922" s="3">
        <f>IF(COUNT(D922,E922)=2,D922*E922,NA())</f>
        <v>0.0478</v>
      </c>
      <c r="G922" s="2" t="s">
        <v>1946</v>
      </c>
      <c r="H922" s="2"/>
      <c r="I922" s="2" t="s">
        <v>54</v>
      </c>
      <c r="J922" s="2" t="s">
        <v>55</v>
      </c>
      <c r="K922" s="2" t="s">
        <v>397</v>
      </c>
      <c r="L922" s="2" t="s">
        <v>63</v>
      </c>
      <c r="M922" s="2" t="s">
        <v>1946</v>
      </c>
      <c r="N922" s="2" t="s">
        <v>58</v>
      </c>
      <c r="O922" s="2" t="s">
        <v>2991</v>
      </c>
      <c r="P922" s="2" t="s">
        <v>2998</v>
      </c>
      <c r="Q922" s="2" t="s">
        <v>3007</v>
      </c>
      <c r="R922" s="2"/>
    </row>
    <row r="923" spans="1:18">
      <c r="A923" s="2" t="s">
        <v>3009</v>
      </c>
      <c r="B923" s="2" t="s">
        <v>3010</v>
      </c>
      <c r="C923" s="2" t="s">
        <v>2990</v>
      </c>
      <c r="D923" s="2">
        <v>-4.95</v>
      </c>
      <c r="E923" s="2">
        <v>1</v>
      </c>
      <c r="F923" s="3">
        <f>IF(COUNT(D923,E923)=2,D923*E923,NA())</f>
        <v>-4.95</v>
      </c>
      <c r="G923" s="2" t="s">
        <v>1946</v>
      </c>
      <c r="H923" s="2"/>
      <c r="I923" s="2" t="s">
        <v>54</v>
      </c>
      <c r="J923" s="2" t="s">
        <v>55</v>
      </c>
      <c r="K923" s="2" t="s">
        <v>392</v>
      </c>
      <c r="L923" s="2" t="s">
        <v>56</v>
      </c>
      <c r="M923" s="2" t="s">
        <v>1946</v>
      </c>
      <c r="N923" s="2" t="s">
        <v>58</v>
      </c>
      <c r="O923" s="2" t="s">
        <v>2991</v>
      </c>
      <c r="P923" s="2" t="s">
        <v>2992</v>
      </c>
      <c r="Q923" s="2" t="s">
        <v>3011</v>
      </c>
      <c r="R923" s="2" t="s">
        <v>2994</v>
      </c>
    </row>
    <row r="924" spans="1:18">
      <c r="A924" s="2" t="s">
        <v>3012</v>
      </c>
      <c r="B924" s="2" t="s">
        <v>3010</v>
      </c>
      <c r="C924" s="2" t="s">
        <v>2990</v>
      </c>
      <c r="D924" s="2">
        <v>1.43</v>
      </c>
      <c r="E924" s="2">
        <v>1</v>
      </c>
      <c r="F924" s="3">
        <f>IF(COUNT(D924,E924)=2,D924*E924,NA())</f>
        <v>1.43</v>
      </c>
      <c r="G924" s="2" t="s">
        <v>1946</v>
      </c>
      <c r="H924" s="2"/>
      <c r="I924" s="2" t="s">
        <v>54</v>
      </c>
      <c r="J924" s="2" t="s">
        <v>55</v>
      </c>
      <c r="K924" s="2" t="s">
        <v>397</v>
      </c>
      <c r="L924" s="2" t="s">
        <v>63</v>
      </c>
      <c r="M924" s="2" t="s">
        <v>1946</v>
      </c>
      <c r="N924" s="2" t="s">
        <v>58</v>
      </c>
      <c r="O924" s="2" t="s">
        <v>2991</v>
      </c>
      <c r="P924" s="2" t="s">
        <v>2992</v>
      </c>
      <c r="Q924" s="2" t="s">
        <v>3011</v>
      </c>
      <c r="R924" s="2" t="s">
        <v>2994</v>
      </c>
    </row>
    <row r="925" spans="1:18">
      <c r="A925" s="2" t="s">
        <v>3013</v>
      </c>
      <c r="B925" s="2" t="s">
        <v>3014</v>
      </c>
      <c r="C925" s="2" t="s">
        <v>2990</v>
      </c>
      <c r="D925" s="2">
        <v>10.73</v>
      </c>
      <c r="E925" s="2">
        <v>1</v>
      </c>
      <c r="F925" s="3">
        <f>IF(COUNT(D925,E925)=2,D925*E925,NA())</f>
        <v>10.73</v>
      </c>
      <c r="G925" s="2" t="s">
        <v>1946</v>
      </c>
      <c r="H925" s="2"/>
      <c r="I925" s="2" t="s">
        <v>54</v>
      </c>
      <c r="J925" s="2" t="s">
        <v>55</v>
      </c>
      <c r="K925" s="2" t="s">
        <v>392</v>
      </c>
      <c r="L925" s="2" t="s">
        <v>56</v>
      </c>
      <c r="M925" s="2" t="s">
        <v>1946</v>
      </c>
      <c r="N925" s="2" t="s">
        <v>58</v>
      </c>
      <c r="O925" s="2" t="s">
        <v>2991</v>
      </c>
      <c r="P925" s="2" t="s">
        <v>2992</v>
      </c>
      <c r="Q925" s="2" t="s">
        <v>3015</v>
      </c>
      <c r="R925" s="2" t="s">
        <v>2994</v>
      </c>
    </row>
    <row r="926" spans="1:18">
      <c r="A926" s="2" t="s">
        <v>3016</v>
      </c>
      <c r="B926" s="2" t="s">
        <v>3014</v>
      </c>
      <c r="C926" s="2" t="s">
        <v>2990</v>
      </c>
      <c r="D926" s="2">
        <v>7.92</v>
      </c>
      <c r="E926" s="2">
        <v>1</v>
      </c>
      <c r="F926" s="3">
        <f>IF(COUNT(D926,E926)=2,D926*E926,NA())</f>
        <v>7.92</v>
      </c>
      <c r="G926" s="2" t="s">
        <v>1946</v>
      </c>
      <c r="H926" s="2"/>
      <c r="I926" s="2" t="s">
        <v>54</v>
      </c>
      <c r="J926" s="2" t="s">
        <v>55</v>
      </c>
      <c r="K926" s="2" t="s">
        <v>397</v>
      </c>
      <c r="L926" s="2" t="s">
        <v>63</v>
      </c>
      <c r="M926" s="2" t="s">
        <v>1946</v>
      </c>
      <c r="N926" s="2" t="s">
        <v>58</v>
      </c>
      <c r="O926" s="2" t="s">
        <v>2991</v>
      </c>
      <c r="P926" s="2" t="s">
        <v>2992</v>
      </c>
      <c r="Q926" s="2" t="s">
        <v>3015</v>
      </c>
      <c r="R926" s="2" t="s">
        <v>2994</v>
      </c>
    </row>
    <row r="927" spans="1:18">
      <c r="A927" s="2" t="s">
        <v>3017</v>
      </c>
      <c r="B927" s="2" t="s">
        <v>3018</v>
      </c>
      <c r="C927" s="2" t="s">
        <v>2990</v>
      </c>
      <c r="D927" s="2">
        <v>-2.12</v>
      </c>
      <c r="E927" s="2">
        <v>1</v>
      </c>
      <c r="F927" s="3">
        <f>IF(COUNT(D927,E927)=2,D927*E927,NA())</f>
        <v>-2.12</v>
      </c>
      <c r="G927" s="2" t="s">
        <v>1946</v>
      </c>
      <c r="H927" s="2"/>
      <c r="I927" s="2" t="s">
        <v>54</v>
      </c>
      <c r="J927" s="2" t="s">
        <v>55</v>
      </c>
      <c r="K927" s="2" t="s">
        <v>392</v>
      </c>
      <c r="L927" s="2" t="s">
        <v>56</v>
      </c>
      <c r="M927" s="2" t="s">
        <v>1946</v>
      </c>
      <c r="N927" s="2" t="s">
        <v>58</v>
      </c>
      <c r="O927" s="2" t="s">
        <v>2991</v>
      </c>
      <c r="P927" s="2" t="s">
        <v>2992</v>
      </c>
      <c r="Q927" s="2" t="s">
        <v>3019</v>
      </c>
      <c r="R927" s="2" t="s">
        <v>2994</v>
      </c>
    </row>
    <row r="928" spans="1:18">
      <c r="A928" s="2" t="s">
        <v>3020</v>
      </c>
      <c r="B928" s="2" t="s">
        <v>3018</v>
      </c>
      <c r="C928" s="2" t="s">
        <v>2990</v>
      </c>
      <c r="D928" s="2">
        <v>4</v>
      </c>
      <c r="E928" s="2">
        <v>1</v>
      </c>
      <c r="F928" s="3">
        <f>IF(COUNT(D928,E928)=2,D928*E928,NA())</f>
        <v>4.0</v>
      </c>
      <c r="G928" s="2" t="s">
        <v>1946</v>
      </c>
      <c r="H928" s="2"/>
      <c r="I928" s="2" t="s">
        <v>54</v>
      </c>
      <c r="J928" s="2" t="s">
        <v>55</v>
      </c>
      <c r="K928" s="2" t="s">
        <v>397</v>
      </c>
      <c r="L928" s="2" t="s">
        <v>63</v>
      </c>
      <c r="M928" s="2" t="s">
        <v>1946</v>
      </c>
      <c r="N928" s="2" t="s">
        <v>58</v>
      </c>
      <c r="O928" s="2" t="s">
        <v>2991</v>
      </c>
      <c r="P928" s="2" t="s">
        <v>2992</v>
      </c>
      <c r="Q928" s="2" t="s">
        <v>3019</v>
      </c>
      <c r="R928" s="2" t="s">
        <v>2994</v>
      </c>
    </row>
    <row r="929" spans="1:18">
      <c r="A929" s="2" t="s">
        <v>3021</v>
      </c>
      <c r="B929" s="2" t="s">
        <v>3022</v>
      </c>
      <c r="C929" s="2" t="s">
        <v>2990</v>
      </c>
      <c r="D929" s="2">
        <v>100</v>
      </c>
      <c r="E929" s="2">
        <v>0.01</v>
      </c>
      <c r="F929" s="3">
        <f>IF(COUNT(D929,E929)=2,D929*E929,NA())</f>
        <v>1.0</v>
      </c>
      <c r="G929" s="2" t="s">
        <v>1946</v>
      </c>
      <c r="H929" s="2"/>
      <c r="I929" s="2" t="s">
        <v>54</v>
      </c>
      <c r="J929" s="2" t="s">
        <v>55</v>
      </c>
      <c r="K929" s="2" t="s">
        <v>392</v>
      </c>
      <c r="L929" s="2" t="s">
        <v>56</v>
      </c>
      <c r="M929" s="2" t="s">
        <v>1946</v>
      </c>
      <c r="N929" s="2" t="s">
        <v>58</v>
      </c>
      <c r="O929" s="2" t="s">
        <v>2991</v>
      </c>
      <c r="P929" s="2" t="s">
        <v>2998</v>
      </c>
      <c r="Q929" s="2" t="s">
        <v>3023</v>
      </c>
      <c r="R929" s="2"/>
    </row>
    <row r="930" spans="1:18">
      <c r="A930" s="2" t="s">
        <v>3024</v>
      </c>
      <c r="B930" s="2" t="s">
        <v>3022</v>
      </c>
      <c r="C930" s="2" t="s">
        <v>2990</v>
      </c>
      <c r="D930" s="2">
        <v>100</v>
      </c>
      <c r="E930" s="2">
        <v>0.01</v>
      </c>
      <c r="F930" s="3">
        <f>IF(COUNT(D930,E930)=2,D930*E930,NA())</f>
        <v>1.0</v>
      </c>
      <c r="G930" s="2" t="s">
        <v>1946</v>
      </c>
      <c r="H930" s="2"/>
      <c r="I930" s="2" t="s">
        <v>54</v>
      </c>
      <c r="J930" s="2" t="s">
        <v>55</v>
      </c>
      <c r="K930" s="2" t="s">
        <v>397</v>
      </c>
      <c r="L930" s="2" t="s">
        <v>63</v>
      </c>
      <c r="M930" s="2" t="s">
        <v>1946</v>
      </c>
      <c r="N930" s="2" t="s">
        <v>58</v>
      </c>
      <c r="O930" s="2" t="s">
        <v>2991</v>
      </c>
      <c r="P930" s="2" t="s">
        <v>2998</v>
      </c>
      <c r="Q930" s="2" t="s">
        <v>3023</v>
      </c>
      <c r="R930" s="2"/>
    </row>
    <row r="931" spans="1:18">
      <c r="A931" s="2" t="s">
        <v>3025</v>
      </c>
      <c r="B931" s="2" t="s">
        <v>3026</v>
      </c>
      <c r="C931" s="2" t="s">
        <v>2990</v>
      </c>
      <c r="D931" s="2">
        <v>100</v>
      </c>
      <c r="E931" s="2">
        <v>0.01</v>
      </c>
      <c r="F931" s="3">
        <f>IF(COUNT(D931,E931)=2,D931*E931,NA())</f>
        <v>1.0</v>
      </c>
      <c r="G931" s="2" t="s">
        <v>1946</v>
      </c>
      <c r="H931" s="2"/>
      <c r="I931" s="2" t="s">
        <v>54</v>
      </c>
      <c r="J931" s="2" t="s">
        <v>55</v>
      </c>
      <c r="K931" s="2" t="s">
        <v>392</v>
      </c>
      <c r="L931" s="2" t="s">
        <v>56</v>
      </c>
      <c r="M931" s="2" t="s">
        <v>1946</v>
      </c>
      <c r="N931" s="2" t="s">
        <v>58</v>
      </c>
      <c r="O931" s="2" t="s">
        <v>2991</v>
      </c>
      <c r="P931" s="2" t="s">
        <v>2998</v>
      </c>
      <c r="Q931" s="2" t="s">
        <v>3027</v>
      </c>
      <c r="R931" s="2"/>
    </row>
    <row r="932" spans="1:18">
      <c r="A932" s="2" t="s">
        <v>3028</v>
      </c>
      <c r="B932" s="2" t="s">
        <v>3026</v>
      </c>
      <c r="C932" s="2" t="s">
        <v>2990</v>
      </c>
      <c r="D932" s="2">
        <v>100</v>
      </c>
      <c r="E932" s="2">
        <v>0.01</v>
      </c>
      <c r="F932" s="3">
        <f>IF(COUNT(D932,E932)=2,D932*E932,NA())</f>
        <v>1.0</v>
      </c>
      <c r="G932" s="2" t="s">
        <v>1946</v>
      </c>
      <c r="H932" s="2"/>
      <c r="I932" s="2" t="s">
        <v>54</v>
      </c>
      <c r="J932" s="2" t="s">
        <v>55</v>
      </c>
      <c r="K932" s="2" t="s">
        <v>397</v>
      </c>
      <c r="L932" s="2" t="s">
        <v>63</v>
      </c>
      <c r="M932" s="2" t="s">
        <v>1946</v>
      </c>
      <c r="N932" s="2" t="s">
        <v>58</v>
      </c>
      <c r="O932" s="2" t="s">
        <v>2991</v>
      </c>
      <c r="P932" s="2" t="s">
        <v>2998</v>
      </c>
      <c r="Q932" s="2" t="s">
        <v>3027</v>
      </c>
      <c r="R932" s="2"/>
    </row>
    <row r="933" spans="1:18">
      <c r="A933" s="2" t="s">
        <v>3029</v>
      </c>
      <c r="B933" s="2" t="s">
        <v>3030</v>
      </c>
      <c r="C933" s="2" t="s">
        <v>3031</v>
      </c>
      <c r="D933" s="2">
        <v>13.49</v>
      </c>
      <c r="E933" s="2">
        <v>0.01</v>
      </c>
      <c r="F933" s="3">
        <f>IF(COUNT(D933,E933)=2,D933*E933,NA())</f>
        <v>0.1349</v>
      </c>
      <c r="G933" s="2" t="s">
        <v>1946</v>
      </c>
      <c r="H933" s="2"/>
      <c r="I933" s="2" t="s">
        <v>54</v>
      </c>
      <c r="J933" s="2" t="s">
        <v>55</v>
      </c>
      <c r="K933" s="2" t="s">
        <v>392</v>
      </c>
      <c r="L933" s="2" t="s">
        <v>56</v>
      </c>
      <c r="M933" s="2" t="s">
        <v>1946</v>
      </c>
      <c r="N933" s="2" t="s">
        <v>58</v>
      </c>
      <c r="O933" s="2" t="s">
        <v>3032</v>
      </c>
      <c r="P933" s="2" t="s">
        <v>3033</v>
      </c>
      <c r="Q933" s="2" t="s">
        <v>3034</v>
      </c>
      <c r="R933" s="2"/>
    </row>
  </sheetData>
  <autoFilter ref="A1:R933"/>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3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33</v>
      </c>
      <c r="B1" s="1" t="s">
        <v>3035</v>
      </c>
      <c r="C1" s="1" t="s">
        <v>3036</v>
      </c>
      <c r="D1" s="1" t="s">
        <v>3037</v>
      </c>
      <c r="E1" s="1" t="s">
        <v>3038</v>
      </c>
      <c r="F1" s="1" t="s">
        <v>45</v>
      </c>
      <c r="G1" s="1" t="s">
        <v>3039</v>
      </c>
      <c r="H1" s="1" t="s">
        <v>3040</v>
      </c>
      <c r="I1" s="1" t="s">
        <v>3041</v>
      </c>
      <c r="J1" s="1" t="s">
        <v>3042</v>
      </c>
      <c r="K1" s="1" t="s">
        <v>37</v>
      </c>
      <c r="L1" s="1" t="s">
        <v>41</v>
      </c>
      <c r="M1" s="1" t="s">
        <v>8</v>
      </c>
      <c r="N1" s="1" t="s">
        <v>42</v>
      </c>
      <c r="O1" s="1" t="s">
        <v>43</v>
      </c>
    </row>
    <row r="2" spans="1:15">
      <c r="A2" s="2" t="s">
        <v>3043</v>
      </c>
      <c r="B2" s="2" t="s">
        <v>3044</v>
      </c>
      <c r="C2" s="2" t="s">
        <v>3725</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3044</v>
      </c>
      <c r="I2" s="2" t="s">
        <v>3046</v>
      </c>
      <c r="J2" s="2" t="s">
        <v>53</v>
      </c>
      <c r="K2" s="2">
        <v>1</v>
      </c>
      <c r="L2" s="2" t="s">
        <v>54</v>
      </c>
      <c r="M2" s="2" t="s">
        <v>55</v>
      </c>
      <c r="N2" s="2"/>
      <c r="O2" s="2" t="s">
        <v>56</v>
      </c>
    </row>
    <row r="3" spans="1:15">
      <c r="A3" s="2" t="s">
        <v>3047</v>
      </c>
      <c r="B3" s="2" t="s">
        <v>3048</v>
      </c>
      <c r="C3" s="2" t="s">
        <v>3726</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3048</v>
      </c>
      <c r="I3" s="2" t="s">
        <v>3046</v>
      </c>
      <c r="J3" s="2" t="s">
        <v>53</v>
      </c>
      <c r="K3" s="2">
        <v>1</v>
      </c>
      <c r="L3" s="2" t="s">
        <v>54</v>
      </c>
      <c r="M3" s="2" t="s">
        <v>55</v>
      </c>
      <c r="N3" s="2"/>
      <c r="O3" s="2" t="s">
        <v>56</v>
      </c>
    </row>
    <row r="4" spans="1:15">
      <c r="A4" s="2" t="s">
        <v>3049</v>
      </c>
      <c r="B4" s="2" t="s">
        <v>3050</v>
      </c>
      <c r="C4" s="2" t="s">
        <v>3727</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3050</v>
      </c>
      <c r="I4" s="2" t="s">
        <v>3046</v>
      </c>
      <c r="J4" s="2" t="s">
        <v>53</v>
      </c>
      <c r="K4" s="2">
        <v>1</v>
      </c>
      <c r="L4" s="2" t="s">
        <v>54</v>
      </c>
      <c r="M4" s="2" t="s">
        <v>55</v>
      </c>
      <c r="N4" s="2"/>
      <c r="O4" s="2" t="s">
        <v>56</v>
      </c>
    </row>
    <row r="5" spans="1:15">
      <c r="A5" s="2" t="s">
        <v>3051</v>
      </c>
      <c r="B5" s="2" t="s">
        <v>3052</v>
      </c>
      <c r="C5" s="2" t="s">
        <v>3728</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3052</v>
      </c>
      <c r="I5" s="2" t="s">
        <v>3046</v>
      </c>
      <c r="J5" s="2" t="s">
        <v>53</v>
      </c>
      <c r="K5" s="2">
        <v>1</v>
      </c>
      <c r="L5" s="2" t="s">
        <v>54</v>
      </c>
      <c r="M5" s="2" t="s">
        <v>55</v>
      </c>
      <c r="N5" s="2"/>
      <c r="O5" s="2" t="s">
        <v>56</v>
      </c>
    </row>
    <row r="6" spans="1:15">
      <c r="A6" s="2" t="s">
        <v>3053</v>
      </c>
      <c r="B6" s="2" t="s">
        <v>3054</v>
      </c>
      <c r="C6" s="2" t="s">
        <v>3729</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3054</v>
      </c>
      <c r="I6" s="2" t="s">
        <v>3046</v>
      </c>
      <c r="J6" s="2" t="s">
        <v>53</v>
      </c>
      <c r="K6" s="2">
        <v>1</v>
      </c>
      <c r="L6" s="2" t="s">
        <v>54</v>
      </c>
      <c r="M6" s="2" t="s">
        <v>55</v>
      </c>
      <c r="N6" s="2"/>
      <c r="O6" s="2" t="s">
        <v>56</v>
      </c>
    </row>
    <row r="7" spans="1:15">
      <c r="A7" s="2" t="s">
        <v>3055</v>
      </c>
      <c r="B7" s="2" t="s">
        <v>3056</v>
      </c>
      <c r="C7" s="2" t="s">
        <v>3730</v>
      </c>
      <c r="D7" s="3">
        <f>(('Facts'!F105*1)+('Facts'!F107*1))*1</f>
        <v>4052073804.75</v>
      </c>
      <c r="E7" s="3">
        <f>D7/K7</f>
        <v>4052073804.75</v>
      </c>
      <c r="F7" s="2" t="str">
        <f>IF(ISNUMBER(D7),"calculated","not_calculated")</f>
        <v>calculated</v>
      </c>
      <c r="G7" s="2">
        <f>IF(ISNUMBER(D7),"","检查缺失值、分母与输入；口径变更须重跑Python")</f>
        <v/>
      </c>
      <c r="H7" s="2" t="s">
        <v>3056</v>
      </c>
      <c r="I7" s="2" t="s">
        <v>3046</v>
      </c>
      <c r="J7" s="2" t="s">
        <v>53</v>
      </c>
      <c r="K7" s="2">
        <v>1</v>
      </c>
      <c r="L7" s="2" t="s">
        <v>54</v>
      </c>
      <c r="M7" s="2" t="s">
        <v>55</v>
      </c>
      <c r="N7" s="2"/>
      <c r="O7" s="2" t="s">
        <v>56</v>
      </c>
    </row>
    <row r="8" spans="1:15">
      <c r="A8" s="2" t="s">
        <v>3057</v>
      </c>
      <c r="B8" s="2" t="s">
        <v>3058</v>
      </c>
      <c r="C8" s="2" t="s">
        <v>3731</v>
      </c>
      <c r="D8" s="3">
        <f>(('Facts'!F23*1)+('Facts'!F50*1))*1</f>
        <v>12400075863.73</v>
      </c>
      <c r="E8" s="3">
        <f>D8/K8</f>
        <v>12400075863.73</v>
      </c>
      <c r="F8" s="2" t="str">
        <f>IF(ISNUMBER(D8),"calculated","not_calculated")</f>
        <v>calculated</v>
      </c>
      <c r="G8" s="2">
        <f>IF(ISNUMBER(D8),"","检查缺失值、分母与输入；口径变更须重跑Python")</f>
        <v/>
      </c>
      <c r="H8" s="2" t="s">
        <v>3058</v>
      </c>
      <c r="I8" s="2" t="s">
        <v>3046</v>
      </c>
      <c r="J8" s="2" t="s">
        <v>53</v>
      </c>
      <c r="K8" s="2">
        <v>1</v>
      </c>
      <c r="L8" s="2" t="s">
        <v>54</v>
      </c>
      <c r="M8" s="2" t="s">
        <v>55</v>
      </c>
      <c r="N8" s="2"/>
      <c r="O8" s="2" t="s">
        <v>56</v>
      </c>
    </row>
    <row r="9" spans="1:15">
      <c r="A9" s="2" t="s">
        <v>3059</v>
      </c>
      <c r="B9" s="2" t="s">
        <v>3060</v>
      </c>
      <c r="C9" s="2" t="s">
        <v>3732</v>
      </c>
      <c r="D9" s="3">
        <f>(('Facts'!F72*1)+('Facts'!F86*1))*1</f>
        <v>8348002058.98</v>
      </c>
      <c r="E9" s="3">
        <f>D9/K9</f>
        <v>8348002058.98</v>
      </c>
      <c r="F9" s="2" t="str">
        <f>IF(ISNUMBER(D9),"calculated","not_calculated")</f>
        <v>calculated</v>
      </c>
      <c r="G9" s="2">
        <f>IF(ISNUMBER(D9),"","检查缺失值、分母与输入；口径变更须重跑Python")</f>
        <v/>
      </c>
      <c r="H9" s="2" t="s">
        <v>3060</v>
      </c>
      <c r="I9" s="2" t="s">
        <v>3046</v>
      </c>
      <c r="J9" s="2" t="s">
        <v>53</v>
      </c>
      <c r="K9" s="2">
        <v>1</v>
      </c>
      <c r="L9" s="2" t="s">
        <v>54</v>
      </c>
      <c r="M9" s="2" t="s">
        <v>55</v>
      </c>
      <c r="N9" s="2"/>
      <c r="O9" s="2" t="s">
        <v>56</v>
      </c>
    </row>
    <row r="10" spans="1:15">
      <c r="A10" s="2" t="s">
        <v>3061</v>
      </c>
      <c r="B10" s="2" t="s">
        <v>3062</v>
      </c>
      <c r="C10" s="2" t="s">
        <v>3733</v>
      </c>
      <c r="D10" s="3">
        <f>(('Facts'!F88*1)+('Facts'!F109*1))*1</f>
        <v>12400075863.73</v>
      </c>
      <c r="E10" s="3">
        <f>D10/K10</f>
        <v>12400075863.73</v>
      </c>
      <c r="F10" s="2" t="str">
        <f>IF(ISNUMBER(D10),"calculated","not_calculated")</f>
        <v>calculated</v>
      </c>
      <c r="G10" s="2">
        <f>IF(ISNUMBER(D10),"","检查缺失值、分母与输入；口径变更须重跑Python")</f>
        <v/>
      </c>
      <c r="H10" s="2" t="s">
        <v>3062</v>
      </c>
      <c r="I10" s="2" t="s">
        <v>3046</v>
      </c>
      <c r="J10" s="2" t="s">
        <v>53</v>
      </c>
      <c r="K10" s="2">
        <v>1</v>
      </c>
      <c r="L10" s="2" t="s">
        <v>54</v>
      </c>
      <c r="M10" s="2" t="s">
        <v>55</v>
      </c>
      <c r="N10" s="2"/>
      <c r="O10" s="2" t="s">
        <v>56</v>
      </c>
    </row>
    <row r="11" spans="1:15">
      <c r="A11" s="2" t="s">
        <v>3063</v>
      </c>
      <c r="B11" s="2" t="s">
        <v>3064</v>
      </c>
      <c r="C11" s="2" t="s">
        <v>3734</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3064</v>
      </c>
      <c r="I11" s="2" t="s">
        <v>3046</v>
      </c>
      <c r="J11" s="2" t="s">
        <v>53</v>
      </c>
      <c r="K11" s="2">
        <v>1</v>
      </c>
      <c r="L11" s="2" t="s">
        <v>54</v>
      </c>
      <c r="M11" s="2" t="s">
        <v>55</v>
      </c>
      <c r="N11" s="2" t="s">
        <v>392</v>
      </c>
      <c r="O11" s="2" t="s">
        <v>56</v>
      </c>
    </row>
    <row r="12" spans="1:15">
      <c r="A12" s="2" t="s">
        <v>3065</v>
      </c>
      <c r="B12" s="2" t="s">
        <v>3066</v>
      </c>
      <c r="C12" s="2" t="s">
        <v>3735</v>
      </c>
      <c r="D12" s="3">
        <f>(('Facts'!F143*1)+('Facts'!F145*1)+('Facts'!F147*-1))*1</f>
        <v>-592194206.56</v>
      </c>
      <c r="E12" s="3">
        <f>D12/K12</f>
        <v>-592194206.56</v>
      </c>
      <c r="F12" s="2" t="str">
        <f>IF(ISNUMBER(D12),"calculated","not_calculated")</f>
        <v>calculated</v>
      </c>
      <c r="G12" s="2">
        <f>IF(ISNUMBER(D12),"","检查缺失值、分母与输入；口径变更须重跑Python")</f>
        <v/>
      </c>
      <c r="H12" s="2" t="s">
        <v>3066</v>
      </c>
      <c r="I12" s="2" t="s">
        <v>3046</v>
      </c>
      <c r="J12" s="2" t="s">
        <v>53</v>
      </c>
      <c r="K12" s="2">
        <v>1</v>
      </c>
      <c r="L12" s="2" t="s">
        <v>54</v>
      </c>
      <c r="M12" s="2" t="s">
        <v>55</v>
      </c>
      <c r="N12" s="2" t="s">
        <v>392</v>
      </c>
      <c r="O12" s="2" t="s">
        <v>56</v>
      </c>
    </row>
    <row r="13" spans="1:15">
      <c r="A13" s="2" t="s">
        <v>3067</v>
      </c>
      <c r="B13" s="2" t="s">
        <v>3068</v>
      </c>
      <c r="C13" s="2" t="s">
        <v>3736</v>
      </c>
      <c r="D13" s="3">
        <f>(('Facts'!F149-'Facts'!F151))*1</f>
        <v>-547795215.55</v>
      </c>
      <c r="E13" s="3">
        <f>D13/K13</f>
        <v>-547795215.55</v>
      </c>
      <c r="F13" s="2" t="str">
        <f>IF(ISNUMBER(D13),"calculated","not_calculated")</f>
        <v>calculated</v>
      </c>
      <c r="G13" s="2">
        <f>IF(ISNUMBER(D13),"","检查缺失值、分母与输入；口径变更须重跑Python")</f>
        <v/>
      </c>
      <c r="H13" s="2" t="s">
        <v>3068</v>
      </c>
      <c r="I13" s="2" t="s">
        <v>3046</v>
      </c>
      <c r="J13" s="2" t="s">
        <v>53</v>
      </c>
      <c r="K13" s="2">
        <v>1</v>
      </c>
      <c r="L13" s="2" t="s">
        <v>54</v>
      </c>
      <c r="M13" s="2" t="s">
        <v>55</v>
      </c>
      <c r="N13" s="2" t="s">
        <v>392</v>
      </c>
      <c r="O13" s="2" t="s">
        <v>56</v>
      </c>
    </row>
    <row r="14" spans="1:15">
      <c r="A14" s="2" t="s">
        <v>3069</v>
      </c>
      <c r="B14" s="2" t="s">
        <v>3070</v>
      </c>
      <c r="C14" s="2" t="s">
        <v>3737</v>
      </c>
      <c r="D14" s="3">
        <f>(('Facts'!F153*1)+('Facts'!F159*1))*1</f>
        <v>-562363500.69</v>
      </c>
      <c r="E14" s="3">
        <f>D14/K14</f>
        <v>-562363500.69</v>
      </c>
      <c r="F14" s="2" t="str">
        <f>IF(ISNUMBER(D14),"calculated","not_calculated")</f>
        <v>calculated</v>
      </c>
      <c r="G14" s="2">
        <f>IF(ISNUMBER(D14),"","检查缺失值、分母与输入；口径变更须重跑Python")</f>
        <v/>
      </c>
      <c r="H14" s="2" t="s">
        <v>3070</v>
      </c>
      <c r="I14" s="2" t="s">
        <v>3046</v>
      </c>
      <c r="J14" s="2" t="s">
        <v>53</v>
      </c>
      <c r="K14" s="2">
        <v>1</v>
      </c>
      <c r="L14" s="2" t="s">
        <v>54</v>
      </c>
      <c r="M14" s="2" t="s">
        <v>55</v>
      </c>
      <c r="N14" s="2" t="s">
        <v>392</v>
      </c>
      <c r="O14" s="2" t="s">
        <v>56</v>
      </c>
    </row>
    <row r="15" spans="1:15">
      <c r="A15" s="2" t="s">
        <v>3071</v>
      </c>
      <c r="B15" s="2" t="s">
        <v>3072</v>
      </c>
      <c r="C15" s="2" t="s">
        <v>3738</v>
      </c>
      <c r="D15" s="3">
        <f>(('Facts'!F163*1)+('Facts'!F165*1)+('Facts'!F167*1))*1</f>
        <v>7442861858.8</v>
      </c>
      <c r="E15" s="3">
        <f>D15/K15</f>
        <v>7442861858.8</v>
      </c>
      <c r="F15" s="2" t="str">
        <f>IF(ISNUMBER(D15),"calculated","not_calculated")</f>
        <v>calculated</v>
      </c>
      <c r="G15" s="2">
        <f>IF(ISNUMBER(D15),"","检查缺失值、分母与输入；口径变更须重跑Python")</f>
        <v/>
      </c>
      <c r="H15" s="2" t="s">
        <v>3072</v>
      </c>
      <c r="I15" s="2" t="s">
        <v>3046</v>
      </c>
      <c r="J15" s="2" t="s">
        <v>53</v>
      </c>
      <c r="K15" s="2">
        <v>1</v>
      </c>
      <c r="L15" s="2" t="s">
        <v>54</v>
      </c>
      <c r="M15" s="2" t="s">
        <v>55</v>
      </c>
      <c r="N15" s="2" t="s">
        <v>392</v>
      </c>
      <c r="O15" s="2" t="s">
        <v>56</v>
      </c>
    </row>
    <row r="16" spans="1:15">
      <c r="A16" s="2" t="s">
        <v>3073</v>
      </c>
      <c r="B16" s="2" t="s">
        <v>3074</v>
      </c>
      <c r="C16" s="2" t="s">
        <v>3739</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3074</v>
      </c>
      <c r="I16" s="2" t="s">
        <v>3046</v>
      </c>
      <c r="J16" s="2" t="s">
        <v>53</v>
      </c>
      <c r="K16" s="2">
        <v>1</v>
      </c>
      <c r="L16" s="2" t="s">
        <v>54</v>
      </c>
      <c r="M16" s="2" t="s">
        <v>55</v>
      </c>
      <c r="N16" s="2" t="s">
        <v>392</v>
      </c>
      <c r="O16" s="2" t="s">
        <v>56</v>
      </c>
    </row>
    <row r="17" spans="1:15">
      <c r="A17" s="2" t="s">
        <v>3075</v>
      </c>
      <c r="B17" s="2" t="s">
        <v>3076</v>
      </c>
      <c r="C17" s="2" t="s">
        <v>3740</v>
      </c>
      <c r="D17" s="3">
        <f>(('Facts'!F169-'Facts'!F179))*1</f>
        <v>319628020.65</v>
      </c>
      <c r="E17" s="3">
        <f>D17/K17</f>
        <v>319628020.65</v>
      </c>
      <c r="F17" s="2" t="str">
        <f>IF(ISNUMBER(D17),"calculated","not_calculated")</f>
        <v>calculated</v>
      </c>
      <c r="G17" s="2">
        <f>IF(ISNUMBER(D17),"","检查缺失值、分母与输入；口径变更须重跑Python")</f>
        <v/>
      </c>
      <c r="H17" s="2" t="s">
        <v>3076</v>
      </c>
      <c r="I17" s="2" t="s">
        <v>3046</v>
      </c>
      <c r="J17" s="2" t="s">
        <v>53</v>
      </c>
      <c r="K17" s="2">
        <v>1</v>
      </c>
      <c r="L17" s="2" t="s">
        <v>54</v>
      </c>
      <c r="M17" s="2" t="s">
        <v>55</v>
      </c>
      <c r="N17" s="2" t="s">
        <v>392</v>
      </c>
      <c r="O17" s="2" t="s">
        <v>56</v>
      </c>
    </row>
    <row r="18" spans="1:15">
      <c r="A18" s="2" t="s">
        <v>3077</v>
      </c>
      <c r="B18" s="2" t="s">
        <v>3078</v>
      </c>
      <c r="C18" s="2" t="s">
        <v>3741</v>
      </c>
      <c r="D18" s="3">
        <f>(('Facts'!F192-'Facts'!F202))*1</f>
        <v>-433307536.06</v>
      </c>
      <c r="E18" s="3">
        <f>D18/K18</f>
        <v>-433307536.06</v>
      </c>
      <c r="F18" s="2" t="str">
        <f>IF(ISNUMBER(D18),"calculated","not_calculated")</f>
        <v>calculated</v>
      </c>
      <c r="G18" s="2">
        <f>IF(ISNUMBER(D18),"","检查缺失值、分母与输入；口径变更须重跑Python")</f>
        <v/>
      </c>
      <c r="H18" s="2" t="s">
        <v>3078</v>
      </c>
      <c r="I18" s="2" t="s">
        <v>3046</v>
      </c>
      <c r="J18" s="2" t="s">
        <v>53</v>
      </c>
      <c r="K18" s="2">
        <v>1</v>
      </c>
      <c r="L18" s="2" t="s">
        <v>54</v>
      </c>
      <c r="M18" s="2" t="s">
        <v>55</v>
      </c>
      <c r="N18" s="2" t="s">
        <v>392</v>
      </c>
      <c r="O18" s="2" t="s">
        <v>56</v>
      </c>
    </row>
    <row r="19" spans="1:15">
      <c r="A19" s="2" t="s">
        <v>3079</v>
      </c>
      <c r="B19" s="2" t="s">
        <v>3080</v>
      </c>
      <c r="C19" s="2" t="s">
        <v>3742</v>
      </c>
      <c r="D19" s="3">
        <f>(('Facts'!F212-'Facts'!F220))*1</f>
        <v>-601099422.34</v>
      </c>
      <c r="E19" s="3">
        <f>D19/K19</f>
        <v>-601099422.34</v>
      </c>
      <c r="F19" s="2" t="str">
        <f>IF(ISNUMBER(D19),"calculated","not_calculated")</f>
        <v>calculated</v>
      </c>
      <c r="G19" s="2">
        <f>IF(ISNUMBER(D19),"","检查缺失值、分母与输入；口径变更须重跑Python")</f>
        <v/>
      </c>
      <c r="H19" s="2" t="s">
        <v>3080</v>
      </c>
      <c r="I19" s="2" t="s">
        <v>3046</v>
      </c>
      <c r="J19" s="2" t="s">
        <v>53</v>
      </c>
      <c r="K19" s="2">
        <v>1</v>
      </c>
      <c r="L19" s="2" t="s">
        <v>54</v>
      </c>
      <c r="M19" s="2" t="s">
        <v>55</v>
      </c>
      <c r="N19" s="2" t="s">
        <v>392</v>
      </c>
      <c r="O19" s="2" t="s">
        <v>56</v>
      </c>
    </row>
    <row r="20" spans="1:15">
      <c r="A20" s="2" t="s">
        <v>3081</v>
      </c>
      <c r="B20" s="2" t="s">
        <v>3082</v>
      </c>
      <c r="C20" s="2" t="s">
        <v>3743</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3082</v>
      </c>
      <c r="I20" s="2" t="s">
        <v>3046</v>
      </c>
      <c r="J20" s="2" t="s">
        <v>53</v>
      </c>
      <c r="K20" s="2">
        <v>1</v>
      </c>
      <c r="L20" s="2" t="s">
        <v>54</v>
      </c>
      <c r="M20" s="2" t="s">
        <v>55</v>
      </c>
      <c r="N20" s="2" t="s">
        <v>392</v>
      </c>
      <c r="O20" s="2" t="s">
        <v>56</v>
      </c>
    </row>
    <row r="21" spans="1:15">
      <c r="A21" s="2" t="s">
        <v>3083</v>
      </c>
      <c r="B21" s="2" t="s">
        <v>3084</v>
      </c>
      <c r="C21" s="2" t="s">
        <v>3744</v>
      </c>
      <c r="D21" s="3">
        <f>(('Facts'!F155*1)+('Facts'!F157*1))*1</f>
        <v>-547795215.55</v>
      </c>
      <c r="E21" s="3">
        <f>D21/K21</f>
        <v>-547795215.55</v>
      </c>
      <c r="F21" s="2" t="str">
        <f>IF(ISNUMBER(D21),"calculated","not_calculated")</f>
        <v>calculated</v>
      </c>
      <c r="G21" s="2">
        <f>IF(ISNUMBER(D21),"","检查缺失值、分母与输入；口径变更须重跑Python")</f>
        <v/>
      </c>
      <c r="H21" s="2" t="s">
        <v>3084</v>
      </c>
      <c r="I21" s="2" t="s">
        <v>3046</v>
      </c>
      <c r="J21" s="2" t="s">
        <v>53</v>
      </c>
      <c r="K21" s="2">
        <v>1</v>
      </c>
      <c r="L21" s="2" t="s">
        <v>54</v>
      </c>
      <c r="M21" s="2" t="s">
        <v>55</v>
      </c>
      <c r="N21" s="2" t="s">
        <v>392</v>
      </c>
      <c r="O21" s="2" t="s">
        <v>56</v>
      </c>
    </row>
    <row r="22" spans="1:15">
      <c r="A22" s="2" t="s">
        <v>3085</v>
      </c>
      <c r="B22" s="2" t="s">
        <v>3086</v>
      </c>
      <c r="C22" s="2" t="s">
        <v>3745</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3086</v>
      </c>
      <c r="I22" s="2" t="s">
        <v>3046</v>
      </c>
      <c r="J22" s="2" t="s">
        <v>53</v>
      </c>
      <c r="K22" s="2">
        <v>1</v>
      </c>
      <c r="L22" s="2" t="s">
        <v>54</v>
      </c>
      <c r="M22" s="2" t="s">
        <v>55</v>
      </c>
      <c r="N22" s="2" t="s">
        <v>392</v>
      </c>
      <c r="O22" s="2" t="s">
        <v>56</v>
      </c>
    </row>
    <row r="23" spans="1:15">
      <c r="A23" s="2" t="s">
        <v>3087</v>
      </c>
      <c r="B23" s="2" t="s">
        <v>3088</v>
      </c>
      <c r="C23" s="2" t="s">
        <v>3746</v>
      </c>
      <c r="D23" s="3">
        <f>(('Facts'!F229*1)+('Facts'!F226*1))*1</f>
        <v>1607718678.61</v>
      </c>
      <c r="E23" s="3">
        <f>D23/K23</f>
        <v>1607718678.61</v>
      </c>
      <c r="F23" s="2" t="str">
        <f>IF(ISNUMBER(D23),"calculated","not_calculated")</f>
        <v>calculated</v>
      </c>
      <c r="G23" s="2">
        <f>IF(ISNUMBER(D23),"","检查缺失值、分母与输入；口径变更须重跑Python")</f>
        <v/>
      </c>
      <c r="H23" s="2" t="s">
        <v>3088</v>
      </c>
      <c r="I23" s="2" t="s">
        <v>3046</v>
      </c>
      <c r="J23" s="2" t="s">
        <v>53</v>
      </c>
      <c r="K23" s="2">
        <v>1</v>
      </c>
      <c r="L23" s="2" t="s">
        <v>54</v>
      </c>
      <c r="M23" s="2" t="s">
        <v>55</v>
      </c>
      <c r="N23" s="2" t="s">
        <v>392</v>
      </c>
      <c r="O23" s="2" t="s">
        <v>56</v>
      </c>
    </row>
    <row r="24" spans="1:15">
      <c r="A24" s="2" t="s">
        <v>3089</v>
      </c>
      <c r="B24" s="2" t="s">
        <v>3090</v>
      </c>
      <c r="C24" s="2" t="s">
        <v>3747</v>
      </c>
      <c r="D24" s="3">
        <f>(('Facts'!F228*1)+('Facts'!F230*1))*1</f>
        <v>2319406225.62</v>
      </c>
      <c r="E24" s="3">
        <f>D24/K24</f>
        <v>2319406225.62</v>
      </c>
      <c r="F24" s="2" t="str">
        <f>IF(ISNUMBER(D24),"calculated","not_calculated")</f>
        <v>calculated</v>
      </c>
      <c r="G24" s="2">
        <f>IF(ISNUMBER(D24),"","检查缺失值、分母与输入；口径变更须重跑Python")</f>
        <v/>
      </c>
      <c r="H24" s="2" t="s">
        <v>3090</v>
      </c>
      <c r="I24" s="2" t="s">
        <v>3046</v>
      </c>
      <c r="J24" s="2" t="s">
        <v>53</v>
      </c>
      <c r="K24" s="2">
        <v>1</v>
      </c>
      <c r="L24" s="2" t="s">
        <v>54</v>
      </c>
      <c r="M24" s="2" t="s">
        <v>55</v>
      </c>
      <c r="N24" s="2"/>
      <c r="O24" s="2" t="s">
        <v>56</v>
      </c>
    </row>
    <row r="25" spans="1:15">
      <c r="A25" s="2" t="s">
        <v>3091</v>
      </c>
      <c r="B25" s="2" t="s">
        <v>3092</v>
      </c>
      <c r="C25" s="2" t="s">
        <v>3748</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3092</v>
      </c>
      <c r="I25" s="2" t="s">
        <v>3046</v>
      </c>
      <c r="J25" s="2" t="s">
        <v>53</v>
      </c>
      <c r="K25" s="2">
        <v>1</v>
      </c>
      <c r="L25" s="2" t="s">
        <v>54</v>
      </c>
      <c r="M25" s="2" t="s">
        <v>55</v>
      </c>
      <c r="N25" s="2"/>
      <c r="O25" s="2" t="s">
        <v>56</v>
      </c>
    </row>
    <row r="26" spans="1:15">
      <c r="A26" s="2" t="s">
        <v>3093</v>
      </c>
      <c r="B26" s="2" t="s">
        <v>3094</v>
      </c>
      <c r="C26" s="2" t="s">
        <v>3749</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3094</v>
      </c>
      <c r="I26" s="2" t="s">
        <v>3046</v>
      </c>
      <c r="J26" s="2" t="s">
        <v>53</v>
      </c>
      <c r="K26" s="2">
        <v>1</v>
      </c>
      <c r="L26" s="2" t="s">
        <v>54</v>
      </c>
      <c r="M26" s="2" t="s">
        <v>55</v>
      </c>
      <c r="N26" s="2" t="s">
        <v>392</v>
      </c>
      <c r="O26" s="2" t="s">
        <v>56</v>
      </c>
    </row>
    <row r="27" spans="1:15">
      <c r="A27" s="2" t="s">
        <v>3095</v>
      </c>
      <c r="B27" s="2" t="s">
        <v>3096</v>
      </c>
      <c r="C27" s="2" t="s">
        <v>3750</v>
      </c>
      <c r="D27" s="3">
        <f>(('Facts'!F264-'Facts'!F266))*1</f>
        <v>3294515959.2</v>
      </c>
      <c r="E27" s="3">
        <f>D27/K27</f>
        <v>3294515959.2</v>
      </c>
      <c r="F27" s="2" t="str">
        <f>IF(ISNUMBER(D27),"calculated","not_calculated")</f>
        <v>calculated</v>
      </c>
      <c r="G27" s="2">
        <f>IF(ISNUMBER(D27),"","检查缺失值、分母与输入；口径变更须重跑Python")</f>
        <v/>
      </c>
      <c r="H27" s="2" t="s">
        <v>3096</v>
      </c>
      <c r="I27" s="2" t="s">
        <v>3046</v>
      </c>
      <c r="J27" s="2" t="s">
        <v>53</v>
      </c>
      <c r="K27" s="2">
        <v>1</v>
      </c>
      <c r="L27" s="2" t="s">
        <v>54</v>
      </c>
      <c r="M27" s="2" t="s">
        <v>55</v>
      </c>
      <c r="N27" s="2"/>
      <c r="O27" s="2" t="s">
        <v>56</v>
      </c>
    </row>
    <row r="28" spans="1:15">
      <c r="A28" s="2" t="s">
        <v>3097</v>
      </c>
      <c r="B28" s="2" t="s">
        <v>3098</v>
      </c>
      <c r="C28" s="2" t="s">
        <v>3751</v>
      </c>
      <c r="D28" s="3">
        <f>(('Facts'!F304-'Facts'!F306))*1</f>
        <v>339665159.75</v>
      </c>
      <c r="E28" s="3">
        <f>D28/K28</f>
        <v>339665159.75</v>
      </c>
      <c r="F28" s="2" t="str">
        <f>IF(ISNUMBER(D28),"calculated","not_calculated")</f>
        <v>calculated</v>
      </c>
      <c r="G28" s="2">
        <f>IF(ISNUMBER(D28),"","检查缺失值、分母与输入；口径变更须重跑Python")</f>
        <v/>
      </c>
      <c r="H28" s="2" t="s">
        <v>3098</v>
      </c>
      <c r="I28" s="2" t="s">
        <v>3046</v>
      </c>
      <c r="J28" s="2" t="s">
        <v>53</v>
      </c>
      <c r="K28" s="2">
        <v>1</v>
      </c>
      <c r="L28" s="2" t="s">
        <v>54</v>
      </c>
      <c r="M28" s="2" t="s">
        <v>55</v>
      </c>
      <c r="N28" s="2"/>
      <c r="O28" s="2" t="s">
        <v>56</v>
      </c>
    </row>
    <row r="29" spans="1:15">
      <c r="A29" s="2" t="s">
        <v>3099</v>
      </c>
      <c r="B29" s="2" t="s">
        <v>3100</v>
      </c>
      <c r="C29" s="2" t="s">
        <v>3752</v>
      </c>
      <c r="D29" s="3">
        <f>(('Facts'!F312-'Facts'!F314))*1</f>
        <v>424169761.35</v>
      </c>
      <c r="E29" s="3">
        <f>D29/K29</f>
        <v>424169761.35</v>
      </c>
      <c r="F29" s="2" t="str">
        <f>IF(ISNUMBER(D29),"calculated","not_calculated")</f>
        <v>calculated</v>
      </c>
      <c r="G29" s="2">
        <f>IF(ISNUMBER(D29),"","检查缺失值、分母与输入；口径变更须重跑Python")</f>
        <v/>
      </c>
      <c r="H29" s="2" t="s">
        <v>3100</v>
      </c>
      <c r="I29" s="2" t="s">
        <v>3046</v>
      </c>
      <c r="J29" s="2" t="s">
        <v>53</v>
      </c>
      <c r="K29" s="2">
        <v>1</v>
      </c>
      <c r="L29" s="2" t="s">
        <v>54</v>
      </c>
      <c r="M29" s="2" t="s">
        <v>55</v>
      </c>
      <c r="N29" s="2"/>
      <c r="O29" s="2" t="s">
        <v>56</v>
      </c>
    </row>
    <row r="30" spans="1:15">
      <c r="A30" s="2" t="s">
        <v>3101</v>
      </c>
      <c r="B30" s="2" t="s">
        <v>3102</v>
      </c>
      <c r="C30" s="2" t="s">
        <v>3753</v>
      </c>
      <c r="D30" s="3">
        <f>(('Facts'!F290-'Facts'!F292))*1</f>
        <v>391302589.91</v>
      </c>
      <c r="E30" s="3">
        <f>D30/K30</f>
        <v>391302589.91</v>
      </c>
      <c r="F30" s="2" t="str">
        <f>IF(ISNUMBER(D30),"calculated","not_calculated")</f>
        <v>calculated</v>
      </c>
      <c r="G30" s="2">
        <f>IF(ISNUMBER(D30),"","检查缺失值、分母与输入；口径变更须重跑Python")</f>
        <v/>
      </c>
      <c r="H30" s="2" t="s">
        <v>3102</v>
      </c>
      <c r="I30" s="2" t="s">
        <v>3046</v>
      </c>
      <c r="J30" s="2" t="s">
        <v>53</v>
      </c>
      <c r="K30" s="2">
        <v>1</v>
      </c>
      <c r="L30" s="2" t="s">
        <v>54</v>
      </c>
      <c r="M30" s="2" t="s">
        <v>55</v>
      </c>
      <c r="N30" s="2"/>
      <c r="O30" s="2" t="s">
        <v>56</v>
      </c>
    </row>
    <row r="31" spans="1:15">
      <c r="A31" s="2" t="s">
        <v>3103</v>
      </c>
      <c r="B31" s="2" t="s">
        <v>3104</v>
      </c>
      <c r="C31" s="2" t="s">
        <v>3754</v>
      </c>
      <c r="D31" s="3">
        <f>(('Facts'!F294-'Facts'!F296))*1</f>
        <v>83837683.81</v>
      </c>
      <c r="E31" s="3">
        <f>D31/K31</f>
        <v>83837683.81</v>
      </c>
      <c r="F31" s="2" t="str">
        <f>IF(ISNUMBER(D31),"calculated","not_calculated")</f>
        <v>calculated</v>
      </c>
      <c r="G31" s="2">
        <f>IF(ISNUMBER(D31),"","检查缺失值、分母与输入；口径变更须重跑Python")</f>
        <v/>
      </c>
      <c r="H31" s="2" t="s">
        <v>3104</v>
      </c>
      <c r="I31" s="2" t="s">
        <v>3046</v>
      </c>
      <c r="J31" s="2" t="s">
        <v>53</v>
      </c>
      <c r="K31" s="2">
        <v>1</v>
      </c>
      <c r="L31" s="2" t="s">
        <v>54</v>
      </c>
      <c r="M31" s="2" t="s">
        <v>55</v>
      </c>
      <c r="N31" s="2"/>
      <c r="O31" s="2" t="s">
        <v>56</v>
      </c>
    </row>
    <row r="32" spans="1:15">
      <c r="A32" s="2" t="s">
        <v>3105</v>
      </c>
      <c r="B32" s="2" t="s">
        <v>3106</v>
      </c>
      <c r="C32" s="2" t="s">
        <v>3755</v>
      </c>
      <c r="D32" s="3">
        <f>(('Facts'!F316-'Facts'!F318))*1</f>
        <v>786141439.39</v>
      </c>
      <c r="E32" s="3">
        <f>D32/K32</f>
        <v>786141439.39</v>
      </c>
      <c r="F32" s="2" t="str">
        <f>IF(ISNUMBER(D32),"calculated","not_calculated")</f>
        <v>calculated</v>
      </c>
      <c r="G32" s="2">
        <f>IF(ISNUMBER(D32),"","检查缺失值、分母与输入；口径变更须重跑Python")</f>
        <v/>
      </c>
      <c r="H32" s="2" t="s">
        <v>3106</v>
      </c>
      <c r="I32" s="2" t="s">
        <v>3046</v>
      </c>
      <c r="J32" s="2" t="s">
        <v>53</v>
      </c>
      <c r="K32" s="2">
        <v>1</v>
      </c>
      <c r="L32" s="2" t="s">
        <v>54</v>
      </c>
      <c r="M32" s="2" t="s">
        <v>55</v>
      </c>
      <c r="N32" s="2"/>
      <c r="O32" s="2" t="s">
        <v>56</v>
      </c>
    </row>
    <row r="33" spans="1:15">
      <c r="A33" s="2" t="s">
        <v>3107</v>
      </c>
      <c r="B33" s="2" t="s">
        <v>3108</v>
      </c>
      <c r="C33" s="2" t="s">
        <v>3756</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3108</v>
      </c>
      <c r="I33" s="2" t="s">
        <v>3046</v>
      </c>
      <c r="J33" s="2" t="s">
        <v>53</v>
      </c>
      <c r="K33" s="2">
        <v>1</v>
      </c>
      <c r="L33" s="2" t="s">
        <v>54</v>
      </c>
      <c r="M33" s="2" t="s">
        <v>55</v>
      </c>
      <c r="N33" s="2"/>
      <c r="O33" s="2" t="s">
        <v>56</v>
      </c>
    </row>
    <row r="34" spans="1:15">
      <c r="A34" s="2" t="s">
        <v>3109</v>
      </c>
      <c r="B34" s="2" t="s">
        <v>3110</v>
      </c>
      <c r="C34" s="2" t="s">
        <v>3757</v>
      </c>
      <c r="D34" s="3">
        <f>(('Facts'!F398*1)+('Facts'!F400*1))*1</f>
        <v>460079528.49</v>
      </c>
      <c r="E34" s="3">
        <f>D34/K34</f>
        <v>460079528.49</v>
      </c>
      <c r="F34" s="2" t="str">
        <f>IF(ISNUMBER(D34),"calculated","not_calculated")</f>
        <v>calculated</v>
      </c>
      <c r="G34" s="2">
        <f>IF(ISNUMBER(D34),"","检查缺失值、分母与输入；口径变更须重跑Python")</f>
        <v/>
      </c>
      <c r="H34" s="2" t="s">
        <v>3110</v>
      </c>
      <c r="I34" s="2" t="s">
        <v>3046</v>
      </c>
      <c r="J34" s="2" t="s">
        <v>53</v>
      </c>
      <c r="K34" s="2">
        <v>1</v>
      </c>
      <c r="L34" s="2" t="s">
        <v>54</v>
      </c>
      <c r="M34" s="2" t="s">
        <v>55</v>
      </c>
      <c r="N34" s="2"/>
      <c r="O34" s="2" t="s">
        <v>56</v>
      </c>
    </row>
    <row r="35" spans="1:15">
      <c r="A35" s="2" t="s">
        <v>3111</v>
      </c>
      <c r="B35" s="2" t="s">
        <v>3112</v>
      </c>
      <c r="C35" s="2" t="s">
        <v>3758</v>
      </c>
      <c r="D35" s="3">
        <f>(('Facts'!F358-'Facts'!F360))*1</f>
        <v>99603249.54</v>
      </c>
      <c r="E35" s="3">
        <f>D35/K35</f>
        <v>99603249.54</v>
      </c>
      <c r="F35" s="2" t="str">
        <f>IF(ISNUMBER(D35),"calculated","not_calculated")</f>
        <v>calculated</v>
      </c>
      <c r="G35" s="2">
        <f>IF(ISNUMBER(D35),"","检查缺失值、分母与输入；口径变更须重跑Python")</f>
        <v/>
      </c>
      <c r="H35" s="2" t="s">
        <v>3112</v>
      </c>
      <c r="I35" s="2" t="s">
        <v>3046</v>
      </c>
      <c r="J35" s="2" t="s">
        <v>53</v>
      </c>
      <c r="K35" s="2">
        <v>1</v>
      </c>
      <c r="L35" s="2" t="s">
        <v>54</v>
      </c>
      <c r="M35" s="2" t="s">
        <v>55</v>
      </c>
      <c r="N35" s="2" t="s">
        <v>392</v>
      </c>
      <c r="O35" s="2" t="s">
        <v>56</v>
      </c>
    </row>
    <row r="36" spans="1:15">
      <c r="A36" s="2" t="s">
        <v>3113</v>
      </c>
      <c r="B36" s="2" t="s">
        <v>3114</v>
      </c>
      <c r="C36" s="2" t="s">
        <v>3759</v>
      </c>
      <c r="D36" s="3">
        <f>(('Facts'!F111-'Facts'!F113))*1</f>
        <v>1462751529.93</v>
      </c>
      <c r="E36" s="3">
        <f>D36/K36</f>
        <v>1462751529.93</v>
      </c>
      <c r="F36" s="2" t="str">
        <f>IF(ISNUMBER(D36),"calculated","not_calculated")</f>
        <v>calculated</v>
      </c>
      <c r="G36" s="2">
        <f>IF(ISNUMBER(D36),"","检查缺失值、分母与输入；口径变更须重跑Python")</f>
        <v/>
      </c>
      <c r="H36" s="2" t="s">
        <v>3114</v>
      </c>
      <c r="I36" s="2" t="s">
        <v>3046</v>
      </c>
      <c r="J36" s="2" t="s">
        <v>53</v>
      </c>
      <c r="K36" s="2">
        <v>1</v>
      </c>
      <c r="L36" s="2" t="s">
        <v>54</v>
      </c>
      <c r="M36" s="2" t="s">
        <v>55</v>
      </c>
      <c r="N36" s="2" t="s">
        <v>392</v>
      </c>
      <c r="O36" s="2" t="s">
        <v>56</v>
      </c>
    </row>
    <row r="37" spans="1:15">
      <c r="A37" s="2" t="s">
        <v>3115</v>
      </c>
      <c r="B37" s="2" t="s">
        <v>3116</v>
      </c>
      <c r="C37" s="2" t="s">
        <v>3760</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3116</v>
      </c>
      <c r="I37" s="2" t="s">
        <v>3046</v>
      </c>
      <c r="J37" s="2" t="s">
        <v>3117</v>
      </c>
      <c r="K37" s="2">
        <v>1</v>
      </c>
      <c r="L37" s="2" t="s">
        <v>54</v>
      </c>
      <c r="M37" s="2" t="s">
        <v>55</v>
      </c>
      <c r="N37" s="2" t="s">
        <v>392</v>
      </c>
      <c r="O37" s="2" t="s">
        <v>56</v>
      </c>
    </row>
    <row r="38" spans="1:15">
      <c r="A38" s="2" t="s">
        <v>3118</v>
      </c>
      <c r="B38" s="2" t="s">
        <v>3119</v>
      </c>
      <c r="C38" s="2" t="s">
        <v>3761</v>
      </c>
      <c r="D38" s="3">
        <f>(('Facts'!F149*1)+('Facts'!F125*1))*1</f>
        <v>-492590957.02</v>
      </c>
      <c r="E38" s="3">
        <f>D38/K38</f>
        <v>-492590957.02</v>
      </c>
      <c r="F38" s="2" t="str">
        <f>IF(ISNUMBER(D38),"calculated","not_calculated")</f>
        <v>calculated</v>
      </c>
      <c r="G38" s="2">
        <f>IF(ISNUMBER(D38),"","检查缺失值、分母与输入；口径变更须重跑Python")</f>
        <v/>
      </c>
      <c r="H38" s="2" t="s">
        <v>3119</v>
      </c>
      <c r="I38" s="2" t="s">
        <v>3046</v>
      </c>
      <c r="J38" s="2" t="s">
        <v>53</v>
      </c>
      <c r="K38" s="2">
        <v>1</v>
      </c>
      <c r="L38" s="2" t="s">
        <v>54</v>
      </c>
      <c r="M38" s="2" t="s">
        <v>55</v>
      </c>
      <c r="N38" s="2" t="s">
        <v>392</v>
      </c>
      <c r="O38" s="2" t="s">
        <v>56</v>
      </c>
    </row>
    <row r="39" spans="1:15">
      <c r="A39" s="2" t="s">
        <v>3120</v>
      </c>
      <c r="B39" s="2" t="s">
        <v>3121</v>
      </c>
      <c r="C39" s="2" t="s">
        <v>3762</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3122</v>
      </c>
      <c r="I39" s="2" t="s">
        <v>3046</v>
      </c>
      <c r="J39" s="2" t="s">
        <v>53</v>
      </c>
      <c r="K39" s="2">
        <v>1</v>
      </c>
      <c r="L39" s="2" t="s">
        <v>54</v>
      </c>
      <c r="M39" s="2" t="s">
        <v>55</v>
      </c>
      <c r="N39" s="2" t="s">
        <v>392</v>
      </c>
      <c r="O39" s="2" t="s">
        <v>56</v>
      </c>
    </row>
    <row r="40" spans="1:15">
      <c r="A40" s="2" t="s">
        <v>3123</v>
      </c>
      <c r="B40" s="2" t="s">
        <v>3124</v>
      </c>
      <c r="C40" s="2" t="s">
        <v>3763</v>
      </c>
      <c r="D40" s="3">
        <f>(('Facts'!F404*1)+('Facts'!F56*1)+('Facts'!F258*1))*1</f>
        <v>5273052807.96</v>
      </c>
      <c r="E40" s="3">
        <f>D40/K40</f>
        <v>5273052807.96</v>
      </c>
      <c r="F40" s="2" t="str">
        <f>IF(ISNUMBER(D40),"calculated","not_calculated")</f>
        <v>calculated</v>
      </c>
      <c r="G40" s="2">
        <f>IF(ISNUMBER(D40),"","检查缺失值、分母与输入；口径变更须重跑Python")</f>
        <v/>
      </c>
      <c r="H40" s="2" t="s">
        <v>3125</v>
      </c>
      <c r="I40" s="2" t="s">
        <v>3046</v>
      </c>
      <c r="J40" s="2" t="s">
        <v>53</v>
      </c>
      <c r="K40" s="2">
        <v>1</v>
      </c>
      <c r="L40" s="2" t="s">
        <v>54</v>
      </c>
      <c r="M40" s="2" t="s">
        <v>55</v>
      </c>
      <c r="N40" s="2"/>
      <c r="O40" s="2" t="s">
        <v>56</v>
      </c>
    </row>
    <row r="41" spans="1:15">
      <c r="A41" s="2" t="s">
        <v>3126</v>
      </c>
      <c r="B41" s="2" t="s">
        <v>3127</v>
      </c>
      <c r="C41" s="2" t="s">
        <v>3764</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3127</v>
      </c>
      <c r="I41" s="2" t="s">
        <v>3046</v>
      </c>
      <c r="J41" s="2" t="s">
        <v>53</v>
      </c>
      <c r="K41" s="2">
        <v>1</v>
      </c>
      <c r="L41" s="2" t="s">
        <v>54</v>
      </c>
      <c r="M41" s="2" t="s">
        <v>55</v>
      </c>
      <c r="N41" s="2"/>
      <c r="O41" s="2" t="s">
        <v>56</v>
      </c>
    </row>
    <row r="42" spans="1:15">
      <c r="A42" s="2" t="s">
        <v>3128</v>
      </c>
      <c r="B42" s="2" t="s">
        <v>3129</v>
      </c>
      <c r="C42" s="2" t="s">
        <v>3765</v>
      </c>
      <c r="D42" s="3">
        <f>(('Calculations'!D40*1)+('Facts'!F109*1))*1</f>
        <v>9325126612.71</v>
      </c>
      <c r="E42" s="3">
        <f>D42/K42</f>
        <v>9325126612.71</v>
      </c>
      <c r="F42" s="2" t="str">
        <f>IF(ISNUMBER(D42),"calculated","not_calculated")</f>
        <v>calculated</v>
      </c>
      <c r="G42" s="2">
        <f>IF(ISNUMBER(D42),"","检查缺失值、分母与输入；口径变更须重跑Python")</f>
        <v/>
      </c>
      <c r="H42" s="2" t="s">
        <v>3129</v>
      </c>
      <c r="I42" s="2" t="s">
        <v>3046</v>
      </c>
      <c r="J42" s="2" t="s">
        <v>53</v>
      </c>
      <c r="K42" s="2">
        <v>1</v>
      </c>
      <c r="L42" s="2" t="s">
        <v>54</v>
      </c>
      <c r="M42" s="2" t="s">
        <v>55</v>
      </c>
      <c r="N42" s="2"/>
      <c r="O42" s="2" t="s">
        <v>56</v>
      </c>
    </row>
    <row r="43" spans="1:15">
      <c r="A43" s="2" t="s">
        <v>3130</v>
      </c>
      <c r="B43" s="2" t="s">
        <v>3131</v>
      </c>
      <c r="C43" s="2" t="s">
        <v>3766</v>
      </c>
      <c r="D43" s="3">
        <f>(('Calculations'!D40-'Facts'!F228))*1</f>
        <v>3665334129.35</v>
      </c>
      <c r="E43" s="3">
        <f>D43/K43</f>
        <v>3665334129.35</v>
      </c>
      <c r="F43" s="2" t="str">
        <f>IF(ISNUMBER(D43),"calculated","not_calculated")</f>
        <v>calculated</v>
      </c>
      <c r="G43" s="2">
        <f>IF(ISNUMBER(D43),"","检查缺失值、分母与输入；口径变更须重跑Python")</f>
        <v/>
      </c>
      <c r="H43" s="2" t="s">
        <v>3132</v>
      </c>
      <c r="I43" s="2" t="s">
        <v>3046</v>
      </c>
      <c r="J43" s="2" t="s">
        <v>53</v>
      </c>
      <c r="K43" s="2">
        <v>1</v>
      </c>
      <c r="L43" s="2" t="s">
        <v>54</v>
      </c>
      <c r="M43" s="2" t="s">
        <v>55</v>
      </c>
      <c r="N43" s="2"/>
      <c r="O43" s="2" t="s">
        <v>56</v>
      </c>
    </row>
    <row r="44" spans="1:15">
      <c r="A44" s="2" t="s">
        <v>3133</v>
      </c>
      <c r="B44" s="2" t="s">
        <v>3134</v>
      </c>
      <c r="C44" s="2" t="s">
        <v>3767</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3134</v>
      </c>
      <c r="I44" s="2" t="s">
        <v>3046</v>
      </c>
      <c r="J44" s="2" t="s">
        <v>3117</v>
      </c>
      <c r="K44" s="2">
        <v>1</v>
      </c>
      <c r="L44" s="2" t="s">
        <v>54</v>
      </c>
      <c r="M44" s="2" t="s">
        <v>55</v>
      </c>
      <c r="N44" s="2"/>
      <c r="O44" s="2" t="s">
        <v>56</v>
      </c>
    </row>
    <row r="45" spans="1:15">
      <c r="A45" s="2" t="s">
        <v>3135</v>
      </c>
      <c r="B45" s="2" t="s">
        <v>3136</v>
      </c>
      <c r="C45" s="2" t="s">
        <v>3768</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3136</v>
      </c>
      <c r="I45" s="2" t="s">
        <v>3046</v>
      </c>
      <c r="J45" s="2" t="s">
        <v>3117</v>
      </c>
      <c r="K45" s="2">
        <v>1</v>
      </c>
      <c r="L45" s="2" t="s">
        <v>54</v>
      </c>
      <c r="M45" s="2" t="s">
        <v>55</v>
      </c>
      <c r="N45" s="2"/>
      <c r="O45" s="2" t="s">
        <v>56</v>
      </c>
    </row>
    <row r="46" spans="1:15">
      <c r="A46" s="2" t="s">
        <v>3137</v>
      </c>
      <c r="B46" s="2" t="s">
        <v>3138</v>
      </c>
      <c r="C46" s="2" t="s">
        <v>3769</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3138</v>
      </c>
      <c r="I46" s="2" t="s">
        <v>3046</v>
      </c>
      <c r="J46" s="2" t="s">
        <v>3139</v>
      </c>
      <c r="K46" s="2">
        <v>1</v>
      </c>
      <c r="L46" s="2" t="s">
        <v>54</v>
      </c>
      <c r="M46" s="2" t="s">
        <v>55</v>
      </c>
      <c r="N46" s="2"/>
      <c r="O46" s="2" t="s">
        <v>56</v>
      </c>
    </row>
    <row r="47" spans="1:15">
      <c r="A47" s="2" t="s">
        <v>3140</v>
      </c>
      <c r="B47" s="2" t="s">
        <v>3141</v>
      </c>
      <c r="C47" s="2" t="s">
        <v>3770</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3141</v>
      </c>
      <c r="I47" s="2" t="s">
        <v>3046</v>
      </c>
      <c r="J47" s="2" t="s">
        <v>3139</v>
      </c>
      <c r="K47" s="2">
        <v>1</v>
      </c>
      <c r="L47" s="2" t="s">
        <v>54</v>
      </c>
      <c r="M47" s="2" t="s">
        <v>55</v>
      </c>
      <c r="N47" s="2"/>
      <c r="O47" s="2" t="s">
        <v>56</v>
      </c>
    </row>
    <row r="48" spans="1:15">
      <c r="A48" s="2" t="s">
        <v>3142</v>
      </c>
      <c r="B48" s="2" t="s">
        <v>3143</v>
      </c>
      <c r="C48" s="2" t="s">
        <v>3771</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3143</v>
      </c>
      <c r="I48" s="2" t="s">
        <v>3046</v>
      </c>
      <c r="J48" s="2" t="s">
        <v>3139</v>
      </c>
      <c r="K48" s="2">
        <v>1</v>
      </c>
      <c r="L48" s="2" t="s">
        <v>54</v>
      </c>
      <c r="M48" s="2" t="s">
        <v>55</v>
      </c>
      <c r="N48" s="2"/>
      <c r="O48" s="2" t="s">
        <v>56</v>
      </c>
    </row>
    <row r="49" spans="1:15">
      <c r="A49" s="2" t="s">
        <v>3144</v>
      </c>
      <c r="B49" s="2" t="s">
        <v>3145</v>
      </c>
      <c r="C49" s="2" t="s">
        <v>3772</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3145</v>
      </c>
      <c r="I49" s="2" t="s">
        <v>3046</v>
      </c>
      <c r="J49" s="2" t="s">
        <v>3117</v>
      </c>
      <c r="K49" s="2">
        <v>1</v>
      </c>
      <c r="L49" s="2" t="s">
        <v>54</v>
      </c>
      <c r="M49" s="2" t="s">
        <v>55</v>
      </c>
      <c r="N49" s="2" t="s">
        <v>392</v>
      </c>
      <c r="O49" s="2" t="s">
        <v>56</v>
      </c>
    </row>
    <row r="50" spans="1:15">
      <c r="A50" s="2" t="s">
        <v>3146</v>
      </c>
      <c r="B50" s="2" t="s">
        <v>3147</v>
      </c>
      <c r="C50" s="2" t="s">
        <v>3773</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3147</v>
      </c>
      <c r="I50" s="2" t="s">
        <v>3046</v>
      </c>
      <c r="J50" s="2" t="s">
        <v>3139</v>
      </c>
      <c r="K50" s="2">
        <v>1</v>
      </c>
      <c r="L50" s="2" t="s">
        <v>54</v>
      </c>
      <c r="M50" s="2" t="s">
        <v>55</v>
      </c>
      <c r="N50" s="2" t="s">
        <v>392</v>
      </c>
      <c r="O50" s="2" t="s">
        <v>56</v>
      </c>
    </row>
    <row r="51" spans="1:15">
      <c r="A51" s="2" t="s">
        <v>3148</v>
      </c>
      <c r="B51" s="2" t="s">
        <v>3149</v>
      </c>
      <c r="C51" s="2" t="s">
        <v>3774</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3149</v>
      </c>
      <c r="I51" s="2" t="s">
        <v>3046</v>
      </c>
      <c r="J51" s="2" t="s">
        <v>3117</v>
      </c>
      <c r="K51" s="2">
        <v>1</v>
      </c>
      <c r="L51" s="2" t="s">
        <v>54</v>
      </c>
      <c r="M51" s="2" t="s">
        <v>55</v>
      </c>
      <c r="N51" s="2"/>
      <c r="O51" s="2" t="s">
        <v>56</v>
      </c>
    </row>
    <row r="52" spans="1:15">
      <c r="A52" s="2" t="s">
        <v>3150</v>
      </c>
      <c r="B52" s="2" t="s">
        <v>3151</v>
      </c>
      <c r="C52" s="2" t="s">
        <v>3775</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3151</v>
      </c>
      <c r="I52" s="2" t="s">
        <v>3046</v>
      </c>
      <c r="J52" s="2" t="s">
        <v>3117</v>
      </c>
      <c r="K52" s="2">
        <v>1</v>
      </c>
      <c r="L52" s="2" t="s">
        <v>54</v>
      </c>
      <c r="M52" s="2" t="s">
        <v>55</v>
      </c>
      <c r="N52" s="2"/>
      <c r="O52" s="2" t="s">
        <v>56</v>
      </c>
    </row>
    <row r="53" spans="1:15">
      <c r="A53" s="2" t="s">
        <v>3152</v>
      </c>
      <c r="B53" s="2" t="s">
        <v>3153</v>
      </c>
      <c r="C53" s="2" t="s">
        <v>3776</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3153</v>
      </c>
      <c r="I53" s="2" t="s">
        <v>3046</v>
      </c>
      <c r="J53" s="2" t="s">
        <v>3117</v>
      </c>
      <c r="K53" s="2">
        <v>1</v>
      </c>
      <c r="L53" s="2" t="s">
        <v>54</v>
      </c>
      <c r="M53" s="2" t="s">
        <v>55</v>
      </c>
      <c r="N53" s="2" t="s">
        <v>392</v>
      </c>
      <c r="O53" s="2" t="s">
        <v>56</v>
      </c>
    </row>
    <row r="54" spans="1:15">
      <c r="A54" s="2" t="s">
        <v>3154</v>
      </c>
      <c r="B54" s="2" t="s">
        <v>3155</v>
      </c>
      <c r="C54" s="2" t="s">
        <v>3777</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3155</v>
      </c>
      <c r="I54" s="2" t="s">
        <v>3046</v>
      </c>
      <c r="J54" s="2" t="s">
        <v>3117</v>
      </c>
      <c r="K54" s="2">
        <v>1</v>
      </c>
      <c r="L54" s="2" t="s">
        <v>54</v>
      </c>
      <c r="M54" s="2" t="s">
        <v>55</v>
      </c>
      <c r="N54" s="2" t="s">
        <v>392</v>
      </c>
      <c r="O54" s="2" t="s">
        <v>56</v>
      </c>
    </row>
    <row r="55" spans="1:15">
      <c r="A55" s="2" t="s">
        <v>3156</v>
      </c>
      <c r="B55" s="2" t="s">
        <v>3157</v>
      </c>
      <c r="C55" s="2" t="s">
        <v>3778</v>
      </c>
      <c r="D55" s="3">
        <f>(('Facts'!F181-'Facts'!F194))*1</f>
        <v>147125647.94</v>
      </c>
      <c r="E55" s="3">
        <f>D55/K55</f>
        <v>147125647.94</v>
      </c>
      <c r="F55" s="2" t="str">
        <f>IF(ISNUMBER(D55),"calculated","not_calculated")</f>
        <v>calculated</v>
      </c>
      <c r="G55" s="2">
        <f>IF(ISNUMBER(D55),"","检查缺失值、分母与输入；口径变更须重跑Python")</f>
        <v/>
      </c>
      <c r="H55" s="2" t="s">
        <v>3158</v>
      </c>
      <c r="I55" s="2" t="s">
        <v>3046</v>
      </c>
      <c r="J55" s="2" t="s">
        <v>53</v>
      </c>
      <c r="K55" s="2">
        <v>1</v>
      </c>
      <c r="L55" s="2" t="s">
        <v>54</v>
      </c>
      <c r="M55" s="2" t="s">
        <v>55</v>
      </c>
      <c r="N55" s="2" t="s">
        <v>392</v>
      </c>
      <c r="O55" s="2" t="s">
        <v>56</v>
      </c>
    </row>
    <row r="56" spans="1:15">
      <c r="A56" s="2" t="s">
        <v>3159</v>
      </c>
      <c r="B56" s="2" t="s">
        <v>3160</v>
      </c>
      <c r="C56" s="2" t="s">
        <v>3779</v>
      </c>
      <c r="D56" s="3">
        <f>(('Facts'!F330-'Facts'!F332))*1</f>
        <v>744686037.29</v>
      </c>
      <c r="E56" s="3">
        <f>D56/K56</f>
        <v>744686037.29</v>
      </c>
      <c r="F56" s="2" t="str">
        <f>IF(ISNUMBER(D56),"calculated","not_calculated")</f>
        <v>calculated</v>
      </c>
      <c r="G56" s="2">
        <f>IF(ISNUMBER(D56),"","检查缺失值、分母与输入；口径变更须重跑Python")</f>
        <v/>
      </c>
      <c r="H56" s="2" t="s">
        <v>3160</v>
      </c>
      <c r="I56" s="2" t="s">
        <v>3046</v>
      </c>
      <c r="J56" s="2" t="s">
        <v>53</v>
      </c>
      <c r="K56" s="2">
        <v>1</v>
      </c>
      <c r="L56" s="2" t="s">
        <v>54</v>
      </c>
      <c r="M56" s="2" t="s">
        <v>55</v>
      </c>
      <c r="N56" s="2" t="s">
        <v>392</v>
      </c>
      <c r="O56" s="2" t="s">
        <v>56</v>
      </c>
    </row>
    <row r="57" spans="1:15">
      <c r="A57" s="2" t="s">
        <v>3161</v>
      </c>
      <c r="B57" s="2" t="s">
        <v>3162</v>
      </c>
      <c r="C57" s="2" t="s">
        <v>3780</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3162</v>
      </c>
      <c r="I57" s="2" t="s">
        <v>3046</v>
      </c>
      <c r="J57" s="2" t="s">
        <v>3117</v>
      </c>
      <c r="K57" s="2">
        <v>1</v>
      </c>
      <c r="L57" s="2" t="s">
        <v>54</v>
      </c>
      <c r="M57" s="2" t="s">
        <v>55</v>
      </c>
      <c r="N57" s="2" t="s">
        <v>392</v>
      </c>
      <c r="O57" s="2" t="s">
        <v>56</v>
      </c>
    </row>
    <row r="58" spans="1:15">
      <c r="A58" s="2" t="s">
        <v>3163</v>
      </c>
      <c r="B58" s="2" t="s">
        <v>3164</v>
      </c>
      <c r="C58" s="2" t="s">
        <v>3781</v>
      </c>
      <c r="D58" s="3">
        <f>(('Facts'!F334-'Facts'!F336))*1</f>
        <v>590969632.61</v>
      </c>
      <c r="E58" s="3">
        <f>D58/K58</f>
        <v>590969632.61</v>
      </c>
      <c r="F58" s="2" t="str">
        <f>IF(ISNUMBER(D58),"calculated","not_calculated")</f>
        <v>calculated</v>
      </c>
      <c r="G58" s="2">
        <f>IF(ISNUMBER(D58),"","检查缺失值、分母与输入；口径变更须重跑Python")</f>
        <v/>
      </c>
      <c r="H58" s="2" t="s">
        <v>3164</v>
      </c>
      <c r="I58" s="2" t="s">
        <v>3046</v>
      </c>
      <c r="J58" s="2" t="s">
        <v>53</v>
      </c>
      <c r="K58" s="2">
        <v>1</v>
      </c>
      <c r="L58" s="2" t="s">
        <v>54</v>
      </c>
      <c r="M58" s="2" t="s">
        <v>55</v>
      </c>
      <c r="N58" s="2" t="s">
        <v>392</v>
      </c>
      <c r="O58" s="2" t="s">
        <v>56</v>
      </c>
    </row>
    <row r="59" spans="1:15">
      <c r="A59" s="2" t="s">
        <v>3165</v>
      </c>
      <c r="B59" s="2" t="s">
        <v>3166</v>
      </c>
      <c r="C59" s="2" t="s">
        <v>3782</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3166</v>
      </c>
      <c r="I59" s="2" t="s">
        <v>3046</v>
      </c>
      <c r="J59" s="2" t="s">
        <v>3117</v>
      </c>
      <c r="K59" s="2">
        <v>1</v>
      </c>
      <c r="L59" s="2" t="s">
        <v>54</v>
      </c>
      <c r="M59" s="2" t="s">
        <v>55</v>
      </c>
      <c r="N59" s="2" t="s">
        <v>392</v>
      </c>
      <c r="O59" s="2" t="s">
        <v>56</v>
      </c>
    </row>
    <row r="60" spans="1:15">
      <c r="A60" s="2" t="s">
        <v>3167</v>
      </c>
      <c r="B60" s="2" t="s">
        <v>3168</v>
      </c>
      <c r="C60" s="2" t="s">
        <v>3783</v>
      </c>
      <c r="D60" s="3">
        <f>(('Facts'!F338-'Facts'!F340))*1</f>
        <v>67752543.39</v>
      </c>
      <c r="E60" s="3">
        <f>D60/K60</f>
        <v>67752543.39</v>
      </c>
      <c r="F60" s="2" t="str">
        <f>IF(ISNUMBER(D60),"calculated","not_calculated")</f>
        <v>calculated</v>
      </c>
      <c r="G60" s="2">
        <f>IF(ISNUMBER(D60),"","检查缺失值、分母与输入；口径变更须重跑Python")</f>
        <v/>
      </c>
      <c r="H60" s="2" t="s">
        <v>3168</v>
      </c>
      <c r="I60" s="2" t="s">
        <v>3046</v>
      </c>
      <c r="J60" s="2" t="s">
        <v>53</v>
      </c>
      <c r="K60" s="2">
        <v>1</v>
      </c>
      <c r="L60" s="2" t="s">
        <v>54</v>
      </c>
      <c r="M60" s="2" t="s">
        <v>55</v>
      </c>
      <c r="N60" s="2" t="s">
        <v>392</v>
      </c>
      <c r="O60" s="2" t="s">
        <v>56</v>
      </c>
    </row>
    <row r="61" spans="1:15">
      <c r="A61" s="2" t="s">
        <v>3169</v>
      </c>
      <c r="B61" s="2" t="s">
        <v>3170</v>
      </c>
      <c r="C61" s="2" t="s">
        <v>3784</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3170</v>
      </c>
      <c r="I61" s="2" t="s">
        <v>3046</v>
      </c>
      <c r="J61" s="2" t="s">
        <v>3117</v>
      </c>
      <c r="K61" s="2">
        <v>1</v>
      </c>
      <c r="L61" s="2" t="s">
        <v>54</v>
      </c>
      <c r="M61" s="2" t="s">
        <v>55</v>
      </c>
      <c r="N61" s="2" t="s">
        <v>392</v>
      </c>
      <c r="O61" s="2" t="s">
        <v>56</v>
      </c>
    </row>
    <row r="62" spans="1:15">
      <c r="A62" s="2" t="s">
        <v>3171</v>
      </c>
      <c r="B62" s="2" t="s">
        <v>3172</v>
      </c>
      <c r="C62" s="2" t="s">
        <v>3785</v>
      </c>
      <c r="D62" s="3">
        <f>(('Facts'!F342-'Facts'!F344))*1</f>
        <v>18326530.33</v>
      </c>
      <c r="E62" s="3">
        <f>D62/K62</f>
        <v>18326530.33</v>
      </c>
      <c r="F62" s="2" t="str">
        <f>IF(ISNUMBER(D62),"calculated","not_calculated")</f>
        <v>calculated</v>
      </c>
      <c r="G62" s="2">
        <f>IF(ISNUMBER(D62),"","检查缺失值、分母与输入；口径变更须重跑Python")</f>
        <v/>
      </c>
      <c r="H62" s="2" t="s">
        <v>3172</v>
      </c>
      <c r="I62" s="2" t="s">
        <v>3046</v>
      </c>
      <c r="J62" s="2" t="s">
        <v>53</v>
      </c>
      <c r="K62" s="2">
        <v>1</v>
      </c>
      <c r="L62" s="2" t="s">
        <v>54</v>
      </c>
      <c r="M62" s="2" t="s">
        <v>55</v>
      </c>
      <c r="N62" s="2" t="s">
        <v>392</v>
      </c>
      <c r="O62" s="2" t="s">
        <v>56</v>
      </c>
    </row>
    <row r="63" spans="1:15">
      <c r="A63" s="2" t="s">
        <v>3173</v>
      </c>
      <c r="B63" s="2" t="s">
        <v>3174</v>
      </c>
      <c r="C63" s="2" t="s">
        <v>3786</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3174</v>
      </c>
      <c r="I63" s="2" t="s">
        <v>3046</v>
      </c>
      <c r="J63" s="2" t="s">
        <v>3117</v>
      </c>
      <c r="K63" s="2">
        <v>1</v>
      </c>
      <c r="L63" s="2" t="s">
        <v>54</v>
      </c>
      <c r="M63" s="2" t="s">
        <v>55</v>
      </c>
      <c r="N63" s="2" t="s">
        <v>392</v>
      </c>
      <c r="O63" s="2" t="s">
        <v>56</v>
      </c>
    </row>
    <row r="64" spans="1:15">
      <c r="A64" s="2" t="s">
        <v>3175</v>
      </c>
      <c r="B64" s="2" t="s">
        <v>3176</v>
      </c>
      <c r="C64" s="2" t="s">
        <v>3787</v>
      </c>
      <c r="D64" s="3">
        <f>(('Facts'!F346-'Facts'!F348))*1</f>
        <v>25160913.79</v>
      </c>
      <c r="E64" s="3">
        <f>D64/K64</f>
        <v>25160913.79</v>
      </c>
      <c r="F64" s="2" t="str">
        <f>IF(ISNUMBER(D64),"calculated","not_calculated")</f>
        <v>calculated</v>
      </c>
      <c r="G64" s="2">
        <f>IF(ISNUMBER(D64),"","检查缺失值、分母与输入；口径变更须重跑Python")</f>
        <v/>
      </c>
      <c r="H64" s="2" t="s">
        <v>3176</v>
      </c>
      <c r="I64" s="2" t="s">
        <v>3046</v>
      </c>
      <c r="J64" s="2" t="s">
        <v>53</v>
      </c>
      <c r="K64" s="2">
        <v>1</v>
      </c>
      <c r="L64" s="2" t="s">
        <v>54</v>
      </c>
      <c r="M64" s="2" t="s">
        <v>55</v>
      </c>
      <c r="N64" s="2" t="s">
        <v>392</v>
      </c>
      <c r="O64" s="2" t="s">
        <v>56</v>
      </c>
    </row>
    <row r="65" spans="1:15">
      <c r="A65" s="2" t="s">
        <v>3177</v>
      </c>
      <c r="B65" s="2" t="s">
        <v>3178</v>
      </c>
      <c r="C65" s="2" t="s">
        <v>3788</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3178</v>
      </c>
      <c r="I65" s="2" t="s">
        <v>3046</v>
      </c>
      <c r="J65" s="2" t="s">
        <v>3117</v>
      </c>
      <c r="K65" s="2">
        <v>1</v>
      </c>
      <c r="L65" s="2" t="s">
        <v>54</v>
      </c>
      <c r="M65" s="2" t="s">
        <v>55</v>
      </c>
      <c r="N65" s="2" t="s">
        <v>392</v>
      </c>
      <c r="O65" s="2" t="s">
        <v>56</v>
      </c>
    </row>
    <row r="66" spans="1:15">
      <c r="A66" s="2" t="s">
        <v>3179</v>
      </c>
      <c r="B66" s="2" t="s">
        <v>3180</v>
      </c>
      <c r="C66" s="2" t="s">
        <v>3789</v>
      </c>
      <c r="D66" s="3">
        <f>(('Facts'!F350-'Facts'!F352))*1</f>
        <v>15855872.52</v>
      </c>
      <c r="E66" s="3">
        <f>D66/K66</f>
        <v>15855872.52</v>
      </c>
      <c r="F66" s="2" t="str">
        <f>IF(ISNUMBER(D66),"calculated","not_calculated")</f>
        <v>calculated</v>
      </c>
      <c r="G66" s="2">
        <f>IF(ISNUMBER(D66),"","检查缺失值、分母与输入；口径变更须重跑Python")</f>
        <v/>
      </c>
      <c r="H66" s="2" t="s">
        <v>3180</v>
      </c>
      <c r="I66" s="2" t="s">
        <v>3046</v>
      </c>
      <c r="J66" s="2" t="s">
        <v>53</v>
      </c>
      <c r="K66" s="2">
        <v>1</v>
      </c>
      <c r="L66" s="2" t="s">
        <v>54</v>
      </c>
      <c r="M66" s="2" t="s">
        <v>55</v>
      </c>
      <c r="N66" s="2" t="s">
        <v>392</v>
      </c>
      <c r="O66" s="2" t="s">
        <v>56</v>
      </c>
    </row>
    <row r="67" spans="1:15">
      <c r="A67" s="2" t="s">
        <v>3181</v>
      </c>
      <c r="B67" s="2" t="s">
        <v>3182</v>
      </c>
      <c r="C67" s="2" t="s">
        <v>3790</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3182</v>
      </c>
      <c r="I67" s="2" t="s">
        <v>3046</v>
      </c>
      <c r="J67" s="2" t="s">
        <v>3117</v>
      </c>
      <c r="K67" s="2">
        <v>1</v>
      </c>
      <c r="L67" s="2" t="s">
        <v>54</v>
      </c>
      <c r="M67" s="2" t="s">
        <v>55</v>
      </c>
      <c r="N67" s="2" t="s">
        <v>392</v>
      </c>
      <c r="O67" s="2" t="s">
        <v>56</v>
      </c>
    </row>
    <row r="68" spans="1:15">
      <c r="A68" s="2" t="s">
        <v>3183</v>
      </c>
      <c r="B68" s="2" t="s">
        <v>3184</v>
      </c>
      <c r="C68" s="2" t="s">
        <v>3791</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3184</v>
      </c>
      <c r="I68" s="2" t="s">
        <v>3046</v>
      </c>
      <c r="J68" s="2" t="s">
        <v>53</v>
      </c>
      <c r="K68" s="2">
        <v>1</v>
      </c>
      <c r="L68" s="2" t="s">
        <v>54</v>
      </c>
      <c r="M68" s="2" t="s">
        <v>55</v>
      </c>
      <c r="N68" s="2" t="s">
        <v>392</v>
      </c>
      <c r="O68" s="2" t="s">
        <v>56</v>
      </c>
    </row>
    <row r="69" spans="1:15">
      <c r="A69" s="2" t="s">
        <v>3185</v>
      </c>
      <c r="B69" s="2" t="s">
        <v>3186</v>
      </c>
      <c r="C69" s="2" t="s">
        <v>3792</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3186</v>
      </c>
      <c r="I69" s="2" t="s">
        <v>3046</v>
      </c>
      <c r="J69" s="2" t="s">
        <v>53</v>
      </c>
      <c r="K69" s="2">
        <v>1</v>
      </c>
      <c r="L69" s="2" t="s">
        <v>54</v>
      </c>
      <c r="M69" s="2" t="s">
        <v>55</v>
      </c>
      <c r="N69" s="2" t="s">
        <v>392</v>
      </c>
      <c r="O69" s="2" t="s">
        <v>56</v>
      </c>
    </row>
    <row r="70" spans="1:15">
      <c r="A70" s="2" t="s">
        <v>3187</v>
      </c>
      <c r="B70" s="2" t="s">
        <v>3044</v>
      </c>
      <c r="C70" s="2" t="s">
        <v>3793</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3044</v>
      </c>
      <c r="I70" s="2" t="s">
        <v>3046</v>
      </c>
      <c r="J70" s="2" t="s">
        <v>53</v>
      </c>
      <c r="K70" s="2">
        <v>1</v>
      </c>
      <c r="L70" s="2" t="s">
        <v>54</v>
      </c>
      <c r="M70" s="2" t="s">
        <v>55</v>
      </c>
      <c r="N70" s="2"/>
      <c r="O70" s="2" t="s">
        <v>63</v>
      </c>
    </row>
    <row r="71" spans="1:15">
      <c r="A71" s="2" t="s">
        <v>3188</v>
      </c>
      <c r="B71" s="2" t="s">
        <v>3048</v>
      </c>
      <c r="C71" s="2" t="s">
        <v>3794</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3048</v>
      </c>
      <c r="I71" s="2" t="s">
        <v>3046</v>
      </c>
      <c r="J71" s="2" t="s">
        <v>53</v>
      </c>
      <c r="K71" s="2">
        <v>1</v>
      </c>
      <c r="L71" s="2" t="s">
        <v>54</v>
      </c>
      <c r="M71" s="2" t="s">
        <v>55</v>
      </c>
      <c r="N71" s="2"/>
      <c r="O71" s="2" t="s">
        <v>63</v>
      </c>
    </row>
    <row r="72" spans="1:15">
      <c r="A72" s="2" t="s">
        <v>3189</v>
      </c>
      <c r="B72" s="2" t="s">
        <v>3050</v>
      </c>
      <c r="C72" s="2" t="s">
        <v>3795</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3050</v>
      </c>
      <c r="I72" s="2" t="s">
        <v>3046</v>
      </c>
      <c r="J72" s="2" t="s">
        <v>53</v>
      </c>
      <c r="K72" s="2">
        <v>1</v>
      </c>
      <c r="L72" s="2" t="s">
        <v>54</v>
      </c>
      <c r="M72" s="2" t="s">
        <v>55</v>
      </c>
      <c r="N72" s="2"/>
      <c r="O72" s="2" t="s">
        <v>63</v>
      </c>
    </row>
    <row r="73" spans="1:15">
      <c r="A73" s="2" t="s">
        <v>3190</v>
      </c>
      <c r="B73" s="2" t="s">
        <v>3052</v>
      </c>
      <c r="C73" s="2" t="s">
        <v>3796</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3052</v>
      </c>
      <c r="I73" s="2" t="s">
        <v>3046</v>
      </c>
      <c r="J73" s="2" t="s">
        <v>53</v>
      </c>
      <c r="K73" s="2">
        <v>1</v>
      </c>
      <c r="L73" s="2" t="s">
        <v>54</v>
      </c>
      <c r="M73" s="2" t="s">
        <v>55</v>
      </c>
      <c r="N73" s="2"/>
      <c r="O73" s="2" t="s">
        <v>63</v>
      </c>
    </row>
    <row r="74" spans="1:15">
      <c r="A74" s="2" t="s">
        <v>3191</v>
      </c>
      <c r="B74" s="2" t="s">
        <v>3054</v>
      </c>
      <c r="C74" s="2" t="s">
        <v>3797</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3054</v>
      </c>
      <c r="I74" s="2" t="s">
        <v>3046</v>
      </c>
      <c r="J74" s="2" t="s">
        <v>53</v>
      </c>
      <c r="K74" s="2">
        <v>1</v>
      </c>
      <c r="L74" s="2" t="s">
        <v>54</v>
      </c>
      <c r="M74" s="2" t="s">
        <v>55</v>
      </c>
      <c r="N74" s="2"/>
      <c r="O74" s="2" t="s">
        <v>63</v>
      </c>
    </row>
    <row r="75" spans="1:15">
      <c r="A75" s="2" t="s">
        <v>3192</v>
      </c>
      <c r="B75" s="2" t="s">
        <v>3056</v>
      </c>
      <c r="C75" s="2" t="s">
        <v>3798</v>
      </c>
      <c r="D75" s="3">
        <f>(('Facts'!F106*1)+('Facts'!F108*1))*1</f>
        <v>5067082436.51</v>
      </c>
      <c r="E75" s="3">
        <f>D75/K75</f>
        <v>5067082436.51</v>
      </c>
      <c r="F75" s="2" t="str">
        <f>IF(ISNUMBER(D75),"calculated","not_calculated")</f>
        <v>calculated</v>
      </c>
      <c r="G75" s="2">
        <f>IF(ISNUMBER(D75),"","检查缺失值、分母与输入；口径变更须重跑Python")</f>
        <v/>
      </c>
      <c r="H75" s="2" t="s">
        <v>3056</v>
      </c>
      <c r="I75" s="2" t="s">
        <v>3046</v>
      </c>
      <c r="J75" s="2" t="s">
        <v>53</v>
      </c>
      <c r="K75" s="2">
        <v>1</v>
      </c>
      <c r="L75" s="2" t="s">
        <v>54</v>
      </c>
      <c r="M75" s="2" t="s">
        <v>55</v>
      </c>
      <c r="N75" s="2"/>
      <c r="O75" s="2" t="s">
        <v>63</v>
      </c>
    </row>
    <row r="76" spans="1:15">
      <c r="A76" s="2" t="s">
        <v>3193</v>
      </c>
      <c r="B76" s="2" t="s">
        <v>3058</v>
      </c>
      <c r="C76" s="2" t="s">
        <v>3799</v>
      </c>
      <c r="D76" s="3">
        <f>(('Facts'!F24*1)+('Facts'!F51*1))*1</f>
        <v>14144613107.8</v>
      </c>
      <c r="E76" s="3">
        <f>D76/K76</f>
        <v>14144613107.8</v>
      </c>
      <c r="F76" s="2" t="str">
        <f>IF(ISNUMBER(D76),"calculated","not_calculated")</f>
        <v>calculated</v>
      </c>
      <c r="G76" s="2">
        <f>IF(ISNUMBER(D76),"","检查缺失值、分母与输入；口径变更须重跑Python")</f>
        <v/>
      </c>
      <c r="H76" s="2" t="s">
        <v>3058</v>
      </c>
      <c r="I76" s="2" t="s">
        <v>3046</v>
      </c>
      <c r="J76" s="2" t="s">
        <v>53</v>
      </c>
      <c r="K76" s="2">
        <v>1</v>
      </c>
      <c r="L76" s="2" t="s">
        <v>54</v>
      </c>
      <c r="M76" s="2" t="s">
        <v>55</v>
      </c>
      <c r="N76" s="2"/>
      <c r="O76" s="2" t="s">
        <v>63</v>
      </c>
    </row>
    <row r="77" spans="1:15">
      <c r="A77" s="2" t="s">
        <v>3194</v>
      </c>
      <c r="B77" s="2" t="s">
        <v>3060</v>
      </c>
      <c r="C77" s="2" t="s">
        <v>3800</v>
      </c>
      <c r="D77" s="3">
        <f>(('Facts'!F73*1)+('Facts'!F87*1))*1</f>
        <v>9077530671.29</v>
      </c>
      <c r="E77" s="3">
        <f>D77/K77</f>
        <v>9077530671.29</v>
      </c>
      <c r="F77" s="2" t="str">
        <f>IF(ISNUMBER(D77),"calculated","not_calculated")</f>
        <v>calculated</v>
      </c>
      <c r="G77" s="2">
        <f>IF(ISNUMBER(D77),"","检查缺失值、分母与输入；口径变更须重跑Python")</f>
        <v/>
      </c>
      <c r="H77" s="2" t="s">
        <v>3060</v>
      </c>
      <c r="I77" s="2" t="s">
        <v>3046</v>
      </c>
      <c r="J77" s="2" t="s">
        <v>53</v>
      </c>
      <c r="K77" s="2">
        <v>1</v>
      </c>
      <c r="L77" s="2" t="s">
        <v>54</v>
      </c>
      <c r="M77" s="2" t="s">
        <v>55</v>
      </c>
      <c r="N77" s="2"/>
      <c r="O77" s="2" t="s">
        <v>63</v>
      </c>
    </row>
    <row r="78" spans="1:15">
      <c r="A78" s="2" t="s">
        <v>3195</v>
      </c>
      <c r="B78" s="2" t="s">
        <v>3062</v>
      </c>
      <c r="C78" s="2" t="s">
        <v>3801</v>
      </c>
      <c r="D78" s="3">
        <f>(('Facts'!F89*1)+('Facts'!F110*1))*1</f>
        <v>14144613107.8</v>
      </c>
      <c r="E78" s="3">
        <f>D78/K78</f>
        <v>14144613107.8</v>
      </c>
      <c r="F78" s="2" t="str">
        <f>IF(ISNUMBER(D78),"calculated","not_calculated")</f>
        <v>calculated</v>
      </c>
      <c r="G78" s="2">
        <f>IF(ISNUMBER(D78),"","检查缺失值、分母与输入；口径变更须重跑Python")</f>
        <v/>
      </c>
      <c r="H78" s="2" t="s">
        <v>3062</v>
      </c>
      <c r="I78" s="2" t="s">
        <v>3046</v>
      </c>
      <c r="J78" s="2" t="s">
        <v>53</v>
      </c>
      <c r="K78" s="2">
        <v>1</v>
      </c>
      <c r="L78" s="2" t="s">
        <v>54</v>
      </c>
      <c r="M78" s="2" t="s">
        <v>55</v>
      </c>
      <c r="N78" s="2"/>
      <c r="O78" s="2" t="s">
        <v>63</v>
      </c>
    </row>
    <row r="79" spans="1:15">
      <c r="A79" s="2" t="s">
        <v>3196</v>
      </c>
      <c r="B79" s="2" t="s">
        <v>3064</v>
      </c>
      <c r="C79" s="2" t="s">
        <v>3802</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3064</v>
      </c>
      <c r="I79" s="2" t="s">
        <v>3046</v>
      </c>
      <c r="J79" s="2" t="s">
        <v>53</v>
      </c>
      <c r="K79" s="2">
        <v>1</v>
      </c>
      <c r="L79" s="2" t="s">
        <v>54</v>
      </c>
      <c r="M79" s="2" t="s">
        <v>55</v>
      </c>
      <c r="N79" s="2" t="s">
        <v>397</v>
      </c>
      <c r="O79" s="2" t="s">
        <v>63</v>
      </c>
    </row>
    <row r="80" spans="1:15">
      <c r="A80" s="2" t="s">
        <v>3197</v>
      </c>
      <c r="B80" s="2" t="s">
        <v>3066</v>
      </c>
      <c r="C80" s="2" t="s">
        <v>3803</v>
      </c>
      <c r="D80" s="3">
        <f>(('Facts'!F144*1)+('Facts'!F146*1)+('Facts'!F148*-1))*1</f>
        <v>46728192.77</v>
      </c>
      <c r="E80" s="3">
        <f>D80/K80</f>
        <v>46728192.77</v>
      </c>
      <c r="F80" s="2" t="str">
        <f>IF(ISNUMBER(D80),"calculated","not_calculated")</f>
        <v>calculated</v>
      </c>
      <c r="G80" s="2">
        <f>IF(ISNUMBER(D80),"","检查缺失值、分母与输入；口径变更须重跑Python")</f>
        <v/>
      </c>
      <c r="H80" s="2" t="s">
        <v>3066</v>
      </c>
      <c r="I80" s="2" t="s">
        <v>3046</v>
      </c>
      <c r="J80" s="2" t="s">
        <v>53</v>
      </c>
      <c r="K80" s="2">
        <v>1</v>
      </c>
      <c r="L80" s="2" t="s">
        <v>54</v>
      </c>
      <c r="M80" s="2" t="s">
        <v>55</v>
      </c>
      <c r="N80" s="2" t="s">
        <v>397</v>
      </c>
      <c r="O80" s="2" t="s">
        <v>63</v>
      </c>
    </row>
    <row r="81" spans="1:15">
      <c r="A81" s="2" t="s">
        <v>3198</v>
      </c>
      <c r="B81" s="2" t="s">
        <v>3068</v>
      </c>
      <c r="C81" s="2" t="s">
        <v>3804</v>
      </c>
      <c r="D81" s="3">
        <f>(('Facts'!F150-'Facts'!F152))*1</f>
        <v>23006139.05</v>
      </c>
      <c r="E81" s="3">
        <f>D81/K81</f>
        <v>23006139.05</v>
      </c>
      <c r="F81" s="2" t="str">
        <f>IF(ISNUMBER(D81),"calculated","not_calculated")</f>
        <v>calculated</v>
      </c>
      <c r="G81" s="2">
        <f>IF(ISNUMBER(D81),"","检查缺失值、分母与输入；口径变更须重跑Python")</f>
        <v/>
      </c>
      <c r="H81" s="2" t="s">
        <v>3068</v>
      </c>
      <c r="I81" s="2" t="s">
        <v>3046</v>
      </c>
      <c r="J81" s="2" t="s">
        <v>53</v>
      </c>
      <c r="K81" s="2">
        <v>1</v>
      </c>
      <c r="L81" s="2" t="s">
        <v>54</v>
      </c>
      <c r="M81" s="2" t="s">
        <v>55</v>
      </c>
      <c r="N81" s="2" t="s">
        <v>397</v>
      </c>
      <c r="O81" s="2" t="s">
        <v>63</v>
      </c>
    </row>
    <row r="82" spans="1:15">
      <c r="A82" s="2" t="s">
        <v>3199</v>
      </c>
      <c r="B82" s="2" t="s">
        <v>3070</v>
      </c>
      <c r="C82" s="2" t="s">
        <v>3805</v>
      </c>
      <c r="D82" s="3">
        <f>(('Facts'!F154*1)+('Facts'!F160*1))*1</f>
        <v>32858297.2</v>
      </c>
      <c r="E82" s="3">
        <f>D82/K82</f>
        <v>32858297.2</v>
      </c>
      <c r="F82" s="2" t="str">
        <f>IF(ISNUMBER(D82),"calculated","not_calculated")</f>
        <v>calculated</v>
      </c>
      <c r="G82" s="2">
        <f>IF(ISNUMBER(D82),"","检查缺失值、分母与输入；口径变更须重跑Python")</f>
        <v/>
      </c>
      <c r="H82" s="2" t="s">
        <v>3070</v>
      </c>
      <c r="I82" s="2" t="s">
        <v>3046</v>
      </c>
      <c r="J82" s="2" t="s">
        <v>53</v>
      </c>
      <c r="K82" s="2">
        <v>1</v>
      </c>
      <c r="L82" s="2" t="s">
        <v>54</v>
      </c>
      <c r="M82" s="2" t="s">
        <v>55</v>
      </c>
      <c r="N82" s="2" t="s">
        <v>397</v>
      </c>
      <c r="O82" s="2" t="s">
        <v>63</v>
      </c>
    </row>
    <row r="83" spans="1:15">
      <c r="A83" s="2" t="s">
        <v>3200</v>
      </c>
      <c r="B83" s="2" t="s">
        <v>3072</v>
      </c>
      <c r="C83" s="2" t="s">
        <v>3806</v>
      </c>
      <c r="D83" s="3">
        <f>(('Facts'!F164*1)+('Facts'!F166*1)+('Facts'!F168*1))*1</f>
        <v>7683687673.13</v>
      </c>
      <c r="E83" s="3">
        <f>D83/K83</f>
        <v>7683687673.13</v>
      </c>
      <c r="F83" s="2" t="str">
        <f>IF(ISNUMBER(D83),"calculated","not_calculated")</f>
        <v>calculated</v>
      </c>
      <c r="G83" s="2">
        <f>IF(ISNUMBER(D83),"","检查缺失值、分母与输入；口径变更须重跑Python")</f>
        <v/>
      </c>
      <c r="H83" s="2" t="s">
        <v>3072</v>
      </c>
      <c r="I83" s="2" t="s">
        <v>3046</v>
      </c>
      <c r="J83" s="2" t="s">
        <v>53</v>
      </c>
      <c r="K83" s="2">
        <v>1</v>
      </c>
      <c r="L83" s="2" t="s">
        <v>54</v>
      </c>
      <c r="M83" s="2" t="s">
        <v>55</v>
      </c>
      <c r="N83" s="2" t="s">
        <v>397</v>
      </c>
      <c r="O83" s="2" t="s">
        <v>63</v>
      </c>
    </row>
    <row r="84" spans="1:15">
      <c r="A84" s="2" t="s">
        <v>3201</v>
      </c>
      <c r="B84" s="2" t="s">
        <v>3074</v>
      </c>
      <c r="C84" s="2" t="s">
        <v>3807</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3074</v>
      </c>
      <c r="I84" s="2" t="s">
        <v>3046</v>
      </c>
      <c r="J84" s="2" t="s">
        <v>53</v>
      </c>
      <c r="K84" s="2">
        <v>1</v>
      </c>
      <c r="L84" s="2" t="s">
        <v>54</v>
      </c>
      <c r="M84" s="2" t="s">
        <v>55</v>
      </c>
      <c r="N84" s="2" t="s">
        <v>397</v>
      </c>
      <c r="O84" s="2" t="s">
        <v>63</v>
      </c>
    </row>
    <row r="85" spans="1:15">
      <c r="A85" s="2" t="s">
        <v>3202</v>
      </c>
      <c r="B85" s="2" t="s">
        <v>3076</v>
      </c>
      <c r="C85" s="2" t="s">
        <v>3808</v>
      </c>
      <c r="D85" s="3">
        <f>(('Facts'!F170-'Facts'!F180))*1</f>
        <v>315090835.93</v>
      </c>
      <c r="E85" s="3">
        <f>D85/K85</f>
        <v>315090835.93</v>
      </c>
      <c r="F85" s="2" t="str">
        <f>IF(ISNUMBER(D85),"calculated","not_calculated")</f>
        <v>calculated</v>
      </c>
      <c r="G85" s="2">
        <f>IF(ISNUMBER(D85),"","检查缺失值、分母与输入；口径变更须重跑Python")</f>
        <v/>
      </c>
      <c r="H85" s="2" t="s">
        <v>3076</v>
      </c>
      <c r="I85" s="2" t="s">
        <v>3046</v>
      </c>
      <c r="J85" s="2" t="s">
        <v>53</v>
      </c>
      <c r="K85" s="2">
        <v>1</v>
      </c>
      <c r="L85" s="2" t="s">
        <v>54</v>
      </c>
      <c r="M85" s="2" t="s">
        <v>55</v>
      </c>
      <c r="N85" s="2" t="s">
        <v>397</v>
      </c>
      <c r="O85" s="2" t="s">
        <v>63</v>
      </c>
    </row>
    <row r="86" spans="1:15">
      <c r="A86" s="2" t="s">
        <v>3203</v>
      </c>
      <c r="B86" s="2" t="s">
        <v>3078</v>
      </c>
      <c r="C86" s="2" t="s">
        <v>3809</v>
      </c>
      <c r="D86" s="3">
        <f>(('Facts'!F193-'Facts'!F203))*1</f>
        <v>913277804.43</v>
      </c>
      <c r="E86" s="3">
        <f>D86/K86</f>
        <v>913277804.43</v>
      </c>
      <c r="F86" s="2" t="str">
        <f>IF(ISNUMBER(D86),"calculated","not_calculated")</f>
        <v>calculated</v>
      </c>
      <c r="G86" s="2">
        <f>IF(ISNUMBER(D86),"","检查缺失值、分母与输入；口径变更须重跑Python")</f>
        <v/>
      </c>
      <c r="H86" s="2" t="s">
        <v>3078</v>
      </c>
      <c r="I86" s="2" t="s">
        <v>3046</v>
      </c>
      <c r="J86" s="2" t="s">
        <v>53</v>
      </c>
      <c r="K86" s="2">
        <v>1</v>
      </c>
      <c r="L86" s="2" t="s">
        <v>54</v>
      </c>
      <c r="M86" s="2" t="s">
        <v>55</v>
      </c>
      <c r="N86" s="2" t="s">
        <v>397</v>
      </c>
      <c r="O86" s="2" t="s">
        <v>63</v>
      </c>
    </row>
    <row r="87" spans="1:15">
      <c r="A87" s="2" t="s">
        <v>3204</v>
      </c>
      <c r="B87" s="2" t="s">
        <v>3080</v>
      </c>
      <c r="C87" s="2" t="s">
        <v>3810</v>
      </c>
      <c r="D87" s="3">
        <f>(('Facts'!F213-'Facts'!F221))*1</f>
        <v>-897789704.33</v>
      </c>
      <c r="E87" s="3">
        <f>D87/K87</f>
        <v>-897789704.33</v>
      </c>
      <c r="F87" s="2" t="str">
        <f>IF(ISNUMBER(D87),"calculated","not_calculated")</f>
        <v>calculated</v>
      </c>
      <c r="G87" s="2">
        <f>IF(ISNUMBER(D87),"","检查缺失值、分母与输入；口径变更须重跑Python")</f>
        <v/>
      </c>
      <c r="H87" s="2" t="s">
        <v>3080</v>
      </c>
      <c r="I87" s="2" t="s">
        <v>3046</v>
      </c>
      <c r="J87" s="2" t="s">
        <v>53</v>
      </c>
      <c r="K87" s="2">
        <v>1</v>
      </c>
      <c r="L87" s="2" t="s">
        <v>54</v>
      </c>
      <c r="M87" s="2" t="s">
        <v>55</v>
      </c>
      <c r="N87" s="2" t="s">
        <v>397</v>
      </c>
      <c r="O87" s="2" t="s">
        <v>63</v>
      </c>
    </row>
    <row r="88" spans="1:15">
      <c r="A88" s="2" t="s">
        <v>3205</v>
      </c>
      <c r="B88" s="2" t="s">
        <v>3082</v>
      </c>
      <c r="C88" s="2" t="s">
        <v>3811</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3082</v>
      </c>
      <c r="I88" s="2" t="s">
        <v>3046</v>
      </c>
      <c r="J88" s="2" t="s">
        <v>53</v>
      </c>
      <c r="K88" s="2">
        <v>1</v>
      </c>
      <c r="L88" s="2" t="s">
        <v>54</v>
      </c>
      <c r="M88" s="2" t="s">
        <v>55</v>
      </c>
      <c r="N88" s="2" t="s">
        <v>397</v>
      </c>
      <c r="O88" s="2" t="s">
        <v>63</v>
      </c>
    </row>
    <row r="89" spans="1:15">
      <c r="A89" s="2" t="s">
        <v>3206</v>
      </c>
      <c r="B89" s="2" t="s">
        <v>3084</v>
      </c>
      <c r="C89" s="2" t="s">
        <v>3812</v>
      </c>
      <c r="D89" s="3">
        <f>(('Facts'!F156*1)+('Facts'!F158*1))*1</f>
        <v>23006139.05</v>
      </c>
      <c r="E89" s="3">
        <f>D89/K89</f>
        <v>23006139.05</v>
      </c>
      <c r="F89" s="2" t="str">
        <f>IF(ISNUMBER(D89),"calculated","not_calculated")</f>
        <v>calculated</v>
      </c>
      <c r="G89" s="2">
        <f>IF(ISNUMBER(D89),"","检查缺失值、分母与输入；口径变更须重跑Python")</f>
        <v/>
      </c>
      <c r="H89" s="2" t="s">
        <v>3084</v>
      </c>
      <c r="I89" s="2" t="s">
        <v>3046</v>
      </c>
      <c r="J89" s="2" t="s">
        <v>53</v>
      </c>
      <c r="K89" s="2">
        <v>1</v>
      </c>
      <c r="L89" s="2" t="s">
        <v>54</v>
      </c>
      <c r="M89" s="2" t="s">
        <v>55</v>
      </c>
      <c r="N89" s="2" t="s">
        <v>397</v>
      </c>
      <c r="O89" s="2" t="s">
        <v>63</v>
      </c>
    </row>
    <row r="90" spans="1:15">
      <c r="A90" s="2" t="s">
        <v>3207</v>
      </c>
      <c r="B90" s="2" t="s">
        <v>3086</v>
      </c>
      <c r="C90" s="2" t="s">
        <v>3813</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3086</v>
      </c>
      <c r="I90" s="2" t="s">
        <v>3046</v>
      </c>
      <c r="J90" s="2" t="s">
        <v>53</v>
      </c>
      <c r="K90" s="2">
        <v>1</v>
      </c>
      <c r="L90" s="2" t="s">
        <v>54</v>
      </c>
      <c r="M90" s="2" t="s">
        <v>55</v>
      </c>
      <c r="N90" s="2" t="s">
        <v>397</v>
      </c>
      <c r="O90" s="2" t="s">
        <v>63</v>
      </c>
    </row>
    <row r="91" spans="1:15">
      <c r="A91" s="2" t="s">
        <v>3208</v>
      </c>
      <c r="B91" s="2" t="s">
        <v>3088</v>
      </c>
      <c r="C91" s="2" t="s">
        <v>3814</v>
      </c>
      <c r="D91" s="3">
        <f>(('Facts'!F250*1)+('Facts'!F227*1))*1</f>
        <v>2329561219.72</v>
      </c>
      <c r="E91" s="3">
        <f>D91/K91</f>
        <v>2329561219.72</v>
      </c>
      <c r="F91" s="2" t="str">
        <f>IF(ISNUMBER(D91),"calculated","not_calculated")</f>
        <v>calculated</v>
      </c>
      <c r="G91" s="2">
        <f>IF(ISNUMBER(D91),"","检查缺失值、分母与输入；口径变更须重跑Python")</f>
        <v/>
      </c>
      <c r="H91" s="2" t="s">
        <v>3088</v>
      </c>
      <c r="I91" s="2" t="s">
        <v>3046</v>
      </c>
      <c r="J91" s="2" t="s">
        <v>53</v>
      </c>
      <c r="K91" s="2">
        <v>1</v>
      </c>
      <c r="L91" s="2" t="s">
        <v>54</v>
      </c>
      <c r="M91" s="2" t="s">
        <v>55</v>
      </c>
      <c r="N91" s="2" t="s">
        <v>397</v>
      </c>
      <c r="O91" s="2" t="s">
        <v>63</v>
      </c>
    </row>
    <row r="92" spans="1:15">
      <c r="A92" s="2" t="s">
        <v>3209</v>
      </c>
      <c r="B92" s="2" t="s">
        <v>3090</v>
      </c>
      <c r="C92" s="2" t="s">
        <v>3815</v>
      </c>
      <c r="D92" s="3">
        <f>(('Facts'!F229*1)+('Facts'!F231*1))*1</f>
        <v>3416078844.83</v>
      </c>
      <c r="E92" s="3">
        <f>D92/K92</f>
        <v>3416078844.83</v>
      </c>
      <c r="F92" s="2" t="str">
        <f>IF(ISNUMBER(D92),"calculated","not_calculated")</f>
        <v>calculated</v>
      </c>
      <c r="G92" s="2">
        <f>IF(ISNUMBER(D92),"","检查缺失值、分母与输入；口径变更须重跑Python")</f>
        <v/>
      </c>
      <c r="H92" s="2" t="s">
        <v>3090</v>
      </c>
      <c r="I92" s="2" t="s">
        <v>3046</v>
      </c>
      <c r="J92" s="2" t="s">
        <v>53</v>
      </c>
      <c r="K92" s="2">
        <v>1</v>
      </c>
      <c r="L92" s="2" t="s">
        <v>54</v>
      </c>
      <c r="M92" s="2" t="s">
        <v>55</v>
      </c>
      <c r="N92" s="2"/>
      <c r="O92" s="2" t="s">
        <v>63</v>
      </c>
    </row>
    <row r="93" spans="1:15">
      <c r="A93" s="2" t="s">
        <v>3210</v>
      </c>
      <c r="B93" s="2" t="s">
        <v>3092</v>
      </c>
      <c r="C93" s="2" t="s">
        <v>3816</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3092</v>
      </c>
      <c r="I93" s="2" t="s">
        <v>3046</v>
      </c>
      <c r="J93" s="2" t="s">
        <v>53</v>
      </c>
      <c r="K93" s="2">
        <v>1</v>
      </c>
      <c r="L93" s="2" t="s">
        <v>54</v>
      </c>
      <c r="M93" s="2" t="s">
        <v>55</v>
      </c>
      <c r="N93" s="2"/>
      <c r="O93" s="2" t="s">
        <v>63</v>
      </c>
    </row>
    <row r="94" spans="1:15">
      <c r="A94" s="2" t="s">
        <v>3211</v>
      </c>
      <c r="B94" s="2" t="s">
        <v>3094</v>
      </c>
      <c r="C94" s="2" t="s">
        <v>3817</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3094</v>
      </c>
      <c r="I94" s="2" t="s">
        <v>3046</v>
      </c>
      <c r="J94" s="2" t="s">
        <v>53</v>
      </c>
      <c r="K94" s="2">
        <v>1</v>
      </c>
      <c r="L94" s="2" t="s">
        <v>54</v>
      </c>
      <c r="M94" s="2" t="s">
        <v>55</v>
      </c>
      <c r="N94" s="2" t="s">
        <v>397</v>
      </c>
      <c r="O94" s="2" t="s">
        <v>63</v>
      </c>
    </row>
    <row r="95" spans="1:15">
      <c r="A95" s="2" t="s">
        <v>3212</v>
      </c>
      <c r="B95" s="2" t="s">
        <v>3096</v>
      </c>
      <c r="C95" s="2" t="s">
        <v>3818</v>
      </c>
      <c r="D95" s="3">
        <f>(('Facts'!F265-'Facts'!F267))*1</f>
        <v>4072793425.11</v>
      </c>
      <c r="E95" s="3">
        <f>D95/K95</f>
        <v>4072793425.11</v>
      </c>
      <c r="F95" s="2" t="str">
        <f>IF(ISNUMBER(D95),"calculated","not_calculated")</f>
        <v>calculated</v>
      </c>
      <c r="G95" s="2">
        <f>IF(ISNUMBER(D95),"","检查缺失值、分母与输入；口径变更须重跑Python")</f>
        <v/>
      </c>
      <c r="H95" s="2" t="s">
        <v>3096</v>
      </c>
      <c r="I95" s="2" t="s">
        <v>3046</v>
      </c>
      <c r="J95" s="2" t="s">
        <v>53</v>
      </c>
      <c r="K95" s="2">
        <v>1</v>
      </c>
      <c r="L95" s="2" t="s">
        <v>54</v>
      </c>
      <c r="M95" s="2" t="s">
        <v>55</v>
      </c>
      <c r="N95" s="2"/>
      <c r="O95" s="2" t="s">
        <v>63</v>
      </c>
    </row>
    <row r="96" spans="1:15">
      <c r="A96" s="2" t="s">
        <v>3213</v>
      </c>
      <c r="B96" s="2" t="s">
        <v>3098</v>
      </c>
      <c r="C96" s="2" t="s">
        <v>3819</v>
      </c>
      <c r="D96" s="3">
        <f>(('Facts'!F305-'Facts'!F307))*1</f>
        <v>338390689.3</v>
      </c>
      <c r="E96" s="3">
        <f>D96/K96</f>
        <v>338390689.3</v>
      </c>
      <c r="F96" s="2" t="str">
        <f>IF(ISNUMBER(D96),"calculated","not_calculated")</f>
        <v>calculated</v>
      </c>
      <c r="G96" s="2">
        <f>IF(ISNUMBER(D96),"","检查缺失值、分母与输入；口径变更须重跑Python")</f>
        <v/>
      </c>
      <c r="H96" s="2" t="s">
        <v>3098</v>
      </c>
      <c r="I96" s="2" t="s">
        <v>3046</v>
      </c>
      <c r="J96" s="2" t="s">
        <v>53</v>
      </c>
      <c r="K96" s="2">
        <v>1</v>
      </c>
      <c r="L96" s="2" t="s">
        <v>54</v>
      </c>
      <c r="M96" s="2" t="s">
        <v>55</v>
      </c>
      <c r="N96" s="2"/>
      <c r="O96" s="2" t="s">
        <v>63</v>
      </c>
    </row>
    <row r="97" spans="1:15">
      <c r="A97" s="2" t="s">
        <v>3214</v>
      </c>
      <c r="B97" s="2" t="s">
        <v>3100</v>
      </c>
      <c r="C97" s="2" t="s">
        <v>3820</v>
      </c>
      <c r="D97" s="3">
        <f>(('Facts'!F313-'Facts'!F315))*1</f>
        <v>501975812.22</v>
      </c>
      <c r="E97" s="3">
        <f>D97/K97</f>
        <v>501975812.22</v>
      </c>
      <c r="F97" s="2" t="str">
        <f>IF(ISNUMBER(D97),"calculated","not_calculated")</f>
        <v>calculated</v>
      </c>
      <c r="G97" s="2">
        <f>IF(ISNUMBER(D97),"","检查缺失值、分母与输入；口径变更须重跑Python")</f>
        <v/>
      </c>
      <c r="H97" s="2" t="s">
        <v>3100</v>
      </c>
      <c r="I97" s="2" t="s">
        <v>3046</v>
      </c>
      <c r="J97" s="2" t="s">
        <v>53</v>
      </c>
      <c r="K97" s="2">
        <v>1</v>
      </c>
      <c r="L97" s="2" t="s">
        <v>54</v>
      </c>
      <c r="M97" s="2" t="s">
        <v>55</v>
      </c>
      <c r="N97" s="2"/>
      <c r="O97" s="2" t="s">
        <v>63</v>
      </c>
    </row>
    <row r="98" spans="1:15">
      <c r="A98" s="2" t="s">
        <v>3215</v>
      </c>
      <c r="B98" s="2" t="s">
        <v>3102</v>
      </c>
      <c r="C98" s="2" t="s">
        <v>3821</v>
      </c>
      <c r="D98" s="3">
        <f>(('Facts'!F291-'Facts'!F293))*1</f>
        <v>374997920.64</v>
      </c>
      <c r="E98" s="3">
        <f>D98/K98</f>
        <v>374997920.64</v>
      </c>
      <c r="F98" s="2" t="str">
        <f>IF(ISNUMBER(D98),"calculated","not_calculated")</f>
        <v>calculated</v>
      </c>
      <c r="G98" s="2">
        <f>IF(ISNUMBER(D98),"","检查缺失值、分母与输入；口径变更须重跑Python")</f>
        <v/>
      </c>
      <c r="H98" s="2" t="s">
        <v>3102</v>
      </c>
      <c r="I98" s="2" t="s">
        <v>3046</v>
      </c>
      <c r="J98" s="2" t="s">
        <v>53</v>
      </c>
      <c r="K98" s="2">
        <v>1</v>
      </c>
      <c r="L98" s="2" t="s">
        <v>54</v>
      </c>
      <c r="M98" s="2" t="s">
        <v>55</v>
      </c>
      <c r="N98" s="2"/>
      <c r="O98" s="2" t="s">
        <v>63</v>
      </c>
    </row>
    <row r="99" spans="1:15">
      <c r="A99" s="2" t="s">
        <v>3216</v>
      </c>
      <c r="B99" s="2" t="s">
        <v>3104</v>
      </c>
      <c r="C99" s="2" t="s">
        <v>3822</v>
      </c>
      <c r="D99" s="3">
        <f>(('Facts'!F295-'Facts'!F297))*1</f>
        <v>88740940.15</v>
      </c>
      <c r="E99" s="3">
        <f>D99/K99</f>
        <v>88740940.15</v>
      </c>
      <c r="F99" s="2" t="str">
        <f>IF(ISNUMBER(D99),"calculated","not_calculated")</f>
        <v>calculated</v>
      </c>
      <c r="G99" s="2">
        <f>IF(ISNUMBER(D99),"","检查缺失值、分母与输入；口径变更须重跑Python")</f>
        <v/>
      </c>
      <c r="H99" s="2" t="s">
        <v>3104</v>
      </c>
      <c r="I99" s="2" t="s">
        <v>3046</v>
      </c>
      <c r="J99" s="2" t="s">
        <v>53</v>
      </c>
      <c r="K99" s="2">
        <v>1</v>
      </c>
      <c r="L99" s="2" t="s">
        <v>54</v>
      </c>
      <c r="M99" s="2" t="s">
        <v>55</v>
      </c>
      <c r="N99" s="2"/>
      <c r="O99" s="2" t="s">
        <v>63</v>
      </c>
    </row>
    <row r="100" spans="1:15">
      <c r="A100" s="2" t="s">
        <v>3217</v>
      </c>
      <c r="B100" s="2" t="s">
        <v>3106</v>
      </c>
      <c r="C100" s="2" t="s">
        <v>3823</v>
      </c>
      <c r="D100" s="3">
        <f>(('Facts'!F317-'Facts'!F319))*1</f>
        <v>531037209.99</v>
      </c>
      <c r="E100" s="3">
        <f>D100/K100</f>
        <v>531037209.99</v>
      </c>
      <c r="F100" s="2" t="str">
        <f>IF(ISNUMBER(D100),"calculated","not_calculated")</f>
        <v>calculated</v>
      </c>
      <c r="G100" s="2">
        <f>IF(ISNUMBER(D100),"","检查缺失值、分母与输入；口径变更须重跑Python")</f>
        <v/>
      </c>
      <c r="H100" s="2" t="s">
        <v>3106</v>
      </c>
      <c r="I100" s="2" t="s">
        <v>3046</v>
      </c>
      <c r="J100" s="2" t="s">
        <v>53</v>
      </c>
      <c r="K100" s="2">
        <v>1</v>
      </c>
      <c r="L100" s="2" t="s">
        <v>54</v>
      </c>
      <c r="M100" s="2" t="s">
        <v>55</v>
      </c>
      <c r="N100" s="2"/>
      <c r="O100" s="2" t="s">
        <v>63</v>
      </c>
    </row>
    <row r="101" spans="1:15">
      <c r="A101" s="2" t="s">
        <v>3218</v>
      </c>
      <c r="B101" s="2" t="s">
        <v>3108</v>
      </c>
      <c r="C101" s="2" t="s">
        <v>3824</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3108</v>
      </c>
      <c r="I101" s="2" t="s">
        <v>3046</v>
      </c>
      <c r="J101" s="2" t="s">
        <v>53</v>
      </c>
      <c r="K101" s="2">
        <v>1</v>
      </c>
      <c r="L101" s="2" t="s">
        <v>54</v>
      </c>
      <c r="M101" s="2" t="s">
        <v>55</v>
      </c>
      <c r="N101" s="2"/>
      <c r="O101" s="2" t="s">
        <v>63</v>
      </c>
    </row>
    <row r="102" spans="1:15">
      <c r="A102" s="2" t="s">
        <v>3219</v>
      </c>
      <c r="B102" s="2" t="s">
        <v>3110</v>
      </c>
      <c r="C102" s="2" t="s">
        <v>3825</v>
      </c>
      <c r="D102" s="3">
        <f>(('Facts'!F399*1)+('Facts'!F401*1))*1</f>
        <v>148176934.86</v>
      </c>
      <c r="E102" s="3">
        <f>D102/K102</f>
        <v>148176934.86</v>
      </c>
      <c r="F102" s="2" t="str">
        <f>IF(ISNUMBER(D102),"calculated","not_calculated")</f>
        <v>calculated</v>
      </c>
      <c r="G102" s="2">
        <f>IF(ISNUMBER(D102),"","检查缺失值、分母与输入；口径变更须重跑Python")</f>
        <v/>
      </c>
      <c r="H102" s="2" t="s">
        <v>3110</v>
      </c>
      <c r="I102" s="2" t="s">
        <v>3046</v>
      </c>
      <c r="J102" s="2" t="s">
        <v>53</v>
      </c>
      <c r="K102" s="2">
        <v>1</v>
      </c>
      <c r="L102" s="2" t="s">
        <v>54</v>
      </c>
      <c r="M102" s="2" t="s">
        <v>55</v>
      </c>
      <c r="N102" s="2"/>
      <c r="O102" s="2" t="s">
        <v>63</v>
      </c>
    </row>
    <row r="103" spans="1:15">
      <c r="A103" s="2" t="s">
        <v>3220</v>
      </c>
      <c r="B103" s="2" t="s">
        <v>3112</v>
      </c>
      <c r="C103" s="2" t="s">
        <v>3826</v>
      </c>
      <c r="D103" s="3">
        <f>(('Facts'!F359-'Facts'!F361))*1</f>
        <v>108606169.27</v>
      </c>
      <c r="E103" s="3">
        <f>D103/K103</f>
        <v>108606169.27</v>
      </c>
      <c r="F103" s="2" t="str">
        <f>IF(ISNUMBER(D103),"calculated","not_calculated")</f>
        <v>calculated</v>
      </c>
      <c r="G103" s="2">
        <f>IF(ISNUMBER(D103),"","检查缺失值、分母与输入；口径变更须重跑Python")</f>
        <v/>
      </c>
      <c r="H103" s="2" t="s">
        <v>3112</v>
      </c>
      <c r="I103" s="2" t="s">
        <v>3046</v>
      </c>
      <c r="J103" s="2" t="s">
        <v>53</v>
      </c>
      <c r="K103" s="2">
        <v>1</v>
      </c>
      <c r="L103" s="2" t="s">
        <v>54</v>
      </c>
      <c r="M103" s="2" t="s">
        <v>55</v>
      </c>
      <c r="N103" s="2" t="s">
        <v>397</v>
      </c>
      <c r="O103" s="2" t="s">
        <v>63</v>
      </c>
    </row>
    <row r="104" spans="1:15">
      <c r="A104" s="2" t="s">
        <v>3221</v>
      </c>
      <c r="B104" s="2" t="s">
        <v>3114</v>
      </c>
      <c r="C104" s="2" t="s">
        <v>3827</v>
      </c>
      <c r="D104" s="3">
        <f>(('Facts'!F112-'Facts'!F114))*1</f>
        <v>1486559944.62</v>
      </c>
      <c r="E104" s="3">
        <f>D104/K104</f>
        <v>1486559944.62</v>
      </c>
      <c r="F104" s="2" t="str">
        <f>IF(ISNUMBER(D104),"calculated","not_calculated")</f>
        <v>calculated</v>
      </c>
      <c r="G104" s="2">
        <f>IF(ISNUMBER(D104),"","检查缺失值、分母与输入；口径变更须重跑Python")</f>
        <v/>
      </c>
      <c r="H104" s="2" t="s">
        <v>3114</v>
      </c>
      <c r="I104" s="2" t="s">
        <v>3046</v>
      </c>
      <c r="J104" s="2" t="s">
        <v>53</v>
      </c>
      <c r="K104" s="2">
        <v>1</v>
      </c>
      <c r="L104" s="2" t="s">
        <v>54</v>
      </c>
      <c r="M104" s="2" t="s">
        <v>55</v>
      </c>
      <c r="N104" s="2" t="s">
        <v>397</v>
      </c>
      <c r="O104" s="2" t="s">
        <v>63</v>
      </c>
    </row>
    <row r="105" spans="1:15">
      <c r="A105" s="2" t="s">
        <v>3222</v>
      </c>
      <c r="B105" s="2" t="s">
        <v>3116</v>
      </c>
      <c r="C105" s="2" t="s">
        <v>3828</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3116</v>
      </c>
      <c r="I105" s="2" t="s">
        <v>3046</v>
      </c>
      <c r="J105" s="2" t="s">
        <v>3117</v>
      </c>
      <c r="K105" s="2">
        <v>1</v>
      </c>
      <c r="L105" s="2" t="s">
        <v>54</v>
      </c>
      <c r="M105" s="2" t="s">
        <v>55</v>
      </c>
      <c r="N105" s="2" t="s">
        <v>397</v>
      </c>
      <c r="O105" s="2" t="s">
        <v>63</v>
      </c>
    </row>
    <row r="106" spans="1:15">
      <c r="A106" s="2" t="s">
        <v>3223</v>
      </c>
      <c r="B106" s="2" t="s">
        <v>3119</v>
      </c>
      <c r="C106" s="2" t="s">
        <v>3829</v>
      </c>
      <c r="D106" s="3">
        <f>(('Facts'!F150*1)+('Facts'!F126*1))*1</f>
        <v>155334362.04</v>
      </c>
      <c r="E106" s="3">
        <f>D106/K106</f>
        <v>155334362.04</v>
      </c>
      <c r="F106" s="2" t="str">
        <f>IF(ISNUMBER(D106),"calculated","not_calculated")</f>
        <v>calculated</v>
      </c>
      <c r="G106" s="2">
        <f>IF(ISNUMBER(D106),"","检查缺失值、分母与输入；口径变更须重跑Python")</f>
        <v/>
      </c>
      <c r="H106" s="2" t="s">
        <v>3119</v>
      </c>
      <c r="I106" s="2" t="s">
        <v>3046</v>
      </c>
      <c r="J106" s="2" t="s">
        <v>53</v>
      </c>
      <c r="K106" s="2">
        <v>1</v>
      </c>
      <c r="L106" s="2" t="s">
        <v>54</v>
      </c>
      <c r="M106" s="2" t="s">
        <v>55</v>
      </c>
      <c r="N106" s="2" t="s">
        <v>397</v>
      </c>
      <c r="O106" s="2" t="s">
        <v>63</v>
      </c>
    </row>
    <row r="107" spans="1:15">
      <c r="A107" s="2" t="s">
        <v>3224</v>
      </c>
      <c r="B107" s="2" t="s">
        <v>3121</v>
      </c>
      <c r="C107" s="2" t="s">
        <v>3830</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3122</v>
      </c>
      <c r="I107" s="2" t="s">
        <v>3046</v>
      </c>
      <c r="J107" s="2" t="s">
        <v>53</v>
      </c>
      <c r="K107" s="2">
        <v>1</v>
      </c>
      <c r="L107" s="2" t="s">
        <v>54</v>
      </c>
      <c r="M107" s="2" t="s">
        <v>55</v>
      </c>
      <c r="N107" s="2" t="s">
        <v>397</v>
      </c>
      <c r="O107" s="2" t="s">
        <v>63</v>
      </c>
    </row>
    <row r="108" spans="1:15">
      <c r="A108" s="2" t="s">
        <v>3225</v>
      </c>
      <c r="B108" s="2" t="s">
        <v>3124</v>
      </c>
      <c r="C108" s="2" t="s">
        <v>3831</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3125</v>
      </c>
      <c r="I108" s="2" t="s">
        <v>3046</v>
      </c>
      <c r="J108" s="2" t="s">
        <v>53</v>
      </c>
      <c r="K108" s="2">
        <v>1</v>
      </c>
      <c r="L108" s="2" t="s">
        <v>54</v>
      </c>
      <c r="M108" s="2" t="s">
        <v>55</v>
      </c>
      <c r="N108" s="2"/>
      <c r="O108" s="2" t="s">
        <v>63</v>
      </c>
    </row>
    <row r="109" spans="1:15">
      <c r="A109" s="2" t="s">
        <v>3226</v>
      </c>
      <c r="B109" s="2" t="s">
        <v>3127</v>
      </c>
      <c r="C109" s="2" t="s">
        <v>3832</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3127</v>
      </c>
      <c r="I109" s="2" t="s">
        <v>3046</v>
      </c>
      <c r="J109" s="2" t="s">
        <v>53</v>
      </c>
      <c r="K109" s="2">
        <v>1</v>
      </c>
      <c r="L109" s="2" t="s">
        <v>54</v>
      </c>
      <c r="M109" s="2" t="s">
        <v>55</v>
      </c>
      <c r="N109" s="2"/>
      <c r="O109" s="2" t="s">
        <v>63</v>
      </c>
    </row>
    <row r="110" spans="1:15">
      <c r="A110" s="2" t="s">
        <v>3227</v>
      </c>
      <c r="B110" s="2" t="s">
        <v>3129</v>
      </c>
      <c r="C110" s="2" t="s">
        <v>3833</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3129</v>
      </c>
      <c r="I110" s="2" t="s">
        <v>3046</v>
      </c>
      <c r="J110" s="2" t="s">
        <v>53</v>
      </c>
      <c r="K110" s="2">
        <v>1</v>
      </c>
      <c r="L110" s="2" t="s">
        <v>54</v>
      </c>
      <c r="M110" s="2" t="s">
        <v>55</v>
      </c>
      <c r="N110" s="2"/>
      <c r="O110" s="2" t="s">
        <v>63</v>
      </c>
    </row>
    <row r="111" spans="1:15">
      <c r="A111" s="2" t="s">
        <v>3228</v>
      </c>
      <c r="B111" s="2" t="s">
        <v>3131</v>
      </c>
      <c r="C111" s="2" t="s">
        <v>3834</v>
      </c>
      <c r="D111" s="3">
        <f>(('Calculations'!D108-'Facts'!F229))*1</f>
        <v>3716434722.73</v>
      </c>
      <c r="E111" s="3">
        <f>D111/K111</f>
        <v>3716434722.73</v>
      </c>
      <c r="F111" s="2" t="str">
        <f>IF(ISNUMBER(D111),"calculated","not_calculated")</f>
        <v>calculated</v>
      </c>
      <c r="G111" s="2">
        <f>IF(ISNUMBER(D111),"","检查缺失值、分母与输入；口径变更须重跑Python")</f>
        <v/>
      </c>
      <c r="H111" s="2" t="s">
        <v>3132</v>
      </c>
      <c r="I111" s="2" t="s">
        <v>3046</v>
      </c>
      <c r="J111" s="2" t="s">
        <v>53</v>
      </c>
      <c r="K111" s="2">
        <v>1</v>
      </c>
      <c r="L111" s="2" t="s">
        <v>54</v>
      </c>
      <c r="M111" s="2" t="s">
        <v>55</v>
      </c>
      <c r="N111" s="2"/>
      <c r="O111" s="2" t="s">
        <v>63</v>
      </c>
    </row>
    <row r="112" spans="1:15">
      <c r="A112" s="2" t="s">
        <v>3229</v>
      </c>
      <c r="B112" s="2" t="s">
        <v>3134</v>
      </c>
      <c r="C112" s="2" t="s">
        <v>3835</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3134</v>
      </c>
      <c r="I112" s="2" t="s">
        <v>3046</v>
      </c>
      <c r="J112" s="2" t="s">
        <v>3117</v>
      </c>
      <c r="K112" s="2">
        <v>1</v>
      </c>
      <c r="L112" s="2" t="s">
        <v>54</v>
      </c>
      <c r="M112" s="2" t="s">
        <v>55</v>
      </c>
      <c r="N112" s="2"/>
      <c r="O112" s="2" t="s">
        <v>63</v>
      </c>
    </row>
    <row r="113" spans="1:15">
      <c r="A113" s="2" t="s">
        <v>3230</v>
      </c>
      <c r="B113" s="2" t="s">
        <v>3136</v>
      </c>
      <c r="C113" s="2" t="s">
        <v>3836</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3136</v>
      </c>
      <c r="I113" s="2" t="s">
        <v>3046</v>
      </c>
      <c r="J113" s="2" t="s">
        <v>3117</v>
      </c>
      <c r="K113" s="2">
        <v>1</v>
      </c>
      <c r="L113" s="2" t="s">
        <v>54</v>
      </c>
      <c r="M113" s="2" t="s">
        <v>55</v>
      </c>
      <c r="N113" s="2"/>
      <c r="O113" s="2" t="s">
        <v>63</v>
      </c>
    </row>
    <row r="114" spans="1:15">
      <c r="A114" s="2" t="s">
        <v>3231</v>
      </c>
      <c r="B114" s="2" t="s">
        <v>3138</v>
      </c>
      <c r="C114" s="2" t="s">
        <v>3837</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3138</v>
      </c>
      <c r="I114" s="2" t="s">
        <v>3046</v>
      </c>
      <c r="J114" s="2" t="s">
        <v>3139</v>
      </c>
      <c r="K114" s="2">
        <v>1</v>
      </c>
      <c r="L114" s="2" t="s">
        <v>54</v>
      </c>
      <c r="M114" s="2" t="s">
        <v>55</v>
      </c>
      <c r="N114" s="2"/>
      <c r="O114" s="2" t="s">
        <v>63</v>
      </c>
    </row>
    <row r="115" spans="1:15">
      <c r="A115" s="2" t="s">
        <v>3232</v>
      </c>
      <c r="B115" s="2" t="s">
        <v>3141</v>
      </c>
      <c r="C115" s="2" t="s">
        <v>3838</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3141</v>
      </c>
      <c r="I115" s="2" t="s">
        <v>3046</v>
      </c>
      <c r="J115" s="2" t="s">
        <v>3139</v>
      </c>
      <c r="K115" s="2">
        <v>1</v>
      </c>
      <c r="L115" s="2" t="s">
        <v>54</v>
      </c>
      <c r="M115" s="2" t="s">
        <v>55</v>
      </c>
      <c r="N115" s="2"/>
      <c r="O115" s="2" t="s">
        <v>63</v>
      </c>
    </row>
    <row r="116" spans="1:15">
      <c r="A116" s="2" t="s">
        <v>3233</v>
      </c>
      <c r="B116" s="2" t="s">
        <v>3143</v>
      </c>
      <c r="C116" s="2" t="s">
        <v>3839</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3143</v>
      </c>
      <c r="I116" s="2" t="s">
        <v>3046</v>
      </c>
      <c r="J116" s="2" t="s">
        <v>3139</v>
      </c>
      <c r="K116" s="2">
        <v>1</v>
      </c>
      <c r="L116" s="2" t="s">
        <v>54</v>
      </c>
      <c r="M116" s="2" t="s">
        <v>55</v>
      </c>
      <c r="N116" s="2"/>
      <c r="O116" s="2" t="s">
        <v>63</v>
      </c>
    </row>
    <row r="117" spans="1:15">
      <c r="A117" s="2" t="s">
        <v>3234</v>
      </c>
      <c r="B117" s="2" t="s">
        <v>3145</v>
      </c>
      <c r="C117" s="2" t="s">
        <v>3840</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3145</v>
      </c>
      <c r="I117" s="2" t="s">
        <v>3046</v>
      </c>
      <c r="J117" s="2" t="s">
        <v>3117</v>
      </c>
      <c r="K117" s="2">
        <v>1</v>
      </c>
      <c r="L117" s="2" t="s">
        <v>54</v>
      </c>
      <c r="M117" s="2" t="s">
        <v>55</v>
      </c>
      <c r="N117" s="2" t="s">
        <v>397</v>
      </c>
      <c r="O117" s="2" t="s">
        <v>63</v>
      </c>
    </row>
    <row r="118" spans="1:15">
      <c r="A118" s="2" t="s">
        <v>3235</v>
      </c>
      <c r="B118" s="2" t="s">
        <v>3147</v>
      </c>
      <c r="C118" s="2" t="s">
        <v>3841</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3147</v>
      </c>
      <c r="I118" s="2" t="s">
        <v>3046</v>
      </c>
      <c r="J118" s="2" t="s">
        <v>3139</v>
      </c>
      <c r="K118" s="2">
        <v>1</v>
      </c>
      <c r="L118" s="2" t="s">
        <v>54</v>
      </c>
      <c r="M118" s="2" t="s">
        <v>55</v>
      </c>
      <c r="N118" s="2" t="s">
        <v>397</v>
      </c>
      <c r="O118" s="2" t="s">
        <v>63</v>
      </c>
    </row>
    <row r="119" spans="1:15">
      <c r="A119" s="2" t="s">
        <v>3236</v>
      </c>
      <c r="B119" s="2" t="s">
        <v>3149</v>
      </c>
      <c r="C119" s="2" t="s">
        <v>3842</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3149</v>
      </c>
      <c r="I119" s="2" t="s">
        <v>3046</v>
      </c>
      <c r="J119" s="2" t="s">
        <v>3117</v>
      </c>
      <c r="K119" s="2">
        <v>1</v>
      </c>
      <c r="L119" s="2" t="s">
        <v>54</v>
      </c>
      <c r="M119" s="2" t="s">
        <v>55</v>
      </c>
      <c r="N119" s="2"/>
      <c r="O119" s="2" t="s">
        <v>63</v>
      </c>
    </row>
    <row r="120" spans="1:15">
      <c r="A120" s="2" t="s">
        <v>3237</v>
      </c>
      <c r="B120" s="2" t="s">
        <v>3151</v>
      </c>
      <c r="C120" s="2" t="s">
        <v>3843</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3151</v>
      </c>
      <c r="I120" s="2" t="s">
        <v>3046</v>
      </c>
      <c r="J120" s="2" t="s">
        <v>3117</v>
      </c>
      <c r="K120" s="2">
        <v>1</v>
      </c>
      <c r="L120" s="2" t="s">
        <v>54</v>
      </c>
      <c r="M120" s="2" t="s">
        <v>55</v>
      </c>
      <c r="N120" s="2"/>
      <c r="O120" s="2" t="s">
        <v>63</v>
      </c>
    </row>
    <row r="121" spans="1:15">
      <c r="A121" s="2" t="s">
        <v>3238</v>
      </c>
      <c r="B121" s="2" t="s">
        <v>3153</v>
      </c>
      <c r="C121" s="2" t="s">
        <v>3844</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3153</v>
      </c>
      <c r="I121" s="2" t="s">
        <v>3046</v>
      </c>
      <c r="J121" s="2" t="s">
        <v>3117</v>
      </c>
      <c r="K121" s="2">
        <v>1</v>
      </c>
      <c r="L121" s="2" t="s">
        <v>54</v>
      </c>
      <c r="M121" s="2" t="s">
        <v>55</v>
      </c>
      <c r="N121" s="2" t="s">
        <v>397</v>
      </c>
      <c r="O121" s="2" t="s">
        <v>63</v>
      </c>
    </row>
    <row r="122" spans="1:15">
      <c r="A122" s="2" t="s">
        <v>3239</v>
      </c>
      <c r="B122" s="2" t="s">
        <v>3155</v>
      </c>
      <c r="C122" s="2" t="s">
        <v>3845</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3155</v>
      </c>
      <c r="I122" s="2" t="s">
        <v>3046</v>
      </c>
      <c r="J122" s="2" t="s">
        <v>3117</v>
      </c>
      <c r="K122" s="2">
        <v>1</v>
      </c>
      <c r="L122" s="2" t="s">
        <v>54</v>
      </c>
      <c r="M122" s="2" t="s">
        <v>55</v>
      </c>
      <c r="N122" s="2" t="s">
        <v>397</v>
      </c>
      <c r="O122" s="2" t="s">
        <v>63</v>
      </c>
    </row>
    <row r="123" spans="1:15">
      <c r="A123" s="2" t="s">
        <v>3240</v>
      </c>
      <c r="B123" s="2" t="s">
        <v>3157</v>
      </c>
      <c r="C123" s="2" t="s">
        <v>3846</v>
      </c>
      <c r="D123" s="3">
        <f>(('Facts'!F182-'Facts'!F195))*1</f>
        <v>63414173.64</v>
      </c>
      <c r="E123" s="3">
        <f>D123/K123</f>
        <v>63414173.64</v>
      </c>
      <c r="F123" s="2" t="str">
        <f>IF(ISNUMBER(D123),"calculated","not_calculated")</f>
        <v>calculated</v>
      </c>
      <c r="G123" s="2">
        <f>IF(ISNUMBER(D123),"","检查缺失值、分母与输入；口径变更须重跑Python")</f>
        <v/>
      </c>
      <c r="H123" s="2" t="s">
        <v>3158</v>
      </c>
      <c r="I123" s="2" t="s">
        <v>3046</v>
      </c>
      <c r="J123" s="2" t="s">
        <v>53</v>
      </c>
      <c r="K123" s="2">
        <v>1</v>
      </c>
      <c r="L123" s="2" t="s">
        <v>54</v>
      </c>
      <c r="M123" s="2" t="s">
        <v>55</v>
      </c>
      <c r="N123" s="2" t="s">
        <v>397</v>
      </c>
      <c r="O123" s="2" t="s">
        <v>63</v>
      </c>
    </row>
    <row r="124" spans="1:15">
      <c r="A124" s="2" t="s">
        <v>3241</v>
      </c>
      <c r="B124" s="2" t="s">
        <v>3160</v>
      </c>
      <c r="C124" s="2" t="s">
        <v>3847</v>
      </c>
      <c r="D124" s="3">
        <f>(('Facts'!F331-'Facts'!F333))*1</f>
        <v>683507374.03</v>
      </c>
      <c r="E124" s="3">
        <f>D124/K124</f>
        <v>683507374.03</v>
      </c>
      <c r="F124" s="2" t="str">
        <f>IF(ISNUMBER(D124),"calculated","not_calculated")</f>
        <v>calculated</v>
      </c>
      <c r="G124" s="2">
        <f>IF(ISNUMBER(D124),"","检查缺失值、分母与输入；口径变更须重跑Python")</f>
        <v/>
      </c>
      <c r="H124" s="2" t="s">
        <v>3160</v>
      </c>
      <c r="I124" s="2" t="s">
        <v>3046</v>
      </c>
      <c r="J124" s="2" t="s">
        <v>53</v>
      </c>
      <c r="K124" s="2">
        <v>1</v>
      </c>
      <c r="L124" s="2" t="s">
        <v>54</v>
      </c>
      <c r="M124" s="2" t="s">
        <v>55</v>
      </c>
      <c r="N124" s="2" t="s">
        <v>397</v>
      </c>
      <c r="O124" s="2" t="s">
        <v>63</v>
      </c>
    </row>
    <row r="125" spans="1:15">
      <c r="A125" s="2" t="s">
        <v>3242</v>
      </c>
      <c r="B125" s="2" t="s">
        <v>3162</v>
      </c>
      <c r="C125" s="2" t="s">
        <v>3848</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3162</v>
      </c>
      <c r="I125" s="2" t="s">
        <v>3046</v>
      </c>
      <c r="J125" s="2" t="s">
        <v>3117</v>
      </c>
      <c r="K125" s="2">
        <v>1</v>
      </c>
      <c r="L125" s="2" t="s">
        <v>54</v>
      </c>
      <c r="M125" s="2" t="s">
        <v>55</v>
      </c>
      <c r="N125" s="2" t="s">
        <v>397</v>
      </c>
      <c r="O125" s="2" t="s">
        <v>63</v>
      </c>
    </row>
    <row r="126" spans="1:15">
      <c r="A126" s="2" t="s">
        <v>3243</v>
      </c>
      <c r="B126" s="2" t="s">
        <v>3164</v>
      </c>
      <c r="C126" s="2" t="s">
        <v>3849</v>
      </c>
      <c r="D126" s="3">
        <f>(('Facts'!F335-'Facts'!F337))*1</f>
        <v>601737168.81</v>
      </c>
      <c r="E126" s="3">
        <f>D126/K126</f>
        <v>601737168.81</v>
      </c>
      <c r="F126" s="2" t="str">
        <f>IF(ISNUMBER(D126),"calculated","not_calculated")</f>
        <v>calculated</v>
      </c>
      <c r="G126" s="2">
        <f>IF(ISNUMBER(D126),"","检查缺失值、分母与输入；口径变更须重跑Python")</f>
        <v/>
      </c>
      <c r="H126" s="2" t="s">
        <v>3164</v>
      </c>
      <c r="I126" s="2" t="s">
        <v>3046</v>
      </c>
      <c r="J126" s="2" t="s">
        <v>53</v>
      </c>
      <c r="K126" s="2">
        <v>1</v>
      </c>
      <c r="L126" s="2" t="s">
        <v>54</v>
      </c>
      <c r="M126" s="2" t="s">
        <v>55</v>
      </c>
      <c r="N126" s="2" t="s">
        <v>397</v>
      </c>
      <c r="O126" s="2" t="s">
        <v>63</v>
      </c>
    </row>
    <row r="127" spans="1:15">
      <c r="A127" s="2" t="s">
        <v>3244</v>
      </c>
      <c r="B127" s="2" t="s">
        <v>3166</v>
      </c>
      <c r="C127" s="2" t="s">
        <v>3850</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3166</v>
      </c>
      <c r="I127" s="2" t="s">
        <v>3046</v>
      </c>
      <c r="J127" s="2" t="s">
        <v>3117</v>
      </c>
      <c r="K127" s="2">
        <v>1</v>
      </c>
      <c r="L127" s="2" t="s">
        <v>54</v>
      </c>
      <c r="M127" s="2" t="s">
        <v>55</v>
      </c>
      <c r="N127" s="2" t="s">
        <v>397</v>
      </c>
      <c r="O127" s="2" t="s">
        <v>63</v>
      </c>
    </row>
    <row r="128" spans="1:15">
      <c r="A128" s="2" t="s">
        <v>3245</v>
      </c>
      <c r="B128" s="2" t="s">
        <v>3168</v>
      </c>
      <c r="C128" s="2" t="s">
        <v>3851</v>
      </c>
      <c r="D128" s="3">
        <f>(('Facts'!F339-'Facts'!F341))*1</f>
        <v>138595910.64</v>
      </c>
      <c r="E128" s="3">
        <f>D128/K128</f>
        <v>138595910.64</v>
      </c>
      <c r="F128" s="2" t="str">
        <f>IF(ISNUMBER(D128),"calculated","not_calculated")</f>
        <v>calculated</v>
      </c>
      <c r="G128" s="2">
        <f>IF(ISNUMBER(D128),"","检查缺失值、分母与输入；口径变更须重跑Python")</f>
        <v/>
      </c>
      <c r="H128" s="2" t="s">
        <v>3168</v>
      </c>
      <c r="I128" s="2" t="s">
        <v>3046</v>
      </c>
      <c r="J128" s="2" t="s">
        <v>53</v>
      </c>
      <c r="K128" s="2">
        <v>1</v>
      </c>
      <c r="L128" s="2" t="s">
        <v>54</v>
      </c>
      <c r="M128" s="2" t="s">
        <v>55</v>
      </c>
      <c r="N128" s="2" t="s">
        <v>397</v>
      </c>
      <c r="O128" s="2" t="s">
        <v>63</v>
      </c>
    </row>
    <row r="129" spans="1:15">
      <c r="A129" s="2" t="s">
        <v>3246</v>
      </c>
      <c r="B129" s="2" t="s">
        <v>3170</v>
      </c>
      <c r="C129" s="2" t="s">
        <v>3852</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3170</v>
      </c>
      <c r="I129" s="2" t="s">
        <v>3046</v>
      </c>
      <c r="J129" s="2" t="s">
        <v>3117</v>
      </c>
      <c r="K129" s="2">
        <v>1</v>
      </c>
      <c r="L129" s="2" t="s">
        <v>54</v>
      </c>
      <c r="M129" s="2" t="s">
        <v>55</v>
      </c>
      <c r="N129" s="2" t="s">
        <v>397</v>
      </c>
      <c r="O129" s="2" t="s">
        <v>63</v>
      </c>
    </row>
    <row r="130" spans="1:15">
      <c r="A130" s="2" t="s">
        <v>3247</v>
      </c>
      <c r="B130" s="2" t="s">
        <v>3172</v>
      </c>
      <c r="C130" s="2" t="s">
        <v>3853</v>
      </c>
      <c r="D130" s="3">
        <f>(('Facts'!F343-'Facts'!F345))*1</f>
        <v>13898130.38</v>
      </c>
      <c r="E130" s="3">
        <f>D130/K130</f>
        <v>13898130.38</v>
      </c>
      <c r="F130" s="2" t="str">
        <f>IF(ISNUMBER(D130),"calculated","not_calculated")</f>
        <v>calculated</v>
      </c>
      <c r="G130" s="2">
        <f>IF(ISNUMBER(D130),"","检查缺失值、分母与输入；口径变更须重跑Python")</f>
        <v/>
      </c>
      <c r="H130" s="2" t="s">
        <v>3172</v>
      </c>
      <c r="I130" s="2" t="s">
        <v>3046</v>
      </c>
      <c r="J130" s="2" t="s">
        <v>53</v>
      </c>
      <c r="K130" s="2">
        <v>1</v>
      </c>
      <c r="L130" s="2" t="s">
        <v>54</v>
      </c>
      <c r="M130" s="2" t="s">
        <v>55</v>
      </c>
      <c r="N130" s="2" t="s">
        <v>397</v>
      </c>
      <c r="O130" s="2" t="s">
        <v>63</v>
      </c>
    </row>
    <row r="131" spans="1:15">
      <c r="A131" s="2" t="s">
        <v>3248</v>
      </c>
      <c r="B131" s="2" t="s">
        <v>3174</v>
      </c>
      <c r="C131" s="2" t="s">
        <v>3854</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3174</v>
      </c>
      <c r="I131" s="2" t="s">
        <v>3046</v>
      </c>
      <c r="J131" s="2" t="s">
        <v>3117</v>
      </c>
      <c r="K131" s="2">
        <v>1</v>
      </c>
      <c r="L131" s="2" t="s">
        <v>54</v>
      </c>
      <c r="M131" s="2" t="s">
        <v>55</v>
      </c>
      <c r="N131" s="2" t="s">
        <v>397</v>
      </c>
      <c r="O131" s="2" t="s">
        <v>63</v>
      </c>
    </row>
    <row r="132" spans="1:15">
      <c r="A132" s="2" t="s">
        <v>3249</v>
      </c>
      <c r="B132" s="2" t="s">
        <v>3176</v>
      </c>
      <c r="C132" s="2" t="s">
        <v>3855</v>
      </c>
      <c r="D132" s="3">
        <f>(('Facts'!F347-'Facts'!F349))*1</f>
        <v>30820750.32</v>
      </c>
      <c r="E132" s="3">
        <f>D132/K132</f>
        <v>30820750.32</v>
      </c>
      <c r="F132" s="2" t="str">
        <f>IF(ISNUMBER(D132),"calculated","not_calculated")</f>
        <v>calculated</v>
      </c>
      <c r="G132" s="2">
        <f>IF(ISNUMBER(D132),"","检查缺失值、分母与输入；口径变更须重跑Python")</f>
        <v/>
      </c>
      <c r="H132" s="2" t="s">
        <v>3176</v>
      </c>
      <c r="I132" s="2" t="s">
        <v>3046</v>
      </c>
      <c r="J132" s="2" t="s">
        <v>53</v>
      </c>
      <c r="K132" s="2">
        <v>1</v>
      </c>
      <c r="L132" s="2" t="s">
        <v>54</v>
      </c>
      <c r="M132" s="2" t="s">
        <v>55</v>
      </c>
      <c r="N132" s="2" t="s">
        <v>397</v>
      </c>
      <c r="O132" s="2" t="s">
        <v>63</v>
      </c>
    </row>
    <row r="133" spans="1:15">
      <c r="A133" s="2" t="s">
        <v>3250</v>
      </c>
      <c r="B133" s="2" t="s">
        <v>3178</v>
      </c>
      <c r="C133" s="2" t="s">
        <v>3856</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3178</v>
      </c>
      <c r="I133" s="2" t="s">
        <v>3046</v>
      </c>
      <c r="J133" s="2" t="s">
        <v>3117</v>
      </c>
      <c r="K133" s="2">
        <v>1</v>
      </c>
      <c r="L133" s="2" t="s">
        <v>54</v>
      </c>
      <c r="M133" s="2" t="s">
        <v>55</v>
      </c>
      <c r="N133" s="2" t="s">
        <v>397</v>
      </c>
      <c r="O133" s="2" t="s">
        <v>63</v>
      </c>
    </row>
    <row r="134" spans="1:15">
      <c r="A134" s="2" t="s">
        <v>3251</v>
      </c>
      <c r="B134" s="2" t="s">
        <v>3180</v>
      </c>
      <c r="C134" s="2" t="s">
        <v>3857</v>
      </c>
      <c r="D134" s="3">
        <f>(('Facts'!F351-'Facts'!F353))*1</f>
        <v>18000610.44</v>
      </c>
      <c r="E134" s="3">
        <f>D134/K134</f>
        <v>18000610.44</v>
      </c>
      <c r="F134" s="2" t="str">
        <f>IF(ISNUMBER(D134),"calculated","not_calculated")</f>
        <v>calculated</v>
      </c>
      <c r="G134" s="2">
        <f>IF(ISNUMBER(D134),"","检查缺失值、分母与输入；口径变更须重跑Python")</f>
        <v/>
      </c>
      <c r="H134" s="2" t="s">
        <v>3180</v>
      </c>
      <c r="I134" s="2" t="s">
        <v>3046</v>
      </c>
      <c r="J134" s="2" t="s">
        <v>53</v>
      </c>
      <c r="K134" s="2">
        <v>1</v>
      </c>
      <c r="L134" s="2" t="s">
        <v>54</v>
      </c>
      <c r="M134" s="2" t="s">
        <v>55</v>
      </c>
      <c r="N134" s="2" t="s">
        <v>397</v>
      </c>
      <c r="O134" s="2" t="s">
        <v>63</v>
      </c>
    </row>
    <row r="135" spans="1:15">
      <c r="A135" s="2" t="s">
        <v>3252</v>
      </c>
      <c r="B135" s="2" t="s">
        <v>3182</v>
      </c>
      <c r="C135" s="2" t="s">
        <v>3858</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3182</v>
      </c>
      <c r="I135" s="2" t="s">
        <v>3046</v>
      </c>
      <c r="J135" s="2" t="s">
        <v>3117</v>
      </c>
      <c r="K135" s="2">
        <v>1</v>
      </c>
      <c r="L135" s="2" t="s">
        <v>54</v>
      </c>
      <c r="M135" s="2" t="s">
        <v>55</v>
      </c>
      <c r="N135" s="2" t="s">
        <v>397</v>
      </c>
      <c r="O135" s="2" t="s">
        <v>63</v>
      </c>
    </row>
    <row r="136" spans="1:15">
      <c r="A136" s="2" t="s">
        <v>3253</v>
      </c>
      <c r="B136" s="2" t="s">
        <v>3184</v>
      </c>
      <c r="C136" s="2" t="s">
        <v>3859</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3184</v>
      </c>
      <c r="I136" s="2" t="s">
        <v>3046</v>
      </c>
      <c r="J136" s="2" t="s">
        <v>53</v>
      </c>
      <c r="K136" s="2">
        <v>1</v>
      </c>
      <c r="L136" s="2" t="s">
        <v>54</v>
      </c>
      <c r="M136" s="2" t="s">
        <v>55</v>
      </c>
      <c r="N136" s="2" t="s">
        <v>397</v>
      </c>
      <c r="O136" s="2" t="s">
        <v>63</v>
      </c>
    </row>
    <row r="137" spans="1:15">
      <c r="A137" s="2" t="s">
        <v>3254</v>
      </c>
      <c r="B137" s="2" t="s">
        <v>3186</v>
      </c>
      <c r="C137" s="2" t="s">
        <v>3860</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3186</v>
      </c>
      <c r="I137" s="2" t="s">
        <v>3046</v>
      </c>
      <c r="J137" s="2" t="s">
        <v>53</v>
      </c>
      <c r="K137" s="2">
        <v>1</v>
      </c>
      <c r="L137" s="2" t="s">
        <v>54</v>
      </c>
      <c r="M137" s="2" t="s">
        <v>55</v>
      </c>
      <c r="N137" s="2" t="s">
        <v>397</v>
      </c>
      <c r="O137" s="2" t="s">
        <v>63</v>
      </c>
    </row>
    <row r="138" spans="1:15">
      <c r="A138" s="2" t="s">
        <v>3255</v>
      </c>
      <c r="B138" s="2" t="s">
        <v>3256</v>
      </c>
      <c r="C138" s="2" t="s">
        <v>3861</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3256</v>
      </c>
      <c r="I138" s="2" t="s">
        <v>3046</v>
      </c>
      <c r="J138" s="2" t="s">
        <v>3117</v>
      </c>
      <c r="K138" s="2">
        <v>1</v>
      </c>
      <c r="L138" s="2" t="s">
        <v>54</v>
      </c>
      <c r="M138" s="2" t="s">
        <v>55</v>
      </c>
      <c r="N138" s="2" t="s">
        <v>392</v>
      </c>
      <c r="O138" s="2" t="s">
        <v>56</v>
      </c>
    </row>
    <row r="139" spans="1:15">
      <c r="A139" s="2" t="s">
        <v>3257</v>
      </c>
      <c r="B139" s="2" t="s">
        <v>3258</v>
      </c>
      <c r="C139" s="2" t="s">
        <v>3862</v>
      </c>
      <c r="D139" s="3">
        <f>(('Facts'!F8-'Facts'!F9))*1</f>
        <v>-778277465.91</v>
      </c>
      <c r="E139" s="3">
        <f>D139/K139</f>
        <v>-778277465.91</v>
      </c>
      <c r="F139" s="2" t="str">
        <f>IF(ISNUMBER(D139),"calculated","not_calculated")</f>
        <v>calculated</v>
      </c>
      <c r="G139" s="2">
        <f>IF(ISNUMBER(D139),"","检查缺失值、分母与输入；口径变更须重跑Python")</f>
        <v/>
      </c>
      <c r="H139" s="2" t="s">
        <v>3258</v>
      </c>
      <c r="I139" s="2" t="s">
        <v>3046</v>
      </c>
      <c r="J139" s="2" t="s">
        <v>53</v>
      </c>
      <c r="K139" s="2">
        <v>1</v>
      </c>
      <c r="L139" s="2" t="s">
        <v>54</v>
      </c>
      <c r="M139" s="2" t="s">
        <v>55</v>
      </c>
      <c r="N139" s="2"/>
      <c r="O139" s="2" t="s">
        <v>56</v>
      </c>
    </row>
    <row r="140" spans="1:15">
      <c r="A140" s="2" t="s">
        <v>3259</v>
      </c>
      <c r="B140" s="2" t="s">
        <v>3260</v>
      </c>
      <c r="C140" s="2" t="s">
        <v>3863</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3260</v>
      </c>
      <c r="I140" s="2" t="s">
        <v>3046</v>
      </c>
      <c r="J140" s="2" t="s">
        <v>53</v>
      </c>
      <c r="K140" s="2">
        <v>1</v>
      </c>
      <c r="L140" s="2" t="s">
        <v>54</v>
      </c>
      <c r="M140" s="2" t="s">
        <v>55</v>
      </c>
      <c r="N140" s="2" t="s">
        <v>392</v>
      </c>
      <c r="O140" s="2" t="s">
        <v>56</v>
      </c>
    </row>
    <row r="141" spans="1:15">
      <c r="A141" s="2" t="s">
        <v>3261</v>
      </c>
      <c r="B141" s="2" t="s">
        <v>3262</v>
      </c>
      <c r="C141" s="2" t="s">
        <v>3864</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3262</v>
      </c>
      <c r="I141" s="2" t="s">
        <v>3046</v>
      </c>
      <c r="J141" s="2" t="s">
        <v>53</v>
      </c>
      <c r="K141" s="2">
        <v>1</v>
      </c>
      <c r="L141" s="2" t="s">
        <v>54</v>
      </c>
      <c r="M141" s="2" t="s">
        <v>55</v>
      </c>
      <c r="N141" s="2" t="s">
        <v>392</v>
      </c>
      <c r="O141" s="2" t="s">
        <v>56</v>
      </c>
    </row>
    <row r="142" spans="1:15">
      <c r="A142" s="2" t="s">
        <v>3263</v>
      </c>
      <c r="B142" s="2" t="s">
        <v>3264</v>
      </c>
      <c r="C142" s="2" t="s">
        <v>3865</v>
      </c>
      <c r="D142" s="3">
        <f>(('Facts'!F315*1)+('Facts'!F439*1)+('Facts'!F440*-1))*1</f>
        <v>43384280.77</v>
      </c>
      <c r="E142" s="3">
        <f>D142/K142</f>
        <v>43384280.77</v>
      </c>
      <c r="F142" s="2" t="str">
        <f>IF(ISNUMBER(D142),"calculated","not_calculated")</f>
        <v>calculated</v>
      </c>
      <c r="G142" s="2">
        <f>IF(ISNUMBER(D142),"","检查缺失值、分母与输入；口径变更须重跑Python")</f>
        <v/>
      </c>
      <c r="H142" s="2" t="s">
        <v>3264</v>
      </c>
      <c r="I142" s="2" t="s">
        <v>3046</v>
      </c>
      <c r="J142" s="2" t="s">
        <v>53</v>
      </c>
      <c r="K142" s="2">
        <v>1</v>
      </c>
      <c r="L142" s="2" t="s">
        <v>54</v>
      </c>
      <c r="M142" s="2" t="s">
        <v>55</v>
      </c>
      <c r="N142" s="2" t="s">
        <v>392</v>
      </c>
      <c r="O142" s="2" t="s">
        <v>56</v>
      </c>
    </row>
    <row r="143" spans="1:15">
      <c r="A143" s="2" t="s">
        <v>3265</v>
      </c>
      <c r="B143" s="2" t="s">
        <v>3266</v>
      </c>
      <c r="C143" s="2" t="s">
        <v>3866</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3266</v>
      </c>
      <c r="I143" s="2" t="s">
        <v>3046</v>
      </c>
      <c r="J143" s="2" t="s">
        <v>53</v>
      </c>
      <c r="K143" s="2">
        <v>1</v>
      </c>
      <c r="L143" s="2" t="s">
        <v>54</v>
      </c>
      <c r="M143" s="2" t="s">
        <v>55</v>
      </c>
      <c r="N143" s="2" t="s">
        <v>392</v>
      </c>
      <c r="O143" s="2" t="s">
        <v>56</v>
      </c>
    </row>
    <row r="144" spans="1:15">
      <c r="A144" s="2" t="s">
        <v>3267</v>
      </c>
      <c r="B144" s="2" t="s">
        <v>3268</v>
      </c>
      <c r="C144" s="2" t="s">
        <v>3867</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3268</v>
      </c>
      <c r="I144" s="2" t="s">
        <v>3046</v>
      </c>
      <c r="J144" s="2" t="s">
        <v>53</v>
      </c>
      <c r="K144" s="2">
        <v>1</v>
      </c>
      <c r="L144" s="2" t="s">
        <v>54</v>
      </c>
      <c r="M144" s="2" t="s">
        <v>55</v>
      </c>
      <c r="N144" s="2" t="s">
        <v>392</v>
      </c>
      <c r="O144" s="2" t="s">
        <v>56</v>
      </c>
    </row>
    <row r="145" spans="1:15">
      <c r="A145" s="2" t="s">
        <v>3269</v>
      </c>
      <c r="B145" s="2" t="s">
        <v>3270</v>
      </c>
      <c r="C145" s="2" t="s">
        <v>3868</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3270</v>
      </c>
      <c r="I145" s="2" t="s">
        <v>3046</v>
      </c>
      <c r="J145" s="2" t="s">
        <v>53</v>
      </c>
      <c r="K145" s="2">
        <v>1</v>
      </c>
      <c r="L145" s="2" t="s">
        <v>54</v>
      </c>
      <c r="M145" s="2" t="s">
        <v>55</v>
      </c>
      <c r="N145" s="2" t="s">
        <v>392</v>
      </c>
      <c r="O145" s="2" t="s">
        <v>56</v>
      </c>
    </row>
    <row r="146" spans="1:15">
      <c r="A146" s="2" t="s">
        <v>3271</v>
      </c>
      <c r="B146" s="2" t="s">
        <v>3272</v>
      </c>
      <c r="C146" s="2" t="s">
        <v>3869</v>
      </c>
      <c r="D146" s="3">
        <f>(('Facts'!F461*1)+('Facts'!F462*1)+('Facts'!F463*-1))*1</f>
        <v>31325809.18</v>
      </c>
      <c r="E146" s="3">
        <f>D146/K146</f>
        <v>31325809.18</v>
      </c>
      <c r="F146" s="2" t="str">
        <f>IF(ISNUMBER(D146),"calculated","not_calculated")</f>
        <v>calculated</v>
      </c>
      <c r="G146" s="2">
        <f>IF(ISNUMBER(D146),"","检查缺失值、分母与输入；口径变更须重跑Python")</f>
        <v/>
      </c>
      <c r="H146" s="2" t="s">
        <v>3273</v>
      </c>
      <c r="I146" s="2" t="s">
        <v>3046</v>
      </c>
      <c r="J146" s="2" t="s">
        <v>53</v>
      </c>
      <c r="K146" s="2">
        <v>1</v>
      </c>
      <c r="L146" s="2" t="s">
        <v>54</v>
      </c>
      <c r="M146" s="2" t="s">
        <v>55</v>
      </c>
      <c r="N146" s="2" t="s">
        <v>392</v>
      </c>
      <c r="O146" s="2" t="s">
        <v>56</v>
      </c>
    </row>
    <row r="147" spans="1:15">
      <c r="A147" s="2" t="s">
        <v>3274</v>
      </c>
      <c r="B147" s="2" t="s">
        <v>3275</v>
      </c>
      <c r="C147" s="2" t="s">
        <v>3870</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3275</v>
      </c>
      <c r="I147" s="2" t="s">
        <v>3046</v>
      </c>
      <c r="J147" s="2" t="s">
        <v>53</v>
      </c>
      <c r="K147" s="2">
        <v>1</v>
      </c>
      <c r="L147" s="2" t="s">
        <v>54</v>
      </c>
      <c r="M147" s="2" t="s">
        <v>55</v>
      </c>
      <c r="N147" s="2" t="s">
        <v>392</v>
      </c>
      <c r="O147" s="2" t="s">
        <v>56</v>
      </c>
    </row>
    <row r="148" spans="1:15">
      <c r="A148" s="2" t="s">
        <v>3276</v>
      </c>
      <c r="B148" s="2" t="s">
        <v>3277</v>
      </c>
      <c r="C148" s="2" t="s">
        <v>3871</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3277</v>
      </c>
      <c r="I148" s="2" t="s">
        <v>3046</v>
      </c>
      <c r="J148" s="2" t="s">
        <v>53</v>
      </c>
      <c r="K148" s="2">
        <v>1</v>
      </c>
      <c r="L148" s="2" t="s">
        <v>54</v>
      </c>
      <c r="M148" s="2" t="s">
        <v>55</v>
      </c>
      <c r="N148" s="2" t="s">
        <v>392</v>
      </c>
      <c r="O148" s="2" t="s">
        <v>56</v>
      </c>
    </row>
    <row r="149" spans="1:15">
      <c r="A149" s="2" t="s">
        <v>3278</v>
      </c>
      <c r="B149" s="2" t="s">
        <v>3279</v>
      </c>
      <c r="C149" s="2" t="s">
        <v>3872</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3279</v>
      </c>
      <c r="I149" s="2" t="s">
        <v>3046</v>
      </c>
      <c r="J149" s="2" t="s">
        <v>53</v>
      </c>
      <c r="K149" s="2">
        <v>1</v>
      </c>
      <c r="L149" s="2" t="s">
        <v>54</v>
      </c>
      <c r="M149" s="2" t="s">
        <v>55</v>
      </c>
      <c r="N149" s="2" t="s">
        <v>392</v>
      </c>
      <c r="O149" s="2" t="s">
        <v>56</v>
      </c>
    </row>
    <row r="150" spans="1:15">
      <c r="A150" s="2" t="s">
        <v>3280</v>
      </c>
      <c r="B150" s="2" t="s">
        <v>3281</v>
      </c>
      <c r="C150" s="2" t="s">
        <v>3873</v>
      </c>
      <c r="D150" s="3">
        <f>(('Facts'!F469*1)+('Facts'!F470*1))*1</f>
        <v>-44398991.01</v>
      </c>
      <c r="E150" s="3">
        <f>D150/K150</f>
        <v>-44398991.01</v>
      </c>
      <c r="F150" s="2" t="str">
        <f>IF(ISNUMBER(D150),"calculated","not_calculated")</f>
        <v>calculated</v>
      </c>
      <c r="G150" s="2">
        <f>IF(ISNUMBER(D150),"","检查缺失值、分母与输入；口径变更须重跑Python")</f>
        <v/>
      </c>
      <c r="H150" s="2" t="s">
        <v>3281</v>
      </c>
      <c r="I150" s="2" t="s">
        <v>3046</v>
      </c>
      <c r="J150" s="2" t="s">
        <v>53</v>
      </c>
      <c r="K150" s="2">
        <v>1</v>
      </c>
      <c r="L150" s="2" t="s">
        <v>54</v>
      </c>
      <c r="M150" s="2" t="s">
        <v>55</v>
      </c>
      <c r="N150" s="2" t="s">
        <v>392</v>
      </c>
      <c r="O150" s="2" t="s">
        <v>56</v>
      </c>
    </row>
    <row r="151" spans="1:15">
      <c r="A151" s="2" t="s">
        <v>3282</v>
      </c>
      <c r="B151" s="2" t="s">
        <v>3283</v>
      </c>
      <c r="C151" s="2" t="s">
        <v>3874</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3283</v>
      </c>
      <c r="I151" s="2" t="s">
        <v>3046</v>
      </c>
      <c r="J151" s="2" t="s">
        <v>3139</v>
      </c>
      <c r="K151" s="2">
        <v>1</v>
      </c>
      <c r="L151" s="2" t="s">
        <v>54</v>
      </c>
      <c r="M151" s="2" t="s">
        <v>55</v>
      </c>
      <c r="N151" s="2" t="s">
        <v>392</v>
      </c>
      <c r="O151" s="2" t="s">
        <v>56</v>
      </c>
    </row>
    <row r="152" spans="1:15">
      <c r="A152" s="2" t="s">
        <v>3284</v>
      </c>
      <c r="B152" s="2" t="s">
        <v>3285</v>
      </c>
      <c r="C152" s="2" t="s">
        <v>3875</v>
      </c>
      <c r="D152" s="3">
        <f>(('Calculations'!D55-'Facts'!F481))*1</f>
        <v>-241363360.06</v>
      </c>
      <c r="E152" s="3">
        <f>D152/K152</f>
        <v>-241363360.06</v>
      </c>
      <c r="F152" s="2" t="str">
        <f>IF(ISNUMBER(D152),"calculated","not_calculated")</f>
        <v>calculated</v>
      </c>
      <c r="G152" s="2">
        <f>IF(ISNUMBER(D152),"","检查缺失值、分母与输入；口径变更须重跑Python")</f>
        <v/>
      </c>
      <c r="H152" s="2" t="s">
        <v>3285</v>
      </c>
      <c r="I152" s="2" t="s">
        <v>3046</v>
      </c>
      <c r="J152" s="2" t="s">
        <v>53</v>
      </c>
      <c r="K152" s="2">
        <v>1</v>
      </c>
      <c r="L152" s="2" t="s">
        <v>54</v>
      </c>
      <c r="M152" s="2" t="s">
        <v>55</v>
      </c>
      <c r="N152" s="2" t="s">
        <v>392</v>
      </c>
      <c r="O152" s="2" t="s">
        <v>56</v>
      </c>
    </row>
    <row r="153" spans="1:15">
      <c r="A153" s="2" t="s">
        <v>3286</v>
      </c>
      <c r="B153" s="2" t="s">
        <v>3287</v>
      </c>
      <c r="C153" s="2" t="s">
        <v>3876</v>
      </c>
      <c r="D153" s="3">
        <f>(('Calculations'!D40*1)+('Facts'!F398*1))*1</f>
        <v>5450525503.92</v>
      </c>
      <c r="E153" s="3">
        <f>D153/K153</f>
        <v>5450525503.92</v>
      </c>
      <c r="F153" s="2" t="str">
        <f>IF(ISNUMBER(D153),"calculated","not_calculated")</f>
        <v>calculated</v>
      </c>
      <c r="G153" s="2">
        <f>IF(ISNUMBER(D153),"","检查缺失值、分母与输入；口径变更须重跑Python")</f>
        <v/>
      </c>
      <c r="H153" s="2" t="s">
        <v>3288</v>
      </c>
      <c r="I153" s="2" t="s">
        <v>3046</v>
      </c>
      <c r="J153" s="2" t="s">
        <v>53</v>
      </c>
      <c r="K153" s="2">
        <v>1</v>
      </c>
      <c r="L153" s="2" t="s">
        <v>54</v>
      </c>
      <c r="M153" s="2" t="s">
        <v>55</v>
      </c>
      <c r="N153" s="2"/>
      <c r="O153" s="2" t="s">
        <v>56</v>
      </c>
    </row>
    <row r="154" spans="1:15">
      <c r="A154" s="2" t="s">
        <v>3289</v>
      </c>
      <c r="B154" s="2" t="s">
        <v>3290</v>
      </c>
      <c r="C154" s="2" t="s">
        <v>3877</v>
      </c>
      <c r="D154" s="3">
        <f>(('Calculations'!D153*1)+('Facts'!F109*1))*1</f>
        <v>9502599308.67</v>
      </c>
      <c r="E154" s="3">
        <f>D154/K154</f>
        <v>9502599308.67</v>
      </c>
      <c r="F154" s="2" t="str">
        <f>IF(ISNUMBER(D154),"calculated","not_calculated")</f>
        <v>calculated</v>
      </c>
      <c r="G154" s="2">
        <f>IF(ISNUMBER(D154),"","检查缺失值、分母与输入；口径变更须重跑Python")</f>
        <v/>
      </c>
      <c r="H154" s="2" t="s">
        <v>3290</v>
      </c>
      <c r="I154" s="2" t="s">
        <v>3046</v>
      </c>
      <c r="J154" s="2" t="s">
        <v>53</v>
      </c>
      <c r="K154" s="2">
        <v>1</v>
      </c>
      <c r="L154" s="2" t="s">
        <v>54</v>
      </c>
      <c r="M154" s="2" t="s">
        <v>55</v>
      </c>
      <c r="N154" s="2"/>
      <c r="O154" s="2" t="s">
        <v>56</v>
      </c>
    </row>
    <row r="155" spans="1:15">
      <c r="A155" s="2" t="s">
        <v>3291</v>
      </c>
      <c r="B155" s="2" t="s">
        <v>3292</v>
      </c>
      <c r="C155" s="2" t="s">
        <v>3878</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3292</v>
      </c>
      <c r="I155" s="2" t="s">
        <v>3046</v>
      </c>
      <c r="J155" s="2" t="s">
        <v>3117</v>
      </c>
      <c r="K155" s="2">
        <v>1</v>
      </c>
      <c r="L155" s="2" t="s">
        <v>54</v>
      </c>
      <c r="M155" s="2" t="s">
        <v>55</v>
      </c>
      <c r="N155" s="2"/>
      <c r="O155" s="2" t="s">
        <v>56</v>
      </c>
    </row>
    <row r="156" spans="1:15">
      <c r="A156" s="2" t="s">
        <v>3293</v>
      </c>
      <c r="B156" s="2" t="s">
        <v>3294</v>
      </c>
      <c r="C156" s="2" t="s">
        <v>3879</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3295</v>
      </c>
      <c r="I156" s="2" t="s">
        <v>3046</v>
      </c>
      <c r="J156" s="2" t="s">
        <v>53</v>
      </c>
      <c r="K156" s="2">
        <v>1</v>
      </c>
      <c r="L156" s="2" t="s">
        <v>54</v>
      </c>
      <c r="M156" s="2" t="s">
        <v>55</v>
      </c>
      <c r="N156" s="2"/>
      <c r="O156" s="2" t="s">
        <v>56</v>
      </c>
    </row>
    <row r="157" spans="1:15">
      <c r="A157" s="2" t="s">
        <v>3296</v>
      </c>
      <c r="B157" s="2" t="s">
        <v>3297</v>
      </c>
      <c r="C157" s="2" t="s">
        <v>3880</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3297</v>
      </c>
      <c r="I157" s="2" t="s">
        <v>3046</v>
      </c>
      <c r="J157" s="2" t="s">
        <v>3117</v>
      </c>
      <c r="K157" s="2">
        <v>1</v>
      </c>
      <c r="L157" s="2" t="s">
        <v>54</v>
      </c>
      <c r="M157" s="2" t="s">
        <v>55</v>
      </c>
      <c r="N157" s="2"/>
      <c r="O157" s="2" t="s">
        <v>56</v>
      </c>
    </row>
    <row r="158" spans="1:15">
      <c r="A158" s="2" t="s">
        <v>3298</v>
      </c>
      <c r="B158" s="2" t="s">
        <v>3299</v>
      </c>
      <c r="C158" s="2" t="s">
        <v>3881</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3300</v>
      </c>
      <c r="I158" s="2" t="s">
        <v>3301</v>
      </c>
      <c r="J158" s="2" t="s">
        <v>3117</v>
      </c>
      <c r="K158" s="2">
        <v>1</v>
      </c>
      <c r="L158" s="2" t="s">
        <v>54</v>
      </c>
      <c r="M158" s="2" t="s">
        <v>55</v>
      </c>
      <c r="N158" s="2"/>
      <c r="O158" s="2" t="s">
        <v>56</v>
      </c>
    </row>
    <row r="159" spans="1:15">
      <c r="A159" s="2" t="s">
        <v>3302</v>
      </c>
      <c r="B159" s="2" t="s">
        <v>3303</v>
      </c>
      <c r="C159" s="2" t="s">
        <v>3882</v>
      </c>
      <c r="D159" s="3">
        <f>(('Facts'!F408*1)+('Facts'!F410*1))*1</f>
        <v>10401170987.71</v>
      </c>
      <c r="E159" s="3">
        <f>D159/K159</f>
        <v>10401170987.71</v>
      </c>
      <c r="F159" s="2" t="str">
        <f>IF(ISNUMBER(D159),"calculated","not_calculated")</f>
        <v>calculated</v>
      </c>
      <c r="G159" s="2">
        <f>IF(ISNUMBER(D159),"","检查缺失值、分母与输入；口径变更须重跑Python")</f>
        <v/>
      </c>
      <c r="H159" s="2" t="s">
        <v>3303</v>
      </c>
      <c r="I159" s="2" t="s">
        <v>3046</v>
      </c>
      <c r="J159" s="2" t="s">
        <v>53</v>
      </c>
      <c r="K159" s="2">
        <v>1</v>
      </c>
      <c r="L159" s="2" t="s">
        <v>54</v>
      </c>
      <c r="M159" s="2" t="s">
        <v>1296</v>
      </c>
      <c r="N159" s="2"/>
      <c r="O159" s="2" t="s">
        <v>56</v>
      </c>
    </row>
    <row r="160" spans="1:15">
      <c r="A160" s="2" t="s">
        <v>3304</v>
      </c>
      <c r="B160" s="2" t="s">
        <v>3305</v>
      </c>
      <c r="C160" s="2" t="s">
        <v>3883</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3305</v>
      </c>
      <c r="I160" s="2" t="s">
        <v>3046</v>
      </c>
      <c r="J160" s="2" t="s">
        <v>53</v>
      </c>
      <c r="K160" s="2">
        <v>1</v>
      </c>
      <c r="L160" s="2" t="s">
        <v>54</v>
      </c>
      <c r="M160" s="2" t="s">
        <v>1296</v>
      </c>
      <c r="N160" s="2" t="s">
        <v>392</v>
      </c>
      <c r="O160" s="2" t="s">
        <v>56</v>
      </c>
    </row>
    <row r="161" spans="1:15">
      <c r="A161" s="2" t="s">
        <v>3306</v>
      </c>
      <c r="B161" s="2" t="s">
        <v>3303</v>
      </c>
      <c r="C161" s="2" t="s">
        <v>3884</v>
      </c>
      <c r="D161" s="3">
        <f>(('Facts'!F409*1)+('Facts'!F411*1))*1</f>
        <v>15718736322.89</v>
      </c>
      <c r="E161" s="3">
        <f>D161/K161</f>
        <v>15718736322.89</v>
      </c>
      <c r="F161" s="2" t="str">
        <f>IF(ISNUMBER(D161),"calculated","not_calculated")</f>
        <v>calculated</v>
      </c>
      <c r="G161" s="2">
        <f>IF(ISNUMBER(D161),"","检查缺失值、分母与输入；口径变更须重跑Python")</f>
        <v/>
      </c>
      <c r="H161" s="2" t="s">
        <v>3303</v>
      </c>
      <c r="I161" s="2" t="s">
        <v>3046</v>
      </c>
      <c r="J161" s="2" t="s">
        <v>53</v>
      </c>
      <c r="K161" s="2">
        <v>1</v>
      </c>
      <c r="L161" s="2" t="s">
        <v>54</v>
      </c>
      <c r="M161" s="2" t="s">
        <v>1296</v>
      </c>
      <c r="N161" s="2"/>
      <c r="O161" s="2" t="s">
        <v>63</v>
      </c>
    </row>
    <row r="162" spans="1:15">
      <c r="A162" s="2" t="s">
        <v>3307</v>
      </c>
      <c r="B162" s="2" t="s">
        <v>3305</v>
      </c>
      <c r="C162" s="2" t="s">
        <v>3885</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3305</v>
      </c>
      <c r="I162" s="2" t="s">
        <v>3046</v>
      </c>
      <c r="J162" s="2" t="s">
        <v>53</v>
      </c>
      <c r="K162" s="2">
        <v>1</v>
      </c>
      <c r="L162" s="2" t="s">
        <v>54</v>
      </c>
      <c r="M162" s="2" t="s">
        <v>1296</v>
      </c>
      <c r="N162" s="2" t="s">
        <v>397</v>
      </c>
      <c r="O162" s="2" t="s">
        <v>63</v>
      </c>
    </row>
    <row r="163" spans="1:15">
      <c r="A163" s="2" t="s">
        <v>3308</v>
      </c>
      <c r="B163" s="2" t="s">
        <v>3309</v>
      </c>
      <c r="C163" s="2" t="s">
        <v>3886</v>
      </c>
      <c r="D163" s="3">
        <f>(('Facts'!F411*1)+('Facts'!F577*1))*1</f>
        <v>3948078687.1</v>
      </c>
      <c r="E163" s="3">
        <f>D163/K163</f>
        <v>3948078687.1</v>
      </c>
      <c r="F163" s="2" t="str">
        <f>IF(ISNUMBER(D163),"calculated","not_calculated")</f>
        <v>calculated</v>
      </c>
      <c r="G163" s="2">
        <f>IF(ISNUMBER(D163),"","检查缺失值、分母与输入；口径变更须重跑Python")</f>
        <v/>
      </c>
      <c r="H163" s="2" t="s">
        <v>3309</v>
      </c>
      <c r="I163" s="2" t="s">
        <v>3046</v>
      </c>
      <c r="J163" s="2" t="s">
        <v>53</v>
      </c>
      <c r="K163" s="2">
        <v>1</v>
      </c>
      <c r="L163" s="2" t="s">
        <v>54</v>
      </c>
      <c r="M163" s="2" t="s">
        <v>1296</v>
      </c>
      <c r="N163" s="2"/>
      <c r="O163" s="2" t="s">
        <v>63</v>
      </c>
    </row>
    <row r="164" spans="1:15">
      <c r="A164" s="2" t="s">
        <v>3310</v>
      </c>
      <c r="B164" s="2" t="s">
        <v>3311</v>
      </c>
      <c r="C164" s="2" t="s">
        <v>3887</v>
      </c>
      <c r="D164" s="3">
        <f>(('Facts'!F576*1)+('Facts'!F418*1)+('Facts'!F578*1)+('Facts'!F579*-1)+('Facts'!F580*1))*1</f>
        <v>3354795252.08</v>
      </c>
      <c r="E164" s="3">
        <f>D164/K164</f>
        <v>3354795252.08</v>
      </c>
      <c r="F164" s="2" t="str">
        <f>IF(ISNUMBER(D164),"calculated","not_calculated")</f>
        <v>calculated</v>
      </c>
      <c r="G164" s="2">
        <f>IF(ISNUMBER(D164),"","检查缺失值、分母与输入；口径变更须重跑Python")</f>
        <v/>
      </c>
      <c r="H164" s="2" t="s">
        <v>3311</v>
      </c>
      <c r="I164" s="2" t="s">
        <v>3046</v>
      </c>
      <c r="J164" s="2" t="s">
        <v>53</v>
      </c>
      <c r="K164" s="2">
        <v>1</v>
      </c>
      <c r="L164" s="2" t="s">
        <v>54</v>
      </c>
      <c r="M164" s="2" t="s">
        <v>1296</v>
      </c>
      <c r="N164" s="2" t="s">
        <v>392</v>
      </c>
      <c r="O164" s="2" t="s">
        <v>56</v>
      </c>
    </row>
    <row r="165" spans="1:15">
      <c r="A165" s="2" t="s">
        <v>3312</v>
      </c>
      <c r="B165" s="2" t="s">
        <v>3313</v>
      </c>
      <c r="C165" s="2" t="s">
        <v>3888</v>
      </c>
      <c r="D165" s="3">
        <f>(('Facts'!F511*1)+('Facts'!F512*1))*1</f>
        <v>13780575635.03</v>
      </c>
      <c r="E165" s="3">
        <f>D165/K165</f>
        <v>13780575635.03</v>
      </c>
      <c r="F165" s="2" t="str">
        <f>IF(ISNUMBER(D165),"calculated","not_calculated")</f>
        <v>calculated</v>
      </c>
      <c r="G165" s="2">
        <f>IF(ISNUMBER(D165),"","检查缺失值、分母与输入；口径变更须重跑Python")</f>
        <v/>
      </c>
      <c r="H165" s="2" t="s">
        <v>3313</v>
      </c>
      <c r="I165" s="2" t="s">
        <v>3046</v>
      </c>
      <c r="J165" s="2" t="s">
        <v>53</v>
      </c>
      <c r="K165" s="2">
        <v>1</v>
      </c>
      <c r="L165" s="2" t="s">
        <v>54</v>
      </c>
      <c r="M165" s="2" t="s">
        <v>55</v>
      </c>
      <c r="N165" s="2"/>
      <c r="O165" s="2" t="s">
        <v>815</v>
      </c>
    </row>
    <row r="166" spans="1:15">
      <c r="A166" s="2" t="s">
        <v>3314</v>
      </c>
      <c r="B166" s="2" t="s">
        <v>3315</v>
      </c>
      <c r="C166" s="2" t="s">
        <v>3889</v>
      </c>
      <c r="D166" s="3">
        <f>(('Facts'!F526-'Facts'!F527))*1</f>
        <v>1660190889.0</v>
      </c>
      <c r="E166" s="3">
        <f>D166/K166</f>
        <v>1660190889.0</v>
      </c>
      <c r="F166" s="2" t="str">
        <f>IF(ISNUMBER(D166),"calculated","not_calculated")</f>
        <v>calculated</v>
      </c>
      <c r="G166" s="2">
        <f>IF(ISNUMBER(D166),"","检查缺失值、分母与输入；口径变更须重跑Python")</f>
        <v/>
      </c>
      <c r="H166" s="2" t="s">
        <v>3315</v>
      </c>
      <c r="I166" s="2" t="s">
        <v>3046</v>
      </c>
      <c r="J166" s="2" t="s">
        <v>53</v>
      </c>
      <c r="K166" s="2">
        <v>1</v>
      </c>
      <c r="L166" s="2" t="s">
        <v>54</v>
      </c>
      <c r="M166" s="2" t="s">
        <v>55</v>
      </c>
      <c r="N166" s="2" t="s">
        <v>1573</v>
      </c>
      <c r="O166" s="2" t="s">
        <v>815</v>
      </c>
    </row>
    <row r="167" spans="1:15">
      <c r="A167" s="2" t="s">
        <v>3316</v>
      </c>
      <c r="B167" s="2" t="s">
        <v>3317</v>
      </c>
      <c r="C167" s="2" t="s">
        <v>3890</v>
      </c>
      <c r="D167" s="3">
        <f>(('Facts'!F521*1)+('Facts'!F522*1))*1</f>
        <v>5768951731.28</v>
      </c>
      <c r="E167" s="3">
        <f>D167/K167</f>
        <v>5768951731.28</v>
      </c>
      <c r="F167" s="2" t="str">
        <f>IF(ISNUMBER(D167),"calculated","not_calculated")</f>
        <v>calculated</v>
      </c>
      <c r="G167" s="2">
        <f>IF(ISNUMBER(D167),"","检查缺失值、分母与输入；口径变更须重跑Python")</f>
        <v/>
      </c>
      <c r="H167" s="2" t="s">
        <v>3317</v>
      </c>
      <c r="I167" s="2" t="s">
        <v>3046</v>
      </c>
      <c r="J167" s="2" t="s">
        <v>53</v>
      </c>
      <c r="K167" s="2">
        <v>1</v>
      </c>
      <c r="L167" s="2" t="s">
        <v>54</v>
      </c>
      <c r="M167" s="2" t="s">
        <v>55</v>
      </c>
      <c r="N167" s="2"/>
      <c r="O167" s="2" t="s">
        <v>815</v>
      </c>
    </row>
    <row r="168" spans="1:15">
      <c r="A168" s="2" t="s">
        <v>3318</v>
      </c>
      <c r="B168" s="2" t="s">
        <v>3319</v>
      </c>
      <c r="C168" s="2" t="s">
        <v>3891</v>
      </c>
      <c r="D168" s="3">
        <f>(('Facts'!F528*1)+('Facts'!F533*1)+('Facts'!F534*1)+('Facts'!F535*1)+('Facts'!F536*1))*1</f>
        <v>-63263060.96</v>
      </c>
      <c r="E168" s="3">
        <f>D168/K168</f>
        <v>-63263060.96</v>
      </c>
      <c r="F168" s="2" t="str">
        <f>IF(ISNUMBER(D168),"calculated","not_calculated")</f>
        <v>calculated</v>
      </c>
      <c r="G168" s="2">
        <f>IF(ISNUMBER(D168),"","检查缺失值、分母与输入；口径变更须重跑Python")</f>
        <v/>
      </c>
      <c r="H168" s="2" t="s">
        <v>3319</v>
      </c>
      <c r="I168" s="2" t="s">
        <v>3046</v>
      </c>
      <c r="J168" s="2" t="s">
        <v>53</v>
      </c>
      <c r="K168" s="2">
        <v>1</v>
      </c>
      <c r="L168" s="2" t="s">
        <v>54</v>
      </c>
      <c r="M168" s="2" t="s">
        <v>55</v>
      </c>
      <c r="N168" s="2" t="s">
        <v>1573</v>
      </c>
      <c r="O168" s="2" t="s">
        <v>815</v>
      </c>
    </row>
    <row r="169" spans="1:15">
      <c r="A169" s="2" t="s">
        <v>3320</v>
      </c>
      <c r="B169" s="2" t="s">
        <v>3321</v>
      </c>
      <c r="C169" s="2" t="s">
        <v>3892</v>
      </c>
      <c r="D169" s="3">
        <f>(('Facts'!F537*1)+('Facts'!F538*1)+('Facts'!F539*1)+('Facts'!F540*1))*1</f>
        <v>89462436.42</v>
      </c>
      <c r="E169" s="3">
        <f>D169/K169</f>
        <v>89462436.42</v>
      </c>
      <c r="F169" s="2" t="str">
        <f>IF(ISNUMBER(D169),"calculated","not_calculated")</f>
        <v>calculated</v>
      </c>
      <c r="G169" s="2">
        <f>IF(ISNUMBER(D169),"","检查缺失值、分母与输入；口径变更须重跑Python")</f>
        <v/>
      </c>
      <c r="H169" s="2" t="s">
        <v>3321</v>
      </c>
      <c r="I169" s="2" t="s">
        <v>3046</v>
      </c>
      <c r="J169" s="2" t="s">
        <v>53</v>
      </c>
      <c r="K169" s="2">
        <v>1</v>
      </c>
      <c r="L169" s="2" t="s">
        <v>54</v>
      </c>
      <c r="M169" s="2" t="s">
        <v>55</v>
      </c>
      <c r="N169" s="2" t="s">
        <v>1573</v>
      </c>
      <c r="O169" s="2" t="s">
        <v>815</v>
      </c>
    </row>
    <row r="170" spans="1:15">
      <c r="A170" s="2" t="s">
        <v>3322</v>
      </c>
      <c r="B170" s="2" t="s">
        <v>3323</v>
      </c>
      <c r="C170" s="2" t="s">
        <v>3893</v>
      </c>
      <c r="D170" s="3">
        <f>IF('Facts'!F510&lt;=0,NA(),(('Facts'!F511/'Facts'!F510))*1)</f>
        <v>0.6288149093404062</v>
      </c>
      <c r="E170" s="4">
        <f>D170</f>
        <v>0.6288149093404062</v>
      </c>
      <c r="F170" s="2" t="str">
        <f>IF(ISNUMBER(D170),"calculated","not_calculated")</f>
        <v>calculated</v>
      </c>
      <c r="G170" s="2">
        <f>IF(ISNUMBER(D170),"","检查缺失值、分母与输入；口径变更须重跑Python")</f>
        <v/>
      </c>
      <c r="H170" s="2" t="s">
        <v>3323</v>
      </c>
      <c r="I170" s="2" t="s">
        <v>3046</v>
      </c>
      <c r="J170" s="2" t="s">
        <v>3117</v>
      </c>
      <c r="K170" s="2">
        <v>1</v>
      </c>
      <c r="L170" s="2" t="s">
        <v>54</v>
      </c>
      <c r="M170" s="2" t="s">
        <v>55</v>
      </c>
      <c r="N170" s="2"/>
      <c r="O170" s="2" t="s">
        <v>815</v>
      </c>
    </row>
    <row r="171" spans="1:15">
      <c r="A171" s="2" t="s">
        <v>3324</v>
      </c>
      <c r="B171" s="2" t="s">
        <v>3325</v>
      </c>
      <c r="C171" s="2" t="s">
        <v>3894</v>
      </c>
      <c r="D171" s="3">
        <f>IF('Facts'!F526&lt;=0,NA(),(('Calculations'!D166/'Facts'!F526))*1)</f>
        <v>0.2089764215660355</v>
      </c>
      <c r="E171" s="4">
        <f>D171</f>
        <v>0.2089764215660355</v>
      </c>
      <c r="F171" s="2" t="str">
        <f>IF(ISNUMBER(D171),"calculated","not_calculated")</f>
        <v>calculated</v>
      </c>
      <c r="G171" s="2">
        <f>IF(ISNUMBER(D171),"","检查缺失值、分母与输入；口径变更须重跑Python")</f>
        <v/>
      </c>
      <c r="H171" s="2" t="s">
        <v>3325</v>
      </c>
      <c r="I171" s="2" t="s">
        <v>3046</v>
      </c>
      <c r="J171" s="2" t="s">
        <v>3117</v>
      </c>
      <c r="K171" s="2">
        <v>1</v>
      </c>
      <c r="L171" s="2" t="s">
        <v>54</v>
      </c>
      <c r="M171" s="2" t="s">
        <v>55</v>
      </c>
      <c r="N171" s="2" t="s">
        <v>1573</v>
      </c>
      <c r="O171" s="2" t="s">
        <v>815</v>
      </c>
    </row>
    <row r="172" spans="1:15">
      <c r="A172" s="2" t="s">
        <v>3326</v>
      </c>
      <c r="B172" s="2" t="s">
        <v>3327</v>
      </c>
      <c r="C172" s="2" t="s">
        <v>3895</v>
      </c>
      <c r="D172" s="3">
        <f>IF('Calculations'!D167&lt;=0,NA(),(('Facts'!F537/'Calculations'!D167))*1)</f>
        <v>0.03325160487474523</v>
      </c>
      <c r="E172" s="4">
        <f>D172</f>
        <v>0.03325160487474523</v>
      </c>
      <c r="F172" s="2" t="str">
        <f>IF(ISNUMBER(D172),"calculated","not_calculated")</f>
        <v>calculated</v>
      </c>
      <c r="G172" s="2">
        <f>IF(ISNUMBER(D172),"","检查缺失值、分母与输入；口径变更须重跑Python")</f>
        <v/>
      </c>
      <c r="H172" s="2" t="s">
        <v>3327</v>
      </c>
      <c r="I172" s="2" t="s">
        <v>3046</v>
      </c>
      <c r="J172" s="2" t="s">
        <v>3117</v>
      </c>
      <c r="K172" s="2">
        <v>1</v>
      </c>
      <c r="L172" s="2" t="s">
        <v>54</v>
      </c>
      <c r="M172" s="2" t="s">
        <v>55</v>
      </c>
      <c r="N172" s="2" t="s">
        <v>1573</v>
      </c>
      <c r="O172" s="2" t="s">
        <v>815</v>
      </c>
    </row>
    <row r="173" spans="1:15">
      <c r="A173" s="2" t="s">
        <v>3328</v>
      </c>
      <c r="B173" s="2" t="s">
        <v>3329</v>
      </c>
      <c r="C173" s="2" t="s">
        <v>3896</v>
      </c>
      <c r="D173" s="3">
        <f>(('Facts'!F550*1)+('Facts'!F551*1))*1</f>
        <v>12345316200.11</v>
      </c>
      <c r="E173" s="3">
        <f>D173/K173</f>
        <v>12345316200.11</v>
      </c>
      <c r="F173" s="2" t="str">
        <f>IF(ISNUMBER(D173),"calculated","not_calculated")</f>
        <v>calculated</v>
      </c>
      <c r="G173" s="2">
        <f>IF(ISNUMBER(D173),"","检查缺失值、分母与输入；口径变更须重跑Python")</f>
        <v/>
      </c>
      <c r="H173" s="2" t="s">
        <v>3329</v>
      </c>
      <c r="I173" s="2" t="s">
        <v>3046</v>
      </c>
      <c r="J173" s="2" t="s">
        <v>53</v>
      </c>
      <c r="K173" s="2">
        <v>1</v>
      </c>
      <c r="L173" s="2" t="s">
        <v>54</v>
      </c>
      <c r="M173" s="2" t="s">
        <v>55</v>
      </c>
      <c r="N173" s="2"/>
      <c r="O173" s="2" t="s">
        <v>1713</v>
      </c>
    </row>
    <row r="174" spans="1:15">
      <c r="A174" s="2" t="s">
        <v>3330</v>
      </c>
      <c r="B174" s="2" t="s">
        <v>3331</v>
      </c>
      <c r="C174" s="2" t="s">
        <v>3897</v>
      </c>
      <c r="D174" s="3">
        <f>(('Facts'!F568*1)+('Facts'!F569*1)+('Facts'!F570*1)+('Facts'!F571*1))*1</f>
        <v>82284050.57</v>
      </c>
      <c r="E174" s="3">
        <f>D174/K174</f>
        <v>82284050.57</v>
      </c>
      <c r="F174" s="2" t="str">
        <f>IF(ISNUMBER(D174),"calculated","not_calculated")</f>
        <v>calculated</v>
      </c>
      <c r="G174" s="2">
        <f>IF(ISNUMBER(D174),"","检查缺失值、分母与输入；口径变更须重跑Python")</f>
        <v/>
      </c>
      <c r="H174" s="2" t="s">
        <v>3331</v>
      </c>
      <c r="I174" s="2" t="s">
        <v>3046</v>
      </c>
      <c r="J174" s="2" t="s">
        <v>53</v>
      </c>
      <c r="K174" s="2">
        <v>1</v>
      </c>
      <c r="L174" s="2" t="s">
        <v>54</v>
      </c>
      <c r="M174" s="2" t="s">
        <v>55</v>
      </c>
      <c r="N174" s="2" t="s">
        <v>1742</v>
      </c>
      <c r="O174" s="2" t="s">
        <v>1713</v>
      </c>
    </row>
    <row r="175" spans="1:15">
      <c r="A175" s="2" t="s">
        <v>3332</v>
      </c>
      <c r="B175" s="2" t="s">
        <v>3333</v>
      </c>
      <c r="C175" s="2" t="s">
        <v>3898</v>
      </c>
      <c r="D175" s="3">
        <f>(('Facts'!F228*1)+('Facts'!F572*1))*1</f>
        <v>1690002729.18</v>
      </c>
      <c r="E175" s="3">
        <f>D175/K175</f>
        <v>1690002729.18</v>
      </c>
      <c r="F175" s="2" t="str">
        <f>IF(ISNUMBER(D175),"calculated","not_calculated")</f>
        <v>calculated</v>
      </c>
      <c r="G175" s="2">
        <f>IF(ISNUMBER(D175),"","检查缺失值、分母与输入；口径变更须重跑Python")</f>
        <v/>
      </c>
      <c r="H175" s="2" t="s">
        <v>3333</v>
      </c>
      <c r="I175" s="2" t="s">
        <v>3046</v>
      </c>
      <c r="J175" s="2" t="s">
        <v>53</v>
      </c>
      <c r="K175" s="2">
        <v>1</v>
      </c>
      <c r="L175" s="2" t="s">
        <v>54</v>
      </c>
      <c r="M175" s="2" t="s">
        <v>55</v>
      </c>
      <c r="N175" s="2" t="s">
        <v>1742</v>
      </c>
      <c r="O175" s="2" t="s">
        <v>1713</v>
      </c>
    </row>
    <row r="176" spans="1:15">
      <c r="A176" s="2" t="s">
        <v>3334</v>
      </c>
      <c r="B176" s="2" t="s">
        <v>3335</v>
      </c>
      <c r="C176" s="2" t="s">
        <v>3899</v>
      </c>
      <c r="D176" s="3">
        <f>(('Facts'!F562-'Facts'!F563))*1</f>
        <v>400439561.07</v>
      </c>
      <c r="E176" s="3">
        <f>D176/K176</f>
        <v>400439561.07</v>
      </c>
      <c r="F176" s="2" t="str">
        <f>IF(ISNUMBER(D176),"calculated","not_calculated")</f>
        <v>calculated</v>
      </c>
      <c r="G176" s="2">
        <f>IF(ISNUMBER(D176),"","检查缺失值、分母与输入；口径变更须重跑Python")</f>
        <v/>
      </c>
      <c r="H176" s="2" t="s">
        <v>3335</v>
      </c>
      <c r="I176" s="2" t="s">
        <v>3046</v>
      </c>
      <c r="J176" s="2" t="s">
        <v>53</v>
      </c>
      <c r="K176" s="2">
        <v>1</v>
      </c>
      <c r="L176" s="2" t="s">
        <v>54</v>
      </c>
      <c r="M176" s="2" t="s">
        <v>55</v>
      </c>
      <c r="N176" s="2" t="s">
        <v>1742</v>
      </c>
      <c r="O176" s="2" t="s">
        <v>1713</v>
      </c>
    </row>
    <row r="177" spans="1:15">
      <c r="A177" s="2" t="s">
        <v>3336</v>
      </c>
      <c r="B177" s="2" t="s">
        <v>3337</v>
      </c>
      <c r="C177" s="2" t="s">
        <v>3900</v>
      </c>
      <c r="D177" s="3">
        <f>IF('Facts'!F562&lt;=0,NA(),(('Calculations'!D176/'Facts'!F562))*1)</f>
        <v>0.27511362768744735</v>
      </c>
      <c r="E177" s="4">
        <f>D177</f>
        <v>0.27511362768744735</v>
      </c>
      <c r="F177" s="2" t="str">
        <f>IF(ISNUMBER(D177),"calculated","not_calculated")</f>
        <v>calculated</v>
      </c>
      <c r="G177" s="2">
        <f>IF(ISNUMBER(D177),"","检查缺失值、分母与输入；口径变更须重跑Python")</f>
        <v/>
      </c>
      <c r="H177" s="2" t="s">
        <v>3337</v>
      </c>
      <c r="I177" s="2" t="s">
        <v>3046</v>
      </c>
      <c r="J177" s="2" t="s">
        <v>3117</v>
      </c>
      <c r="K177" s="2">
        <v>1</v>
      </c>
      <c r="L177" s="2" t="s">
        <v>54</v>
      </c>
      <c r="M177" s="2" t="s">
        <v>55</v>
      </c>
      <c r="N177" s="2" t="s">
        <v>1742</v>
      </c>
      <c r="O177" s="2" t="s">
        <v>1713</v>
      </c>
    </row>
    <row r="178" spans="1:15">
      <c r="A178" s="2" t="s">
        <v>3338</v>
      </c>
      <c r="B178" s="2" t="s">
        <v>3339</v>
      </c>
      <c r="C178" s="2" t="s">
        <v>3901</v>
      </c>
      <c r="D178" s="3">
        <f>IF('Facts'!F549&lt;=0,NA(),(('Facts'!F550/'Facts'!F549))*1)</f>
        <v>0.6662178175125815</v>
      </c>
      <c r="E178" s="4">
        <f>D178</f>
        <v>0.6662178175125815</v>
      </c>
      <c r="F178" s="2" t="str">
        <f>IF(ISNUMBER(D178),"calculated","not_calculated")</f>
        <v>calculated</v>
      </c>
      <c r="G178" s="2">
        <f>IF(ISNUMBER(D178),"","检查缺失值、分母与输入；口径变更须重跑Python")</f>
        <v/>
      </c>
      <c r="H178" s="2" t="s">
        <v>3339</v>
      </c>
      <c r="I178" s="2" t="s">
        <v>3046</v>
      </c>
      <c r="J178" s="2" t="s">
        <v>3117</v>
      </c>
      <c r="K178" s="2">
        <v>1</v>
      </c>
      <c r="L178" s="2" t="s">
        <v>54</v>
      </c>
      <c r="M178" s="2" t="s">
        <v>55</v>
      </c>
      <c r="N178" s="2"/>
      <c r="O178" s="2" t="s">
        <v>1713</v>
      </c>
    </row>
    <row r="179" spans="1:15">
      <c r="A179" s="2" t="s">
        <v>3340</v>
      </c>
      <c r="B179" s="2" t="s">
        <v>3341</v>
      </c>
      <c r="C179" s="2" t="s">
        <v>3902</v>
      </c>
      <c r="D179" s="3">
        <f>(('Facts'!F568-'Facts'!F573))*1</f>
        <v>-87406327.34</v>
      </c>
      <c r="E179" s="3">
        <f>D179/K179</f>
        <v>-87406327.34</v>
      </c>
      <c r="F179" s="2" t="str">
        <f>IF(ISNUMBER(D179),"calculated","not_calculated")</f>
        <v>calculated</v>
      </c>
      <c r="G179" s="2">
        <f>IF(ISNUMBER(D179),"","检查缺失值、分母与输入；口径变更须重跑Python")</f>
        <v/>
      </c>
      <c r="H179" s="2" t="s">
        <v>3341</v>
      </c>
      <c r="I179" s="2" t="s">
        <v>3046</v>
      </c>
      <c r="J179" s="2" t="s">
        <v>53</v>
      </c>
      <c r="K179" s="2">
        <v>1</v>
      </c>
      <c r="L179" s="2" t="s">
        <v>54</v>
      </c>
      <c r="M179" s="2" t="s">
        <v>55</v>
      </c>
      <c r="N179" s="2" t="s">
        <v>1742</v>
      </c>
      <c r="O179" s="2" t="s">
        <v>1713</v>
      </c>
    </row>
    <row r="180" spans="1:15">
      <c r="A180" s="2" t="s">
        <v>3342</v>
      </c>
      <c r="B180" s="2" t="s">
        <v>3343</v>
      </c>
      <c r="C180" s="2" t="s">
        <v>3903</v>
      </c>
      <c r="D180" s="3">
        <f>(('Facts'!F508-'Facts'!F581))*1</f>
        <v>8715649727.69</v>
      </c>
      <c r="E180" s="3">
        <f>D180/K180</f>
        <v>8715649727.69</v>
      </c>
      <c r="F180" s="2" t="str">
        <f>IF(ISNUMBER(D180),"calculated","not_calculated")</f>
        <v>calculated</v>
      </c>
      <c r="G180" s="2">
        <f>IF(ISNUMBER(D180),"","检查缺失值、分母与输入；口径变更须重跑Python")</f>
        <v/>
      </c>
      <c r="H180" s="2" t="s">
        <v>3344</v>
      </c>
      <c r="I180" s="2" t="s">
        <v>3046</v>
      </c>
      <c r="J180" s="2" t="s">
        <v>53</v>
      </c>
      <c r="K180" s="2">
        <v>1</v>
      </c>
      <c r="L180" s="2" t="s">
        <v>54</v>
      </c>
      <c r="M180" s="2" t="s">
        <v>55</v>
      </c>
      <c r="N180" s="2"/>
      <c r="O180" s="2" t="s">
        <v>815</v>
      </c>
    </row>
    <row r="181" spans="1:15">
      <c r="A181" s="2" t="s">
        <v>3345</v>
      </c>
      <c r="B181" s="2" t="s">
        <v>3346</v>
      </c>
      <c r="C181" s="2" t="s">
        <v>3904</v>
      </c>
      <c r="D181" s="3">
        <f>(('Facts'!F582-'Facts'!F583))*1</f>
        <v>1086517625.11</v>
      </c>
      <c r="E181" s="3">
        <f>D181/K181</f>
        <v>1086517625.11</v>
      </c>
      <c r="F181" s="2" t="str">
        <f>IF(ISNUMBER(D181),"calculated","not_calculated")</f>
        <v>calculated</v>
      </c>
      <c r="G181" s="2">
        <f>IF(ISNUMBER(D181),"","检查缺失值、分母与输入；口径变更须重跑Python")</f>
        <v/>
      </c>
      <c r="H181" s="2" t="s">
        <v>3346</v>
      </c>
      <c r="I181" s="2" t="s">
        <v>3046</v>
      </c>
      <c r="J181" s="2" t="s">
        <v>53</v>
      </c>
      <c r="K181" s="2">
        <v>1</v>
      </c>
      <c r="L181" s="2" t="s">
        <v>54</v>
      </c>
      <c r="M181" s="2" t="s">
        <v>55</v>
      </c>
      <c r="N181" s="2"/>
      <c r="O181" s="2" t="s">
        <v>63</v>
      </c>
    </row>
    <row r="182" spans="1:15">
      <c r="A182" s="2" t="s">
        <v>3347</v>
      </c>
      <c r="B182" s="2" t="s">
        <v>3348</v>
      </c>
      <c r="C182" s="2" t="s">
        <v>3905</v>
      </c>
      <c r="D182" s="3">
        <f>(('Facts'!F584-'Facts'!F585))*1</f>
        <v>623308843.03</v>
      </c>
      <c r="E182" s="3">
        <f>D182/K182</f>
        <v>623308843.03</v>
      </c>
      <c r="F182" s="2" t="str">
        <f>IF(ISNUMBER(D182),"calculated","not_calculated")</f>
        <v>calculated</v>
      </c>
      <c r="G182" s="2">
        <f>IF(ISNUMBER(D182),"","检查缺失值、分母与输入；口径变更须重跑Python")</f>
        <v/>
      </c>
      <c r="H182" s="2" t="s">
        <v>3348</v>
      </c>
      <c r="I182" s="2" t="s">
        <v>3046</v>
      </c>
      <c r="J182" s="2" t="s">
        <v>53</v>
      </c>
      <c r="K182" s="2">
        <v>1</v>
      </c>
      <c r="L182" s="2" t="s">
        <v>54</v>
      </c>
      <c r="M182" s="2" t="s">
        <v>55</v>
      </c>
      <c r="N182" s="2"/>
      <c r="O182" s="2" t="s">
        <v>63</v>
      </c>
    </row>
    <row r="183" spans="1:15">
      <c r="A183" s="2" t="s">
        <v>3349</v>
      </c>
      <c r="B183" s="2" t="s">
        <v>3350</v>
      </c>
      <c r="C183" s="2" t="s">
        <v>3906</v>
      </c>
      <c r="D183" s="3">
        <f>(('Facts'!F235*1)+('Facts'!F233*1)+('Facts'!F237*1))*1</f>
        <v>623308843.03</v>
      </c>
      <c r="E183" s="3">
        <f>D183/K183</f>
        <v>623308843.03</v>
      </c>
      <c r="F183" s="2" t="str">
        <f>IF(ISNUMBER(D183),"calculated","not_calculated")</f>
        <v>calculated</v>
      </c>
      <c r="G183" s="2">
        <f>IF(ISNUMBER(D183),"","检查缺失值、分母与输入；口径变更须重跑Python")</f>
        <v/>
      </c>
      <c r="H183" s="2" t="s">
        <v>3350</v>
      </c>
      <c r="I183" s="2" t="s">
        <v>3046</v>
      </c>
      <c r="J183" s="2" t="s">
        <v>53</v>
      </c>
      <c r="K183" s="2">
        <v>1</v>
      </c>
      <c r="L183" s="2" t="s">
        <v>54</v>
      </c>
      <c r="M183" s="2" t="s">
        <v>55</v>
      </c>
      <c r="N183" s="2"/>
      <c r="O183" s="2" t="s">
        <v>63</v>
      </c>
    </row>
    <row r="184" spans="1:15">
      <c r="A184" s="2" t="s">
        <v>3351</v>
      </c>
      <c r="B184" s="2" t="s">
        <v>3352</v>
      </c>
      <c r="C184" s="2" t="s">
        <v>3907</v>
      </c>
      <c r="D184" s="3">
        <f>(('Facts'!F586*1)+('Facts'!F487*1))*1</f>
        <v>3416078844.83</v>
      </c>
      <c r="E184" s="3">
        <f>D184/K184</f>
        <v>3416078844.83</v>
      </c>
      <c r="F184" s="2" t="str">
        <f>IF(ISNUMBER(D184),"calculated","not_calculated")</f>
        <v>calculated</v>
      </c>
      <c r="G184" s="2">
        <f>IF(ISNUMBER(D184),"","检查缺失值、分母与输入；口径变更须重跑Python")</f>
        <v/>
      </c>
      <c r="H184" s="2" t="s">
        <v>3352</v>
      </c>
      <c r="I184" s="2" t="s">
        <v>3046</v>
      </c>
      <c r="J184" s="2" t="s">
        <v>53</v>
      </c>
      <c r="K184" s="2">
        <v>1</v>
      </c>
      <c r="L184" s="2" t="s">
        <v>54</v>
      </c>
      <c r="M184" s="2" t="s">
        <v>55</v>
      </c>
      <c r="N184" s="2"/>
      <c r="O184" s="2" t="s">
        <v>63</v>
      </c>
    </row>
    <row r="185" spans="1:15">
      <c r="A185" s="2" t="s">
        <v>3353</v>
      </c>
      <c r="B185" s="2" t="s">
        <v>3354</v>
      </c>
      <c r="C185" s="2" t="s">
        <v>3908</v>
      </c>
      <c r="D185" s="3">
        <f>(('Facts'!F587*1)+('Facts'!F487*1))*1</f>
        <v>2329561219.72</v>
      </c>
      <c r="E185" s="3">
        <f>D185/K185</f>
        <v>2329561219.72</v>
      </c>
      <c r="F185" s="2" t="str">
        <f>IF(ISNUMBER(D185),"calculated","not_calculated")</f>
        <v>calculated</v>
      </c>
      <c r="G185" s="2">
        <f>IF(ISNUMBER(D185),"","检查缺失值、分母与输入；口径变更须重跑Python")</f>
        <v/>
      </c>
      <c r="H185" s="2" t="s">
        <v>3354</v>
      </c>
      <c r="I185" s="2" t="s">
        <v>3046</v>
      </c>
      <c r="J185" s="2" t="s">
        <v>53</v>
      </c>
      <c r="K185" s="2">
        <v>1</v>
      </c>
      <c r="L185" s="2" t="s">
        <v>54</v>
      </c>
      <c r="M185" s="2" t="s">
        <v>55</v>
      </c>
      <c r="N185" s="2"/>
      <c r="O185" s="2" t="s">
        <v>63</v>
      </c>
    </row>
    <row r="186" spans="1:15">
      <c r="A186" s="2" t="s">
        <v>3355</v>
      </c>
      <c r="B186" s="2" t="s">
        <v>3356</v>
      </c>
      <c r="C186" s="2" t="s">
        <v>3909</v>
      </c>
      <c r="D186" s="3">
        <f>(AVERAGE('Facts'!F53,'Facts'!F508))*1</f>
        <v>14036304133.76</v>
      </c>
      <c r="E186" s="3">
        <f>D186/K186</f>
        <v>14036304133.76</v>
      </c>
      <c r="F186" s="2" t="str">
        <f>IF(ISNUMBER(D186),"calculated","not_calculated")</f>
        <v>calculated</v>
      </c>
      <c r="G186" s="2">
        <f>IF(ISNUMBER(D186),"","检查缺失值、分母与输入；口径变更须重跑Python")</f>
        <v/>
      </c>
      <c r="H186" s="2" t="s">
        <v>3356</v>
      </c>
      <c r="I186" s="2" t="s">
        <v>3046</v>
      </c>
      <c r="J186" s="2" t="s">
        <v>53</v>
      </c>
      <c r="K186" s="2">
        <v>1</v>
      </c>
      <c r="L186" s="2" t="s">
        <v>54</v>
      </c>
      <c r="M186" s="2" t="s">
        <v>55</v>
      </c>
      <c r="N186" s="2" t="s">
        <v>397</v>
      </c>
      <c r="O186" s="2" t="s">
        <v>63</v>
      </c>
    </row>
    <row r="187" spans="1:15">
      <c r="A187" s="2" t="s">
        <v>3357</v>
      </c>
      <c r="B187" s="2" t="s">
        <v>3358</v>
      </c>
      <c r="C187" s="2" t="s">
        <v>3910</v>
      </c>
      <c r="D187" s="3">
        <f>IF('Calculations'!D186&lt;=0,NA(),(('Facts'!F112/'Calculations'!D186))*1)</f>
        <v>0.4865100714991933</v>
      </c>
      <c r="E187" s="5">
        <f>D187</f>
        <v>0.4865100714991933</v>
      </c>
      <c r="F187" s="2" t="str">
        <f>IF(ISNUMBER(D187),"calculated","not_calculated")</f>
        <v>calculated</v>
      </c>
      <c r="G187" s="2">
        <f>IF(ISNUMBER(D187),"","检查缺失值、分母与输入；口径变更须重跑Python")</f>
        <v/>
      </c>
      <c r="H187" s="2" t="s">
        <v>3358</v>
      </c>
      <c r="I187" s="2" t="s">
        <v>3046</v>
      </c>
      <c r="J187" s="2" t="s">
        <v>3139</v>
      </c>
      <c r="K187" s="2">
        <v>1</v>
      </c>
      <c r="L187" s="2" t="s">
        <v>54</v>
      </c>
      <c r="M187" s="2" t="s">
        <v>55</v>
      </c>
      <c r="N187" s="2" t="s">
        <v>397</v>
      </c>
      <c r="O187" s="2" t="s">
        <v>63</v>
      </c>
    </row>
    <row r="188" spans="1:15">
      <c r="A188" s="2" t="s">
        <v>3359</v>
      </c>
      <c r="B188" s="2" t="s">
        <v>3360</v>
      </c>
      <c r="C188" s="2" t="s">
        <v>3911</v>
      </c>
      <c r="D188" s="3">
        <f>IF('Calculations'!D186&lt;=0,NA(),(('Calculations'!D106/'Calculations'!D186))*1)</f>
        <v>0.011066614157097886</v>
      </c>
      <c r="E188" s="4">
        <f>D188</f>
        <v>0.011066614157097886</v>
      </c>
      <c r="F188" s="2" t="str">
        <f>IF(ISNUMBER(D188),"calculated","not_calculated")</f>
        <v>calculated</v>
      </c>
      <c r="G188" s="2">
        <f>IF(ISNUMBER(D188),"","检查缺失值、分母与输入；口径变更须重跑Python")</f>
        <v/>
      </c>
      <c r="H188" s="2" t="s">
        <v>3360</v>
      </c>
      <c r="I188" s="2" t="s">
        <v>3046</v>
      </c>
      <c r="J188" s="2" t="s">
        <v>3117</v>
      </c>
      <c r="K188" s="2">
        <v>1</v>
      </c>
      <c r="L188" s="2" t="s">
        <v>54</v>
      </c>
      <c r="M188" s="2" t="s">
        <v>55</v>
      </c>
      <c r="N188" s="2" t="s">
        <v>397</v>
      </c>
      <c r="O188" s="2" t="s">
        <v>63</v>
      </c>
    </row>
    <row r="189" spans="1:15">
      <c r="A189" s="2" t="s">
        <v>3361</v>
      </c>
      <c r="B189" s="2" t="s">
        <v>3362</v>
      </c>
      <c r="C189" s="2" t="s">
        <v>3912</v>
      </c>
      <c r="D189" s="3">
        <f>(('Facts'!F112*1)+('Facts'!F114*-1)+('Facts'!F116*-1))*1</f>
        <v>1443354000.99</v>
      </c>
      <c r="E189" s="3">
        <f>D189/K189</f>
        <v>1443354000.99</v>
      </c>
      <c r="F189" s="2" t="str">
        <f>IF(ISNUMBER(D189),"calculated","not_calculated")</f>
        <v>calculated</v>
      </c>
      <c r="G189" s="2">
        <f>IF(ISNUMBER(D189),"","检查缺失值、分母与输入；口径变更须重跑Python")</f>
        <v/>
      </c>
      <c r="H189" s="2" t="s">
        <v>3362</v>
      </c>
      <c r="I189" s="2" t="s">
        <v>3046</v>
      </c>
      <c r="J189" s="2" t="s">
        <v>53</v>
      </c>
      <c r="K189" s="2">
        <v>1</v>
      </c>
      <c r="L189" s="2" t="s">
        <v>54</v>
      </c>
      <c r="M189" s="2" t="s">
        <v>55</v>
      </c>
      <c r="N189" s="2" t="s">
        <v>397</v>
      </c>
      <c r="O189" s="2" t="s">
        <v>63</v>
      </c>
    </row>
    <row r="190" spans="1:15">
      <c r="A190" s="2" t="s">
        <v>3363</v>
      </c>
      <c r="B190" s="2" t="s">
        <v>3364</v>
      </c>
      <c r="C190" s="2" t="s">
        <v>3913</v>
      </c>
      <c r="D190" s="3">
        <f>IF('Facts'!F112&lt;=0,NA(),(('Calculations'!D189/'Facts'!F112))*1)</f>
        <v>0.21136265487911396</v>
      </c>
      <c r="E190" s="4">
        <f>D190</f>
        <v>0.21136265487911396</v>
      </c>
      <c r="F190" s="2" t="str">
        <f>IF(ISNUMBER(D190),"calculated","not_calculated")</f>
        <v>calculated</v>
      </c>
      <c r="G190" s="2">
        <f>IF(ISNUMBER(D190),"","检查缺失值、分母与输入；口径变更须重跑Python")</f>
        <v/>
      </c>
      <c r="H190" s="2" t="s">
        <v>3365</v>
      </c>
      <c r="I190" s="2" t="s">
        <v>3046</v>
      </c>
      <c r="J190" s="2" t="s">
        <v>3117</v>
      </c>
      <c r="K190" s="2">
        <v>1</v>
      </c>
      <c r="L190" s="2" t="s">
        <v>54</v>
      </c>
      <c r="M190" s="2" t="s">
        <v>55</v>
      </c>
      <c r="N190" s="2" t="s">
        <v>397</v>
      </c>
      <c r="O190" s="2" t="s">
        <v>63</v>
      </c>
    </row>
    <row r="191" spans="1:15">
      <c r="A191" s="2" t="s">
        <v>3366</v>
      </c>
      <c r="B191" s="2" t="s">
        <v>3367</v>
      </c>
      <c r="C191" s="2" t="s">
        <v>3914</v>
      </c>
      <c r="D191" s="3">
        <f>(('Facts'!F3*1)+('Facts'!F5*1)+('Facts'!F7*1)+('Facts'!F589*1))*1</f>
        <v>4078035565.33</v>
      </c>
      <c r="E191" s="3">
        <f>D191/K191</f>
        <v>4078035565.33</v>
      </c>
      <c r="F191" s="2" t="str">
        <f>IF(ISNUMBER(D191),"calculated","not_calculated")</f>
        <v>calculated</v>
      </c>
      <c r="G191" s="2">
        <f>IF(ISNUMBER(D191),"","检查缺失值、分母与输入；口径变更须重跑Python")</f>
        <v/>
      </c>
      <c r="H191" s="2" t="s">
        <v>3368</v>
      </c>
      <c r="I191" s="2" t="s">
        <v>3046</v>
      </c>
      <c r="J191" s="2" t="s">
        <v>53</v>
      </c>
      <c r="K191" s="2">
        <v>1</v>
      </c>
      <c r="L191" s="2" t="s">
        <v>54</v>
      </c>
      <c r="M191" s="2" t="s">
        <v>55</v>
      </c>
      <c r="N191" s="2"/>
      <c r="O191" s="2" t="s">
        <v>63</v>
      </c>
    </row>
    <row r="192" spans="1:15">
      <c r="A192" s="2" t="s">
        <v>3369</v>
      </c>
      <c r="B192" s="2" t="s">
        <v>3370</v>
      </c>
      <c r="C192" s="2" t="s">
        <v>3915</v>
      </c>
      <c r="D192" s="3">
        <f>(('Calculations'!D191*1)+('Facts'!F231*-1)+('Facts'!F595*-1))*1</f>
        <v>2991085969.52</v>
      </c>
      <c r="E192" s="3">
        <f>D192/K192</f>
        <v>2991085969.52</v>
      </c>
      <c r="F192" s="2" t="str">
        <f>IF(ISNUMBER(D192),"calculated","not_calculated")</f>
        <v>calculated</v>
      </c>
      <c r="G192" s="2">
        <f>IF(ISNUMBER(D192),"","检查缺失值、分母与输入；口径变更须重跑Python")</f>
        <v/>
      </c>
      <c r="H192" s="2" t="s">
        <v>3371</v>
      </c>
      <c r="I192" s="2" t="s">
        <v>3046</v>
      </c>
      <c r="J192" s="2" t="s">
        <v>53</v>
      </c>
      <c r="K192" s="2">
        <v>1</v>
      </c>
      <c r="L192" s="2" t="s">
        <v>54</v>
      </c>
      <c r="M192" s="2" t="s">
        <v>55</v>
      </c>
      <c r="N192" s="2"/>
      <c r="O192" s="2" t="s">
        <v>63</v>
      </c>
    </row>
    <row r="193" spans="1:15">
      <c r="A193" s="2" t="s">
        <v>3372</v>
      </c>
      <c r="B193" s="2" t="s">
        <v>3373</v>
      </c>
      <c r="C193" s="2" t="s">
        <v>3916</v>
      </c>
      <c r="D193" s="3">
        <f>IF('Calculations'!D109&lt;=0,NA(),(('Calculations'!D192/'Calculations'!D109))*1)</f>
        <v>0.9078459882755748</v>
      </c>
      <c r="E193" s="5">
        <f>D193</f>
        <v>0.9078459882755748</v>
      </c>
      <c r="F193" s="2" t="str">
        <f>IF(ISNUMBER(D193),"calculated","not_calculated")</f>
        <v>calculated</v>
      </c>
      <c r="G193" s="2">
        <f>IF(ISNUMBER(D193),"","检查缺失值、分母与输入；口径变更须重跑Python")</f>
        <v/>
      </c>
      <c r="H193" s="2" t="s">
        <v>3373</v>
      </c>
      <c r="I193" s="2" t="s">
        <v>3046</v>
      </c>
      <c r="J193" s="2" t="s">
        <v>3139</v>
      </c>
      <c r="K193" s="2">
        <v>1</v>
      </c>
      <c r="L193" s="2" t="s">
        <v>54</v>
      </c>
      <c r="M193" s="2" t="s">
        <v>55</v>
      </c>
      <c r="N193" s="2"/>
      <c r="O193" s="2" t="s">
        <v>63</v>
      </c>
    </row>
    <row r="194" spans="1:15">
      <c r="A194" s="2" t="s">
        <v>3374</v>
      </c>
      <c r="B194" s="2" t="s">
        <v>3375</v>
      </c>
      <c r="C194" s="2" t="s">
        <v>3917</v>
      </c>
      <c r="D194" s="3">
        <f>(('Calculations'!D192-'Facts'!F597))*1</f>
        <v>2830068685.48</v>
      </c>
      <c r="E194" s="3">
        <f>D194/K194</f>
        <v>2830068685.48</v>
      </c>
      <c r="F194" s="2" t="str">
        <f>IF(ISNUMBER(D194),"calculated","not_calculated")</f>
        <v>calculated</v>
      </c>
      <c r="G194" s="2">
        <f>IF(ISNUMBER(D194),"","检查缺失值、分母与输入；口径变更须重跑Python")</f>
        <v/>
      </c>
      <c r="H194" s="2" t="s">
        <v>3376</v>
      </c>
      <c r="I194" s="2" t="s">
        <v>3046</v>
      </c>
      <c r="J194" s="2" t="s">
        <v>53</v>
      </c>
      <c r="K194" s="2">
        <v>1</v>
      </c>
      <c r="L194" s="2" t="s">
        <v>54</v>
      </c>
      <c r="M194" s="2" t="s">
        <v>55</v>
      </c>
      <c r="N194" s="2"/>
      <c r="O194" s="2" t="s">
        <v>63</v>
      </c>
    </row>
    <row r="195" spans="1:15">
      <c r="A195" s="2" t="s">
        <v>3377</v>
      </c>
      <c r="B195" s="2" t="s">
        <v>3378</v>
      </c>
      <c r="C195" s="2" t="s">
        <v>3918</v>
      </c>
      <c r="D195" s="3">
        <f>IF('Calculations'!D109&lt;=0,NA(),(('Calculations'!D194/'Calculations'!D109))*1)</f>
        <v>0.8589744757719736</v>
      </c>
      <c r="E195" s="5">
        <f>D195</f>
        <v>0.8589744757719736</v>
      </c>
      <c r="F195" s="2" t="str">
        <f>IF(ISNUMBER(D195),"calculated","not_calculated")</f>
        <v>calculated</v>
      </c>
      <c r="G195" s="2">
        <f>IF(ISNUMBER(D195),"","检查缺失值、分母与输入；口径变更须重跑Python")</f>
        <v/>
      </c>
      <c r="H195" s="2" t="s">
        <v>3378</v>
      </c>
      <c r="I195" s="2" t="s">
        <v>3046</v>
      </c>
      <c r="J195" s="2" t="s">
        <v>3139</v>
      </c>
      <c r="K195" s="2">
        <v>1</v>
      </c>
      <c r="L195" s="2" t="s">
        <v>54</v>
      </c>
      <c r="M195" s="2" t="s">
        <v>55</v>
      </c>
      <c r="N195" s="2"/>
      <c r="O195" s="2" t="s">
        <v>63</v>
      </c>
    </row>
    <row r="196" spans="1:15">
      <c r="A196" s="2" t="s">
        <v>3379</v>
      </c>
      <c r="B196" s="2" t="s">
        <v>3380</v>
      </c>
      <c r="C196" s="2" t="s">
        <v>3919</v>
      </c>
      <c r="D196" s="3">
        <f>IF('Facts'!F73&lt;=0,NA(),(('Facts'!F164/'Facts'!F73))*1)</f>
        <v>1.198373445238733</v>
      </c>
      <c r="E196" s="5">
        <f>D196</f>
        <v>1.198373445238733</v>
      </c>
      <c r="F196" s="2" t="str">
        <f>IF(ISNUMBER(D196),"calculated","not_calculated")</f>
        <v>calculated</v>
      </c>
      <c r="G196" s="2">
        <f>IF(ISNUMBER(D196),"","检查缺失值、分母与输入；口径变更须重跑Python")</f>
        <v/>
      </c>
      <c r="H196" s="2" t="s">
        <v>3380</v>
      </c>
      <c r="I196" s="2" t="s">
        <v>3046</v>
      </c>
      <c r="J196" s="2" t="s">
        <v>3139</v>
      </c>
      <c r="K196" s="2">
        <v>1</v>
      </c>
      <c r="L196" s="2" t="s">
        <v>54</v>
      </c>
      <c r="M196" s="2" t="s">
        <v>55</v>
      </c>
      <c r="N196" s="2" t="s">
        <v>397</v>
      </c>
      <c r="O196" s="2" t="s">
        <v>63</v>
      </c>
    </row>
    <row r="197" spans="1:15">
      <c r="A197" s="2" t="s">
        <v>3381</v>
      </c>
      <c r="B197" s="2" t="s">
        <v>3382</v>
      </c>
      <c r="C197" s="2" t="s">
        <v>3920</v>
      </c>
      <c r="D197" s="3" t="e">
        <f>(AVERAGE('Facts'!F9,'Facts'!F547))*1</f>
        <v>#N/A</v>
      </c>
      <c r="E197" s="3" t="e">
        <f>D197/K197</f>
        <v>#N/A</v>
      </c>
      <c r="F197" s="2" t="str">
        <f>IF(ISNUMBER(D197),"calculated","not_calculated")</f>
        <v>not_calculated</v>
      </c>
      <c r="G197" s="2" t="str">
        <f>IF(ISNUMBER(D197),"","检查缺失值、分母与输入；口径变更须重跑Python")</f>
        <v>检查缺失值、分母与输入；口径变更须重跑Python</v>
      </c>
      <c r="H197" s="2" t="s">
        <v>3382</v>
      </c>
      <c r="I197" s="2" t="s">
        <v>3046</v>
      </c>
      <c r="J197" s="2" t="s">
        <v>53</v>
      </c>
      <c r="K197" s="2">
        <v>1</v>
      </c>
      <c r="L197" s="2" t="s">
        <v>54</v>
      </c>
      <c r="M197" s="2" t="s">
        <v>55</v>
      </c>
      <c r="N197" s="2" t="s">
        <v>397</v>
      </c>
      <c r="O197" s="2" t="s">
        <v>63</v>
      </c>
    </row>
    <row r="198" spans="1:15">
      <c r="A198" s="2" t="s">
        <v>3385</v>
      </c>
      <c r="B198" s="2" t="s">
        <v>3386</v>
      </c>
      <c r="C198" s="2" t="s">
        <v>3921</v>
      </c>
      <c r="D198" s="3" t="e">
        <f>IF('Facts'!F112&lt;=0,NA(),(('Calculations'!D197/'Facts'!F112))*360)</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3386</v>
      </c>
      <c r="I198" s="2" t="s">
        <v>3046</v>
      </c>
      <c r="J198" s="2" t="s">
        <v>3387</v>
      </c>
      <c r="K198" s="2">
        <v>1</v>
      </c>
      <c r="L198" s="2" t="s">
        <v>54</v>
      </c>
      <c r="M198" s="2" t="s">
        <v>55</v>
      </c>
      <c r="N198" s="2" t="s">
        <v>397</v>
      </c>
      <c r="O198" s="2" t="s">
        <v>63</v>
      </c>
    </row>
    <row r="199" spans="1:15">
      <c r="A199" s="2" t="s">
        <v>3388</v>
      </c>
      <c r="B199" s="2" t="s">
        <v>3389</v>
      </c>
      <c r="C199" s="2" t="s">
        <v>3922</v>
      </c>
      <c r="D199" s="3" t="e">
        <f>(AVERAGE('Facts'!F17,'Facts'!F598))*1</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3389</v>
      </c>
      <c r="I199" s="2" t="s">
        <v>3046</v>
      </c>
      <c r="J199" s="2" t="s">
        <v>53</v>
      </c>
      <c r="K199" s="2">
        <v>1</v>
      </c>
      <c r="L199" s="2" t="s">
        <v>54</v>
      </c>
      <c r="M199" s="2" t="s">
        <v>55</v>
      </c>
      <c r="N199" s="2" t="s">
        <v>397</v>
      </c>
      <c r="O199" s="2" t="s">
        <v>63</v>
      </c>
    </row>
    <row r="200" spans="1:15">
      <c r="A200" s="2" t="s">
        <v>3390</v>
      </c>
      <c r="B200" s="2" t="s">
        <v>3391</v>
      </c>
      <c r="C200" s="2" t="s">
        <v>3923</v>
      </c>
      <c r="D200" s="3" t="e">
        <f>IF('Facts'!F114&lt;=0,NA(),(('Calculations'!D199/'Facts'!F114))*360)</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3391</v>
      </c>
      <c r="I200" s="2" t="s">
        <v>3046</v>
      </c>
      <c r="J200" s="2" t="s">
        <v>3387</v>
      </c>
      <c r="K200" s="2">
        <v>1</v>
      </c>
      <c r="L200" s="2" t="s">
        <v>54</v>
      </c>
      <c r="M200" s="2" t="s">
        <v>55</v>
      </c>
      <c r="N200" s="2" t="s">
        <v>397</v>
      </c>
      <c r="O200" s="2" t="s">
        <v>63</v>
      </c>
    </row>
    <row r="201" spans="1:15">
      <c r="A201" s="2" t="s">
        <v>3392</v>
      </c>
      <c r="B201" s="2" t="s">
        <v>3393</v>
      </c>
      <c r="C201" s="2" t="s">
        <v>3924</v>
      </c>
      <c r="D201" s="3" t="e">
        <f>(AVERAGE('Facts'!F59,'Facts'!F599))*1</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3393</v>
      </c>
      <c r="I201" s="2" t="s">
        <v>3046</v>
      </c>
      <c r="J201" s="2" t="s">
        <v>53</v>
      </c>
      <c r="K201" s="2">
        <v>1</v>
      </c>
      <c r="L201" s="2" t="s">
        <v>54</v>
      </c>
      <c r="M201" s="2" t="s">
        <v>55</v>
      </c>
      <c r="N201" s="2" t="s">
        <v>397</v>
      </c>
      <c r="O201" s="2" t="s">
        <v>63</v>
      </c>
    </row>
    <row r="202" spans="1:15">
      <c r="A202" s="2" t="s">
        <v>3394</v>
      </c>
      <c r="B202" s="2" t="s">
        <v>3395</v>
      </c>
      <c r="C202" s="2" t="s">
        <v>3925</v>
      </c>
      <c r="D202" s="3" t="e">
        <f>IF('Facts'!F114&lt;=0,NA(),(('Calculations'!D201/'Facts'!F114))*360)</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3395</v>
      </c>
      <c r="I202" s="2" t="s">
        <v>3046</v>
      </c>
      <c r="J202" s="2" t="s">
        <v>3387</v>
      </c>
      <c r="K202" s="2">
        <v>1</v>
      </c>
      <c r="L202" s="2" t="s">
        <v>54</v>
      </c>
      <c r="M202" s="2" t="s">
        <v>55</v>
      </c>
      <c r="N202" s="2" t="s">
        <v>397</v>
      </c>
      <c r="O202" s="2" t="s">
        <v>63</v>
      </c>
    </row>
    <row r="203" spans="1:15">
      <c r="A203" s="2" t="s">
        <v>3396</v>
      </c>
      <c r="B203" s="2" t="s">
        <v>3397</v>
      </c>
      <c r="C203" s="2" t="s">
        <v>3926</v>
      </c>
      <c r="D203" s="3" t="e">
        <f>(('Calculations'!D198*1)+('Calculations'!D200*1)+('Calculations'!D202*-1))*1</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3398</v>
      </c>
      <c r="I203" s="2" t="s">
        <v>3046</v>
      </c>
      <c r="J203" s="2" t="s">
        <v>3387</v>
      </c>
      <c r="K203" s="2">
        <v>1</v>
      </c>
      <c r="L203" s="2" t="s">
        <v>54</v>
      </c>
      <c r="M203" s="2" t="s">
        <v>55</v>
      </c>
      <c r="N203" s="2" t="s">
        <v>397</v>
      </c>
      <c r="O203" s="2" t="s">
        <v>63</v>
      </c>
    </row>
    <row r="204" spans="1:15">
      <c r="A204" s="2" t="s">
        <v>3399</v>
      </c>
      <c r="B204" s="2" t="s">
        <v>3356</v>
      </c>
      <c r="C204" s="2" t="s">
        <v>3927</v>
      </c>
      <c r="D204" s="3">
        <f>(AVERAGE('Facts'!F52,'Facts'!F53))*1</f>
        <v>13272344485.765</v>
      </c>
      <c r="E204" s="3">
        <f>D204/K204</f>
        <v>13272344485.765</v>
      </c>
      <c r="F204" s="2" t="str">
        <f>IF(ISNUMBER(D204),"calculated","not_calculated")</f>
        <v>calculated</v>
      </c>
      <c r="G204" s="2">
        <f>IF(ISNUMBER(D204),"","检查缺失值、分母与输入；口径变更须重跑Python")</f>
        <v/>
      </c>
      <c r="H204" s="2" t="s">
        <v>3356</v>
      </c>
      <c r="I204" s="2" t="s">
        <v>3046</v>
      </c>
      <c r="J204" s="2" t="s">
        <v>53</v>
      </c>
      <c r="K204" s="2">
        <v>1</v>
      </c>
      <c r="L204" s="2" t="s">
        <v>54</v>
      </c>
      <c r="M204" s="2" t="s">
        <v>55</v>
      </c>
      <c r="N204" s="2" t="s">
        <v>392</v>
      </c>
      <c r="O204" s="2" t="s">
        <v>56</v>
      </c>
    </row>
    <row r="205" spans="1:15">
      <c r="A205" s="2" t="s">
        <v>3400</v>
      </c>
      <c r="B205" s="2" t="s">
        <v>3358</v>
      </c>
      <c r="C205" s="2" t="s">
        <v>3928</v>
      </c>
      <c r="D205" s="3">
        <f>IF('Calculations'!D204&lt;=0,NA(),(('Facts'!F111/'Calculations'!D204))*1)</f>
        <v>0.45539239882543064</v>
      </c>
      <c r="E205" s="5">
        <f>D205</f>
        <v>0.45539239882543064</v>
      </c>
      <c r="F205" s="2" t="str">
        <f>IF(ISNUMBER(D205),"calculated","not_calculated")</f>
        <v>calculated</v>
      </c>
      <c r="G205" s="2">
        <f>IF(ISNUMBER(D205),"","检查缺失值、分母与输入；口径变更须重跑Python")</f>
        <v/>
      </c>
      <c r="H205" s="2" t="s">
        <v>3358</v>
      </c>
      <c r="I205" s="2" t="s">
        <v>3046</v>
      </c>
      <c r="J205" s="2" t="s">
        <v>3139</v>
      </c>
      <c r="K205" s="2">
        <v>1</v>
      </c>
      <c r="L205" s="2" t="s">
        <v>54</v>
      </c>
      <c r="M205" s="2" t="s">
        <v>55</v>
      </c>
      <c r="N205" s="2" t="s">
        <v>392</v>
      </c>
      <c r="O205" s="2" t="s">
        <v>56</v>
      </c>
    </row>
    <row r="206" spans="1:15">
      <c r="A206" s="2" t="s">
        <v>3401</v>
      </c>
      <c r="B206" s="2" t="s">
        <v>3360</v>
      </c>
      <c r="C206" s="2" t="s">
        <v>3929</v>
      </c>
      <c r="D206" s="3">
        <f>IF('Calculations'!D204&lt;=0,NA(),(('Calculations'!D38/'Calculations'!D204))*1)</f>
        <v>-0.03711408768423085</v>
      </c>
      <c r="E206" s="4">
        <f>D206</f>
        <v>-0.03711408768423085</v>
      </c>
      <c r="F206" s="2" t="str">
        <f>IF(ISNUMBER(D206),"calculated","not_calculated")</f>
        <v>calculated</v>
      </c>
      <c r="G206" s="2">
        <f>IF(ISNUMBER(D206),"","检查缺失值、分母与输入；口径变更须重跑Python")</f>
        <v/>
      </c>
      <c r="H206" s="2" t="s">
        <v>3360</v>
      </c>
      <c r="I206" s="2" t="s">
        <v>3046</v>
      </c>
      <c r="J206" s="2" t="s">
        <v>3117</v>
      </c>
      <c r="K206" s="2">
        <v>1</v>
      </c>
      <c r="L206" s="2" t="s">
        <v>54</v>
      </c>
      <c r="M206" s="2" t="s">
        <v>55</v>
      </c>
      <c r="N206" s="2" t="s">
        <v>392</v>
      </c>
      <c r="O206" s="2" t="s">
        <v>56</v>
      </c>
    </row>
    <row r="207" spans="1:15">
      <c r="A207" s="2" t="s">
        <v>3402</v>
      </c>
      <c r="B207" s="2" t="s">
        <v>3362</v>
      </c>
      <c r="C207" s="2" t="s">
        <v>3930</v>
      </c>
      <c r="D207" s="3">
        <f>(('Facts'!F111*1)+('Facts'!F113*-1)+('Facts'!F115*-1))*1</f>
        <v>1416974078.17</v>
      </c>
      <c r="E207" s="3">
        <f>D207/K207</f>
        <v>1416974078.17</v>
      </c>
      <c r="F207" s="2" t="str">
        <f>IF(ISNUMBER(D207),"calculated","not_calculated")</f>
        <v>calculated</v>
      </c>
      <c r="G207" s="2">
        <f>IF(ISNUMBER(D207),"","检查缺失值、分母与输入；口径变更须重跑Python")</f>
        <v/>
      </c>
      <c r="H207" s="2" t="s">
        <v>3362</v>
      </c>
      <c r="I207" s="2" t="s">
        <v>3046</v>
      </c>
      <c r="J207" s="2" t="s">
        <v>53</v>
      </c>
      <c r="K207" s="2">
        <v>1</v>
      </c>
      <c r="L207" s="2" t="s">
        <v>54</v>
      </c>
      <c r="M207" s="2" t="s">
        <v>55</v>
      </c>
      <c r="N207" s="2" t="s">
        <v>392</v>
      </c>
      <c r="O207" s="2" t="s">
        <v>56</v>
      </c>
    </row>
    <row r="208" spans="1:15">
      <c r="A208" s="2" t="s">
        <v>3403</v>
      </c>
      <c r="B208" s="2" t="s">
        <v>3364</v>
      </c>
      <c r="C208" s="2" t="s">
        <v>3931</v>
      </c>
      <c r="D208" s="3">
        <f>IF('Facts'!F111&lt;=0,NA(),(('Calculations'!D207/'Facts'!F111))*1)</f>
        <v>0.23443825642298916</v>
      </c>
      <c r="E208" s="4">
        <f>D208</f>
        <v>0.23443825642298916</v>
      </c>
      <c r="F208" s="2" t="str">
        <f>IF(ISNUMBER(D208),"calculated","not_calculated")</f>
        <v>calculated</v>
      </c>
      <c r="G208" s="2">
        <f>IF(ISNUMBER(D208),"","检查缺失值、分母与输入；口径变更须重跑Python")</f>
        <v/>
      </c>
      <c r="H208" s="2" t="s">
        <v>3365</v>
      </c>
      <c r="I208" s="2" t="s">
        <v>3046</v>
      </c>
      <c r="J208" s="2" t="s">
        <v>3117</v>
      </c>
      <c r="K208" s="2">
        <v>1</v>
      </c>
      <c r="L208" s="2" t="s">
        <v>54</v>
      </c>
      <c r="M208" s="2" t="s">
        <v>55</v>
      </c>
      <c r="N208" s="2" t="s">
        <v>392</v>
      </c>
      <c r="O208" s="2" t="s">
        <v>56</v>
      </c>
    </row>
    <row r="209" spans="1:15">
      <c r="A209" s="2" t="s">
        <v>3404</v>
      </c>
      <c r="B209" s="2" t="s">
        <v>3367</v>
      </c>
      <c r="C209" s="2" t="s">
        <v>3932</v>
      </c>
      <c r="D209" s="3">
        <f>(('Facts'!F2*1)+('Facts'!F4*1)+('Facts'!F6*1)+('Facts'!F588*1))*1</f>
        <v>2992589253.62</v>
      </c>
      <c r="E209" s="3">
        <f>D209/K209</f>
        <v>2992589253.62</v>
      </c>
      <c r="F209" s="2" t="str">
        <f>IF(ISNUMBER(D209),"calculated","not_calculated")</f>
        <v>calculated</v>
      </c>
      <c r="G209" s="2">
        <f>IF(ISNUMBER(D209),"","检查缺失值、分母与输入；口径变更须重跑Python")</f>
        <v/>
      </c>
      <c r="H209" s="2" t="s">
        <v>3368</v>
      </c>
      <c r="I209" s="2" t="s">
        <v>3046</v>
      </c>
      <c r="J209" s="2" t="s">
        <v>53</v>
      </c>
      <c r="K209" s="2">
        <v>1</v>
      </c>
      <c r="L209" s="2" t="s">
        <v>54</v>
      </c>
      <c r="M209" s="2" t="s">
        <v>55</v>
      </c>
      <c r="N209" s="2"/>
      <c r="O209" s="2" t="s">
        <v>56</v>
      </c>
    </row>
    <row r="210" spans="1:15">
      <c r="A210" s="2" t="s">
        <v>3405</v>
      </c>
      <c r="B210" s="2" t="s">
        <v>3370</v>
      </c>
      <c r="C210" s="2" t="s">
        <v>3933</v>
      </c>
      <c r="D210" s="3">
        <f>(('Calculations'!D209*1)+('Facts'!F230*-1)+('Facts'!F594*-1))*1</f>
        <v>2279346275.33</v>
      </c>
      <c r="E210" s="3">
        <f>D210/K210</f>
        <v>2279346275.33</v>
      </c>
      <c r="F210" s="2" t="str">
        <f>IF(ISNUMBER(D210),"calculated","not_calculated")</f>
        <v>calculated</v>
      </c>
      <c r="G210" s="2">
        <f>IF(ISNUMBER(D210),"","检查缺失值、分母与输入；口径变更须重跑Python")</f>
        <v/>
      </c>
      <c r="H210" s="2" t="s">
        <v>3371</v>
      </c>
      <c r="I210" s="2" t="s">
        <v>3046</v>
      </c>
      <c r="J210" s="2" t="s">
        <v>53</v>
      </c>
      <c r="K210" s="2">
        <v>1</v>
      </c>
      <c r="L210" s="2" t="s">
        <v>54</v>
      </c>
      <c r="M210" s="2" t="s">
        <v>55</v>
      </c>
      <c r="N210" s="2"/>
      <c r="O210" s="2" t="s">
        <v>56</v>
      </c>
    </row>
    <row r="211" spans="1:15">
      <c r="A211" s="2" t="s">
        <v>3406</v>
      </c>
      <c r="B211" s="2" t="s">
        <v>3373</v>
      </c>
      <c r="C211" s="2" t="s">
        <v>3934</v>
      </c>
      <c r="D211" s="3">
        <f>IF('Calculations'!D41&lt;=0,NA(),(('Calculations'!D210/'Calculations'!D41))*1)</f>
        <v>0.8122360755545687</v>
      </c>
      <c r="E211" s="5">
        <f>D211</f>
        <v>0.8122360755545687</v>
      </c>
      <c r="F211" s="2" t="str">
        <f>IF(ISNUMBER(D211),"calculated","not_calculated")</f>
        <v>calculated</v>
      </c>
      <c r="G211" s="2">
        <f>IF(ISNUMBER(D211),"","检查缺失值、分母与输入；口径变更须重跑Python")</f>
        <v/>
      </c>
      <c r="H211" s="2" t="s">
        <v>3373</v>
      </c>
      <c r="I211" s="2" t="s">
        <v>3046</v>
      </c>
      <c r="J211" s="2" t="s">
        <v>3139</v>
      </c>
      <c r="K211" s="2">
        <v>1</v>
      </c>
      <c r="L211" s="2" t="s">
        <v>54</v>
      </c>
      <c r="M211" s="2" t="s">
        <v>55</v>
      </c>
      <c r="N211" s="2"/>
      <c r="O211" s="2" t="s">
        <v>56</v>
      </c>
    </row>
    <row r="212" spans="1:15">
      <c r="A212" s="2" t="s">
        <v>3407</v>
      </c>
      <c r="B212" s="2" t="s">
        <v>3375</v>
      </c>
      <c r="C212" s="2" t="s">
        <v>3935</v>
      </c>
      <c r="D212" s="3">
        <f>(('Calculations'!D210-'Facts'!F596))*1</f>
        <v>2278534912.91</v>
      </c>
      <c r="E212" s="3">
        <f>D212/K212</f>
        <v>2278534912.91</v>
      </c>
      <c r="F212" s="2" t="str">
        <f>IF(ISNUMBER(D212),"calculated","not_calculated")</f>
        <v>calculated</v>
      </c>
      <c r="G212" s="2">
        <f>IF(ISNUMBER(D212),"","检查缺失值、分母与输入；口径变更须重跑Python")</f>
        <v/>
      </c>
      <c r="H212" s="2" t="s">
        <v>3376</v>
      </c>
      <c r="I212" s="2" t="s">
        <v>3046</v>
      </c>
      <c r="J212" s="2" t="s">
        <v>53</v>
      </c>
      <c r="K212" s="2">
        <v>1</v>
      </c>
      <c r="L212" s="2" t="s">
        <v>54</v>
      </c>
      <c r="M212" s="2" t="s">
        <v>55</v>
      </c>
      <c r="N212" s="2"/>
      <c r="O212" s="2" t="s">
        <v>56</v>
      </c>
    </row>
    <row r="213" spans="1:15">
      <c r="A213" s="2" t="s">
        <v>3408</v>
      </c>
      <c r="B213" s="2" t="s">
        <v>3378</v>
      </c>
      <c r="C213" s="2" t="s">
        <v>3936</v>
      </c>
      <c r="D213" s="3">
        <f>IF('Calculations'!D41&lt;=0,NA(),(('Calculations'!D212/'Calculations'!D41))*1)</f>
        <v>0.8119469497490666</v>
      </c>
      <c r="E213" s="5">
        <f>D213</f>
        <v>0.8119469497490666</v>
      </c>
      <c r="F213" s="2" t="str">
        <f>IF(ISNUMBER(D213),"calculated","not_calculated")</f>
        <v>calculated</v>
      </c>
      <c r="G213" s="2">
        <f>IF(ISNUMBER(D213),"","检查缺失值、分母与输入；口径变更须重跑Python")</f>
        <v/>
      </c>
      <c r="H213" s="2" t="s">
        <v>3378</v>
      </c>
      <c r="I213" s="2" t="s">
        <v>3046</v>
      </c>
      <c r="J213" s="2" t="s">
        <v>3139</v>
      </c>
      <c r="K213" s="2">
        <v>1</v>
      </c>
      <c r="L213" s="2" t="s">
        <v>54</v>
      </c>
      <c r="M213" s="2" t="s">
        <v>55</v>
      </c>
      <c r="N213" s="2"/>
      <c r="O213" s="2" t="s">
        <v>56</v>
      </c>
    </row>
    <row r="214" spans="1:15">
      <c r="A214" s="2" t="s">
        <v>3409</v>
      </c>
      <c r="B214" s="2" t="s">
        <v>3380</v>
      </c>
      <c r="C214" s="2" t="s">
        <v>3937</v>
      </c>
      <c r="D214" s="3">
        <f>IF('Facts'!F72&lt;=0,NA(),(('Facts'!F163/'Facts'!F72))*1)</f>
        <v>1.2413113543010241</v>
      </c>
      <c r="E214" s="5">
        <f>D214</f>
        <v>1.2413113543010241</v>
      </c>
      <c r="F214" s="2" t="str">
        <f>IF(ISNUMBER(D214),"calculated","not_calculated")</f>
        <v>calculated</v>
      </c>
      <c r="G214" s="2">
        <f>IF(ISNUMBER(D214),"","检查缺失值、分母与输入；口径变更须重跑Python")</f>
        <v/>
      </c>
      <c r="H214" s="2" t="s">
        <v>3380</v>
      </c>
      <c r="I214" s="2" t="s">
        <v>3046</v>
      </c>
      <c r="J214" s="2" t="s">
        <v>3139</v>
      </c>
      <c r="K214" s="2">
        <v>1</v>
      </c>
      <c r="L214" s="2" t="s">
        <v>54</v>
      </c>
      <c r="M214" s="2" t="s">
        <v>55</v>
      </c>
      <c r="N214" s="2" t="s">
        <v>392</v>
      </c>
      <c r="O214" s="2" t="s">
        <v>56</v>
      </c>
    </row>
    <row r="215" spans="1:15">
      <c r="A215" s="2" t="s">
        <v>3410</v>
      </c>
      <c r="B215" s="2" t="s">
        <v>3382</v>
      </c>
      <c r="C215" s="2" t="s">
        <v>3938</v>
      </c>
      <c r="D215" s="3">
        <f>(AVERAGE('Facts'!F8,'Facts'!F9))*1</f>
        <v>3683654692.155</v>
      </c>
      <c r="E215" s="3">
        <f>D215/K215</f>
        <v>3683654692.155</v>
      </c>
      <c r="F215" s="2" t="str">
        <f>IF(ISNUMBER(D215),"calculated","not_calculated")</f>
        <v>calculated</v>
      </c>
      <c r="G215" s="2">
        <f>IF(ISNUMBER(D215),"","检查缺失值、分母与输入；口径变更须重跑Python")</f>
        <v/>
      </c>
      <c r="H215" s="2" t="s">
        <v>3382</v>
      </c>
      <c r="I215" s="2" t="s">
        <v>3046</v>
      </c>
      <c r="J215" s="2" t="s">
        <v>53</v>
      </c>
      <c r="K215" s="2">
        <v>1</v>
      </c>
      <c r="L215" s="2" t="s">
        <v>54</v>
      </c>
      <c r="M215" s="2" t="s">
        <v>55</v>
      </c>
      <c r="N215" s="2" t="s">
        <v>392</v>
      </c>
      <c r="O215" s="2" t="s">
        <v>56</v>
      </c>
    </row>
    <row r="216" spans="1:15">
      <c r="A216" s="2" t="s">
        <v>3411</v>
      </c>
      <c r="B216" s="2" t="s">
        <v>3386</v>
      </c>
      <c r="C216" s="2" t="s">
        <v>3939</v>
      </c>
      <c r="D216" s="3">
        <f>IF('Facts'!F111&lt;=0,NA(),(('Calculations'!D215/'Facts'!F111))*360)</f>
        <v>219.40574268447995</v>
      </c>
      <c r="E216" s="3">
        <f>D216/K216</f>
        <v>219.40574268447995</v>
      </c>
      <c r="F216" s="2" t="str">
        <f>IF(ISNUMBER(D216),"calculated","not_calculated")</f>
        <v>calculated</v>
      </c>
      <c r="G216" s="2">
        <f>IF(ISNUMBER(D216),"","检查缺失值、分母与输入；口径变更须重跑Python")</f>
        <v/>
      </c>
      <c r="H216" s="2" t="s">
        <v>3386</v>
      </c>
      <c r="I216" s="2" t="s">
        <v>3046</v>
      </c>
      <c r="J216" s="2" t="s">
        <v>3387</v>
      </c>
      <c r="K216" s="2">
        <v>1</v>
      </c>
      <c r="L216" s="2" t="s">
        <v>54</v>
      </c>
      <c r="M216" s="2" t="s">
        <v>55</v>
      </c>
      <c r="N216" s="2" t="s">
        <v>392</v>
      </c>
      <c r="O216" s="2" t="s">
        <v>56</v>
      </c>
    </row>
    <row r="217" spans="1:15">
      <c r="A217" s="2" t="s">
        <v>3412</v>
      </c>
      <c r="B217" s="2" t="s">
        <v>3389</v>
      </c>
      <c r="C217" s="2" t="s">
        <v>3940</v>
      </c>
      <c r="D217" s="3">
        <f>(AVERAGE('Facts'!F16,'Facts'!F17))*1</f>
        <v>463072786.785</v>
      </c>
      <c r="E217" s="3">
        <f>D217/K217</f>
        <v>463072786.785</v>
      </c>
      <c r="F217" s="2" t="str">
        <f>IF(ISNUMBER(D217),"calculated","not_calculated")</f>
        <v>calculated</v>
      </c>
      <c r="G217" s="2">
        <f>IF(ISNUMBER(D217),"","检查缺失值、分母与输入；口径变更须重跑Python")</f>
        <v/>
      </c>
      <c r="H217" s="2" t="s">
        <v>3389</v>
      </c>
      <c r="I217" s="2" t="s">
        <v>3046</v>
      </c>
      <c r="J217" s="2" t="s">
        <v>53</v>
      </c>
      <c r="K217" s="2">
        <v>1</v>
      </c>
      <c r="L217" s="2" t="s">
        <v>54</v>
      </c>
      <c r="M217" s="2" t="s">
        <v>55</v>
      </c>
      <c r="N217" s="2" t="s">
        <v>392</v>
      </c>
      <c r="O217" s="2" t="s">
        <v>56</v>
      </c>
    </row>
    <row r="218" spans="1:15">
      <c r="A218" s="2" t="s">
        <v>3413</v>
      </c>
      <c r="B218" s="2" t="s">
        <v>3391</v>
      </c>
      <c r="C218" s="2" t="s">
        <v>3941</v>
      </c>
      <c r="D218" s="3">
        <f>IF('Facts'!F113&lt;=0,NA(),(('Calculations'!D217/'Facts'!F113))*360)</f>
        <v>36.38782383690133</v>
      </c>
      <c r="E218" s="3">
        <f>D218/K218</f>
        <v>36.38782383690133</v>
      </c>
      <c r="F218" s="2" t="str">
        <f>IF(ISNUMBER(D218),"calculated","not_calculated")</f>
        <v>calculated</v>
      </c>
      <c r="G218" s="2">
        <f>IF(ISNUMBER(D218),"","检查缺失值、分母与输入；口径变更须重跑Python")</f>
        <v/>
      </c>
      <c r="H218" s="2" t="s">
        <v>3391</v>
      </c>
      <c r="I218" s="2" t="s">
        <v>3046</v>
      </c>
      <c r="J218" s="2" t="s">
        <v>3387</v>
      </c>
      <c r="K218" s="2">
        <v>1</v>
      </c>
      <c r="L218" s="2" t="s">
        <v>54</v>
      </c>
      <c r="M218" s="2" t="s">
        <v>55</v>
      </c>
      <c r="N218" s="2" t="s">
        <v>392</v>
      </c>
      <c r="O218" s="2" t="s">
        <v>56</v>
      </c>
    </row>
    <row r="219" spans="1:15">
      <c r="A219" s="2" t="s">
        <v>3414</v>
      </c>
      <c r="B219" s="2" t="s">
        <v>3393</v>
      </c>
      <c r="C219" s="2" t="s">
        <v>3942</v>
      </c>
      <c r="D219" s="3">
        <f>(AVERAGE('Facts'!F58,'Facts'!F59))*1</f>
        <v>1597345753.015</v>
      </c>
      <c r="E219" s="3">
        <f>D219/K219</f>
        <v>1597345753.015</v>
      </c>
      <c r="F219" s="2" t="str">
        <f>IF(ISNUMBER(D219),"calculated","not_calculated")</f>
        <v>calculated</v>
      </c>
      <c r="G219" s="2">
        <f>IF(ISNUMBER(D219),"","检查缺失值、分母与输入；口径变更须重跑Python")</f>
        <v/>
      </c>
      <c r="H219" s="2" t="s">
        <v>3393</v>
      </c>
      <c r="I219" s="2" t="s">
        <v>3046</v>
      </c>
      <c r="J219" s="2" t="s">
        <v>53</v>
      </c>
      <c r="K219" s="2">
        <v>1</v>
      </c>
      <c r="L219" s="2" t="s">
        <v>54</v>
      </c>
      <c r="M219" s="2" t="s">
        <v>55</v>
      </c>
      <c r="N219" s="2" t="s">
        <v>392</v>
      </c>
      <c r="O219" s="2" t="s">
        <v>56</v>
      </c>
    </row>
    <row r="220" spans="1:15">
      <c r="A220" s="2" t="s">
        <v>3415</v>
      </c>
      <c r="B220" s="2" t="s">
        <v>3395</v>
      </c>
      <c r="C220" s="2" t="s">
        <v>3943</v>
      </c>
      <c r="D220" s="3">
        <f>IF('Facts'!F113&lt;=0,NA(),(('Calculations'!D219/'Facts'!F113))*360)</f>
        <v>125.51792617932153</v>
      </c>
      <c r="E220" s="3">
        <f>D220/K220</f>
        <v>125.51792617932153</v>
      </c>
      <c r="F220" s="2" t="str">
        <f>IF(ISNUMBER(D220),"calculated","not_calculated")</f>
        <v>calculated</v>
      </c>
      <c r="G220" s="2">
        <f>IF(ISNUMBER(D220),"","检查缺失值、分母与输入；口径变更须重跑Python")</f>
        <v/>
      </c>
      <c r="H220" s="2" t="s">
        <v>3395</v>
      </c>
      <c r="I220" s="2" t="s">
        <v>3046</v>
      </c>
      <c r="J220" s="2" t="s">
        <v>3387</v>
      </c>
      <c r="K220" s="2">
        <v>1</v>
      </c>
      <c r="L220" s="2" t="s">
        <v>54</v>
      </c>
      <c r="M220" s="2" t="s">
        <v>55</v>
      </c>
      <c r="N220" s="2" t="s">
        <v>392</v>
      </c>
      <c r="O220" s="2" t="s">
        <v>56</v>
      </c>
    </row>
    <row r="221" spans="1:15">
      <c r="A221" s="2" t="s">
        <v>3416</v>
      </c>
      <c r="B221" s="2" t="s">
        <v>3397</v>
      </c>
      <c r="C221" s="2" t="s">
        <v>3944</v>
      </c>
      <c r="D221" s="3">
        <f>(('Calculations'!D216*1)+('Calculations'!D218*1)+('Calculations'!D220*-1))*1</f>
        <v>130.27564034205975</v>
      </c>
      <c r="E221" s="3">
        <f>D221/K221</f>
        <v>130.27564034205975</v>
      </c>
      <c r="F221" s="2" t="str">
        <f>IF(ISNUMBER(D221),"calculated","not_calculated")</f>
        <v>calculated</v>
      </c>
      <c r="G221" s="2">
        <f>IF(ISNUMBER(D221),"","检查缺失值、分母与输入；口径变更须重跑Python")</f>
        <v/>
      </c>
      <c r="H221" s="2" t="s">
        <v>3398</v>
      </c>
      <c r="I221" s="2" t="s">
        <v>3046</v>
      </c>
      <c r="J221" s="2" t="s">
        <v>3387</v>
      </c>
      <c r="K221" s="2">
        <v>1</v>
      </c>
      <c r="L221" s="2" t="s">
        <v>54</v>
      </c>
      <c r="M221" s="2" t="s">
        <v>55</v>
      </c>
      <c r="N221" s="2" t="s">
        <v>392</v>
      </c>
      <c r="O221" s="2" t="s">
        <v>56</v>
      </c>
    </row>
    <row r="222" spans="1:15">
      <c r="A222" s="2" t="s">
        <v>3417</v>
      </c>
      <c r="B222" s="2" t="s">
        <v>3418</v>
      </c>
      <c r="C222" s="2" t="s">
        <v>3945</v>
      </c>
      <c r="D222" s="3">
        <f>(AVERAGE('Facts'!F264,'Facts'!F265))*1</f>
        <v>5389410073.9</v>
      </c>
      <c r="E222" s="3">
        <f>D222/K222</f>
        <v>5389410073.9</v>
      </c>
      <c r="F222" s="2" t="str">
        <f>IF(ISNUMBER(D222),"calculated","not_calculated")</f>
        <v>calculated</v>
      </c>
      <c r="G222" s="2">
        <f>IF(ISNUMBER(D222),"","检查缺失值、分母与输入；口径变更须重跑Python")</f>
        <v/>
      </c>
      <c r="H222" s="2" t="s">
        <v>3418</v>
      </c>
      <c r="I222" s="2" t="s">
        <v>3046</v>
      </c>
      <c r="J222" s="2" t="s">
        <v>53</v>
      </c>
      <c r="K222" s="2">
        <v>1</v>
      </c>
      <c r="L222" s="2" t="s">
        <v>54</v>
      </c>
      <c r="M222" s="2" t="s">
        <v>55</v>
      </c>
      <c r="N222" s="2" t="s">
        <v>392</v>
      </c>
      <c r="O222" s="2" t="s">
        <v>56</v>
      </c>
    </row>
    <row r="223" spans="1:15">
      <c r="A223" s="2" t="s">
        <v>3419</v>
      </c>
      <c r="B223" s="2" t="s">
        <v>3420</v>
      </c>
      <c r="C223" s="2" t="s">
        <v>3946</v>
      </c>
      <c r="D223" s="3">
        <f>IF('Facts'!F111&lt;=0,NA(),(('Calculations'!D222/'Facts'!F111))*360)</f>
        <v>321.0038993105198</v>
      </c>
      <c r="E223" s="3">
        <f>D223/K223</f>
        <v>321.0038993105198</v>
      </c>
      <c r="F223" s="2" t="str">
        <f>IF(ISNUMBER(D223),"calculated","not_calculated")</f>
        <v>calculated</v>
      </c>
      <c r="G223" s="2">
        <f>IF(ISNUMBER(D223),"","检查缺失值、分母与输入；口径变更须重跑Python")</f>
        <v/>
      </c>
      <c r="H223" s="2" t="s">
        <v>3420</v>
      </c>
      <c r="I223" s="2" t="s">
        <v>3046</v>
      </c>
      <c r="J223" s="2" t="s">
        <v>3387</v>
      </c>
      <c r="K223" s="2">
        <v>1</v>
      </c>
      <c r="L223" s="2" t="s">
        <v>54</v>
      </c>
      <c r="M223" s="2" t="s">
        <v>55</v>
      </c>
      <c r="N223" s="2" t="s">
        <v>392</v>
      </c>
      <c r="O223" s="2" t="s">
        <v>56</v>
      </c>
    </row>
    <row r="224" spans="1:15">
      <c r="A224" s="2" t="s">
        <v>3421</v>
      </c>
      <c r="B224" s="2" t="s">
        <v>3422</v>
      </c>
      <c r="C224" s="2" t="s">
        <v>3947</v>
      </c>
      <c r="D224" s="3">
        <f>(('Calculations'!D223*1)+('Calculations'!D218*1)+('Calculations'!D220*-1))*1</f>
        <v>231.8737969680996</v>
      </c>
      <c r="E224" s="3">
        <f>D224/K224</f>
        <v>231.8737969680996</v>
      </c>
      <c r="F224" s="2" t="str">
        <f>IF(ISNUMBER(D224),"calculated","not_calculated")</f>
        <v>calculated</v>
      </c>
      <c r="G224" s="2">
        <f>IF(ISNUMBER(D224),"","检查缺失值、分母与输入；口径变更须重跑Python")</f>
        <v/>
      </c>
      <c r="H224" s="2" t="s">
        <v>3423</v>
      </c>
      <c r="I224" s="2" t="s">
        <v>3046</v>
      </c>
      <c r="J224" s="2" t="s">
        <v>3387</v>
      </c>
      <c r="K224" s="2">
        <v>1</v>
      </c>
      <c r="L224" s="2" t="s">
        <v>54</v>
      </c>
      <c r="M224" s="2" t="s">
        <v>55</v>
      </c>
      <c r="N224" s="2" t="s">
        <v>392</v>
      </c>
      <c r="O224" s="2" t="s">
        <v>56</v>
      </c>
    </row>
    <row r="225" spans="1:15">
      <c r="A225" s="2" t="s">
        <v>3424</v>
      </c>
      <c r="B225" s="2" t="s">
        <v>3425</v>
      </c>
      <c r="C225" s="2" t="s">
        <v>3948</v>
      </c>
      <c r="D225" s="3" t="e">
        <f>(('Facts'!F544*1)+('Facts'!F602*1)+('Facts'!F603*1))*1</f>
        <v>#N/A</v>
      </c>
      <c r="E225" s="3" t="e">
        <f>D225/K225</f>
        <v>#N/A</v>
      </c>
      <c r="F225" s="2" t="str">
        <f>IF(ISNUMBER(D225),"calculated","not_calculated")</f>
        <v>not_calculated</v>
      </c>
      <c r="G225" s="2" t="str">
        <f>IF(ISNUMBER(D225),"","检查缺失值、分母与输入；口径变更须重跑Python")</f>
        <v>检查缺失值、分母与输入；口径变更须重跑Python</v>
      </c>
      <c r="H225" s="2" t="s">
        <v>3425</v>
      </c>
      <c r="I225" s="2" t="s">
        <v>3046</v>
      </c>
      <c r="J225" s="2" t="s">
        <v>53</v>
      </c>
      <c r="K225" s="2">
        <v>1</v>
      </c>
      <c r="L225" s="2" t="s">
        <v>54</v>
      </c>
      <c r="M225" s="2" t="s">
        <v>55</v>
      </c>
      <c r="N225" s="2" t="s">
        <v>1573</v>
      </c>
      <c r="O225" s="2" t="s">
        <v>815</v>
      </c>
    </row>
    <row r="226" spans="1:15">
      <c r="A226" s="2" t="s">
        <v>3426</v>
      </c>
      <c r="B226" s="2" t="s">
        <v>3427</v>
      </c>
      <c r="C226" s="2" t="s">
        <v>3949</v>
      </c>
      <c r="D226" s="3" t="e">
        <f>(('Facts'!F504*1)+('Facts'!F600*-1)+('Facts'!F601*-1))*1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3427</v>
      </c>
      <c r="I226" s="2" t="s">
        <v>3046</v>
      </c>
      <c r="J226" s="2" t="s">
        <v>53</v>
      </c>
      <c r="K226" s="2">
        <v>1</v>
      </c>
      <c r="L226" s="2" t="s">
        <v>54</v>
      </c>
      <c r="M226" s="2" t="s">
        <v>55</v>
      </c>
      <c r="N226" s="2" t="s">
        <v>1573</v>
      </c>
      <c r="O226" s="2" t="s">
        <v>815</v>
      </c>
    </row>
    <row r="227" spans="1:15">
      <c r="A227" s="2" t="s">
        <v>3428</v>
      </c>
      <c r="B227" s="2" t="s">
        <v>3429</v>
      </c>
      <c r="C227" s="2" t="s">
        <v>3950</v>
      </c>
      <c r="D227" s="3" t="e">
        <f>IF('Facts'!F504&lt;=0,NA(),(('Calculations'!D226/'Facts'!F504))*1)</f>
        <v>#N/A</v>
      </c>
      <c r="E227" s="4" t="e">
        <f>D227</f>
        <v>#N/A</v>
      </c>
      <c r="F227" s="2" t="str">
        <f>IF(ISNUMBER(D227),"calculated","not_calculated")</f>
        <v>not_calculated</v>
      </c>
      <c r="G227" s="2" t="str">
        <f>IF(ISNUMBER(D227),"","检查缺失值、分母与输入；口径变更须重跑Python")</f>
        <v>检查缺失值、分母与输入；口径变更须重跑Python</v>
      </c>
      <c r="H227" s="2" t="s">
        <v>3429</v>
      </c>
      <c r="I227" s="2" t="s">
        <v>3046</v>
      </c>
      <c r="J227" s="2" t="s">
        <v>3117</v>
      </c>
      <c r="K227" s="2">
        <v>1</v>
      </c>
      <c r="L227" s="2" t="s">
        <v>54</v>
      </c>
      <c r="M227" s="2" t="s">
        <v>55</v>
      </c>
      <c r="N227" s="2" t="s">
        <v>1573</v>
      </c>
      <c r="O227" s="2" t="s">
        <v>815</v>
      </c>
    </row>
    <row r="228" spans="1:15">
      <c r="A228" s="2" t="s">
        <v>3430</v>
      </c>
      <c r="B228" s="2" t="s">
        <v>3431</v>
      </c>
      <c r="C228" s="2" t="s">
        <v>3951</v>
      </c>
      <c r="D228" s="3">
        <f>(('Facts'!F526*1)+('Facts'!F527*-1)+('Facts'!F604*-1))*1</f>
        <v>1610401678.38</v>
      </c>
      <c r="E228" s="3">
        <f>D228/K228</f>
        <v>1610401678.38</v>
      </c>
      <c r="F228" s="2" t="str">
        <f>IF(ISNUMBER(D228),"calculated","not_calculated")</f>
        <v>calculated</v>
      </c>
      <c r="G228" s="2">
        <f>IF(ISNUMBER(D228),"","检查缺失值、分母与输入；口径变更须重跑Python")</f>
        <v/>
      </c>
      <c r="H228" s="2" t="s">
        <v>3431</v>
      </c>
      <c r="I228" s="2" t="s">
        <v>3046</v>
      </c>
      <c r="J228" s="2" t="s">
        <v>53</v>
      </c>
      <c r="K228" s="2">
        <v>1</v>
      </c>
      <c r="L228" s="2" t="s">
        <v>54</v>
      </c>
      <c r="M228" s="2" t="s">
        <v>55</v>
      </c>
      <c r="N228" s="2" t="s">
        <v>1573</v>
      </c>
      <c r="O228" s="2" t="s">
        <v>815</v>
      </c>
    </row>
    <row r="229" spans="1:15">
      <c r="A229" s="2" t="s">
        <v>3432</v>
      </c>
      <c r="B229" s="2" t="s">
        <v>3433</v>
      </c>
      <c r="C229" s="2" t="s">
        <v>3952</v>
      </c>
      <c r="D229" s="3">
        <f>IF('Facts'!F526&lt;=0,NA(),(('Calculations'!D228/'Facts'!F526))*1)</f>
        <v>0.2027092078757878</v>
      </c>
      <c r="E229" s="4">
        <f>D229</f>
        <v>0.2027092078757878</v>
      </c>
      <c r="F229" s="2" t="str">
        <f>IF(ISNUMBER(D229),"calculated","not_calculated")</f>
        <v>calculated</v>
      </c>
      <c r="G229" s="2">
        <f>IF(ISNUMBER(D229),"","检查缺失值、分母与输入；口径变更须重跑Python")</f>
        <v/>
      </c>
      <c r="H229" s="2" t="s">
        <v>3433</v>
      </c>
      <c r="I229" s="2" t="s">
        <v>3046</v>
      </c>
      <c r="J229" s="2" t="s">
        <v>3117</v>
      </c>
      <c r="K229" s="2">
        <v>1</v>
      </c>
      <c r="L229" s="2" t="s">
        <v>54</v>
      </c>
      <c r="M229" s="2" t="s">
        <v>55</v>
      </c>
      <c r="N229" s="2" t="s">
        <v>1573</v>
      </c>
      <c r="O229" s="2" t="s">
        <v>815</v>
      </c>
    </row>
    <row r="230" spans="1:15">
      <c r="A230" s="2" t="s">
        <v>3434</v>
      </c>
      <c r="B230" s="2" t="s">
        <v>3435</v>
      </c>
      <c r="C230" s="2" t="s">
        <v>3953</v>
      </c>
      <c r="D230" s="3">
        <f>(('Facts'!F581*1)+('Facts'!F162*1)+('Facts'!F607*1)+('Facts'!F608*-1)+('Facts'!F609*1)+('Facts'!F610*1))*1</f>
        <v>5067082436.51</v>
      </c>
      <c r="E230" s="3">
        <f>D230/K230</f>
        <v>5067082436.51</v>
      </c>
      <c r="F230" s="2" t="str">
        <f>IF(ISNUMBER(D230),"calculated","not_calculated")</f>
        <v>calculated</v>
      </c>
      <c r="G230" s="2">
        <f>IF(ISNUMBER(D230),"","检查缺失值、分母与输入；口径变更须重跑Python")</f>
        <v/>
      </c>
      <c r="H230" s="2" t="s">
        <v>3435</v>
      </c>
      <c r="I230" s="2" t="s">
        <v>3046</v>
      </c>
      <c r="J230" s="2" t="s">
        <v>53</v>
      </c>
      <c r="K230" s="2">
        <v>1</v>
      </c>
      <c r="L230" s="2" t="s">
        <v>54</v>
      </c>
      <c r="M230" s="2" t="s">
        <v>55</v>
      </c>
      <c r="N230" s="2" t="s">
        <v>397</v>
      </c>
      <c r="O230" s="2" t="s">
        <v>63</v>
      </c>
    </row>
    <row r="231" spans="1:15">
      <c r="A231" s="2" t="s">
        <v>3436</v>
      </c>
      <c r="B231" s="2" t="s">
        <v>3437</v>
      </c>
      <c r="C231" s="2" t="s">
        <v>3954</v>
      </c>
      <c r="D231" s="3">
        <f>(('Facts'!F611*1)+('Facts'!F612*1)+('Facts'!F613*1)+('Facts'!F614*-1)+('Facts'!F615*1)+('Facts'!F616*1))*1</f>
        <v>5115144216.43</v>
      </c>
      <c r="E231" s="3">
        <f>D231/K231</f>
        <v>5115144216.43</v>
      </c>
      <c r="F231" s="2" t="str">
        <f>IF(ISNUMBER(D231),"calculated","not_calculated")</f>
        <v>calculated</v>
      </c>
      <c r="G231" s="2">
        <f>IF(ISNUMBER(D231),"","检查缺失值、分母与输入；口径变更须重跑Python")</f>
        <v/>
      </c>
      <c r="H231" s="2" t="s">
        <v>3437</v>
      </c>
      <c r="I231" s="2" t="s">
        <v>3046</v>
      </c>
      <c r="J231" s="2" t="s">
        <v>53</v>
      </c>
      <c r="K231" s="2">
        <v>1</v>
      </c>
      <c r="L231" s="2" t="s">
        <v>54</v>
      </c>
      <c r="M231" s="2" t="s">
        <v>55</v>
      </c>
      <c r="N231" s="2" t="s">
        <v>1573</v>
      </c>
      <c r="O231" s="2" t="s">
        <v>815</v>
      </c>
    </row>
    <row r="232" spans="1:15">
      <c r="A232" s="2" t="s">
        <v>3438</v>
      </c>
      <c r="B232" s="2" t="s">
        <v>3439</v>
      </c>
      <c r="C232" s="2" t="s">
        <v>3955</v>
      </c>
      <c r="D232" s="3">
        <f>(('Calculations'!D108*1)+('Facts'!F619*1))*1</f>
        <v>6046467575.45</v>
      </c>
      <c r="E232" s="3">
        <f>D232/K232</f>
        <v>6046467575.45</v>
      </c>
      <c r="F232" s="2" t="str">
        <f>IF(ISNUMBER(D232),"calculated","not_calculated")</f>
        <v>calculated</v>
      </c>
      <c r="G232" s="2">
        <f>IF(ISNUMBER(D232),"","检查缺失值、分母与输入；口径变更须重跑Python")</f>
        <v/>
      </c>
      <c r="H232" s="2" t="s">
        <v>3440</v>
      </c>
      <c r="I232" s="2" t="s">
        <v>3046</v>
      </c>
      <c r="J232" s="2" t="s">
        <v>53</v>
      </c>
      <c r="K232" s="2">
        <v>1</v>
      </c>
      <c r="L232" s="2" t="s">
        <v>54</v>
      </c>
      <c r="M232" s="2" t="s">
        <v>55</v>
      </c>
      <c r="N232" s="2"/>
      <c r="O232" s="2" t="s">
        <v>63</v>
      </c>
    </row>
    <row r="233" spans="1:15">
      <c r="A233" s="2" t="s">
        <v>3441</v>
      </c>
      <c r="B233" s="2" t="s">
        <v>3439</v>
      </c>
      <c r="C233" s="2" t="s">
        <v>3956</v>
      </c>
      <c r="D233" s="3">
        <f>(('Calculations'!D40*1)+('Facts'!F618*1))*1</f>
        <v>5274813795.11</v>
      </c>
      <c r="E233" s="3">
        <f>D233/K233</f>
        <v>5274813795.11</v>
      </c>
      <c r="F233" s="2" t="str">
        <f>IF(ISNUMBER(D233),"calculated","not_calculated")</f>
        <v>calculated</v>
      </c>
      <c r="G233" s="2">
        <f>IF(ISNUMBER(D233),"","检查缺失值、分母与输入；口径变更须重跑Python")</f>
        <v/>
      </c>
      <c r="H233" s="2" t="s">
        <v>3440</v>
      </c>
      <c r="I233" s="2" t="s">
        <v>3046</v>
      </c>
      <c r="J233" s="2" t="s">
        <v>53</v>
      </c>
      <c r="K233" s="2">
        <v>1</v>
      </c>
      <c r="L233" s="2" t="s">
        <v>54</v>
      </c>
      <c r="M233" s="2" t="s">
        <v>55</v>
      </c>
      <c r="N233" s="2"/>
      <c r="O233" s="2" t="s">
        <v>56</v>
      </c>
    </row>
    <row r="234" spans="1:15">
      <c r="A234" s="2" t="s">
        <v>3442</v>
      </c>
      <c r="B234" s="2" t="s">
        <v>3443</v>
      </c>
      <c r="C234" s="2" t="s">
        <v>3957</v>
      </c>
      <c r="D234" s="3">
        <f>(('Facts'!F629*1)+('Facts'!F630*1))*1</f>
        <v>0.9503</v>
      </c>
      <c r="E234" s="4">
        <f>D234</f>
        <v>0.9503</v>
      </c>
      <c r="F234" s="2" t="str">
        <f>IF(ISNUMBER(D234),"calculated","not_calculated")</f>
        <v>calculated</v>
      </c>
      <c r="G234" s="2">
        <f>IF(ISNUMBER(D234),"","检查缺失值、分母与输入；口径变更须重跑Python")</f>
        <v/>
      </c>
      <c r="H234" s="2" t="s">
        <v>3444</v>
      </c>
      <c r="I234" s="2" t="s">
        <v>3445</v>
      </c>
      <c r="J234" s="2" t="s">
        <v>3117</v>
      </c>
      <c r="K234" s="2">
        <v>1</v>
      </c>
      <c r="L234" s="2" t="s">
        <v>1913</v>
      </c>
      <c r="M234" s="2" t="s">
        <v>1914</v>
      </c>
      <c r="N234" s="2" t="s">
        <v>392</v>
      </c>
      <c r="O234" s="2" t="s">
        <v>56</v>
      </c>
    </row>
    <row r="235" spans="1:15">
      <c r="A235" s="2" t="s">
        <v>3446</v>
      </c>
      <c r="B235" s="2" t="s">
        <v>3447</v>
      </c>
      <c r="C235" s="2" t="s">
        <v>3958</v>
      </c>
      <c r="D235" s="3">
        <f>(('Facts'!F627*1)+('Facts'!F628*1))*1</f>
        <v>388489008.0</v>
      </c>
      <c r="E235" s="3">
        <f>D235/K235</f>
        <v>388489008.0</v>
      </c>
      <c r="F235" s="2" t="str">
        <f>IF(ISNUMBER(D235),"calculated","not_calculated")</f>
        <v>calculated</v>
      </c>
      <c r="G235" s="2">
        <f>IF(ISNUMBER(D235),"","检查缺失值、分母与输入；口径变更须重跑Python")</f>
        <v/>
      </c>
      <c r="H235" s="2" t="s">
        <v>3448</v>
      </c>
      <c r="I235" s="2" t="s">
        <v>3449</v>
      </c>
      <c r="J235" s="2" t="s">
        <v>53</v>
      </c>
      <c r="K235" s="2">
        <v>1</v>
      </c>
      <c r="L235" s="2" t="s">
        <v>1913</v>
      </c>
      <c r="M235" s="2" t="s">
        <v>1914</v>
      </c>
      <c r="N235" s="2" t="s">
        <v>392</v>
      </c>
      <c r="O235" s="2" t="s">
        <v>56</v>
      </c>
    </row>
    <row r="236" spans="1:15">
      <c r="A236" s="2" t="s">
        <v>3450</v>
      </c>
      <c r="B236" s="2" t="s">
        <v>3451</v>
      </c>
      <c r="C236" s="2" t="s">
        <v>3959</v>
      </c>
      <c r="D236" s="3">
        <f>IF('Facts'!F626&lt;=0,NA(),(('Calculations'!D235/'Facts'!F626))*1)</f>
        <v>1.2154410217538605</v>
      </c>
      <c r="E236" s="4">
        <f>D236</f>
        <v>1.2154410217538605</v>
      </c>
      <c r="F236" s="2" t="str">
        <f>IF(ISNUMBER(D236),"calculated","not_calculated")</f>
        <v>calculated</v>
      </c>
      <c r="G236" s="2">
        <f>IF(ISNUMBER(D236),"","检查缺失值、分母与输入；口径变更须重跑Python")</f>
        <v/>
      </c>
      <c r="H236" s="2" t="s">
        <v>3452</v>
      </c>
      <c r="I236" s="2" t="s">
        <v>3453</v>
      </c>
      <c r="J236" s="2" t="s">
        <v>3117</v>
      </c>
      <c r="K236" s="2">
        <v>1</v>
      </c>
      <c r="L236" s="2" t="s">
        <v>1913</v>
      </c>
      <c r="M236" s="2" t="s">
        <v>1914</v>
      </c>
      <c r="N236" s="2" t="s">
        <v>392</v>
      </c>
      <c r="O236" s="2" t="s">
        <v>56</v>
      </c>
    </row>
    <row r="237" spans="1:15">
      <c r="A237" s="2" t="s">
        <v>3454</v>
      </c>
      <c r="B237" s="2" t="s">
        <v>3455</v>
      </c>
      <c r="C237" s="2" t="s">
        <v>3960</v>
      </c>
      <c r="D237" s="3">
        <f>IF('Facts'!F657&lt;=0,NA(),(('Facts'!F658/'Facts'!F657))*1)</f>
        <v>0.4995236008653169</v>
      </c>
      <c r="E237" s="4">
        <f>D237</f>
        <v>0.4995236008653169</v>
      </c>
      <c r="F237" s="2" t="str">
        <f>IF(ISNUMBER(D237),"calculated","not_calculated")</f>
        <v>calculated</v>
      </c>
      <c r="G237" s="2">
        <f>IF(ISNUMBER(D237),"","检查缺失值、分母与输入；口径变更须重跑Python")</f>
        <v/>
      </c>
      <c r="H237" s="2" t="s">
        <v>3456</v>
      </c>
      <c r="I237" s="2" t="s">
        <v>3457</v>
      </c>
      <c r="J237" s="2" t="s">
        <v>3117</v>
      </c>
      <c r="K237" s="2">
        <v>1</v>
      </c>
      <c r="L237" s="2" t="s">
        <v>2039</v>
      </c>
      <c r="M237" s="2" t="s">
        <v>2040</v>
      </c>
      <c r="N237" s="2"/>
      <c r="O237" s="2" t="s">
        <v>56</v>
      </c>
    </row>
    <row r="238" spans="1:15">
      <c r="A238" s="2" t="s">
        <v>3458</v>
      </c>
      <c r="B238" s="2" t="s">
        <v>3459</v>
      </c>
      <c r="C238" s="2" t="s">
        <v>3961</v>
      </c>
      <c r="D238" s="3">
        <f>IF('Facts'!F659&lt;=0,NA(),(('Facts'!F660/'Facts'!F659))*1)</f>
        <v>0.567232168997406</v>
      </c>
      <c r="E238" s="4">
        <f>D238</f>
        <v>0.567232168997406</v>
      </c>
      <c r="F238" s="2" t="str">
        <f>IF(ISNUMBER(D238),"calculated","not_calculated")</f>
        <v>calculated</v>
      </c>
      <c r="G238" s="2">
        <f>IF(ISNUMBER(D238),"","检查缺失值、分母与输入；口径变更须重跑Python")</f>
        <v/>
      </c>
      <c r="H238" s="2" t="s">
        <v>3456</v>
      </c>
      <c r="I238" s="2" t="s">
        <v>3457</v>
      </c>
      <c r="J238" s="2" t="s">
        <v>3117</v>
      </c>
      <c r="K238" s="2">
        <v>1</v>
      </c>
      <c r="L238" s="2" t="s">
        <v>2049</v>
      </c>
      <c r="M238" s="2" t="s">
        <v>2040</v>
      </c>
      <c r="N238" s="2"/>
      <c r="O238" s="2" t="s">
        <v>56</v>
      </c>
    </row>
    <row r="239" spans="1:15">
      <c r="A239" s="2" t="s">
        <v>3460</v>
      </c>
      <c r="B239" s="2" t="s">
        <v>3461</v>
      </c>
      <c r="C239" s="2" t="s">
        <v>3962</v>
      </c>
      <c r="D239" s="3">
        <f>(('Facts'!F697*1)+('Facts'!F698*1))*1</f>
        <v>0.3145</v>
      </c>
      <c r="E239" s="4">
        <f>D239</f>
        <v>0.3145</v>
      </c>
      <c r="F239" s="2" t="str">
        <f>IF(ISNUMBER(D239),"calculated","not_calculated")</f>
        <v>calculated</v>
      </c>
      <c r="G239" s="2">
        <f>IF(ISNUMBER(D239),"","检查缺失值、分母与输入；口径变更须重跑Python")</f>
        <v/>
      </c>
      <c r="H239" s="2" t="s">
        <v>3462</v>
      </c>
      <c r="I239" s="2" t="s">
        <v>3463</v>
      </c>
      <c r="J239" s="2" t="s">
        <v>3117</v>
      </c>
      <c r="K239" s="2">
        <v>1</v>
      </c>
      <c r="L239" s="2" t="s">
        <v>1913</v>
      </c>
      <c r="M239" s="2" t="s">
        <v>2197</v>
      </c>
      <c r="N239" s="2"/>
      <c r="O239" s="2" t="s">
        <v>56</v>
      </c>
    </row>
    <row r="240" spans="1:15">
      <c r="A240" s="2" t="s">
        <v>3464</v>
      </c>
      <c r="B240" s="2" t="s">
        <v>3465</v>
      </c>
      <c r="C240" s="2" t="s">
        <v>3963</v>
      </c>
      <c r="D240" s="3">
        <f>(('Facts'!F713*1)+('Facts'!F714*1))*1</f>
        <v>4052073804.75</v>
      </c>
      <c r="E240" s="3">
        <f>D240/K240</f>
        <v>4052073804.75</v>
      </c>
      <c r="F240" s="2" t="str">
        <f>IF(ISNUMBER(D240),"calculated","not_calculated")</f>
        <v>calculated</v>
      </c>
      <c r="G240" s="2">
        <f>IF(ISNUMBER(D240),"","检查缺失值、分母与输入；口径变更须重跑Python")</f>
        <v/>
      </c>
      <c r="H240" s="2" t="s">
        <v>3466</v>
      </c>
      <c r="I240" s="2" t="s">
        <v>3467</v>
      </c>
      <c r="J240" s="2" t="s">
        <v>53</v>
      </c>
      <c r="K240" s="2">
        <v>1</v>
      </c>
      <c r="L240" s="2" t="s">
        <v>54</v>
      </c>
      <c r="M240" s="2" t="s">
        <v>1914</v>
      </c>
      <c r="N240" s="2"/>
      <c r="O240" s="2" t="s">
        <v>56</v>
      </c>
    </row>
    <row r="241" spans="1:15">
      <c r="A241" s="2" t="s">
        <v>3468</v>
      </c>
      <c r="B241" s="2" t="s">
        <v>3469</v>
      </c>
      <c r="C241" s="2" t="s">
        <v>3964</v>
      </c>
      <c r="D241" s="3">
        <f>IF('Facts'!F712&lt;=0,NA(),(('Facts'!F711/'Facts'!F712))*1)</f>
        <v>0.5709133985511718</v>
      </c>
      <c r="E241" s="4">
        <f>D241</f>
        <v>0.5709133985511718</v>
      </c>
      <c r="F241" s="2" t="str">
        <f>IF(ISNUMBER(D241),"calculated","not_calculated")</f>
        <v>calculated</v>
      </c>
      <c r="G241" s="2">
        <f>IF(ISNUMBER(D241),"","检查缺失值、分母与输入；口径变更须重跑Python")</f>
        <v/>
      </c>
      <c r="H241" s="2" t="s">
        <v>3470</v>
      </c>
      <c r="I241" s="2" t="s">
        <v>3471</v>
      </c>
      <c r="J241" s="2" t="s">
        <v>3117</v>
      </c>
      <c r="K241" s="2">
        <v>1</v>
      </c>
      <c r="L241" s="2" t="s">
        <v>54</v>
      </c>
      <c r="M241" s="2" t="s">
        <v>1914</v>
      </c>
      <c r="N241" s="2"/>
      <c r="O241" s="2" t="s">
        <v>56</v>
      </c>
    </row>
    <row r="242" spans="1:15">
      <c r="A242" s="2" t="s">
        <v>3472</v>
      </c>
      <c r="B242" s="2" t="s">
        <v>3473</v>
      </c>
      <c r="C242" s="2" t="s">
        <v>3965</v>
      </c>
      <c r="D242" s="3">
        <f>(('Facts'!F712*0.5))*1</f>
        <v>2026036902.375</v>
      </c>
      <c r="E242" s="3">
        <f>D242/K242</f>
        <v>2026036902.375</v>
      </c>
      <c r="F242" s="2" t="str">
        <f>IF(ISNUMBER(D242),"calculated","not_calculated")</f>
        <v>calculated</v>
      </c>
      <c r="G242" s="2">
        <f>IF(ISNUMBER(D242),"","检查缺失值、分母与输入；口径变更须重跑Python")</f>
        <v/>
      </c>
      <c r="H242" s="2" t="s">
        <v>3474</v>
      </c>
      <c r="I242" s="2" t="s">
        <v>3475</v>
      </c>
      <c r="J242" s="2" t="s">
        <v>53</v>
      </c>
      <c r="K242" s="2">
        <v>1</v>
      </c>
      <c r="L242" s="2" t="s">
        <v>54</v>
      </c>
      <c r="M242" s="2" t="s">
        <v>1914</v>
      </c>
      <c r="N242" s="2"/>
      <c r="O242" s="2" t="s">
        <v>56</v>
      </c>
    </row>
    <row r="243" spans="1:15">
      <c r="A243" s="2" t="s">
        <v>3476</v>
      </c>
      <c r="B243" s="2" t="s">
        <v>3477</v>
      </c>
      <c r="C243" s="2" t="s">
        <v>3966</v>
      </c>
      <c r="D243" s="3">
        <f>(('Facts'!F711-'Calculations'!D242))*1</f>
        <v>287346324.675</v>
      </c>
      <c r="E243" s="3">
        <f>D243/K243</f>
        <v>287346324.675</v>
      </c>
      <c r="F243" s="2" t="str">
        <f>IF(ISNUMBER(D243),"calculated","not_calculated")</f>
        <v>calculated</v>
      </c>
      <c r="G243" s="2">
        <f>IF(ISNUMBER(D243),"","检查缺失值、分母与输入；口径变更须重跑Python")</f>
        <v/>
      </c>
      <c r="H243" s="2" t="s">
        <v>3478</v>
      </c>
      <c r="I243" s="2" t="s">
        <v>3479</v>
      </c>
      <c r="J243" s="2" t="s">
        <v>53</v>
      </c>
      <c r="K243" s="2">
        <v>1</v>
      </c>
      <c r="L243" s="2" t="s">
        <v>54</v>
      </c>
      <c r="M243" s="2" t="s">
        <v>1914</v>
      </c>
      <c r="N243" s="2"/>
      <c r="O243" s="2" t="s">
        <v>56</v>
      </c>
    </row>
    <row r="244" spans="1:15">
      <c r="A244" s="2" t="s">
        <v>3480</v>
      </c>
      <c r="B244" s="2" t="s">
        <v>3481</v>
      </c>
      <c r="C244" s="2" t="s">
        <v>3967</v>
      </c>
      <c r="D244" s="3">
        <f>(('Facts'!F715*1)+('Facts'!F716*1)+('Facts'!F717*1)+('Facts'!F718*-1)+('Facts'!F719*-1))*1</f>
        <v>2313383227.05</v>
      </c>
      <c r="E244" s="3">
        <f>D244/K244</f>
        <v>2313383227.05</v>
      </c>
      <c r="F244" s="2" t="str">
        <f>IF(ISNUMBER(D244),"calculated","not_calculated")</f>
        <v>calculated</v>
      </c>
      <c r="G244" s="2">
        <f>IF(ISNUMBER(D244),"","检查缺失值、分母与输入；口径变更须重跑Python")</f>
        <v/>
      </c>
      <c r="H244" s="2" t="s">
        <v>3482</v>
      </c>
      <c r="I244" s="2" t="s">
        <v>3483</v>
      </c>
      <c r="J244" s="2" t="s">
        <v>53</v>
      </c>
      <c r="K244" s="2">
        <v>1</v>
      </c>
      <c r="L244" s="2" t="s">
        <v>54</v>
      </c>
      <c r="M244" s="2" t="s">
        <v>1914</v>
      </c>
      <c r="N244" s="2" t="s">
        <v>392</v>
      </c>
      <c r="O244" s="2" t="s">
        <v>56</v>
      </c>
    </row>
    <row r="245" spans="1:15">
      <c r="A245" s="2" t="s">
        <v>3484</v>
      </c>
      <c r="B245" s="2" t="s">
        <v>3485</v>
      </c>
      <c r="C245" s="2" t="s">
        <v>3968</v>
      </c>
      <c r="D245" s="3">
        <f>(('Facts'!F722*1)+('Facts'!F724*-1))*1</f>
        <v>2197829100.0</v>
      </c>
      <c r="E245" s="3">
        <f>D245/K245</f>
        <v>2197829100.0</v>
      </c>
      <c r="F245" s="2" t="str">
        <f>IF(ISNUMBER(D245),"calculated","not_calculated")</f>
        <v>calculated</v>
      </c>
      <c r="G245" s="2">
        <f>IF(ISNUMBER(D245),"","检查缺失值、分母与输入；口径变更须重跑Python")</f>
        <v/>
      </c>
      <c r="H245" s="2" t="s">
        <v>3486</v>
      </c>
      <c r="I245" s="2" t="s">
        <v>3487</v>
      </c>
      <c r="J245" s="2" t="s">
        <v>53</v>
      </c>
      <c r="K245" s="2">
        <v>1</v>
      </c>
      <c r="L245" s="2" t="s">
        <v>54</v>
      </c>
      <c r="M245" s="2" t="s">
        <v>2270</v>
      </c>
      <c r="N245" s="2" t="s">
        <v>392</v>
      </c>
      <c r="O245" s="2" t="s">
        <v>56</v>
      </c>
    </row>
    <row r="246" spans="1:15">
      <c r="A246" s="2" t="s">
        <v>3488</v>
      </c>
      <c r="B246" s="2" t="s">
        <v>3489</v>
      </c>
      <c r="C246" s="2" t="s">
        <v>3969</v>
      </c>
      <c r="D246" s="3">
        <f>(('Facts'!F723*1)+('Facts'!F726*-1))*1</f>
        <v>2197820500.0</v>
      </c>
      <c r="E246" s="3">
        <f>D246/K246</f>
        <v>2197820500.0</v>
      </c>
      <c r="F246" s="2" t="str">
        <f>IF(ISNUMBER(D246),"calculated","not_calculated")</f>
        <v>calculated</v>
      </c>
      <c r="G246" s="2">
        <f>IF(ISNUMBER(D246),"","检查缺失值、分母与输入；口径变更须重跑Python")</f>
        <v/>
      </c>
      <c r="H246" s="2" t="s">
        <v>3490</v>
      </c>
      <c r="I246" s="2" t="s">
        <v>3491</v>
      </c>
      <c r="J246" s="2" t="s">
        <v>53</v>
      </c>
      <c r="K246" s="2">
        <v>1</v>
      </c>
      <c r="L246" s="2" t="s">
        <v>54</v>
      </c>
      <c r="M246" s="2" t="s">
        <v>2270</v>
      </c>
      <c r="N246" s="2" t="s">
        <v>1742</v>
      </c>
      <c r="O246" s="2" t="s">
        <v>1713</v>
      </c>
    </row>
    <row r="247" spans="1:15">
      <c r="A247" s="2" t="s">
        <v>3492</v>
      </c>
      <c r="B247" s="2" t="s">
        <v>3493</v>
      </c>
      <c r="C247" s="2" t="s">
        <v>3970</v>
      </c>
      <c r="D247" s="3">
        <f>IF('Facts'!F721&lt;=0,NA(),(('Facts'!F725/'Facts'!F721))*1)</f>
        <v>0.9999183348498635</v>
      </c>
      <c r="E247" s="4">
        <f>D247</f>
        <v>0.9999183348498635</v>
      </c>
      <c r="F247" s="2" t="str">
        <f>IF(ISNUMBER(D247),"calculated","not_calculated")</f>
        <v>calculated</v>
      </c>
      <c r="G247" s="2">
        <f>IF(ISNUMBER(D247),"","检查缺失值、分母与输入；口径变更须重跑Python")</f>
        <v/>
      </c>
      <c r="H247" s="2" t="s">
        <v>3494</v>
      </c>
      <c r="I247" s="2" t="s">
        <v>3495</v>
      </c>
      <c r="J247" s="2" t="s">
        <v>3117</v>
      </c>
      <c r="K247" s="2">
        <v>1</v>
      </c>
      <c r="L247" s="2" t="s">
        <v>54</v>
      </c>
      <c r="M247" s="2" t="s">
        <v>2270</v>
      </c>
      <c r="N247" s="2"/>
      <c r="O247" s="2" t="s">
        <v>1713</v>
      </c>
    </row>
    <row r="248" spans="1:15">
      <c r="A248" s="2" t="s">
        <v>3496</v>
      </c>
      <c r="B248" s="2" t="s">
        <v>3497</v>
      </c>
      <c r="C248" s="2" t="s">
        <v>3971</v>
      </c>
      <c r="D248" s="3">
        <f>(('Facts'!F747*1)+('Facts'!F748*1))*1</f>
        <v>1361305100.0</v>
      </c>
      <c r="E248" s="3">
        <f>D248/K248</f>
        <v>136130.51</v>
      </c>
      <c r="F248" s="2" t="str">
        <f>IF(ISNUMBER(D248),"calculated","not_calculated")</f>
        <v>calculated</v>
      </c>
      <c r="G248" s="2">
        <f>IF(ISNUMBER(D248),"","检查缺失值、分母与输入；口径变更须重跑Python")</f>
        <v/>
      </c>
      <c r="H248" s="2" t="s">
        <v>3498</v>
      </c>
      <c r="I248" s="2" t="s">
        <v>3499</v>
      </c>
      <c r="J248" s="2" t="s">
        <v>3500</v>
      </c>
      <c r="K248" s="2">
        <v>10000</v>
      </c>
      <c r="L248" s="2" t="s">
        <v>54</v>
      </c>
      <c r="M248" s="2" t="s">
        <v>2369</v>
      </c>
      <c r="N248" s="2"/>
      <c r="O248" s="2" t="s">
        <v>56</v>
      </c>
    </row>
    <row r="249" spans="1:15">
      <c r="A249" s="2" t="s">
        <v>3501</v>
      </c>
      <c r="B249" s="2" t="s">
        <v>3502</v>
      </c>
      <c r="C249" s="2" t="s">
        <v>3972</v>
      </c>
      <c r="D249" s="3">
        <f>(('Facts'!F743*1)+('Facts'!F744*-1)+('Facts'!F745*1))*1</f>
        <v>1361305100.0</v>
      </c>
      <c r="E249" s="3">
        <f>D249/K249</f>
        <v>136130.51</v>
      </c>
      <c r="F249" s="2" t="str">
        <f>IF(ISNUMBER(D249),"calculated","not_calculated")</f>
        <v>calculated</v>
      </c>
      <c r="G249" s="2">
        <f>IF(ISNUMBER(D249),"","检查缺失值、分母与输入；口径变更须重跑Python")</f>
        <v/>
      </c>
      <c r="H249" s="2" t="s">
        <v>3503</v>
      </c>
      <c r="I249" s="2" t="s">
        <v>3504</v>
      </c>
      <c r="J249" s="2" t="s">
        <v>3500</v>
      </c>
      <c r="K249" s="2">
        <v>10000</v>
      </c>
      <c r="L249" s="2" t="s">
        <v>54</v>
      </c>
      <c r="M249" s="2" t="s">
        <v>2369</v>
      </c>
      <c r="N249" s="2"/>
      <c r="O249" s="2" t="s">
        <v>56</v>
      </c>
    </row>
    <row r="250" spans="1:15">
      <c r="A250" s="2" t="s">
        <v>3505</v>
      </c>
      <c r="B250" s="2" t="s">
        <v>3506</v>
      </c>
      <c r="C250" s="2" t="s">
        <v>3973</v>
      </c>
      <c r="D250" s="3">
        <f>(('Facts'!F811*1)+('Facts'!F812*1))*1</f>
        <v>1945281200.0</v>
      </c>
      <c r="E250" s="3">
        <f>D250/K250</f>
        <v>194528.12</v>
      </c>
      <c r="F250" s="2" t="str">
        <f>IF(ISNUMBER(D250),"calculated","not_calculated")</f>
        <v>calculated</v>
      </c>
      <c r="G250" s="2">
        <f>IF(ISNUMBER(D250),"","检查缺失值、分母与输入；口径变更须重跑Python")</f>
        <v/>
      </c>
      <c r="H250" s="2" t="s">
        <v>3507</v>
      </c>
      <c r="I250" s="2" t="s">
        <v>3508</v>
      </c>
      <c r="J250" s="2" t="s">
        <v>3500</v>
      </c>
      <c r="K250" s="2">
        <v>10000</v>
      </c>
      <c r="L250" s="2" t="s">
        <v>54</v>
      </c>
      <c r="M250" s="2" t="s">
        <v>2646</v>
      </c>
      <c r="N250" s="2"/>
      <c r="O250" s="2" t="s">
        <v>2271</v>
      </c>
    </row>
    <row r="251" spans="1:15">
      <c r="A251" s="2" t="s">
        <v>3509</v>
      </c>
      <c r="B251" s="2" t="s">
        <v>3510</v>
      </c>
      <c r="C251" s="2" t="s">
        <v>3974</v>
      </c>
      <c r="D251" s="3">
        <f>(('Facts'!F808-'Facts'!F809))*1</f>
        <v>2447366400.0</v>
      </c>
      <c r="E251" s="3">
        <f>D251/K251</f>
        <v>244736.64</v>
      </c>
      <c r="F251" s="2" t="str">
        <f>IF(ISNUMBER(D251),"calculated","not_calculated")</f>
        <v>calculated</v>
      </c>
      <c r="G251" s="2">
        <f>IF(ISNUMBER(D251),"","检查缺失值、分母与输入；口径变更须重跑Python")</f>
        <v/>
      </c>
      <c r="H251" s="2" t="s">
        <v>3511</v>
      </c>
      <c r="I251" s="2" t="s">
        <v>3508</v>
      </c>
      <c r="J251" s="2" t="s">
        <v>3500</v>
      </c>
      <c r="K251" s="2">
        <v>10000</v>
      </c>
      <c r="L251" s="2" t="s">
        <v>54</v>
      </c>
      <c r="M251" s="2" t="s">
        <v>2646</v>
      </c>
      <c r="N251" s="2"/>
      <c r="O251" s="2" t="s">
        <v>2271</v>
      </c>
    </row>
    <row r="252" spans="1:15">
      <c r="A252" s="2" t="s">
        <v>3512</v>
      </c>
      <c r="B252" s="2" t="s">
        <v>3513</v>
      </c>
      <c r="C252" s="2" t="s">
        <v>3975</v>
      </c>
      <c r="D252" s="3">
        <f>(('Facts'!F810-'Calculations'!D250))*1</f>
        <v>502085200.0</v>
      </c>
      <c r="E252" s="3">
        <f>D252/K252</f>
        <v>50208.52</v>
      </c>
      <c r="F252" s="2" t="str">
        <f>IF(ISNUMBER(D252),"calculated","not_calculated")</f>
        <v>calculated</v>
      </c>
      <c r="G252" s="2">
        <f>IF(ISNUMBER(D252),"","检查缺失值、分母与输入；口径变更须重跑Python")</f>
        <v/>
      </c>
      <c r="H252" s="2" t="s">
        <v>3514</v>
      </c>
      <c r="I252" s="2" t="s">
        <v>3508</v>
      </c>
      <c r="J252" s="2" t="s">
        <v>3500</v>
      </c>
      <c r="K252" s="2">
        <v>10000</v>
      </c>
      <c r="L252" s="2" t="s">
        <v>54</v>
      </c>
      <c r="M252" s="2" t="s">
        <v>2646</v>
      </c>
      <c r="N252" s="2"/>
      <c r="O252" s="2" t="s">
        <v>2271</v>
      </c>
    </row>
    <row r="253" spans="1:15">
      <c r="A253" s="2" t="s">
        <v>3515</v>
      </c>
      <c r="B253" s="2" t="s">
        <v>3516</v>
      </c>
      <c r="C253" s="2" t="s">
        <v>3976</v>
      </c>
      <c r="D253" s="3">
        <f>IF('Facts'!F810&lt;=0,NA(),(('Calculations'!D250/'Facts'!F810))*1)</f>
        <v>0.7948467381099945</v>
      </c>
      <c r="E253" s="4">
        <f>D253</f>
        <v>0.7948467381099945</v>
      </c>
      <c r="F253" s="2" t="str">
        <f>IF(ISNUMBER(D253),"calculated","not_calculated")</f>
        <v>calculated</v>
      </c>
      <c r="G253" s="2">
        <f>IF(ISNUMBER(D253),"","检查缺失值、分母与输入；口径变更须重跑Python")</f>
        <v/>
      </c>
      <c r="H253" s="2" t="s">
        <v>3517</v>
      </c>
      <c r="I253" s="2" t="s">
        <v>3518</v>
      </c>
      <c r="J253" s="2" t="s">
        <v>3117</v>
      </c>
      <c r="K253" s="2">
        <v>1</v>
      </c>
      <c r="L253" s="2" t="s">
        <v>54</v>
      </c>
      <c r="M253" s="2" t="s">
        <v>2646</v>
      </c>
      <c r="N253" s="2"/>
      <c r="O253" s="2" t="s">
        <v>2271</v>
      </c>
    </row>
    <row r="254" spans="1:15">
      <c r="A254" s="2" t="s">
        <v>3519</v>
      </c>
      <c r="B254" s="2" t="s">
        <v>3520</v>
      </c>
      <c r="C254" s="2" t="s">
        <v>3977</v>
      </c>
      <c r="D254" s="3">
        <f>(('Facts'!F813*'Facts'!F815))*1</f>
        <v>2527700000.0</v>
      </c>
      <c r="E254" s="3">
        <f>D254/K254</f>
        <v>252770.0</v>
      </c>
      <c r="F254" s="2" t="str">
        <f>IF(ISNUMBER(D254),"calculated","not_calculated")</f>
        <v>calculated</v>
      </c>
      <c r="G254" s="2">
        <f>IF(ISNUMBER(D254),"","检查缺失值、分母与输入；口径变更须重跑Python")</f>
        <v/>
      </c>
      <c r="H254" s="2" t="s">
        <v>3521</v>
      </c>
      <c r="I254" s="2" t="s">
        <v>3522</v>
      </c>
      <c r="J254" s="2" t="s">
        <v>3500</v>
      </c>
      <c r="K254" s="2">
        <v>10000</v>
      </c>
      <c r="L254" s="2" t="s">
        <v>54</v>
      </c>
      <c r="M254" s="2" t="s">
        <v>2646</v>
      </c>
      <c r="N254" s="2"/>
      <c r="O254" s="2" t="s">
        <v>2271</v>
      </c>
    </row>
    <row r="255" spans="1:15">
      <c r="A255" s="2" t="s">
        <v>3523</v>
      </c>
      <c r="B255" s="2" t="s">
        <v>3524</v>
      </c>
      <c r="C255" s="2" t="s">
        <v>3978</v>
      </c>
      <c r="D255" s="3">
        <f>(('Facts'!F810-'Facts'!F814))*1</f>
        <v>161446400.0</v>
      </c>
      <c r="E255" s="3">
        <f>D255/K255</f>
        <v>16144.64</v>
      </c>
      <c r="F255" s="2" t="str">
        <f>IF(ISNUMBER(D255),"calculated","not_calculated")</f>
        <v>calculated</v>
      </c>
      <c r="G255" s="2">
        <f>IF(ISNUMBER(D255),"","检查缺失值、分母与输入；口径变更须重跑Python")</f>
        <v/>
      </c>
      <c r="H255" s="2" t="s">
        <v>3525</v>
      </c>
      <c r="I255" s="2" t="s">
        <v>3508</v>
      </c>
      <c r="J255" s="2" t="s">
        <v>3500</v>
      </c>
      <c r="K255" s="2">
        <v>10000</v>
      </c>
      <c r="L255" s="2" t="s">
        <v>54</v>
      </c>
      <c r="M255" s="2" t="s">
        <v>2646</v>
      </c>
      <c r="N255" s="2"/>
      <c r="O255" s="2" t="s">
        <v>2271</v>
      </c>
    </row>
    <row r="256" spans="1:15">
      <c r="A256" s="2" t="s">
        <v>3526</v>
      </c>
      <c r="B256" s="2" t="s">
        <v>3527</v>
      </c>
      <c r="C256" s="2" t="s">
        <v>3979</v>
      </c>
      <c r="D256" s="3">
        <f>(('Facts'!F810-'Calculations'!D254))*1</f>
        <v>-80333600.0</v>
      </c>
      <c r="E256" s="3">
        <f>D256/K256</f>
        <v>-8033.36</v>
      </c>
      <c r="F256" s="2" t="str">
        <f>IF(ISNUMBER(D256),"calculated","not_calculated")</f>
        <v>calculated</v>
      </c>
      <c r="G256" s="2">
        <f>IF(ISNUMBER(D256),"","检查缺失值、分母与输入；口径变更须重跑Python")</f>
        <v/>
      </c>
      <c r="H256" s="2" t="s">
        <v>3528</v>
      </c>
      <c r="I256" s="2" t="s">
        <v>3529</v>
      </c>
      <c r="J256" s="2" t="s">
        <v>3500</v>
      </c>
      <c r="K256" s="2">
        <v>10000</v>
      </c>
      <c r="L256" s="2" t="s">
        <v>54</v>
      </c>
      <c r="M256" s="2" t="s">
        <v>2646</v>
      </c>
      <c r="N256" s="2"/>
      <c r="O256" s="2" t="s">
        <v>2271</v>
      </c>
    </row>
    <row r="257" spans="1:15">
      <c r="A257" s="2" t="s">
        <v>3530</v>
      </c>
      <c r="B257" s="2" t="s">
        <v>3531</v>
      </c>
      <c r="C257" s="2" t="s">
        <v>3980</v>
      </c>
      <c r="D257" s="3">
        <f>(('Facts'!F816*1)+('Facts'!F818*1)+('Facts'!F820*1)+('Facts'!F822*1))*1</f>
        <v>1527313600.0</v>
      </c>
      <c r="E257" s="3">
        <f>D257/K257</f>
        <v>152731.36</v>
      </c>
      <c r="F257" s="2" t="str">
        <f>IF(ISNUMBER(D257),"calculated","not_calculated")</f>
        <v>calculated</v>
      </c>
      <c r="G257" s="2">
        <f>IF(ISNUMBER(D257),"","检查缺失值、分母与输入；口径变更须重跑Python")</f>
        <v/>
      </c>
      <c r="H257" s="2" t="s">
        <v>3532</v>
      </c>
      <c r="I257" s="2" t="s">
        <v>3533</v>
      </c>
      <c r="J257" s="2" t="s">
        <v>3500</v>
      </c>
      <c r="K257" s="2">
        <v>10000</v>
      </c>
      <c r="L257" s="2" t="s">
        <v>54</v>
      </c>
      <c r="M257" s="2" t="s">
        <v>2674</v>
      </c>
      <c r="N257" s="2"/>
      <c r="O257" s="2" t="s">
        <v>56</v>
      </c>
    </row>
    <row r="258" spans="1:15">
      <c r="A258" s="2" t="s">
        <v>3534</v>
      </c>
      <c r="B258" s="2" t="s">
        <v>3535</v>
      </c>
      <c r="C258" s="2" t="s">
        <v>3981</v>
      </c>
      <c r="D258" s="3">
        <f>(('Facts'!F817*1)+('Facts'!F819*1)+('Facts'!F821*1)+('Facts'!F823*1))*1</f>
        <v>192858500.0</v>
      </c>
      <c r="E258" s="3">
        <f>D258/K258</f>
        <v>19285.85</v>
      </c>
      <c r="F258" s="2" t="str">
        <f>IF(ISNUMBER(D258),"calculated","not_calculated")</f>
        <v>calculated</v>
      </c>
      <c r="G258" s="2">
        <f>IF(ISNUMBER(D258),"","检查缺失值、分母与输入；口径变更须重跑Python")</f>
        <v/>
      </c>
      <c r="H258" s="2" t="s">
        <v>3536</v>
      </c>
      <c r="I258" s="2" t="s">
        <v>3537</v>
      </c>
      <c r="J258" s="2" t="s">
        <v>3500</v>
      </c>
      <c r="K258" s="2">
        <v>10000</v>
      </c>
      <c r="L258" s="2" t="s">
        <v>54</v>
      </c>
      <c r="M258" s="2" t="s">
        <v>2674</v>
      </c>
      <c r="N258" s="2"/>
      <c r="O258" s="2" t="s">
        <v>56</v>
      </c>
    </row>
    <row r="259" spans="1:15">
      <c r="A259" s="2" t="s">
        <v>3538</v>
      </c>
      <c r="B259" s="2" t="s">
        <v>3539</v>
      </c>
      <c r="C259" s="2" t="s">
        <v>3982</v>
      </c>
      <c r="D259" s="3">
        <f>IF('Calculations'!D257&lt;=0,NA(),(('Calculations'!D258/'Calculations'!D257))*1)</f>
        <v>0.12627301950300188</v>
      </c>
      <c r="E259" s="4">
        <f>D259</f>
        <v>0.12627301950300188</v>
      </c>
      <c r="F259" s="2" t="str">
        <f>IF(ISNUMBER(D259),"calculated","not_calculated")</f>
        <v>calculated</v>
      </c>
      <c r="G259" s="2">
        <f>IF(ISNUMBER(D259),"","检查缺失值、分母与输入；口径变更须重跑Python")</f>
        <v/>
      </c>
      <c r="H259" s="2" t="s">
        <v>3540</v>
      </c>
      <c r="I259" s="2" t="s">
        <v>3541</v>
      </c>
      <c r="J259" s="2" t="s">
        <v>3117</v>
      </c>
      <c r="K259" s="2">
        <v>1</v>
      </c>
      <c r="L259" s="2" t="s">
        <v>54</v>
      </c>
      <c r="M259" s="2" t="s">
        <v>2674</v>
      </c>
      <c r="N259" s="2"/>
      <c r="O259" s="2" t="s">
        <v>56</v>
      </c>
    </row>
    <row r="260" spans="1:15">
      <c r="A260" s="2" t="s">
        <v>3542</v>
      </c>
      <c r="B260" s="2" t="s">
        <v>3543</v>
      </c>
      <c r="C260" s="2" t="s">
        <v>3983</v>
      </c>
      <c r="D260" s="3">
        <f>(('Calculations'!D257-'Calculations'!D258))*1</f>
        <v>1334455100.0</v>
      </c>
      <c r="E260" s="3">
        <f>D260/K260</f>
        <v>133445.51</v>
      </c>
      <c r="F260" s="2" t="str">
        <f>IF(ISNUMBER(D260),"calculated","not_calculated")</f>
        <v>calculated</v>
      </c>
      <c r="G260" s="2">
        <f>IF(ISNUMBER(D260),"","检查缺失值、分母与输入；口径变更须重跑Python")</f>
        <v/>
      </c>
      <c r="H260" s="2" t="s">
        <v>3544</v>
      </c>
      <c r="I260" s="2" t="s">
        <v>3545</v>
      </c>
      <c r="J260" s="2" t="s">
        <v>3500</v>
      </c>
      <c r="K260" s="2">
        <v>10000</v>
      </c>
      <c r="L260" s="2" t="s">
        <v>54</v>
      </c>
      <c r="M260" s="2" t="s">
        <v>2674</v>
      </c>
      <c r="N260" s="2"/>
      <c r="O260" s="2" t="s">
        <v>56</v>
      </c>
    </row>
    <row r="261" spans="1:15">
      <c r="A261" s="2" t="s">
        <v>3546</v>
      </c>
      <c r="B261" s="2" t="s">
        <v>3547</v>
      </c>
      <c r="C261" s="2" t="s">
        <v>3984</v>
      </c>
      <c r="D261" s="3">
        <f>(('Calculations'!D258*1)+('Facts'!F824*1))*1</f>
        <v>846858500.0</v>
      </c>
      <c r="E261" s="3">
        <f>D261/K261</f>
        <v>84685.85</v>
      </c>
      <c r="F261" s="2" t="str">
        <f>IF(ISNUMBER(D261),"calculated","not_calculated")</f>
        <v>calculated</v>
      </c>
      <c r="G261" s="2">
        <f>IF(ISNUMBER(D261),"","检查缺失值、分母与输入；口径变更须重跑Python")</f>
        <v/>
      </c>
      <c r="H261" s="2" t="s">
        <v>3548</v>
      </c>
      <c r="I261" s="2" t="s">
        <v>3549</v>
      </c>
      <c r="J261" s="2" t="s">
        <v>3500</v>
      </c>
      <c r="K261" s="2">
        <v>10000</v>
      </c>
      <c r="L261" s="2" t="s">
        <v>54</v>
      </c>
      <c r="M261" s="2" t="s">
        <v>2674</v>
      </c>
      <c r="N261" s="2"/>
      <c r="O261" s="2" t="s">
        <v>56</v>
      </c>
    </row>
    <row r="262" spans="1:15">
      <c r="A262" s="2" t="s">
        <v>3550</v>
      </c>
      <c r="B262" s="2" t="s">
        <v>3551</v>
      </c>
      <c r="C262" s="2" t="s">
        <v>3985</v>
      </c>
      <c r="D262" s="3">
        <f>(('Facts'!F47-'Facts'!F85))*1</f>
        <v>369986982.75</v>
      </c>
      <c r="E262" s="3">
        <f>D262/K262</f>
        <v>369986982.75</v>
      </c>
      <c r="F262" s="2" t="str">
        <f>IF(ISNUMBER(D262),"calculated","not_calculated")</f>
        <v>calculated</v>
      </c>
      <c r="G262" s="2">
        <f>IF(ISNUMBER(D262),"","检查缺失值、分母与输入；口径变更须重跑Python")</f>
        <v/>
      </c>
      <c r="H262" s="2" t="s">
        <v>3552</v>
      </c>
      <c r="I262" s="2" t="s">
        <v>3553</v>
      </c>
      <c r="J262" s="2" t="s">
        <v>53</v>
      </c>
      <c r="K262" s="2">
        <v>1</v>
      </c>
      <c r="L262" s="2" t="s">
        <v>54</v>
      </c>
      <c r="M262" s="2" t="s">
        <v>55</v>
      </c>
      <c r="N262" s="2"/>
      <c r="O262" s="2" t="s">
        <v>63</v>
      </c>
    </row>
    <row r="263" spans="1:15">
      <c r="A263" s="2" t="s">
        <v>3554</v>
      </c>
      <c r="B263" s="2" t="s">
        <v>3551</v>
      </c>
      <c r="C263" s="2" t="s">
        <v>3986</v>
      </c>
      <c r="D263" s="3">
        <f>(('Facts'!F46-'Facts'!F84))*1</f>
        <v>466339926.02</v>
      </c>
      <c r="E263" s="3">
        <f>D263/K263</f>
        <v>466339926.02</v>
      </c>
      <c r="F263" s="2" t="str">
        <f>IF(ISNUMBER(D263),"calculated","not_calculated")</f>
        <v>calculated</v>
      </c>
      <c r="G263" s="2">
        <f>IF(ISNUMBER(D263),"","检查缺失值、分母与输入；口径变更须重跑Python")</f>
        <v/>
      </c>
      <c r="H263" s="2" t="s">
        <v>3552</v>
      </c>
      <c r="I263" s="2" t="s">
        <v>3553</v>
      </c>
      <c r="J263" s="2" t="s">
        <v>53</v>
      </c>
      <c r="K263" s="2">
        <v>1</v>
      </c>
      <c r="L263" s="2" t="s">
        <v>54</v>
      </c>
      <c r="M263" s="2" t="s">
        <v>55</v>
      </c>
      <c r="N263" s="2"/>
      <c r="O263" s="2" t="s">
        <v>56</v>
      </c>
    </row>
    <row r="264" spans="1:15">
      <c r="A264" s="2" t="s">
        <v>3555</v>
      </c>
      <c r="B264" s="2" t="s">
        <v>3556</v>
      </c>
      <c r="C264" s="2" t="s">
        <v>3987</v>
      </c>
      <c r="D264" s="3">
        <f>(('Calculations'!D263-'Calculations'!D262))*1</f>
        <v>96352943.27</v>
      </c>
      <c r="E264" s="3">
        <f>D264/K264</f>
        <v>96352943.27</v>
      </c>
      <c r="F264" s="2" t="str">
        <f>IF(ISNUMBER(D264),"calculated","not_calculated")</f>
        <v>calculated</v>
      </c>
      <c r="G264" s="2">
        <f>IF(ISNUMBER(D264),"","检查缺失值、分母与输入；口径变更须重跑Python")</f>
        <v/>
      </c>
      <c r="H264" s="2" t="s">
        <v>3557</v>
      </c>
      <c r="I264" s="2" t="s">
        <v>3558</v>
      </c>
      <c r="J264" s="2" t="s">
        <v>53</v>
      </c>
      <c r="K264" s="2">
        <v>1</v>
      </c>
      <c r="L264" s="2" t="s">
        <v>54</v>
      </c>
      <c r="M264" s="2" t="s">
        <v>55</v>
      </c>
      <c r="N264" s="2" t="s">
        <v>392</v>
      </c>
      <c r="O264" s="2" t="s">
        <v>56</v>
      </c>
    </row>
    <row r="265" spans="1:15">
      <c r="A265" s="2" t="s">
        <v>3559</v>
      </c>
      <c r="B265" s="2" t="s">
        <v>3560</v>
      </c>
      <c r="C265" s="2" t="s">
        <v>3988</v>
      </c>
      <c r="D265" s="3">
        <f>(('Facts'!F470*-1))*1</f>
        <v>102785620.65</v>
      </c>
      <c r="E265" s="3">
        <f>D265/K265</f>
        <v>102785620.65</v>
      </c>
      <c r="F265" s="2" t="str">
        <f>IF(ISNUMBER(D265),"calculated","not_calculated")</f>
        <v>calculated</v>
      </c>
      <c r="G265" s="2">
        <f>IF(ISNUMBER(D265),"","检查缺失值、分母与输入；口径变更须重跑Python")</f>
        <v/>
      </c>
      <c r="H265" s="2" t="s">
        <v>3561</v>
      </c>
      <c r="I265" s="2" t="s">
        <v>3562</v>
      </c>
      <c r="J265" s="2" t="s">
        <v>53</v>
      </c>
      <c r="K265" s="2">
        <v>1</v>
      </c>
      <c r="L265" s="2" t="s">
        <v>54</v>
      </c>
      <c r="M265" s="2" t="s">
        <v>55</v>
      </c>
      <c r="N265" s="2" t="s">
        <v>392</v>
      </c>
      <c r="O265" s="2" t="s">
        <v>56</v>
      </c>
    </row>
    <row r="266" spans="1:15">
      <c r="A266" s="2" t="s">
        <v>3563</v>
      </c>
      <c r="B266" s="2" t="s">
        <v>3564</v>
      </c>
      <c r="C266" s="2" t="s">
        <v>3989</v>
      </c>
      <c r="D266" s="3">
        <f>(('Calculations'!D265-'Calculations'!D264))*1</f>
        <v>6432677.38</v>
      </c>
      <c r="E266" s="3">
        <f>D266/K266</f>
        <v>6432677.38</v>
      </c>
      <c r="F266" s="2" t="str">
        <f>IF(ISNUMBER(D266),"calculated","not_calculated")</f>
        <v>calculated</v>
      </c>
      <c r="G266" s="2">
        <f>IF(ISNUMBER(D266),"","检查缺失值、分母与输入；口径变更须重跑Python")</f>
        <v/>
      </c>
      <c r="H266" s="2" t="s">
        <v>3565</v>
      </c>
      <c r="I266" s="2" t="s">
        <v>3566</v>
      </c>
      <c r="J266" s="2" t="s">
        <v>53</v>
      </c>
      <c r="K266" s="2">
        <v>1</v>
      </c>
      <c r="L266" s="2" t="s">
        <v>54</v>
      </c>
      <c r="M266" s="2" t="s">
        <v>55</v>
      </c>
      <c r="N266" s="2" t="s">
        <v>392</v>
      </c>
      <c r="O266" s="2" t="s">
        <v>56</v>
      </c>
    </row>
    <row r="267" spans="1:15">
      <c r="A267" s="2" t="s">
        <v>3567</v>
      </c>
      <c r="B267" s="2" t="s">
        <v>3568</v>
      </c>
      <c r="C267" s="2" t="s">
        <v>3990</v>
      </c>
      <c r="D267" s="3">
        <f>(('Calculations'!D262*1)+('Calculations'!D265*1)+('Facts'!F847*-1))*1</f>
        <v>466339893.54</v>
      </c>
      <c r="E267" s="3">
        <f>D267/K267</f>
        <v>466339893.54</v>
      </c>
      <c r="F267" s="2" t="str">
        <f>IF(ISNUMBER(D267),"calculated","not_calculated")</f>
        <v>calculated</v>
      </c>
      <c r="G267" s="2">
        <f>IF(ISNUMBER(D267),"","检查缺失值、分母与输入；口径变更须重跑Python")</f>
        <v/>
      </c>
      <c r="H267" s="2" t="s">
        <v>3569</v>
      </c>
      <c r="I267" s="2" t="s">
        <v>3570</v>
      </c>
      <c r="J267" s="2" t="s">
        <v>53</v>
      </c>
      <c r="K267" s="2">
        <v>1</v>
      </c>
      <c r="L267" s="2" t="s">
        <v>54</v>
      </c>
      <c r="M267" s="2" t="s">
        <v>55</v>
      </c>
      <c r="N267" s="2" t="s">
        <v>392</v>
      </c>
      <c r="O267" s="2" t="s">
        <v>56</v>
      </c>
    </row>
    <row r="268" spans="1:15">
      <c r="A268" s="2" t="s">
        <v>3571</v>
      </c>
      <c r="B268" s="2" t="s">
        <v>3572</v>
      </c>
      <c r="C268" s="2" t="s">
        <v>3991</v>
      </c>
      <c r="D268" s="3">
        <f>(('Calculations'!D263-'Calculations'!D267))*1</f>
        <v>32.48</v>
      </c>
      <c r="E268" s="3">
        <f>D268/K268</f>
        <v>32.48</v>
      </c>
      <c r="F268" s="2" t="str">
        <f>IF(ISNUMBER(D268),"calculated","not_calculated")</f>
        <v>calculated</v>
      </c>
      <c r="G268" s="2">
        <f>IF(ISNUMBER(D268),"","检查缺失值、分母与输入；口径变更须重跑Python")</f>
        <v/>
      </c>
      <c r="H268" s="2" t="s">
        <v>3573</v>
      </c>
      <c r="I268" s="2" t="s">
        <v>3574</v>
      </c>
      <c r="J268" s="2" t="s">
        <v>53</v>
      </c>
      <c r="K268" s="2">
        <v>1</v>
      </c>
      <c r="L268" s="2" t="s">
        <v>54</v>
      </c>
      <c r="M268" s="2" t="s">
        <v>55</v>
      </c>
      <c r="N268" s="2" t="s">
        <v>392</v>
      </c>
      <c r="O268" s="2" t="s">
        <v>56</v>
      </c>
    </row>
    <row r="269" spans="1:15">
      <c r="A269" s="2" t="s">
        <v>3575</v>
      </c>
      <c r="B269" s="2" t="s">
        <v>3576</v>
      </c>
      <c r="C269" s="2" t="s">
        <v>3992</v>
      </c>
      <c r="D269" s="3">
        <f>(('Facts'!F92*-1)+('Facts'!F93*1))*1</f>
        <v>6433022.74</v>
      </c>
      <c r="E269" s="3">
        <f>D269/K269</f>
        <v>6433022.74</v>
      </c>
      <c r="F269" s="2" t="str">
        <f>IF(ISNUMBER(D269),"calculated","not_calculated")</f>
        <v>calculated</v>
      </c>
      <c r="G269" s="2">
        <f>IF(ISNUMBER(D269),"","检查缺失值、分母与输入；口径变更须重跑Python")</f>
        <v/>
      </c>
      <c r="H269" s="2" t="s">
        <v>3577</v>
      </c>
      <c r="I269" s="2" t="s">
        <v>3578</v>
      </c>
      <c r="J269" s="2" t="s">
        <v>53</v>
      </c>
      <c r="K269" s="2">
        <v>1</v>
      </c>
      <c r="L269" s="2" t="s">
        <v>54</v>
      </c>
      <c r="M269" s="2" t="s">
        <v>55</v>
      </c>
      <c r="N269" s="2" t="s">
        <v>392</v>
      </c>
      <c r="O269" s="2" t="s">
        <v>56</v>
      </c>
    </row>
    <row r="270" spans="1:15">
      <c r="A270" s="2" t="s">
        <v>3579</v>
      </c>
      <c r="B270" s="2" t="s">
        <v>3580</v>
      </c>
      <c r="C270" s="2" t="s">
        <v>3993</v>
      </c>
      <c r="D270" s="3">
        <f>(('Facts'!F328-'Facts'!F329))*1</f>
        <v>92872656.68</v>
      </c>
      <c r="E270" s="3">
        <f>D270/K270</f>
        <v>92872656.68</v>
      </c>
      <c r="F270" s="2" t="str">
        <f>IF(ISNUMBER(D270),"calculated","not_calculated")</f>
        <v>calculated</v>
      </c>
      <c r="G270" s="2">
        <f>IF(ISNUMBER(D270),"","检查缺失值、分母与输入；口径变更须重跑Python")</f>
        <v/>
      </c>
      <c r="H270" s="2" t="s">
        <v>3581</v>
      </c>
      <c r="I270" s="2" t="s">
        <v>3582</v>
      </c>
      <c r="J270" s="2" t="s">
        <v>53</v>
      </c>
      <c r="K270" s="2">
        <v>1</v>
      </c>
      <c r="L270" s="2" t="s">
        <v>54</v>
      </c>
      <c r="M270" s="2" t="s">
        <v>55</v>
      </c>
      <c r="N270" s="2" t="s">
        <v>392</v>
      </c>
      <c r="O270" s="2" t="s">
        <v>56</v>
      </c>
    </row>
    <row r="271" spans="1:15">
      <c r="A271" s="2" t="s">
        <v>3583</v>
      </c>
      <c r="B271" s="2" t="s">
        <v>3584</v>
      </c>
      <c r="C271" s="2" t="s">
        <v>3994</v>
      </c>
      <c r="D271" s="3">
        <f>(('Facts'!F844-'Facts'!F845))*1</f>
        <v>73021006.15</v>
      </c>
      <c r="E271" s="3">
        <f>D271/K271</f>
        <v>73021006.15</v>
      </c>
      <c r="F271" s="2" t="str">
        <f>IF(ISNUMBER(D271),"calculated","not_calculated")</f>
        <v>calculated</v>
      </c>
      <c r="G271" s="2">
        <f>IF(ISNUMBER(D271),"","检查缺失值、分母与输入；口径变更须重跑Python")</f>
        <v/>
      </c>
      <c r="H271" s="2" t="s">
        <v>3585</v>
      </c>
      <c r="I271" s="2" t="s">
        <v>3586</v>
      </c>
      <c r="J271" s="2" t="s">
        <v>53</v>
      </c>
      <c r="K271" s="2">
        <v>1</v>
      </c>
      <c r="L271" s="2" t="s">
        <v>54</v>
      </c>
      <c r="M271" s="2" t="s">
        <v>55</v>
      </c>
      <c r="N271" s="2" t="s">
        <v>392</v>
      </c>
      <c r="O271" s="2" t="s">
        <v>56</v>
      </c>
    </row>
    <row r="272" spans="1:15">
      <c r="A272" s="2" t="s">
        <v>3587</v>
      </c>
      <c r="B272" s="2" t="s">
        <v>3588</v>
      </c>
      <c r="C272" s="2" t="s">
        <v>3995</v>
      </c>
      <c r="D272" s="3">
        <f>(('Facts'!F466-'Facts'!F846))*1</f>
        <v>37725740.69</v>
      </c>
      <c r="E272" s="3">
        <f>D272/K272</f>
        <v>37725740.69</v>
      </c>
      <c r="F272" s="2" t="str">
        <f>IF(ISNUMBER(D272),"calculated","not_calculated")</f>
        <v>calculated</v>
      </c>
      <c r="G272" s="2">
        <f>IF(ISNUMBER(D272),"","检查缺失值、分母与输入；口径变更须重跑Python")</f>
        <v/>
      </c>
      <c r="H272" s="2" t="s">
        <v>3589</v>
      </c>
      <c r="I272" s="2" t="s">
        <v>3590</v>
      </c>
      <c r="J272" s="2" t="s">
        <v>53</v>
      </c>
      <c r="K272" s="2">
        <v>1</v>
      </c>
      <c r="L272" s="2" t="s">
        <v>54</v>
      </c>
      <c r="M272" s="2" t="s">
        <v>55</v>
      </c>
      <c r="N272" s="2" t="s">
        <v>392</v>
      </c>
      <c r="O272" s="2" t="s">
        <v>56</v>
      </c>
    </row>
    <row r="273" spans="1:15">
      <c r="A273" s="2" t="s">
        <v>3591</v>
      </c>
      <c r="B273" s="2" t="s">
        <v>3592</v>
      </c>
      <c r="C273" s="2" t="s">
        <v>3996</v>
      </c>
      <c r="D273" s="3">
        <f>(('Calculations'!D271*1)+('Calculations'!D272*1))*1</f>
        <v>110746746.84</v>
      </c>
      <c r="E273" s="3">
        <f>D273/K273</f>
        <v>110746746.84</v>
      </c>
      <c r="F273" s="2" t="str">
        <f>IF(ISNUMBER(D273),"calculated","not_calculated")</f>
        <v>calculated</v>
      </c>
      <c r="G273" s="2">
        <f>IF(ISNUMBER(D273),"","检查缺失值、分母与输入；口径变更须重跑Python")</f>
        <v/>
      </c>
      <c r="H273" s="2" t="s">
        <v>3593</v>
      </c>
      <c r="I273" s="2" t="s">
        <v>3594</v>
      </c>
      <c r="J273" s="2" t="s">
        <v>53</v>
      </c>
      <c r="K273" s="2">
        <v>1</v>
      </c>
      <c r="L273" s="2" t="s">
        <v>54</v>
      </c>
      <c r="M273" s="2" t="s">
        <v>55</v>
      </c>
      <c r="N273" s="2" t="s">
        <v>392</v>
      </c>
      <c r="O273" s="2" t="s">
        <v>56</v>
      </c>
    </row>
    <row r="274" spans="1:15">
      <c r="A274" s="2" t="s">
        <v>3595</v>
      </c>
      <c r="B274" s="2" t="s">
        <v>3596</v>
      </c>
      <c r="C274" s="2" t="s">
        <v>3997</v>
      </c>
      <c r="D274" s="3">
        <f>(('Calculations'!D270-'Calculations'!D273))*1</f>
        <v>-17874090.16</v>
      </c>
      <c r="E274" s="3">
        <f>D274/K274</f>
        <v>-17874090.16</v>
      </c>
      <c r="F274" s="2" t="str">
        <f>IF(ISNUMBER(D274),"calculated","not_calculated")</f>
        <v>calculated</v>
      </c>
      <c r="G274" s="2">
        <f>IF(ISNUMBER(D274),"","检查缺失值、分母与输入；口径变更须重跑Python")</f>
        <v/>
      </c>
      <c r="H274" s="2" t="s">
        <v>3597</v>
      </c>
      <c r="I274" s="2" t="s">
        <v>3598</v>
      </c>
      <c r="J274" s="2" t="s">
        <v>53</v>
      </c>
      <c r="K274" s="2">
        <v>1</v>
      </c>
      <c r="L274" s="2" t="s">
        <v>54</v>
      </c>
      <c r="M274" s="2" t="s">
        <v>55</v>
      </c>
      <c r="N274" s="2" t="s">
        <v>392</v>
      </c>
      <c r="O274" s="2" t="s">
        <v>56</v>
      </c>
    </row>
    <row r="275" spans="1:15">
      <c r="A275" s="2" t="s">
        <v>3599</v>
      </c>
      <c r="B275" s="2" t="s">
        <v>3600</v>
      </c>
      <c r="C275" s="2" t="s">
        <v>3998</v>
      </c>
      <c r="D275" s="3">
        <f>(('Facts'!F844*1)+('Facts'!F466*1))*1</f>
        <v>430044611.85</v>
      </c>
      <c r="E275" s="3">
        <f>D275/K275</f>
        <v>430044611.85</v>
      </c>
      <c r="F275" s="2" t="str">
        <f>IF(ISNUMBER(D275),"calculated","not_calculated")</f>
        <v>calculated</v>
      </c>
      <c r="G275" s="2">
        <f>IF(ISNUMBER(D275),"","检查缺失值、分母与输入；口径变更须重跑Python")</f>
        <v/>
      </c>
      <c r="H275" s="2" t="s">
        <v>3601</v>
      </c>
      <c r="I275" s="2" t="s">
        <v>3602</v>
      </c>
      <c r="J275" s="2" t="s">
        <v>53</v>
      </c>
      <c r="K275" s="2">
        <v>1</v>
      </c>
      <c r="L275" s="2" t="s">
        <v>54</v>
      </c>
      <c r="M275" s="2" t="s">
        <v>55</v>
      </c>
      <c r="N275" s="2"/>
      <c r="O275" s="2" t="s">
        <v>56</v>
      </c>
    </row>
    <row r="276" spans="1:15">
      <c r="A276" s="2" t="s">
        <v>3603</v>
      </c>
      <c r="B276" s="2" t="s">
        <v>3604</v>
      </c>
      <c r="C276" s="2" t="s">
        <v>3999</v>
      </c>
      <c r="D276" s="3">
        <f>IF('Facts'!F328&lt;=0,NA(),(('Calculations'!D275/'Facts'!F328))*1)</f>
        <v>0.8011004032034076</v>
      </c>
      <c r="E276" s="4">
        <f>D276</f>
        <v>0.8011004032034076</v>
      </c>
      <c r="F276" s="2" t="str">
        <f>IF(ISNUMBER(D276),"calculated","not_calculated")</f>
        <v>calculated</v>
      </c>
      <c r="G276" s="2">
        <f>IF(ISNUMBER(D276),"","检查缺失值、分母与输入；口径变更须重跑Python")</f>
        <v/>
      </c>
      <c r="H276" s="2" t="s">
        <v>3605</v>
      </c>
      <c r="I276" s="2" t="s">
        <v>3606</v>
      </c>
      <c r="J276" s="2" t="s">
        <v>3117</v>
      </c>
      <c r="K276" s="2">
        <v>1</v>
      </c>
      <c r="L276" s="2" t="s">
        <v>54</v>
      </c>
      <c r="M276" s="2" t="s">
        <v>55</v>
      </c>
      <c r="N276" s="2"/>
      <c r="O276" s="2" t="s">
        <v>56</v>
      </c>
    </row>
    <row r="277" spans="1:15">
      <c r="A277" s="2" t="s">
        <v>3607</v>
      </c>
      <c r="B277" s="2" t="s">
        <v>3608</v>
      </c>
      <c r="C277" s="2" t="s">
        <v>4000</v>
      </c>
      <c r="D277" s="3">
        <f>IF('Facts'!F109&lt;=0,NA(),(('Calculations'!D263/'Facts'!F109))*1)</f>
        <v>0.11508673052137847</v>
      </c>
      <c r="E277" s="4">
        <f>D277</f>
        <v>0.11508673052137847</v>
      </c>
      <c r="F277" s="2" t="str">
        <f>IF(ISNUMBER(D277),"calculated","not_calculated")</f>
        <v>calculated</v>
      </c>
      <c r="G277" s="2">
        <f>IF(ISNUMBER(D277),"","检查缺失值、分母与输入；口径变更须重跑Python")</f>
        <v/>
      </c>
      <c r="H277" s="2" t="s">
        <v>3609</v>
      </c>
      <c r="I277" s="2" t="s">
        <v>3610</v>
      </c>
      <c r="J277" s="2" t="s">
        <v>3117</v>
      </c>
      <c r="K277" s="2">
        <v>1</v>
      </c>
      <c r="L277" s="2" t="s">
        <v>54</v>
      </c>
      <c r="M277" s="2" t="s">
        <v>55</v>
      </c>
      <c r="N277" s="2"/>
      <c r="O277" s="2" t="s">
        <v>56</v>
      </c>
    </row>
    <row r="278" spans="1:15">
      <c r="A278" s="2" t="s">
        <v>3611</v>
      </c>
      <c r="B278" s="2" t="s">
        <v>3612</v>
      </c>
      <c r="C278" s="2" t="s">
        <v>4001</v>
      </c>
      <c r="D278" s="3">
        <f>IF('Facts'!F109&lt;=0,NA(),(('Facts'!F466/'Facts'!F109))*1)</f>
        <v>0.017635702929751775</v>
      </c>
      <c r="E278" s="4">
        <f>D278</f>
        <v>0.017635702929751775</v>
      </c>
      <c r="F278" s="2" t="str">
        <f>IF(ISNUMBER(D278),"calculated","not_calculated")</f>
        <v>calculated</v>
      </c>
      <c r="G278" s="2">
        <f>IF(ISNUMBER(D278),"","检查缺失值、分母与输入；口径变更须重跑Python")</f>
        <v/>
      </c>
      <c r="H278" s="2" t="s">
        <v>3613</v>
      </c>
      <c r="I278" s="2" t="s">
        <v>3614</v>
      </c>
      <c r="J278" s="2" t="s">
        <v>3117</v>
      </c>
      <c r="K278" s="2">
        <v>1</v>
      </c>
      <c r="L278" s="2" t="s">
        <v>54</v>
      </c>
      <c r="M278" s="2" t="s">
        <v>55</v>
      </c>
      <c r="N278" s="2"/>
      <c r="O278" s="2" t="s">
        <v>56</v>
      </c>
    </row>
    <row r="279" spans="1:15">
      <c r="A279" s="2" t="s">
        <v>3615</v>
      </c>
      <c r="B279" s="2" t="s">
        <v>3616</v>
      </c>
      <c r="C279" s="2" t="s">
        <v>4002</v>
      </c>
      <c r="D279" s="3">
        <f>(('Facts'!F153*1)+('Facts'!F470*1))*1</f>
        <v>-650580836.2</v>
      </c>
      <c r="E279" s="3">
        <f>D279/K279</f>
        <v>-650580836.2</v>
      </c>
      <c r="F279" s="2" t="str">
        <f>IF(ISNUMBER(D279),"calculated","not_calculated")</f>
        <v>calculated</v>
      </c>
      <c r="G279" s="2">
        <f>IF(ISNUMBER(D279),"","检查缺失值、分母与输入；口径变更须重跑Python")</f>
        <v/>
      </c>
      <c r="H279" s="2" t="s">
        <v>3617</v>
      </c>
      <c r="I279" s="2" t="s">
        <v>3618</v>
      </c>
      <c r="J279" s="2" t="s">
        <v>53</v>
      </c>
      <c r="K279" s="2">
        <v>1</v>
      </c>
      <c r="L279" s="2" t="s">
        <v>54</v>
      </c>
      <c r="M279" s="2" t="s">
        <v>55</v>
      </c>
      <c r="N279" s="2" t="s">
        <v>392</v>
      </c>
      <c r="O279" s="2" t="s">
        <v>56</v>
      </c>
    </row>
    <row r="280" spans="1:15">
      <c r="A280" s="2" t="s">
        <v>3619</v>
      </c>
      <c r="B280" s="2" t="s">
        <v>3620</v>
      </c>
      <c r="C280" s="2" t="s">
        <v>4003</v>
      </c>
      <c r="D280" s="3">
        <f>(('Facts'!F384*1)+('Facts'!F386*1))*1</f>
        <v>-96352943.27</v>
      </c>
      <c r="E280" s="3">
        <f>D280/K280</f>
        <v>-96352943.27</v>
      </c>
      <c r="F280" s="2" t="str">
        <f>IF(ISNUMBER(D280),"calculated","not_calculated")</f>
        <v>calculated</v>
      </c>
      <c r="G280" s="2">
        <f>IF(ISNUMBER(D280),"","检查缺失值、分母与输入；口径变更须重跑Python")</f>
        <v/>
      </c>
      <c r="H280" s="2" t="s">
        <v>3621</v>
      </c>
      <c r="I280" s="2" t="s">
        <v>3622</v>
      </c>
      <c r="J280" s="2" t="s">
        <v>53</v>
      </c>
      <c r="K280" s="2">
        <v>1</v>
      </c>
      <c r="L280" s="2" t="s">
        <v>54</v>
      </c>
      <c r="M280" s="2" t="s">
        <v>55</v>
      </c>
      <c r="N280" s="2" t="s">
        <v>392</v>
      </c>
      <c r="O280" s="2" t="s">
        <v>56</v>
      </c>
    </row>
    <row r="281" spans="1:15">
      <c r="A281" s="2" t="s">
        <v>3623</v>
      </c>
      <c r="B281" s="2" t="s">
        <v>3624</v>
      </c>
      <c r="C281" s="2" t="s">
        <v>4004</v>
      </c>
      <c r="D281" s="3">
        <f>(('Calculations'!D280-'Facts'!F470))*1</f>
        <v>6432677.38</v>
      </c>
      <c r="E281" s="3">
        <f>D281/K281</f>
        <v>6432677.38</v>
      </c>
      <c r="F281" s="2" t="str">
        <f>IF(ISNUMBER(D281),"calculated","not_calculated")</f>
        <v>calculated</v>
      </c>
      <c r="G281" s="2">
        <f>IF(ISNUMBER(D281),"","检查缺失值、分母与输入；口径变更须重跑Python")</f>
        <v/>
      </c>
      <c r="H281" s="2" t="s">
        <v>3625</v>
      </c>
      <c r="I281" s="2" t="s">
        <v>3626</v>
      </c>
      <c r="J281" s="2" t="s">
        <v>53</v>
      </c>
      <c r="K281" s="2">
        <v>1</v>
      </c>
      <c r="L281" s="2" t="s">
        <v>54</v>
      </c>
      <c r="M281" s="2" t="s">
        <v>55</v>
      </c>
      <c r="N281" s="2" t="s">
        <v>392</v>
      </c>
      <c r="O281" s="2" t="s">
        <v>56</v>
      </c>
    </row>
    <row r="282" spans="1:15">
      <c r="A282" s="2" t="s">
        <v>3627</v>
      </c>
      <c r="B282" s="2" t="s">
        <v>3628</v>
      </c>
      <c r="C282" s="2" t="s">
        <v>4005</v>
      </c>
      <c r="D282" s="3">
        <f>(('Facts'!F849*1)+('Facts'!F851*1)+('Facts'!F853*1)+('Facts'!F854*1)+('Facts'!F856*1)+('Facts'!F859*1)+('Facts'!F861*1))*1</f>
        <v>353283110.66</v>
      </c>
      <c r="E282" s="3">
        <f>D282/K282</f>
        <v>353283110.66</v>
      </c>
      <c r="F282" s="2" t="str">
        <f>IF(ISNUMBER(D282),"calculated","not_calculated")</f>
        <v>calculated</v>
      </c>
      <c r="G282" s="2">
        <f>IF(ISNUMBER(D282),"","检查缺失值、分母与输入；口径变更须重跑Python")</f>
        <v/>
      </c>
      <c r="H282" s="2" t="s">
        <v>3629</v>
      </c>
      <c r="I282" s="2" t="s">
        <v>3630</v>
      </c>
      <c r="J282" s="2" t="s">
        <v>53</v>
      </c>
      <c r="K282" s="2">
        <v>1</v>
      </c>
      <c r="L282" s="2" t="s">
        <v>54</v>
      </c>
      <c r="M282" s="2" t="s">
        <v>55</v>
      </c>
      <c r="N282" s="2" t="s">
        <v>397</v>
      </c>
      <c r="O282" s="2" t="s">
        <v>63</v>
      </c>
    </row>
    <row r="283" spans="1:15">
      <c r="A283" s="2" t="s">
        <v>3631</v>
      </c>
      <c r="B283" s="2" t="s">
        <v>3632</v>
      </c>
      <c r="C283" s="2" t="s">
        <v>4006</v>
      </c>
      <c r="D283" s="3">
        <f>(('Calculations'!D282*1)+('Facts'!F863*-1)+('Facts'!F865*-1))*1</f>
        <v>297069415.99</v>
      </c>
      <c r="E283" s="3">
        <f>D283/K283</f>
        <v>297069415.99</v>
      </c>
      <c r="F283" s="2" t="str">
        <f>IF(ISNUMBER(D283),"calculated","not_calculated")</f>
        <v>calculated</v>
      </c>
      <c r="G283" s="2">
        <f>IF(ISNUMBER(D283),"","检查缺失值、分母与输入；口径变更须重跑Python")</f>
        <v/>
      </c>
      <c r="H283" s="2" t="s">
        <v>3633</v>
      </c>
      <c r="I283" s="2" t="s">
        <v>3630</v>
      </c>
      <c r="J283" s="2" t="s">
        <v>53</v>
      </c>
      <c r="K283" s="2">
        <v>1</v>
      </c>
      <c r="L283" s="2" t="s">
        <v>54</v>
      </c>
      <c r="M283" s="2" t="s">
        <v>55</v>
      </c>
      <c r="N283" s="2" t="s">
        <v>397</v>
      </c>
      <c r="O283" s="2" t="s">
        <v>63</v>
      </c>
    </row>
    <row r="284" spans="1:15">
      <c r="A284" s="2" t="s">
        <v>3634</v>
      </c>
      <c r="B284" s="2" t="s">
        <v>3635</v>
      </c>
      <c r="C284" s="2" t="s">
        <v>4007</v>
      </c>
      <c r="D284" s="3">
        <f>(('Facts'!F156-'Facts'!F867))*1</f>
        <v>-261616034.64</v>
      </c>
      <c r="E284" s="3">
        <f>D284/K284</f>
        <v>-261616034.64</v>
      </c>
      <c r="F284" s="2" t="str">
        <f>IF(ISNUMBER(D284),"calculated","not_calculated")</f>
        <v>calculated</v>
      </c>
      <c r="G284" s="2">
        <f>IF(ISNUMBER(D284),"","检查缺失值、分母与输入；口径变更须重跑Python")</f>
        <v/>
      </c>
      <c r="H284" s="2" t="s">
        <v>3636</v>
      </c>
      <c r="I284" s="2" t="s">
        <v>3630</v>
      </c>
      <c r="J284" s="2" t="s">
        <v>53</v>
      </c>
      <c r="K284" s="2">
        <v>1</v>
      </c>
      <c r="L284" s="2" t="s">
        <v>54</v>
      </c>
      <c r="M284" s="2" t="s">
        <v>55</v>
      </c>
      <c r="N284" s="2" t="s">
        <v>397</v>
      </c>
      <c r="O284" s="2" t="s">
        <v>63</v>
      </c>
    </row>
    <row r="285" spans="1:15">
      <c r="A285" s="2" t="s">
        <v>3637</v>
      </c>
      <c r="B285" s="2" t="s">
        <v>3638</v>
      </c>
      <c r="C285" s="2" t="s">
        <v>4008</v>
      </c>
      <c r="D285" s="3">
        <f>(('Facts'!F853*1)+('Facts'!F856*1))*1</f>
        <v>314682188.91</v>
      </c>
      <c r="E285" s="3">
        <f>D285/K285</f>
        <v>314682188.91</v>
      </c>
      <c r="F285" s="2" t="str">
        <f>IF(ISNUMBER(D285),"calculated","not_calculated")</f>
        <v>calculated</v>
      </c>
      <c r="G285" s="2">
        <f>IF(ISNUMBER(D285),"","检查缺失值、分母与输入；口径变更须重跑Python")</f>
        <v/>
      </c>
      <c r="H285" s="2" t="s">
        <v>3639</v>
      </c>
      <c r="I285" s="2" t="s">
        <v>3630</v>
      </c>
      <c r="J285" s="2" t="s">
        <v>53</v>
      </c>
      <c r="K285" s="2">
        <v>1</v>
      </c>
      <c r="L285" s="2" t="s">
        <v>54</v>
      </c>
      <c r="M285" s="2" t="s">
        <v>55</v>
      </c>
      <c r="N285" s="2" t="s">
        <v>397</v>
      </c>
      <c r="O285" s="2" t="s">
        <v>63</v>
      </c>
    </row>
    <row r="286" spans="1:15">
      <c r="A286" s="2" t="s">
        <v>3640</v>
      </c>
      <c r="B286" s="2" t="s">
        <v>3641</v>
      </c>
      <c r="C286" s="2" t="s">
        <v>4009</v>
      </c>
      <c r="D286" s="3">
        <f>(('Calculations'!D107-'Calculations'!D285))*1</f>
        <v>119276577.81</v>
      </c>
      <c r="E286" s="3">
        <f>D286/K286</f>
        <v>119276577.81</v>
      </c>
      <c r="F286" s="2" t="str">
        <f>IF(ISNUMBER(D286),"calculated","not_calculated")</f>
        <v>calculated</v>
      </c>
      <c r="G286" s="2">
        <f>IF(ISNUMBER(D286),"","检查缺失值、分母与输入；口径变更须重跑Python")</f>
        <v/>
      </c>
      <c r="H286" s="2" t="s">
        <v>3642</v>
      </c>
      <c r="I286" s="2" t="s">
        <v>3630</v>
      </c>
      <c r="J286" s="2" t="s">
        <v>53</v>
      </c>
      <c r="K286" s="2">
        <v>1</v>
      </c>
      <c r="L286" s="2" t="s">
        <v>54</v>
      </c>
      <c r="M286" s="2" t="s">
        <v>55</v>
      </c>
      <c r="N286" s="2" t="s">
        <v>397</v>
      </c>
      <c r="O286" s="2" t="s">
        <v>63</v>
      </c>
    </row>
    <row r="287" spans="1:15">
      <c r="A287" s="2" t="s">
        <v>3643</v>
      </c>
      <c r="B287" s="2" t="s">
        <v>3644</v>
      </c>
      <c r="C287" s="2" t="s">
        <v>4010</v>
      </c>
      <c r="D287" s="3">
        <f>(('Facts'!F150-'Calculations'!D285))*1</f>
        <v>-267953996.14</v>
      </c>
      <c r="E287" s="3">
        <f>D287/K287</f>
        <v>-267953996.14</v>
      </c>
      <c r="F287" s="2" t="str">
        <f>IF(ISNUMBER(D287),"calculated","not_calculated")</f>
        <v>calculated</v>
      </c>
      <c r="G287" s="2">
        <f>IF(ISNUMBER(D287),"","检查缺失值、分母与输入；口径变更须重跑Python")</f>
        <v/>
      </c>
      <c r="H287" s="2" t="s">
        <v>3645</v>
      </c>
      <c r="I287" s="2" t="s">
        <v>3630</v>
      </c>
      <c r="J287" s="2" t="s">
        <v>53</v>
      </c>
      <c r="K287" s="2">
        <v>1</v>
      </c>
      <c r="L287" s="2" t="s">
        <v>54</v>
      </c>
      <c r="M287" s="2" t="s">
        <v>55</v>
      </c>
      <c r="N287" s="2" t="s">
        <v>397</v>
      </c>
      <c r="O287" s="2" t="s">
        <v>63</v>
      </c>
    </row>
    <row r="288" spans="1:15">
      <c r="A288" s="2" t="s">
        <v>3646</v>
      </c>
      <c r="B288" s="2" t="s">
        <v>3628</v>
      </c>
      <c r="C288" s="2" t="s">
        <v>4011</v>
      </c>
      <c r="D288" s="3">
        <f>(('Facts'!F848*1)+('Facts'!F850*1)+('Facts'!F852*1)+('Facts'!F855*1)+('Facts'!F857*1)+('Facts'!F858*1)+('Facts'!F860*1))*1</f>
        <v>66738120.02</v>
      </c>
      <c r="E288" s="3">
        <f>D288/K288</f>
        <v>66738120.02</v>
      </c>
      <c r="F288" s="2" t="str">
        <f>IF(ISNUMBER(D288),"calculated","not_calculated")</f>
        <v>calculated</v>
      </c>
      <c r="G288" s="2">
        <f>IF(ISNUMBER(D288),"","检查缺失值、分母与输入；口径变更须重跑Python")</f>
        <v/>
      </c>
      <c r="H288" s="2" t="s">
        <v>3629</v>
      </c>
      <c r="I288" s="2" t="s">
        <v>3630</v>
      </c>
      <c r="J288" s="2" t="s">
        <v>53</v>
      </c>
      <c r="K288" s="2">
        <v>1</v>
      </c>
      <c r="L288" s="2" t="s">
        <v>54</v>
      </c>
      <c r="M288" s="2" t="s">
        <v>55</v>
      </c>
      <c r="N288" s="2" t="s">
        <v>392</v>
      </c>
      <c r="O288" s="2" t="s">
        <v>56</v>
      </c>
    </row>
    <row r="289" spans="1:15">
      <c r="A289" s="2" t="s">
        <v>3647</v>
      </c>
      <c r="B289" s="2" t="s">
        <v>3632</v>
      </c>
      <c r="C289" s="2" t="s">
        <v>4012</v>
      </c>
      <c r="D289" s="3">
        <f>(('Calculations'!D288*1)+('Facts'!F862*-1)+('Facts'!F864*-1))*1</f>
        <v>54442278.36</v>
      </c>
      <c r="E289" s="3">
        <f>D289/K289</f>
        <v>54442278.36</v>
      </c>
      <c r="F289" s="2" t="str">
        <f>IF(ISNUMBER(D289),"calculated","not_calculated")</f>
        <v>calculated</v>
      </c>
      <c r="G289" s="2">
        <f>IF(ISNUMBER(D289),"","检查缺失值、分母与输入；口径变更须重跑Python")</f>
        <v/>
      </c>
      <c r="H289" s="2" t="s">
        <v>3633</v>
      </c>
      <c r="I289" s="2" t="s">
        <v>3630</v>
      </c>
      <c r="J289" s="2" t="s">
        <v>53</v>
      </c>
      <c r="K289" s="2">
        <v>1</v>
      </c>
      <c r="L289" s="2" t="s">
        <v>54</v>
      </c>
      <c r="M289" s="2" t="s">
        <v>55</v>
      </c>
      <c r="N289" s="2" t="s">
        <v>392</v>
      </c>
      <c r="O289" s="2" t="s">
        <v>56</v>
      </c>
    </row>
    <row r="290" spans="1:15">
      <c r="A290" s="2" t="s">
        <v>3648</v>
      </c>
      <c r="B290" s="2" t="s">
        <v>3635</v>
      </c>
      <c r="C290" s="2" t="s">
        <v>4013</v>
      </c>
      <c r="D290" s="3">
        <f>(('Facts'!F155-'Facts'!F866))*1</f>
        <v>-589785040.45</v>
      </c>
      <c r="E290" s="3">
        <f>D290/K290</f>
        <v>-589785040.45</v>
      </c>
      <c r="F290" s="2" t="str">
        <f>IF(ISNUMBER(D290),"calculated","not_calculated")</f>
        <v>calculated</v>
      </c>
      <c r="G290" s="2">
        <f>IF(ISNUMBER(D290),"","检查缺失值、分母与输入；口径变更须重跑Python")</f>
        <v/>
      </c>
      <c r="H290" s="2" t="s">
        <v>3636</v>
      </c>
      <c r="I290" s="2" t="s">
        <v>3630</v>
      </c>
      <c r="J290" s="2" t="s">
        <v>53</v>
      </c>
      <c r="K290" s="2">
        <v>1</v>
      </c>
      <c r="L290" s="2" t="s">
        <v>54</v>
      </c>
      <c r="M290" s="2" t="s">
        <v>55</v>
      </c>
      <c r="N290" s="2" t="s">
        <v>392</v>
      </c>
      <c r="O290" s="2" t="s">
        <v>56</v>
      </c>
    </row>
    <row r="291" spans="1:15">
      <c r="A291" s="2" t="s">
        <v>3649</v>
      </c>
      <c r="B291" s="2" t="s">
        <v>3638</v>
      </c>
      <c r="C291" s="2" t="s">
        <v>4014</v>
      </c>
      <c r="D291" s="3">
        <f>(('Facts'!F852*1)+('Facts'!F855*1))*1</f>
        <v>81904821.27</v>
      </c>
      <c r="E291" s="3">
        <f>D291/K291</f>
        <v>81904821.27</v>
      </c>
      <c r="F291" s="2" t="str">
        <f>IF(ISNUMBER(D291),"calculated","not_calculated")</f>
        <v>calculated</v>
      </c>
      <c r="G291" s="2">
        <f>IF(ISNUMBER(D291),"","检查缺失值、分母与输入；口径变更须重跑Python")</f>
        <v/>
      </c>
      <c r="H291" s="2" t="s">
        <v>3639</v>
      </c>
      <c r="I291" s="2" t="s">
        <v>3630</v>
      </c>
      <c r="J291" s="2" t="s">
        <v>53</v>
      </c>
      <c r="K291" s="2">
        <v>1</v>
      </c>
      <c r="L291" s="2" t="s">
        <v>54</v>
      </c>
      <c r="M291" s="2" t="s">
        <v>55</v>
      </c>
      <c r="N291" s="2" t="s">
        <v>392</v>
      </c>
      <c r="O291" s="2" t="s">
        <v>56</v>
      </c>
    </row>
    <row r="292" spans="1:15">
      <c r="A292" s="2" t="s">
        <v>3650</v>
      </c>
      <c r="B292" s="2" t="s">
        <v>3641</v>
      </c>
      <c r="C292" s="2" t="s">
        <v>4015</v>
      </c>
      <c r="D292" s="3">
        <f>(('Calculations'!D39-'Calculations'!D291))*1</f>
        <v>-292814250.34</v>
      </c>
      <c r="E292" s="3">
        <f>D292/K292</f>
        <v>-292814250.34</v>
      </c>
      <c r="F292" s="2" t="str">
        <f>IF(ISNUMBER(D292),"calculated","not_calculated")</f>
        <v>calculated</v>
      </c>
      <c r="G292" s="2">
        <f>IF(ISNUMBER(D292),"","检查缺失值、分母与输入；口径变更须重跑Python")</f>
        <v/>
      </c>
      <c r="H292" s="2" t="s">
        <v>3642</v>
      </c>
      <c r="I292" s="2" t="s">
        <v>3630</v>
      </c>
      <c r="J292" s="2" t="s">
        <v>53</v>
      </c>
      <c r="K292" s="2">
        <v>1</v>
      </c>
      <c r="L292" s="2" t="s">
        <v>54</v>
      </c>
      <c r="M292" s="2" t="s">
        <v>55</v>
      </c>
      <c r="N292" s="2" t="s">
        <v>392</v>
      </c>
      <c r="O292" s="2" t="s">
        <v>56</v>
      </c>
    </row>
    <row r="293" spans="1:15">
      <c r="A293" s="2" t="s">
        <v>3651</v>
      </c>
      <c r="B293" s="2" t="s">
        <v>3644</v>
      </c>
      <c r="C293" s="2" t="s">
        <v>4016</v>
      </c>
      <c r="D293" s="3">
        <f>(('Facts'!F149-'Calculations'!D291))*1</f>
        <v>-674099027.83</v>
      </c>
      <c r="E293" s="3">
        <f>D293/K293</f>
        <v>-674099027.83</v>
      </c>
      <c r="F293" s="2" t="str">
        <f>IF(ISNUMBER(D293),"calculated","not_calculated")</f>
        <v>calculated</v>
      </c>
      <c r="G293" s="2">
        <f>IF(ISNUMBER(D293),"","检查缺失值、分母与输入；口径变更须重跑Python")</f>
        <v/>
      </c>
      <c r="H293" s="2" t="s">
        <v>3645</v>
      </c>
      <c r="I293" s="2" t="s">
        <v>3630</v>
      </c>
      <c r="J293" s="2" t="s">
        <v>53</v>
      </c>
      <c r="K293" s="2">
        <v>1</v>
      </c>
      <c r="L293" s="2" t="s">
        <v>54</v>
      </c>
      <c r="M293" s="2" t="s">
        <v>55</v>
      </c>
      <c r="N293" s="2" t="s">
        <v>392</v>
      </c>
      <c r="O293" s="2" t="s">
        <v>56</v>
      </c>
    </row>
    <row r="294" spans="1:15">
      <c r="A294" s="2" t="s">
        <v>3652</v>
      </c>
      <c r="B294" s="2" t="s">
        <v>3653</v>
      </c>
      <c r="C294" s="2" t="s">
        <v>4017</v>
      </c>
      <c r="D294" s="3">
        <f>(('Facts'!F155-'Facts'!F156))*-1</f>
        <v>570796143.44</v>
      </c>
      <c r="E294" s="3">
        <f>D294/K294</f>
        <v>570796143.44</v>
      </c>
      <c r="F294" s="2" t="str">
        <f>IF(ISNUMBER(D294),"calculated","not_calculated")</f>
        <v>calculated</v>
      </c>
      <c r="G294" s="2">
        <f>IF(ISNUMBER(D294),"","检查缺失值、分母与输入；口径变更须重跑Python")</f>
        <v/>
      </c>
      <c r="H294" s="2" t="s">
        <v>3654</v>
      </c>
      <c r="I294" s="2" t="s">
        <v>3630</v>
      </c>
      <c r="J294" s="2" t="s">
        <v>53</v>
      </c>
      <c r="K294" s="2">
        <v>1</v>
      </c>
      <c r="L294" s="2" t="s">
        <v>54</v>
      </c>
      <c r="M294" s="2" t="s">
        <v>55</v>
      </c>
      <c r="N294" s="2" t="s">
        <v>392</v>
      </c>
      <c r="O294" s="2" t="s">
        <v>56</v>
      </c>
    </row>
    <row r="295" spans="1:15">
      <c r="A295" s="2" t="s">
        <v>3655</v>
      </c>
      <c r="B295" s="2" t="s">
        <v>3656</v>
      </c>
      <c r="C295" s="2" t="s">
        <v>4018</v>
      </c>
      <c r="D295" s="3">
        <f>(('Facts'!F866-'Facts'!F867))*-1</f>
        <v>242627137.63</v>
      </c>
      <c r="E295" s="3">
        <f>D295/K295</f>
        <v>242627137.63</v>
      </c>
      <c r="F295" s="2" t="str">
        <f>IF(ISNUMBER(D295),"calculated","not_calculated")</f>
        <v>calculated</v>
      </c>
      <c r="G295" s="2">
        <f>IF(ISNUMBER(D295),"","检查缺失值、分母与输入；口径变更须重跑Python")</f>
        <v/>
      </c>
      <c r="H295" s="2" t="s">
        <v>3657</v>
      </c>
      <c r="I295" s="2" t="s">
        <v>3630</v>
      </c>
      <c r="J295" s="2" t="s">
        <v>53</v>
      </c>
      <c r="K295" s="2">
        <v>1</v>
      </c>
      <c r="L295" s="2" t="s">
        <v>54</v>
      </c>
      <c r="M295" s="2" t="s">
        <v>55</v>
      </c>
      <c r="N295" s="2" t="s">
        <v>392</v>
      </c>
      <c r="O295" s="2" t="s">
        <v>56</v>
      </c>
    </row>
    <row r="296" spans="1:15">
      <c r="A296" s="2" t="s">
        <v>3658</v>
      </c>
      <c r="B296" s="2" t="s">
        <v>3659</v>
      </c>
      <c r="C296" s="2" t="s">
        <v>4019</v>
      </c>
      <c r="D296" s="3">
        <f>(('Facts'!F502-'Facts'!F503))*-1</f>
        <v>328169005.81</v>
      </c>
      <c r="E296" s="3">
        <f>D296/K296</f>
        <v>328169005.81</v>
      </c>
      <c r="F296" s="2" t="str">
        <f>IF(ISNUMBER(D296),"calculated","not_calculated")</f>
        <v>calculated</v>
      </c>
      <c r="G296" s="2">
        <f>IF(ISNUMBER(D296),"","检查缺失值、分母与输入；口径变更须重跑Python")</f>
        <v/>
      </c>
      <c r="H296" s="2" t="s">
        <v>3660</v>
      </c>
      <c r="I296" s="2" t="s">
        <v>3630</v>
      </c>
      <c r="J296" s="2" t="s">
        <v>53</v>
      </c>
      <c r="K296" s="2">
        <v>1</v>
      </c>
      <c r="L296" s="2" t="s">
        <v>54</v>
      </c>
      <c r="M296" s="2" t="s">
        <v>55</v>
      </c>
      <c r="N296" s="2" t="s">
        <v>392</v>
      </c>
      <c r="O296" s="2" t="s">
        <v>56</v>
      </c>
    </row>
    <row r="297" spans="1:15">
      <c r="A297" s="2" t="s">
        <v>3661</v>
      </c>
      <c r="B297" s="2" t="s">
        <v>3662</v>
      </c>
      <c r="C297" s="2" t="s">
        <v>4020</v>
      </c>
      <c r="D297" s="3">
        <f>(('Calculations'!D295*1)+('Calculations'!D296*1))*1</f>
        <v>570796143.44</v>
      </c>
      <c r="E297" s="3">
        <f>D297/K297</f>
        <v>570796143.44</v>
      </c>
      <c r="F297" s="2" t="str">
        <f>IF(ISNUMBER(D297),"calculated","not_calculated")</f>
        <v>calculated</v>
      </c>
      <c r="G297" s="2">
        <f>IF(ISNUMBER(D297),"","检查缺失值、分母与输入；口径变更须重跑Python")</f>
        <v/>
      </c>
      <c r="H297" s="2" t="s">
        <v>3663</v>
      </c>
      <c r="I297" s="2" t="s">
        <v>3630</v>
      </c>
      <c r="J297" s="2" t="s">
        <v>53</v>
      </c>
      <c r="K297" s="2">
        <v>1</v>
      </c>
      <c r="L297" s="2" t="s">
        <v>54</v>
      </c>
      <c r="M297" s="2" t="s">
        <v>55</v>
      </c>
      <c r="N297" s="2" t="s">
        <v>392</v>
      </c>
      <c r="O297" s="2" t="s">
        <v>56</v>
      </c>
    </row>
    <row r="298" spans="1:15">
      <c r="A298" s="2" t="s">
        <v>3664</v>
      </c>
      <c r="B298" s="2" t="s">
        <v>3665</v>
      </c>
      <c r="C298" s="2" t="s">
        <v>4021</v>
      </c>
      <c r="D298" s="3">
        <f>IF('Calculations'!D294&lt;=0,NA(),(('Calculations'!D295/'Calculations'!D294))*1)</f>
        <v>0.4250679343552784</v>
      </c>
      <c r="E298" s="4">
        <f>D298</f>
        <v>0.4250679343552784</v>
      </c>
      <c r="F298" s="2" t="str">
        <f>IF(ISNUMBER(D298),"calculated","not_calculated")</f>
        <v>calculated</v>
      </c>
      <c r="G298" s="2">
        <f>IF(ISNUMBER(D298),"","检查缺失值、分母与输入；口径变更须重跑Python")</f>
        <v/>
      </c>
      <c r="H298" s="2" t="s">
        <v>3666</v>
      </c>
      <c r="I298" s="2" t="s">
        <v>3630</v>
      </c>
      <c r="J298" s="2" t="s">
        <v>3117</v>
      </c>
      <c r="K298" s="2">
        <v>1</v>
      </c>
      <c r="L298" s="2" t="s">
        <v>54</v>
      </c>
      <c r="M298" s="2" t="s">
        <v>55</v>
      </c>
      <c r="N298" s="2" t="s">
        <v>392</v>
      </c>
      <c r="O298" s="2" t="s">
        <v>56</v>
      </c>
    </row>
    <row r="299" spans="1:15">
      <c r="A299" s="2" t="s">
        <v>3667</v>
      </c>
      <c r="B299" s="2" t="s">
        <v>3668</v>
      </c>
      <c r="C299" s="2" t="s">
        <v>4022</v>
      </c>
      <c r="D299" s="3">
        <f>IF('Calculations'!D107&lt;=0,NA(),(('Calculations'!D285/'Calculations'!D107))*1)</f>
        <v>0.7251430620666319</v>
      </c>
      <c r="E299" s="4">
        <f>D299</f>
        <v>0.7251430620666319</v>
      </c>
      <c r="F299" s="2" t="str">
        <f>IF(ISNUMBER(D299),"calculated","not_calculated")</f>
        <v>calculated</v>
      </c>
      <c r="G299" s="2">
        <f>IF(ISNUMBER(D299),"","检查缺失值、分母与输入；口径变更须重跑Python")</f>
        <v/>
      </c>
      <c r="H299" s="2" t="s">
        <v>3669</v>
      </c>
      <c r="I299" s="2" t="s">
        <v>3630</v>
      </c>
      <c r="J299" s="2" t="s">
        <v>3117</v>
      </c>
      <c r="K299" s="2">
        <v>1</v>
      </c>
      <c r="L299" s="2" t="s">
        <v>54</v>
      </c>
      <c r="M299" s="2" t="s">
        <v>55</v>
      </c>
      <c r="N299" s="2" t="s">
        <v>397</v>
      </c>
      <c r="O299" s="2" t="s">
        <v>63</v>
      </c>
    </row>
    <row r="300" spans="1:15">
      <c r="A300" s="2" t="s">
        <v>3670</v>
      </c>
      <c r="B300" s="2" t="s">
        <v>3671</v>
      </c>
      <c r="C300" s="2" t="s">
        <v>4023</v>
      </c>
      <c r="D300" s="3">
        <f>(('Facts'!F869-'Facts'!F495))*1</f>
        <v>3620000000.0</v>
      </c>
      <c r="E300" s="3">
        <f>D300/K300</f>
        <v>3620000000.0</v>
      </c>
      <c r="F300" s="2" t="str">
        <f>IF(ISNUMBER(D300),"calculated","not_calculated")</f>
        <v>calculated</v>
      </c>
      <c r="G300" s="2">
        <f>IF(ISNUMBER(D300),"","检查缺失值、分母与输入；口径变更须重跑Python")</f>
        <v/>
      </c>
      <c r="H300" s="2" t="s">
        <v>3672</v>
      </c>
      <c r="I300" s="2" t="s">
        <v>3673</v>
      </c>
      <c r="J300" s="2" t="s">
        <v>53</v>
      </c>
      <c r="K300" s="2">
        <v>1</v>
      </c>
      <c r="L300" s="2" t="s">
        <v>54</v>
      </c>
      <c r="M300" s="2" t="s">
        <v>1543</v>
      </c>
      <c r="N300" s="2"/>
      <c r="O300" s="2" t="s">
        <v>56</v>
      </c>
    </row>
    <row r="301" spans="1:15">
      <c r="A301" s="2" t="s">
        <v>3674</v>
      </c>
      <c r="B301" s="2" t="s">
        <v>3675</v>
      </c>
      <c r="C301" s="2" t="s">
        <v>4024</v>
      </c>
      <c r="D301" s="3">
        <f>(('Facts'!F870*1)+('Facts'!F871*1)+('Facts'!F872*1)+('Facts'!F873*1)+('Facts'!F874*1)+('Facts'!F875*1)+('Facts'!F876*1)+('Facts'!F877*1)+('Facts'!F878*1)+('Facts'!F879*1))*1</f>
        <v>123402068.26</v>
      </c>
      <c r="E301" s="3">
        <f>D301/K301</f>
        <v>123402068.26</v>
      </c>
      <c r="F301" s="2" t="str">
        <f>IF(ISNUMBER(D301),"calculated","not_calculated")</f>
        <v>calculated</v>
      </c>
      <c r="G301" s="2">
        <f>IF(ISNUMBER(D301),"","检查缺失值、分母与输入；口径变更须重跑Python")</f>
        <v/>
      </c>
      <c r="H301" s="2" t="s">
        <v>3676</v>
      </c>
      <c r="I301" s="2" t="s">
        <v>3673</v>
      </c>
      <c r="J301" s="2" t="s">
        <v>53</v>
      </c>
      <c r="K301" s="2">
        <v>1</v>
      </c>
      <c r="L301" s="2" t="s">
        <v>54</v>
      </c>
      <c r="M301" s="2" t="s">
        <v>1532</v>
      </c>
      <c r="N301" s="2"/>
      <c r="O301" s="2" t="s">
        <v>56</v>
      </c>
    </row>
    <row r="302" spans="1:15">
      <c r="A302" s="2" t="s">
        <v>3677</v>
      </c>
      <c r="B302" s="2" t="s">
        <v>3678</v>
      </c>
      <c r="C302" s="2" t="s">
        <v>4025</v>
      </c>
      <c r="D302" s="3">
        <f>(('Calculations'!D301*1)+('Facts'!F880*1))*1</f>
        <v>160098145.6</v>
      </c>
      <c r="E302" s="3">
        <f>D302/K302</f>
        <v>160098145.6</v>
      </c>
      <c r="F302" s="2" t="str">
        <f>IF(ISNUMBER(D302),"calculated","not_calculated")</f>
        <v>calculated</v>
      </c>
      <c r="G302" s="2">
        <f>IF(ISNUMBER(D302),"","检查缺失值、分母与输入；口径变更须重跑Python")</f>
        <v/>
      </c>
      <c r="H302" s="2" t="s">
        <v>3679</v>
      </c>
      <c r="I302" s="2" t="s">
        <v>3673</v>
      </c>
      <c r="J302" s="2" t="s">
        <v>53</v>
      </c>
      <c r="K302" s="2">
        <v>1</v>
      </c>
      <c r="L302" s="2" t="s">
        <v>54</v>
      </c>
      <c r="M302" s="2" t="s">
        <v>1532</v>
      </c>
      <c r="N302" s="2"/>
      <c r="O302" s="2" t="s">
        <v>56</v>
      </c>
    </row>
    <row r="303" spans="1:15">
      <c r="A303" s="2" t="s">
        <v>3680</v>
      </c>
      <c r="B303" s="2" t="s">
        <v>3681</v>
      </c>
      <c r="C303" s="2" t="s">
        <v>4026</v>
      </c>
      <c r="D303" s="3">
        <f>(('Facts'!F870*1)+('Facts'!F871*1)+('Facts'!F872*1)+('Facts'!F873*1)+('Facts'!F874*1)+('Facts'!F877*1)+('Facts'!F879*1))*1</f>
        <v>103614145.26</v>
      </c>
      <c r="E303" s="3">
        <f>D303/K303</f>
        <v>103614145.26</v>
      </c>
      <c r="F303" s="2" t="str">
        <f>IF(ISNUMBER(D303),"calculated","not_calculated")</f>
        <v>calculated</v>
      </c>
      <c r="G303" s="2">
        <f>IF(ISNUMBER(D303),"","检查缺失值、分母与输入；口径变更须重跑Python")</f>
        <v/>
      </c>
      <c r="H303" s="2" t="s">
        <v>3682</v>
      </c>
      <c r="I303" s="2" t="s">
        <v>3673</v>
      </c>
      <c r="J303" s="2" t="s">
        <v>53</v>
      </c>
      <c r="K303" s="2">
        <v>1</v>
      </c>
      <c r="L303" s="2" t="s">
        <v>54</v>
      </c>
      <c r="M303" s="2" t="s">
        <v>1532</v>
      </c>
      <c r="N303" s="2"/>
      <c r="O303" s="2" t="s">
        <v>56</v>
      </c>
    </row>
    <row r="304" spans="1:15">
      <c r="A304" s="2" t="s">
        <v>3683</v>
      </c>
      <c r="B304" s="2" t="s">
        <v>3684</v>
      </c>
      <c r="C304" s="2" t="s">
        <v>4027</v>
      </c>
      <c r="D304" s="3">
        <f>IF('Facts'!F493&lt;=0,NA(),(('Calculations'!D301/'Facts'!F493))*1)</f>
        <v>0.7707901162597851</v>
      </c>
      <c r="E304" s="4">
        <f>D304</f>
        <v>0.7707901162597851</v>
      </c>
      <c r="F304" s="2" t="str">
        <f>IF(ISNUMBER(D304),"calculated","not_calculated")</f>
        <v>calculated</v>
      </c>
      <c r="G304" s="2">
        <f>IF(ISNUMBER(D304),"","检查缺失值、分母与输入；口径变更须重跑Python")</f>
        <v/>
      </c>
      <c r="H304" s="2" t="s">
        <v>3685</v>
      </c>
      <c r="I304" s="2" t="s">
        <v>3673</v>
      </c>
      <c r="J304" s="2" t="s">
        <v>3117</v>
      </c>
      <c r="K304" s="2">
        <v>1</v>
      </c>
      <c r="L304" s="2" t="s">
        <v>54</v>
      </c>
      <c r="M304" s="2" t="s">
        <v>1532</v>
      </c>
      <c r="N304" s="2"/>
      <c r="O304" s="2" t="s">
        <v>56</v>
      </c>
    </row>
    <row r="305" spans="1:15">
      <c r="A305" s="2" t="s">
        <v>3686</v>
      </c>
      <c r="B305" s="2" t="s">
        <v>3687</v>
      </c>
      <c r="C305" s="2" t="s">
        <v>4028</v>
      </c>
      <c r="D305" s="3">
        <f>(('Facts'!F882*1)+('Facts'!F881*1))*1</f>
        <v>197103200.0</v>
      </c>
      <c r="E305" s="3">
        <f>D305/K305</f>
        <v>197103200.0</v>
      </c>
      <c r="F305" s="2" t="str">
        <f>IF(ISNUMBER(D305),"calculated","not_calculated")</f>
        <v>calculated</v>
      </c>
      <c r="G305" s="2">
        <f>IF(ISNUMBER(D305),"","检查缺失值、分母与输入；口径变更须重跑Python")</f>
        <v/>
      </c>
      <c r="H305" s="2" t="s">
        <v>3688</v>
      </c>
      <c r="I305" s="2" t="s">
        <v>3673</v>
      </c>
      <c r="J305" s="2" t="s">
        <v>53</v>
      </c>
      <c r="K305" s="2">
        <v>1</v>
      </c>
      <c r="L305" s="2" t="s">
        <v>54</v>
      </c>
      <c r="M305" s="2" t="s">
        <v>1532</v>
      </c>
      <c r="N305" s="2"/>
      <c r="O305" s="2" t="s">
        <v>1713</v>
      </c>
    </row>
    <row r="306" spans="1:15">
      <c r="A306" s="2" t="s">
        <v>3689</v>
      </c>
      <c r="B306" s="2" t="s">
        <v>3690</v>
      </c>
      <c r="C306" s="2" t="s">
        <v>4029</v>
      </c>
      <c r="D306" s="3">
        <f>(('Facts'!F881-'Facts'!F493))*-1</f>
        <v>83547045.6</v>
      </c>
      <c r="E306" s="3">
        <f>D306/K306</f>
        <v>83547045.6</v>
      </c>
      <c r="F306" s="2" t="str">
        <f>IF(ISNUMBER(D306),"calculated","not_calculated")</f>
        <v>calculated</v>
      </c>
      <c r="G306" s="2">
        <f>IF(ISNUMBER(D306),"","检查缺失值、分母与输入；口径变更须重跑Python")</f>
        <v/>
      </c>
      <c r="H306" s="2" t="s">
        <v>3691</v>
      </c>
      <c r="I306" s="2" t="s">
        <v>3673</v>
      </c>
      <c r="J306" s="2" t="s">
        <v>53</v>
      </c>
      <c r="K306" s="2">
        <v>1</v>
      </c>
      <c r="L306" s="2" t="s">
        <v>54</v>
      </c>
      <c r="M306" s="2" t="s">
        <v>1532</v>
      </c>
      <c r="N306" s="2"/>
      <c r="O306" s="2" t="s">
        <v>1713</v>
      </c>
    </row>
    <row r="307" spans="1:15">
      <c r="A307" s="2" t="s">
        <v>3692</v>
      </c>
      <c r="B307" s="2" t="s">
        <v>3693</v>
      </c>
      <c r="C307" s="2" t="s">
        <v>4030</v>
      </c>
      <c r="D307" s="3">
        <f>IF(OR('Facts'!F493&lt;=0,'Facts'!F881&lt;0),NA(),((('Facts'!F881-'Facts'!F493)/'Facts'!F493))*-1)</f>
        <v>0.5218489276492907</v>
      </c>
      <c r="E307" s="4">
        <f>D307</f>
        <v>0.5218489276492907</v>
      </c>
      <c r="F307" s="2" t="str">
        <f>IF(ISNUMBER(D307),"calculated","not_calculated")</f>
        <v>calculated</v>
      </c>
      <c r="G307" s="2">
        <f>IF(ISNUMBER(D307),"","检查缺失值、分母与输入；口径变更须重跑Python")</f>
        <v/>
      </c>
      <c r="H307" s="2" t="s">
        <v>3694</v>
      </c>
      <c r="I307" s="2" t="s">
        <v>3673</v>
      </c>
      <c r="J307" s="2" t="s">
        <v>3117</v>
      </c>
      <c r="K307" s="2">
        <v>1</v>
      </c>
      <c r="L307" s="2" t="s">
        <v>54</v>
      </c>
      <c r="M307" s="2" t="s">
        <v>1532</v>
      </c>
      <c r="N307" s="2"/>
      <c r="O307" s="2" t="s">
        <v>1713</v>
      </c>
    </row>
    <row r="308" spans="1:15">
      <c r="A308" s="2" t="s">
        <v>3695</v>
      </c>
      <c r="B308" s="2" t="s">
        <v>3696</v>
      </c>
      <c r="C308" s="2" t="s">
        <v>4031</v>
      </c>
      <c r="D308" s="3">
        <f>IF('Facts'!F89&lt;=0,NA(),(('Calculations'!D107/'Facts'!F89))*1)</f>
        <v>0.04780581662946125</v>
      </c>
      <c r="E308" s="4">
        <f>D308</f>
        <v>0.04780581662946125</v>
      </c>
      <c r="F308" s="2" t="str">
        <f>IF(ISNUMBER(D308),"calculated","not_calculated")</f>
        <v>calculated</v>
      </c>
      <c r="G308" s="2">
        <f>IF(ISNUMBER(D308),"","检查缺失值、分母与输入；口径变更须重跑Python")</f>
        <v/>
      </c>
      <c r="H308" s="2" t="s">
        <v>3697</v>
      </c>
      <c r="I308" s="2" t="s">
        <v>3698</v>
      </c>
      <c r="J308" s="2" t="s">
        <v>3117</v>
      </c>
      <c r="K308" s="2">
        <v>1</v>
      </c>
      <c r="L308" s="2" t="s">
        <v>54</v>
      </c>
      <c r="M308" s="2" t="s">
        <v>55</v>
      </c>
      <c r="N308" s="2" t="s">
        <v>397</v>
      </c>
      <c r="O308" s="2" t="s">
        <v>63</v>
      </c>
    </row>
    <row r="309" spans="1:15">
      <c r="A309" s="2" t="s">
        <v>3699</v>
      </c>
      <c r="B309" s="2" t="s">
        <v>3700</v>
      </c>
      <c r="C309" s="2" t="s">
        <v>4032</v>
      </c>
      <c r="D309" s="3">
        <f>IF('Calculations'!D108&lt;=0,NA(),(('Calculations'!D107/'Calculations'!D108))*1)</f>
        <v>0.07177622526556779</v>
      </c>
      <c r="E309" s="4">
        <f>D309</f>
        <v>0.07177622526556779</v>
      </c>
      <c r="F309" s="2" t="str">
        <f>IF(ISNUMBER(D309),"calculated","not_calculated")</f>
        <v>calculated</v>
      </c>
      <c r="G309" s="2">
        <f>IF(ISNUMBER(D309),"","检查缺失值、分母与输入；口径变更须重跑Python")</f>
        <v/>
      </c>
      <c r="H309" s="2" t="s">
        <v>3701</v>
      </c>
      <c r="I309" s="2" t="s">
        <v>3698</v>
      </c>
      <c r="J309" s="2" t="s">
        <v>3117</v>
      </c>
      <c r="K309" s="2">
        <v>1</v>
      </c>
      <c r="L309" s="2" t="s">
        <v>54</v>
      </c>
      <c r="M309" s="2" t="s">
        <v>55</v>
      </c>
      <c r="N309" s="2" t="s">
        <v>397</v>
      </c>
      <c r="O309" s="2" t="s">
        <v>63</v>
      </c>
    </row>
    <row r="310" spans="1:15">
      <c r="A310" s="2" t="s">
        <v>3702</v>
      </c>
      <c r="B310" s="2" t="s">
        <v>3703</v>
      </c>
      <c r="C310" s="2" t="s">
        <v>4033</v>
      </c>
      <c r="D310" s="3">
        <f>IF('Facts'!F126&lt;=0,NA(),(('Calculations'!D107/'Facts'!F126))*1)</f>
        <v>3.995710093053354</v>
      </c>
      <c r="E310" s="5">
        <f>D310</f>
        <v>3.995710093053354</v>
      </c>
      <c r="F310" s="2" t="str">
        <f>IF(ISNUMBER(D310),"calculated","not_calculated")</f>
        <v>calculated</v>
      </c>
      <c r="G310" s="2">
        <f>IF(ISNUMBER(D310),"","检查缺失值、分母与输入；口径变更须重跑Python")</f>
        <v/>
      </c>
      <c r="H310" s="2" t="s">
        <v>3704</v>
      </c>
      <c r="I310" s="2" t="s">
        <v>3698</v>
      </c>
      <c r="J310" s="2" t="s">
        <v>3139</v>
      </c>
      <c r="K310" s="2">
        <v>1</v>
      </c>
      <c r="L310" s="2" t="s">
        <v>54</v>
      </c>
      <c r="M310" s="2" t="s">
        <v>55</v>
      </c>
      <c r="N310" s="2" t="s">
        <v>397</v>
      </c>
      <c r="O310" s="2" t="s">
        <v>63</v>
      </c>
    </row>
    <row r="311" spans="1:15">
      <c r="A311" s="2" t="s">
        <v>3705</v>
      </c>
      <c r="B311" s="2" t="s">
        <v>3706</v>
      </c>
      <c r="C311" s="2" t="s">
        <v>4034</v>
      </c>
      <c r="D311" s="3">
        <f>IF('Facts'!F126&lt;=0,NA(),(('Calculations'!D106/'Facts'!F126))*1)</f>
        <v>1.4302535766069746</v>
      </c>
      <c r="E311" s="5">
        <f>D311</f>
        <v>1.4302535766069746</v>
      </c>
      <c r="F311" s="2" t="str">
        <f>IF(ISNUMBER(D311),"calculated","not_calculated")</f>
        <v>calculated</v>
      </c>
      <c r="G311" s="2">
        <f>IF(ISNUMBER(D311),"","检查缺失值、分母与输入；口径变更须重跑Python")</f>
        <v/>
      </c>
      <c r="H311" s="2" t="s">
        <v>3707</v>
      </c>
      <c r="I311" s="2" t="s">
        <v>3698</v>
      </c>
      <c r="J311" s="2" t="s">
        <v>3139</v>
      </c>
      <c r="K311" s="2">
        <v>1</v>
      </c>
      <c r="L311" s="2" t="s">
        <v>54</v>
      </c>
      <c r="M311" s="2" t="s">
        <v>55</v>
      </c>
      <c r="N311" s="2" t="s">
        <v>397</v>
      </c>
      <c r="O311" s="2" t="s">
        <v>63</v>
      </c>
    </row>
    <row r="312" spans="1:15">
      <c r="A312" s="2" t="s">
        <v>3708</v>
      </c>
      <c r="B312" s="2" t="s">
        <v>3696</v>
      </c>
      <c r="C312" s="2" t="s">
        <v>4035</v>
      </c>
      <c r="D312" s="3">
        <f>IF('Facts'!F88&lt;=0,NA(),(('Calculations'!D39/'Facts'!F88))*1)</f>
        <v>-0.025264659445444596</v>
      </c>
      <c r="E312" s="4">
        <f>D312</f>
        <v>-0.025264659445444596</v>
      </c>
      <c r="F312" s="2" t="str">
        <f>IF(ISNUMBER(D312),"calculated","not_calculated")</f>
        <v>calculated</v>
      </c>
      <c r="G312" s="2">
        <f>IF(ISNUMBER(D312),"","检查缺失值、分母与输入；口径变更须重跑Python")</f>
        <v/>
      </c>
      <c r="H312" s="2" t="s">
        <v>3697</v>
      </c>
      <c r="I312" s="2" t="s">
        <v>3698</v>
      </c>
      <c r="J312" s="2" t="s">
        <v>3117</v>
      </c>
      <c r="K312" s="2">
        <v>1</v>
      </c>
      <c r="L312" s="2" t="s">
        <v>54</v>
      </c>
      <c r="M312" s="2" t="s">
        <v>55</v>
      </c>
      <c r="N312" s="2" t="s">
        <v>392</v>
      </c>
      <c r="O312" s="2" t="s">
        <v>56</v>
      </c>
    </row>
    <row r="313" spans="1:15">
      <c r="A313" s="2" t="s">
        <v>3709</v>
      </c>
      <c r="B313" s="2" t="s">
        <v>3700</v>
      </c>
      <c r="C313" s="2" t="s">
        <v>4036</v>
      </c>
      <c r="D313" s="3">
        <f>IF('Calculations'!D40&lt;=0,NA(),(('Calculations'!D39/'Calculations'!D40))*1)</f>
        <v>-0.03999759470483951</v>
      </c>
      <c r="E313" s="4">
        <f>D313</f>
        <v>-0.03999759470483951</v>
      </c>
      <c r="F313" s="2" t="str">
        <f>IF(ISNUMBER(D313),"calculated","not_calculated")</f>
        <v>calculated</v>
      </c>
      <c r="G313" s="2">
        <f>IF(ISNUMBER(D313),"","检查缺失值、分母与输入；口径变更须重跑Python")</f>
        <v/>
      </c>
      <c r="H313" s="2" t="s">
        <v>3701</v>
      </c>
      <c r="I313" s="2" t="s">
        <v>3698</v>
      </c>
      <c r="J313" s="2" t="s">
        <v>3117</v>
      </c>
      <c r="K313" s="2">
        <v>1</v>
      </c>
      <c r="L313" s="2" t="s">
        <v>54</v>
      </c>
      <c r="M313" s="2" t="s">
        <v>55</v>
      </c>
      <c r="N313" s="2" t="s">
        <v>392</v>
      </c>
      <c r="O313" s="2" t="s">
        <v>56</v>
      </c>
    </row>
    <row r="314" spans="1:15">
      <c r="A314" s="2" t="s">
        <v>3710</v>
      </c>
      <c r="B314" s="2" t="s">
        <v>3703</v>
      </c>
      <c r="C314" s="2" t="s">
        <v>4037</v>
      </c>
      <c r="D314" s="3">
        <f>IF('Facts'!F125&lt;=0,NA(),(('Calculations'!D39/'Facts'!F125))*1)</f>
        <v>-2.1174954636926797</v>
      </c>
      <c r="E314" s="5">
        <f>D314</f>
        <v>-2.1174954636926797</v>
      </c>
      <c r="F314" s="2" t="str">
        <f>IF(ISNUMBER(D314),"calculated","not_calculated")</f>
        <v>calculated</v>
      </c>
      <c r="G314" s="2">
        <f>IF(ISNUMBER(D314),"","检查缺失值、分母与输入；口径变更须重跑Python")</f>
        <v/>
      </c>
      <c r="H314" s="2" t="s">
        <v>3704</v>
      </c>
      <c r="I314" s="2" t="s">
        <v>3698</v>
      </c>
      <c r="J314" s="2" t="s">
        <v>3139</v>
      </c>
      <c r="K314" s="2">
        <v>1</v>
      </c>
      <c r="L314" s="2" t="s">
        <v>54</v>
      </c>
      <c r="M314" s="2" t="s">
        <v>55</v>
      </c>
      <c r="N314" s="2" t="s">
        <v>392</v>
      </c>
      <c r="O314" s="2" t="s">
        <v>56</v>
      </c>
    </row>
    <row r="315" spans="1:15">
      <c r="A315" s="2" t="s">
        <v>3711</v>
      </c>
      <c r="B315" s="2" t="s">
        <v>3706</v>
      </c>
      <c r="C315" s="2" t="s">
        <v>4038</v>
      </c>
      <c r="D315" s="3">
        <f>IF('Facts'!F125&lt;=0,NA(),(('Calculations'!D38/'Facts'!F125))*1)</f>
        <v>-4.945530987140924</v>
      </c>
      <c r="E315" s="5">
        <f>D315</f>
        <v>-4.945530987140924</v>
      </c>
      <c r="F315" s="2" t="str">
        <f>IF(ISNUMBER(D315),"calculated","not_calculated")</f>
        <v>calculated</v>
      </c>
      <c r="G315" s="2">
        <f>IF(ISNUMBER(D315),"","检查缺失值、分母与输入；口径变更须重跑Python")</f>
        <v/>
      </c>
      <c r="H315" s="2" t="s">
        <v>3707</v>
      </c>
      <c r="I315" s="2" t="s">
        <v>3698</v>
      </c>
      <c r="J315" s="2" t="s">
        <v>3139</v>
      </c>
      <c r="K315" s="2">
        <v>1</v>
      </c>
      <c r="L315" s="2" t="s">
        <v>54</v>
      </c>
      <c r="M315" s="2" t="s">
        <v>55</v>
      </c>
      <c r="N315" s="2" t="s">
        <v>392</v>
      </c>
      <c r="O315" s="2" t="s">
        <v>56</v>
      </c>
    </row>
    <row r="316" spans="1:15">
      <c r="A316" s="2" t="s">
        <v>3712</v>
      </c>
      <c r="B316" s="2" t="s">
        <v>3713</v>
      </c>
      <c r="C316" s="2" t="s">
        <v>4039</v>
      </c>
      <c r="D316" s="3">
        <f>IF('Facts'!F105&lt;=0,NA(),(('Facts'!F155/'Facts'!F105))*-1)</f>
        <v>0.13488791486930238</v>
      </c>
      <c r="E316" s="4">
        <f>D316</f>
        <v>0.13488791486930238</v>
      </c>
      <c r="F316" s="2" t="str">
        <f>IF(ISNUMBER(D316),"calculated","not_calculated")</f>
        <v>calculated</v>
      </c>
      <c r="G316" s="2">
        <f>IF(ISNUMBER(D316),"","检查缺失值、分母与输入；口径变更须重跑Python")</f>
        <v/>
      </c>
      <c r="H316" s="2" t="s">
        <v>3714</v>
      </c>
      <c r="I316" s="2" t="s">
        <v>3715</v>
      </c>
      <c r="J316" s="2" t="s">
        <v>3117</v>
      </c>
      <c r="K316" s="2">
        <v>1</v>
      </c>
      <c r="L316" s="2" t="s">
        <v>54</v>
      </c>
      <c r="M316" s="2" t="s">
        <v>55</v>
      </c>
      <c r="N316" s="2" t="s">
        <v>392</v>
      </c>
      <c r="O316" s="2" t="s">
        <v>56</v>
      </c>
    </row>
    <row r="317" spans="1:15">
      <c r="A317" s="2" t="s">
        <v>3716</v>
      </c>
      <c r="B317" s="2" t="s">
        <v>3717</v>
      </c>
      <c r="C317" s="2" t="s">
        <v>4040</v>
      </c>
      <c r="D317" s="3">
        <f>IF('Facts'!F109&lt;=0,NA(),(('Facts'!F155/'Facts'!F109))*-1)</f>
        <v>0.13211574810469892</v>
      </c>
      <c r="E317" s="4">
        <f>D317</f>
        <v>0.13211574810469892</v>
      </c>
      <c r="F317" s="2" t="str">
        <f>IF(ISNUMBER(D317),"calculated","not_calculated")</f>
        <v>calculated</v>
      </c>
      <c r="G317" s="2">
        <f>IF(ISNUMBER(D317),"","检查缺失值、分母与输入；口径变更须重跑Python")</f>
        <v/>
      </c>
      <c r="H317" s="2" t="s">
        <v>3718</v>
      </c>
      <c r="I317" s="2" t="s">
        <v>3715</v>
      </c>
      <c r="J317" s="2" t="s">
        <v>3117</v>
      </c>
      <c r="K317" s="2">
        <v>1</v>
      </c>
      <c r="L317" s="2" t="s">
        <v>54</v>
      </c>
      <c r="M317" s="2" t="s">
        <v>55</v>
      </c>
      <c r="N317" s="2" t="s">
        <v>392</v>
      </c>
      <c r="O317" s="2" t="s">
        <v>56</v>
      </c>
    </row>
    <row r="318" spans="1:15">
      <c r="A318" s="2" t="s">
        <v>3719</v>
      </c>
      <c r="B318" s="2" t="s">
        <v>3720</v>
      </c>
      <c r="C318" s="2" t="s">
        <v>4041</v>
      </c>
      <c r="D318" s="3">
        <f>IF('Facts'!F106&lt;=0,NA(),(('Facts'!F155/'Facts'!F106))*-1)</f>
        <v>0.10744461766383608</v>
      </c>
      <c r="E318" s="4">
        <f>D318</f>
        <v>0.10744461766383608</v>
      </c>
      <c r="F318" s="2" t="str">
        <f>IF(ISNUMBER(D318),"calculated","not_calculated")</f>
        <v>calculated</v>
      </c>
      <c r="G318" s="2">
        <f>IF(ISNUMBER(D318),"","检查缺失值、分母与输入；口径变更须重跑Python")</f>
        <v/>
      </c>
      <c r="H318" s="2" t="s">
        <v>3721</v>
      </c>
      <c r="I318" s="2" t="s">
        <v>3715</v>
      </c>
      <c r="J318" s="2" t="s">
        <v>3117</v>
      </c>
      <c r="K318" s="2">
        <v>1</v>
      </c>
      <c r="L318" s="2" t="s">
        <v>54</v>
      </c>
      <c r="M318" s="2" t="s">
        <v>55</v>
      </c>
      <c r="N318" s="2" t="s">
        <v>392</v>
      </c>
      <c r="O318" s="2" t="s">
        <v>56</v>
      </c>
    </row>
    <row r="319" spans="1:15">
      <c r="A319" s="2" t="s">
        <v>3722</v>
      </c>
      <c r="B319" s="2" t="s">
        <v>3723</v>
      </c>
      <c r="C319" s="2" t="s">
        <v>4042</v>
      </c>
      <c r="D319" s="3">
        <f>IF('Facts'!F110&lt;=0,NA(),(('Facts'!F155/'Facts'!F110))*-1)</f>
        <v>0.10565108596471193</v>
      </c>
      <c r="E319" s="4">
        <f>D319</f>
        <v>0.10565108596471193</v>
      </c>
      <c r="F319" s="2" t="str">
        <f>IF(ISNUMBER(D319),"calculated","not_calculated")</f>
        <v>calculated</v>
      </c>
      <c r="G319" s="2">
        <f>IF(ISNUMBER(D319),"","检查缺失值、分母与输入；口径变更须重跑Python")</f>
        <v/>
      </c>
      <c r="H319" s="2" t="s">
        <v>3724</v>
      </c>
      <c r="I319" s="2" t="s">
        <v>3715</v>
      </c>
      <c r="J319" s="2" t="s">
        <v>3117</v>
      </c>
      <c r="K319" s="2">
        <v>1</v>
      </c>
      <c r="L319" s="2" t="s">
        <v>54</v>
      </c>
      <c r="M319" s="2" t="s">
        <v>55</v>
      </c>
      <c r="N319" s="2" t="s">
        <v>392</v>
      </c>
      <c r="O319" s="2" t="s">
        <v>56</v>
      </c>
    </row>
  </sheetData>
  <autoFilter ref="A1:O319"/>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33</v>
      </c>
      <c r="B1" s="1" t="s">
        <v>4043</v>
      </c>
      <c r="C1" s="1" t="s">
        <v>4044</v>
      </c>
      <c r="D1" s="1" t="s">
        <v>4045</v>
      </c>
      <c r="E1" s="1" t="s">
        <v>4046</v>
      </c>
      <c r="F1" s="1" t="s">
        <v>4047</v>
      </c>
      <c r="G1" s="1" t="s">
        <v>45</v>
      </c>
      <c r="H1" s="1" t="s">
        <v>4048</v>
      </c>
      <c r="I1" s="1" t="s">
        <v>4049</v>
      </c>
      <c r="J1" s="1" t="s">
        <v>4050</v>
      </c>
    </row>
    <row r="2" spans="1:10" ht="33" customHeight="1">
      <c r="A2" s="2" t="s">
        <v>4051</v>
      </c>
      <c r="B2" s="2" t="s">
        <v>3044</v>
      </c>
      <c r="C2" s="2" t="s">
        <v>124</v>
      </c>
      <c r="D2" s="2" t="s">
        <v>3043</v>
      </c>
      <c r="E2" s="2">
        <f>ROUND('Facts'!F23-'Calculations'!D2,J2)</f>
        <v>0.0</v>
      </c>
      <c r="F2" s="2">
        <v>0.02</v>
      </c>
      <c r="G2" s="2" t="str">
        <f>IF(COUNT(E2,F2)&lt;2,"not_tested",IF(ABS(E2)&lt;=F2,"within_input_tolerance","unexplained_difference"))</f>
        <v>within_input_tolerance</v>
      </c>
      <c r="H2" s="2" t="s">
        <v>4053</v>
      </c>
      <c r="I2" s="2">
        <f>IF(ISNUMBER(E2),"","missing or unavailable input")</f>
        <v/>
      </c>
      <c r="J2">
        <v>2</v>
      </c>
    </row>
    <row r="3" spans="1:10" ht="33" customHeight="1">
      <c r="A3" s="2" t="s">
        <v>4054</v>
      </c>
      <c r="B3" s="2" t="s">
        <v>3048</v>
      </c>
      <c r="C3" s="2" t="s">
        <v>206</v>
      </c>
      <c r="D3" s="2" t="s">
        <v>3047</v>
      </c>
      <c r="E3" s="2">
        <f>ROUND('Facts'!F50-'Calculations'!D3,J3)</f>
        <v>0.0</v>
      </c>
      <c r="F3" s="2">
        <v>0.02</v>
      </c>
      <c r="G3" s="2" t="str">
        <f>IF(COUNT(E3,F3)&lt;2,"not_tested",IF(ABS(E3)&lt;=F3,"within_input_tolerance","unexplained_difference"))</f>
        <v>within_input_tolerance</v>
      </c>
      <c r="H3" s="2" t="s">
        <v>4053</v>
      </c>
      <c r="I3" s="2">
        <f>IF(ISNUMBER(E3),"","missing or unavailable input")</f>
        <v/>
      </c>
      <c r="J3">
        <v>2</v>
      </c>
    </row>
    <row r="4" spans="1:10" ht="33" customHeight="1">
      <c r="A4" s="2" t="s">
        <v>4055</v>
      </c>
      <c r="B4" s="2" t="s">
        <v>3050</v>
      </c>
      <c r="C4" s="2" t="s">
        <v>272</v>
      </c>
      <c r="D4" s="2" t="s">
        <v>3049</v>
      </c>
      <c r="E4" s="2">
        <f>ROUND('Facts'!F72-'Calculations'!D4,J4)</f>
        <v>0.0</v>
      </c>
      <c r="F4" s="2">
        <v>0.02</v>
      </c>
      <c r="G4" s="2" t="str">
        <f>IF(COUNT(E4,F4)&lt;2,"not_tested",IF(ABS(E4)&lt;=F4,"within_input_tolerance","unexplained_difference"))</f>
        <v>within_input_tolerance</v>
      </c>
      <c r="H4" s="2" t="s">
        <v>4053</v>
      </c>
      <c r="I4" s="2">
        <f>IF(ISNUMBER(E4),"","missing or unavailable input")</f>
        <v/>
      </c>
      <c r="J4">
        <v>2</v>
      </c>
    </row>
    <row r="5" spans="1:10" ht="33" customHeight="1">
      <c r="A5" s="2" t="s">
        <v>4056</v>
      </c>
      <c r="B5" s="2" t="s">
        <v>3052</v>
      </c>
      <c r="C5" s="2" t="s">
        <v>313</v>
      </c>
      <c r="D5" s="2" t="s">
        <v>3051</v>
      </c>
      <c r="E5" s="2">
        <f>ROUND('Facts'!F86-'Calculations'!D5,J5)</f>
        <v>0.0</v>
      </c>
      <c r="F5" s="2">
        <v>0.02</v>
      </c>
      <c r="G5" s="2" t="str">
        <f>IF(COUNT(E5,F5)&lt;2,"not_tested",IF(ABS(E5)&lt;=F5,"within_input_tolerance","unexplained_difference"))</f>
        <v>within_input_tolerance</v>
      </c>
      <c r="H5" s="2" t="s">
        <v>4053</v>
      </c>
      <c r="I5" s="2">
        <f>IF(ISNUMBER(E5),"","missing or unavailable input")</f>
        <v/>
      </c>
      <c r="J5">
        <v>2</v>
      </c>
    </row>
    <row r="6" spans="1:10" ht="33" customHeight="1">
      <c r="A6" s="2" t="s">
        <v>4057</v>
      </c>
      <c r="B6" s="2" t="s">
        <v>3054</v>
      </c>
      <c r="C6" s="2" t="s">
        <v>371</v>
      </c>
      <c r="D6" s="2" t="s">
        <v>3053</v>
      </c>
      <c r="E6" s="2">
        <f>ROUND('Facts'!F105-'Calculations'!D6,J6)</f>
        <v>0.0</v>
      </c>
      <c r="F6" s="2">
        <v>0.02</v>
      </c>
      <c r="G6" s="2" t="str">
        <f>IF(COUNT(E6,F6)&lt;2,"not_tested",IF(ABS(E6)&lt;=F6,"within_input_tolerance","unexplained_difference"))</f>
        <v>within_input_tolerance</v>
      </c>
      <c r="H6" s="2" t="s">
        <v>4053</v>
      </c>
      <c r="I6" s="2">
        <f>IF(ISNUMBER(E6),"","missing or unavailable input")</f>
        <v/>
      </c>
      <c r="J6">
        <v>2</v>
      </c>
    </row>
    <row r="7" spans="1:10" ht="33" customHeight="1">
      <c r="A7" s="2" t="s">
        <v>4058</v>
      </c>
      <c r="B7" s="2" t="s">
        <v>3056</v>
      </c>
      <c r="C7" s="2" t="s">
        <v>383</v>
      </c>
      <c r="D7" s="2" t="s">
        <v>3055</v>
      </c>
      <c r="E7" s="2">
        <f>ROUND('Facts'!F109-'Calculations'!D7,J7)</f>
        <v>0.0</v>
      </c>
      <c r="F7" s="2">
        <v>0.02</v>
      </c>
      <c r="G7" s="2" t="str">
        <f>IF(COUNT(E7,F7)&lt;2,"not_tested",IF(ABS(E7)&lt;=F7,"within_input_tolerance","unexplained_difference"))</f>
        <v>within_input_tolerance</v>
      </c>
      <c r="H7" s="2" t="s">
        <v>4053</v>
      </c>
      <c r="I7" s="2">
        <f>IF(ISNUMBER(E7),"","missing or unavailable input")</f>
        <v/>
      </c>
      <c r="J7">
        <v>2</v>
      </c>
    </row>
    <row r="8" spans="1:10" ht="33" customHeight="1">
      <c r="A8" s="2" t="s">
        <v>4059</v>
      </c>
      <c r="B8" s="2" t="s">
        <v>3058</v>
      </c>
      <c r="C8" s="2" t="s">
        <v>212</v>
      </c>
      <c r="D8" s="2" t="s">
        <v>3057</v>
      </c>
      <c r="E8" s="2">
        <f>ROUND('Facts'!F52-'Calculations'!D8,J8)</f>
        <v>0.0</v>
      </c>
      <c r="F8" s="2">
        <v>0.02</v>
      </c>
      <c r="G8" s="2" t="str">
        <f>IF(COUNT(E8,F8)&lt;2,"not_tested",IF(ABS(E8)&lt;=F8,"within_input_tolerance","unexplained_difference"))</f>
        <v>within_input_tolerance</v>
      </c>
      <c r="H8" s="2" t="s">
        <v>4053</v>
      </c>
      <c r="I8" s="2">
        <f>IF(ISNUMBER(E8),"","missing or unavailable input")</f>
        <v/>
      </c>
      <c r="J8">
        <v>2</v>
      </c>
    </row>
    <row r="9" spans="1:10" ht="33" customHeight="1">
      <c r="A9" s="2" t="s">
        <v>4060</v>
      </c>
      <c r="B9" s="2" t="s">
        <v>3060</v>
      </c>
      <c r="C9" s="2" t="s">
        <v>319</v>
      </c>
      <c r="D9" s="2" t="s">
        <v>3059</v>
      </c>
      <c r="E9" s="2">
        <f>ROUND('Facts'!F88-'Calculations'!D9,J9)</f>
        <v>0.0</v>
      </c>
      <c r="F9" s="2">
        <v>0.02</v>
      </c>
      <c r="G9" s="2" t="str">
        <f>IF(COUNT(E9,F9)&lt;2,"not_tested",IF(ABS(E9)&lt;=F9,"within_input_tolerance","unexplained_difference"))</f>
        <v>within_input_tolerance</v>
      </c>
      <c r="H9" s="2" t="s">
        <v>4053</v>
      </c>
      <c r="I9" s="2">
        <f>IF(ISNUMBER(E9),"","missing or unavailable input")</f>
        <v/>
      </c>
      <c r="J9">
        <v>2</v>
      </c>
    </row>
    <row r="10" spans="1:10" ht="33" customHeight="1">
      <c r="A10" s="2" t="s">
        <v>4061</v>
      </c>
      <c r="B10" s="2" t="s">
        <v>4062</v>
      </c>
      <c r="C10" s="2" t="s">
        <v>212</v>
      </c>
      <c r="D10" s="2" t="s">
        <v>3061</v>
      </c>
      <c r="E10" s="2">
        <f>ROUND('Facts'!F52-'Calculations'!D10,J10)</f>
        <v>0.0</v>
      </c>
      <c r="F10" s="2">
        <v>0.02</v>
      </c>
      <c r="G10" s="2" t="str">
        <f>IF(COUNT(E10,F10)&lt;2,"not_tested",IF(ABS(E10)&lt;=F10,"within_input_tolerance","unexplained_difference"))</f>
        <v>within_input_tolerance</v>
      </c>
      <c r="H10" s="2" t="s">
        <v>4053</v>
      </c>
      <c r="I10" s="2">
        <f>IF(ISNUMBER(E10),"","missing or unavailable input")</f>
        <v/>
      </c>
      <c r="J10">
        <v>2</v>
      </c>
    </row>
    <row r="11" spans="1:10" ht="33" customHeight="1">
      <c r="A11" s="2" t="s">
        <v>4063</v>
      </c>
      <c r="B11" s="2" t="s">
        <v>3064</v>
      </c>
      <c r="C11" s="2" t="s">
        <v>447</v>
      </c>
      <c r="D11" s="2" t="s">
        <v>3063</v>
      </c>
      <c r="E11" s="2">
        <f>ROUND('Facts'!F129-'Calculations'!D11,J11)</f>
        <v>0.0</v>
      </c>
      <c r="F11" s="2">
        <v>0.02</v>
      </c>
      <c r="G11" s="2" t="str">
        <f>IF(COUNT(E11,F11)&lt;2,"not_tested",IF(ABS(E11)&lt;=F11,"within_input_tolerance","unexplained_difference"))</f>
        <v>within_input_tolerance</v>
      </c>
      <c r="H11" s="2" t="s">
        <v>4053</v>
      </c>
      <c r="I11" s="2">
        <f>IF(ISNUMBER(E11),"","missing or unavailable input")</f>
        <v/>
      </c>
      <c r="J11">
        <v>2</v>
      </c>
    </row>
    <row r="12" spans="1:10" ht="33" customHeight="1">
      <c r="A12" s="2" t="s">
        <v>4064</v>
      </c>
      <c r="B12" s="2" t="s">
        <v>3066</v>
      </c>
      <c r="C12" s="2" t="s">
        <v>507</v>
      </c>
      <c r="D12" s="2" t="s">
        <v>3065</v>
      </c>
      <c r="E12" s="2">
        <f>ROUND('Facts'!F149-'Calculations'!D12,J12)</f>
        <v>0.0</v>
      </c>
      <c r="F12" s="2">
        <v>0.02</v>
      </c>
      <c r="G12" s="2" t="str">
        <f>IF(COUNT(E12,F12)&lt;2,"not_tested",IF(ABS(E12)&lt;=F12,"within_input_tolerance","unexplained_difference"))</f>
        <v>within_input_tolerance</v>
      </c>
      <c r="H12" s="2" t="s">
        <v>4053</v>
      </c>
      <c r="I12" s="2">
        <f>IF(ISNUMBER(E12),"","missing or unavailable input")</f>
        <v/>
      </c>
      <c r="J12">
        <v>2</v>
      </c>
    </row>
    <row r="13" spans="1:10" ht="33" customHeight="1">
      <c r="A13" s="2" t="s">
        <v>4065</v>
      </c>
      <c r="B13" s="2" t="s">
        <v>3068</v>
      </c>
      <c r="C13" s="2" t="s">
        <v>519</v>
      </c>
      <c r="D13" s="2" t="s">
        <v>3067</v>
      </c>
      <c r="E13" s="2">
        <f>ROUND('Facts'!F153-'Calculations'!D13,J13)</f>
        <v>0.0</v>
      </c>
      <c r="F13" s="2">
        <v>0.02</v>
      </c>
      <c r="G13" s="2" t="str">
        <f>IF(COUNT(E13,F13)&lt;2,"not_tested",IF(ABS(E13)&lt;=F13,"within_input_tolerance","unexplained_difference"))</f>
        <v>within_input_tolerance</v>
      </c>
      <c r="H13" s="2" t="s">
        <v>4053</v>
      </c>
      <c r="I13" s="2">
        <f>IF(ISNUMBER(E13),"","missing or unavailable input")</f>
        <v/>
      </c>
      <c r="J13">
        <v>2</v>
      </c>
    </row>
    <row r="14" spans="1:10" ht="33" customHeight="1">
      <c r="A14" s="2" t="s">
        <v>4066</v>
      </c>
      <c r="B14" s="2" t="s">
        <v>3070</v>
      </c>
      <c r="C14" s="2" t="s">
        <v>543</v>
      </c>
      <c r="D14" s="2" t="s">
        <v>3069</v>
      </c>
      <c r="E14" s="2">
        <f>ROUND('Facts'!F161-'Calculations'!D14,J14)</f>
        <v>0.0</v>
      </c>
      <c r="F14" s="2">
        <v>0.02</v>
      </c>
      <c r="G14" s="2" t="str">
        <f>IF(COUNT(E14,F14)&lt;2,"not_tested",IF(ABS(E14)&lt;=F14,"within_input_tolerance","unexplained_difference"))</f>
        <v>within_input_tolerance</v>
      </c>
      <c r="H14" s="2" t="s">
        <v>4053</v>
      </c>
      <c r="I14" s="2">
        <f>IF(ISNUMBER(E14),"","missing or unavailable input")</f>
        <v/>
      </c>
      <c r="J14">
        <v>2</v>
      </c>
    </row>
    <row r="15" spans="1:10" ht="33" customHeight="1">
      <c r="A15" s="2" t="s">
        <v>4067</v>
      </c>
      <c r="B15" s="2" t="s">
        <v>3072</v>
      </c>
      <c r="C15" s="2" t="s">
        <v>568</v>
      </c>
      <c r="D15" s="2" t="s">
        <v>3071</v>
      </c>
      <c r="E15" s="2">
        <f>ROUND('Facts'!F169-'Calculations'!D15,J15)</f>
        <v>0.0</v>
      </c>
      <c r="F15" s="2">
        <v>0.02</v>
      </c>
      <c r="G15" s="2" t="str">
        <f>IF(COUNT(E15,F15)&lt;2,"not_tested",IF(ABS(E15)&lt;=F15,"within_input_tolerance","unexplained_difference"))</f>
        <v>within_input_tolerance</v>
      </c>
      <c r="H15" s="2" t="s">
        <v>4053</v>
      </c>
      <c r="I15" s="2">
        <f>IF(ISNUMBER(E15),"","missing or unavailable input")</f>
        <v/>
      </c>
      <c r="J15">
        <v>2</v>
      </c>
    </row>
    <row r="16" spans="1:10" ht="33" customHeight="1">
      <c r="A16" s="2" t="s">
        <v>4068</v>
      </c>
      <c r="B16" s="2" t="s">
        <v>3074</v>
      </c>
      <c r="C16" s="2" t="s">
        <v>598</v>
      </c>
      <c r="D16" s="2" t="s">
        <v>3073</v>
      </c>
      <c r="E16" s="2">
        <f>ROUND('Facts'!F179-'Calculations'!D16,J16)</f>
        <v>0.0</v>
      </c>
      <c r="F16" s="2">
        <v>0.02</v>
      </c>
      <c r="G16" s="2" t="str">
        <f>IF(COUNT(E16,F16)&lt;2,"not_tested",IF(ABS(E16)&lt;=F16,"within_input_tolerance","unexplained_difference"))</f>
        <v>within_input_tolerance</v>
      </c>
      <c r="H16" s="2" t="s">
        <v>4053</v>
      </c>
      <c r="I16" s="2">
        <f>IF(ISNUMBER(E16),"","missing or unavailable input")</f>
        <v/>
      </c>
      <c r="J16">
        <v>2</v>
      </c>
    </row>
    <row r="17" spans="1:10" ht="33" customHeight="1">
      <c r="A17" s="2" t="s">
        <v>4069</v>
      </c>
      <c r="B17" s="2" t="s">
        <v>3076</v>
      </c>
      <c r="C17" s="2" t="s">
        <v>604</v>
      </c>
      <c r="D17" s="2" t="s">
        <v>3075</v>
      </c>
      <c r="E17" s="2">
        <f>ROUND('Facts'!F181-'Calculations'!D17,J17)</f>
        <v>0.0</v>
      </c>
      <c r="F17" s="2">
        <v>0.02</v>
      </c>
      <c r="G17" s="2" t="str">
        <f>IF(COUNT(E17,F17)&lt;2,"not_tested",IF(ABS(E17)&lt;=F17,"within_input_tolerance","unexplained_difference"))</f>
        <v>within_input_tolerance</v>
      </c>
      <c r="H17" s="2" t="s">
        <v>4053</v>
      </c>
      <c r="I17" s="2">
        <f>IF(ISNUMBER(E17),"","missing or unavailable input")</f>
        <v/>
      </c>
      <c r="J17">
        <v>2</v>
      </c>
    </row>
    <row r="18" spans="1:10" ht="33" customHeight="1">
      <c r="A18" s="2" t="s">
        <v>4070</v>
      </c>
      <c r="B18" s="2" t="s">
        <v>3078</v>
      </c>
      <c r="C18" s="2" t="s">
        <v>674</v>
      </c>
      <c r="D18" s="2" t="s">
        <v>3077</v>
      </c>
      <c r="E18" s="2">
        <f>ROUND('Facts'!F204-'Calculations'!D18,J18)</f>
        <v>0.0</v>
      </c>
      <c r="F18" s="2">
        <v>0.02</v>
      </c>
      <c r="G18" s="2" t="str">
        <f>IF(COUNT(E18,F18)&lt;2,"not_tested",IF(ABS(E18)&lt;=F18,"within_input_tolerance","unexplained_difference"))</f>
        <v>within_input_tolerance</v>
      </c>
      <c r="H18" s="2" t="s">
        <v>4053</v>
      </c>
      <c r="I18" s="2">
        <f>IF(ISNUMBER(E18),"","missing or unavailable input")</f>
        <v/>
      </c>
      <c r="J18">
        <v>2</v>
      </c>
    </row>
    <row r="19" spans="1:10" ht="33" customHeight="1">
      <c r="A19" s="2" t="s">
        <v>4071</v>
      </c>
      <c r="B19" s="2" t="s">
        <v>3080</v>
      </c>
      <c r="C19" s="2" t="s">
        <v>728</v>
      </c>
      <c r="D19" s="2" t="s">
        <v>3079</v>
      </c>
      <c r="E19" s="2">
        <f>ROUND('Facts'!F222-'Calculations'!D19,J19)</f>
        <v>0.0</v>
      </c>
      <c r="F19" s="2">
        <v>0.02</v>
      </c>
      <c r="G19" s="2" t="str">
        <f>IF(COUNT(E19,F19)&lt;2,"not_tested",IF(ABS(E19)&lt;=F19,"within_input_tolerance","unexplained_difference"))</f>
        <v>within_input_tolerance</v>
      </c>
      <c r="H19" s="2" t="s">
        <v>4053</v>
      </c>
      <c r="I19" s="2">
        <f>IF(ISNUMBER(E19),"","missing or unavailable input")</f>
        <v/>
      </c>
      <c r="J19">
        <v>2</v>
      </c>
    </row>
    <row r="20" spans="1:10" ht="33" customHeight="1">
      <c r="A20" s="2" t="s">
        <v>4072</v>
      </c>
      <c r="B20" s="2" t="s">
        <v>3082</v>
      </c>
      <c r="C20" s="2" t="s">
        <v>740</v>
      </c>
      <c r="D20" s="2" t="s">
        <v>3081</v>
      </c>
      <c r="E20" s="2">
        <f>ROUND('Facts'!F226-'Calculations'!D20,J20)</f>
        <v>0.0</v>
      </c>
      <c r="F20" s="2">
        <v>0.02</v>
      </c>
      <c r="G20" s="2" t="str">
        <f>IF(COUNT(E20,F20)&lt;2,"not_tested",IF(ABS(E20)&lt;=F20,"within_input_tolerance","unexplained_difference"))</f>
        <v>within_input_tolerance</v>
      </c>
      <c r="H20" s="2" t="s">
        <v>4053</v>
      </c>
      <c r="I20" s="2">
        <f>IF(ISNUMBER(E20),"","missing or unavailable input")</f>
        <v/>
      </c>
      <c r="J20">
        <v>2</v>
      </c>
    </row>
    <row r="21" spans="1:10" ht="33" customHeight="1">
      <c r="A21" s="2" t="s">
        <v>4073</v>
      </c>
      <c r="B21" s="2" t="s">
        <v>4074</v>
      </c>
      <c r="C21" s="2" t="s">
        <v>519</v>
      </c>
      <c r="D21" s="2" t="s">
        <v>3083</v>
      </c>
      <c r="E21" s="2">
        <f>ROUND('Facts'!F153-'Calculations'!D21,J21)</f>
        <v>0.0</v>
      </c>
      <c r="F21" s="2">
        <v>0.02</v>
      </c>
      <c r="G21" s="2" t="str">
        <f>IF(COUNT(E21,F21)&lt;2,"not_tested",IF(ABS(E21)&lt;=F21,"within_input_tolerance","unexplained_difference"))</f>
        <v>within_input_tolerance</v>
      </c>
      <c r="H21" s="2" t="s">
        <v>4053</v>
      </c>
      <c r="I21" s="2">
        <f>IF(ISNUMBER(E21),"","missing or unavailable input")</f>
        <v/>
      </c>
      <c r="J21">
        <v>2</v>
      </c>
    </row>
    <row r="22" spans="1:10" ht="33" customHeight="1">
      <c r="A22" s="2" t="s">
        <v>4075</v>
      </c>
      <c r="B22" s="2" t="s">
        <v>490</v>
      </c>
      <c r="C22" s="2" t="s">
        <v>489</v>
      </c>
      <c r="D22" s="2" t="s">
        <v>3085</v>
      </c>
      <c r="E22" s="2">
        <f>ROUND('Facts'!F143-'Calculations'!D22,J22)</f>
        <v>0.0</v>
      </c>
      <c r="F22" s="2">
        <v>0.02</v>
      </c>
      <c r="G22" s="2" t="str">
        <f>IF(COUNT(E22,F22)&lt;2,"not_tested",IF(ABS(E22)&lt;=F22,"within_input_tolerance","unexplained_difference"))</f>
        <v>within_input_tolerance</v>
      </c>
      <c r="H22" s="2" t="s">
        <v>4053</v>
      </c>
      <c r="I22" s="2">
        <f>IF(ISNUMBER(E22),"","missing or unavailable input")</f>
        <v/>
      </c>
      <c r="J22">
        <v>2</v>
      </c>
    </row>
    <row r="23" spans="1:10" ht="33" customHeight="1">
      <c r="A23" s="2" t="s">
        <v>4076</v>
      </c>
      <c r="B23" s="2" t="s">
        <v>4077</v>
      </c>
      <c r="C23" s="2" t="s">
        <v>746</v>
      </c>
      <c r="D23" s="2" t="s">
        <v>3087</v>
      </c>
      <c r="E23" s="2">
        <f>ROUND('Facts'!F228-'Calculations'!D23,J23)</f>
        <v>0.0</v>
      </c>
      <c r="F23" s="2">
        <v>0.02</v>
      </c>
      <c r="G23" s="2" t="str">
        <f>IF(COUNT(E23,F23)&lt;2,"not_tested",IF(ABS(E23)&lt;=F23,"within_input_tolerance","unexplained_difference"))</f>
        <v>within_input_tolerance</v>
      </c>
      <c r="H23" s="2" t="s">
        <v>4053</v>
      </c>
      <c r="I23" s="2">
        <f>IF(ISNUMBER(E23),"","missing or unavailable input")</f>
        <v/>
      </c>
      <c r="J23">
        <v>2</v>
      </c>
    </row>
    <row r="24" spans="1:10" ht="33" customHeight="1">
      <c r="A24" s="2" t="s">
        <v>4078</v>
      </c>
      <c r="B24" s="2" t="s">
        <v>4079</v>
      </c>
      <c r="C24" s="2" t="s">
        <v>49</v>
      </c>
      <c r="D24" s="2" t="s">
        <v>3089</v>
      </c>
      <c r="E24" s="2">
        <f>ROUND('Facts'!F2-'Calculations'!D24,J24)</f>
        <v>0.0</v>
      </c>
      <c r="F24" s="2">
        <v>0.02</v>
      </c>
      <c r="G24" s="2" t="str">
        <f>IF(COUNT(E24,F24)&lt;2,"not_tested",IF(ABS(E24)&lt;=F24,"within_input_tolerance","unexplained_difference"))</f>
        <v>within_input_tolerance</v>
      </c>
      <c r="H24" s="2" t="s">
        <v>4053</v>
      </c>
      <c r="I24" s="2">
        <f>IF(ISNUMBER(E24),"","missing or unavailable input")</f>
        <v/>
      </c>
      <c r="J24">
        <v>2</v>
      </c>
    </row>
    <row r="25" spans="1:10" ht="33" customHeight="1">
      <c r="A25" s="2" t="s">
        <v>4080</v>
      </c>
      <c r="B25" s="2" t="s">
        <v>4081</v>
      </c>
      <c r="C25" s="2" t="s">
        <v>753</v>
      </c>
      <c r="D25" s="2" t="s">
        <v>3091</v>
      </c>
      <c r="E25" s="2">
        <f>ROUND('Facts'!F230-'Calculations'!D25,J25)</f>
        <v>0.0</v>
      </c>
      <c r="F25" s="2">
        <v>0.02</v>
      </c>
      <c r="G25" s="2" t="str">
        <f>IF(COUNT(E25,F25)&lt;2,"not_tested",IF(ABS(E25)&lt;=F25,"within_input_tolerance","unexplained_difference"))</f>
        <v>within_input_tolerance</v>
      </c>
      <c r="H25" s="2" t="s">
        <v>4053</v>
      </c>
      <c r="I25" s="2">
        <f>IF(ISNUMBER(E25),"","missing or unavailable input")</f>
        <v/>
      </c>
      <c r="J25">
        <v>2</v>
      </c>
    </row>
    <row r="26" spans="1:10" ht="33" customHeight="1">
      <c r="A26" s="2" t="s">
        <v>4082</v>
      </c>
      <c r="B26" s="2" t="s">
        <v>4083</v>
      </c>
      <c r="C26" s="2" t="s">
        <v>604</v>
      </c>
      <c r="D26" s="2" t="s">
        <v>3093</v>
      </c>
      <c r="E26" s="2">
        <f>ROUND('Facts'!F181-'Calculations'!D26,J26)</f>
        <v>0.0</v>
      </c>
      <c r="F26" s="2">
        <v>0.02</v>
      </c>
      <c r="G26" s="2" t="str">
        <f>IF(COUNT(E26,F26)&lt;2,"not_tested",IF(ABS(E26)&lt;=F26,"within_input_tolerance","unexplained_difference"))</f>
        <v>within_input_tolerance</v>
      </c>
      <c r="H26" s="2" t="s">
        <v>4053</v>
      </c>
      <c r="I26" s="2">
        <f>IF(ISNUMBER(E26),"","missing or unavailable input")</f>
        <v/>
      </c>
      <c r="J26">
        <v>2</v>
      </c>
    </row>
    <row r="27" spans="1:10" ht="33" customHeight="1">
      <c r="A27" s="2" t="s">
        <v>4084</v>
      </c>
      <c r="B27" s="2" t="s">
        <v>4085</v>
      </c>
      <c r="C27" s="2" t="s">
        <v>78</v>
      </c>
      <c r="D27" s="2" t="s">
        <v>3095</v>
      </c>
      <c r="E27" s="2">
        <f>ROUND('Facts'!F8-'Calculations'!D27,J27)</f>
        <v>0.0</v>
      </c>
      <c r="F27" s="2">
        <v>0.02</v>
      </c>
      <c r="G27" s="2" t="str">
        <f>IF(COUNT(E27,F27)&lt;2,"not_tested",IF(ABS(E27)&lt;=F27,"within_input_tolerance","unexplained_difference"))</f>
        <v>within_input_tolerance</v>
      </c>
      <c r="H27" s="2" t="s">
        <v>4053</v>
      </c>
      <c r="I27" s="2">
        <f>IF(ISNUMBER(E27),"","missing or unavailable input")</f>
        <v/>
      </c>
      <c r="J27">
        <v>2</v>
      </c>
    </row>
    <row r="28" spans="1:10" ht="33" customHeight="1">
      <c r="A28" s="2" t="s">
        <v>4086</v>
      </c>
      <c r="B28" s="2" t="s">
        <v>4087</v>
      </c>
      <c r="C28" s="2" t="s">
        <v>96</v>
      </c>
      <c r="D28" s="2" t="s">
        <v>3097</v>
      </c>
      <c r="E28" s="2">
        <f>ROUND('Facts'!F14-'Calculations'!D28,J28)</f>
        <v>0.0</v>
      </c>
      <c r="F28" s="2">
        <v>0.02</v>
      </c>
      <c r="G28" s="2" t="str">
        <f>IF(COUNT(E28,F28)&lt;2,"not_tested",IF(ABS(E28)&lt;=F28,"within_input_tolerance","unexplained_difference"))</f>
        <v>within_input_tolerance</v>
      </c>
      <c r="H28" s="2" t="s">
        <v>4053</v>
      </c>
      <c r="I28" s="2">
        <f>IF(ISNUMBER(E28),"","missing or unavailable input")</f>
        <v/>
      </c>
      <c r="J28">
        <v>2</v>
      </c>
    </row>
    <row r="29" spans="1:10" ht="33" customHeight="1">
      <c r="A29" s="2" t="s">
        <v>4088</v>
      </c>
      <c r="B29" s="2" t="s">
        <v>4089</v>
      </c>
      <c r="C29" s="2" t="s">
        <v>102</v>
      </c>
      <c r="D29" s="2" t="s">
        <v>3099</v>
      </c>
      <c r="E29" s="2">
        <f>ROUND('Facts'!F16-'Calculations'!D29,J29)</f>
        <v>0.0</v>
      </c>
      <c r="F29" s="2">
        <v>0.02</v>
      </c>
      <c r="G29" s="2" t="str">
        <f>IF(COUNT(E29,F29)&lt;2,"not_tested",IF(ABS(E29)&lt;=F29,"within_input_tolerance","unexplained_difference"))</f>
        <v>within_input_tolerance</v>
      </c>
      <c r="H29" s="2" t="s">
        <v>4053</v>
      </c>
      <c r="I29" s="2">
        <f>IF(ISNUMBER(E29),"","missing or unavailable input")</f>
        <v/>
      </c>
      <c r="J29">
        <v>2</v>
      </c>
    </row>
    <row r="30" spans="1:10" ht="33" customHeight="1">
      <c r="A30" s="2" t="s">
        <v>4090</v>
      </c>
      <c r="B30" s="2" t="s">
        <v>4091</v>
      </c>
      <c r="C30" s="2" t="s">
        <v>108</v>
      </c>
      <c r="D30" s="2" t="s">
        <v>3101</v>
      </c>
      <c r="E30" s="2">
        <f>ROUND('Facts'!F18-'Calculations'!D30,J30)</f>
        <v>0.0</v>
      </c>
      <c r="F30" s="2">
        <v>0.02</v>
      </c>
      <c r="G30" s="2" t="str">
        <f>IF(COUNT(E30,F30)&lt;2,"not_tested",IF(ABS(E30)&lt;=F30,"within_input_tolerance","unexplained_difference"))</f>
        <v>within_input_tolerance</v>
      </c>
      <c r="H30" s="2" t="s">
        <v>4053</v>
      </c>
      <c r="I30" s="2">
        <f>IF(ISNUMBER(E30),"","missing or unavailable input")</f>
        <v/>
      </c>
      <c r="J30">
        <v>2</v>
      </c>
    </row>
    <row r="31" spans="1:10" ht="48" customHeight="1">
      <c r="A31" s="2" t="s">
        <v>4092</v>
      </c>
      <c r="B31" s="2" t="s">
        <v>4093</v>
      </c>
      <c r="C31" s="2" t="s">
        <v>961</v>
      </c>
      <c r="D31" s="2" t="s">
        <v>3103</v>
      </c>
      <c r="E31" s="2">
        <f>ROUND('Facts'!F298-'Calculations'!D31,J31)</f>
        <v>0.0</v>
      </c>
      <c r="F31" s="2">
        <v>0.02</v>
      </c>
      <c r="G31" s="2" t="str">
        <f>IF(COUNT(E31,F31)&lt;2,"not_tested",IF(ABS(E31)&lt;=F31,"within_input_tolerance","unexplained_difference"))</f>
        <v>within_input_tolerance</v>
      </c>
      <c r="H31" s="2" t="s">
        <v>4053</v>
      </c>
      <c r="I31" s="2">
        <f>IF(ISNUMBER(E31),"","missing or unavailable input")</f>
        <v/>
      </c>
      <c r="J31">
        <v>2</v>
      </c>
    </row>
    <row r="32" spans="1:10" ht="33" customHeight="1">
      <c r="A32" s="2" t="s">
        <v>4094</v>
      </c>
      <c r="B32" s="2" t="s">
        <v>4095</v>
      </c>
      <c r="C32" s="2" t="s">
        <v>1030</v>
      </c>
      <c r="D32" s="2" t="s">
        <v>3105</v>
      </c>
      <c r="E32" s="2">
        <f>ROUND('Facts'!F320-'Calculations'!D32,J32)</f>
        <v>0.0</v>
      </c>
      <c r="F32" s="2">
        <v>0.02</v>
      </c>
      <c r="G32" s="2" t="str">
        <f>IF(COUNT(E32,F32)&lt;2,"not_tested",IF(ABS(E32)&lt;=F32,"within_input_tolerance","unexplained_difference"))</f>
        <v>within_input_tolerance</v>
      </c>
      <c r="H32" s="2" t="s">
        <v>4053</v>
      </c>
      <c r="I32" s="2">
        <f>IF(ISNUMBER(E32),"","missing or unavailable input")</f>
        <v/>
      </c>
      <c r="J32">
        <v>2</v>
      </c>
    </row>
    <row r="33" spans="1:10" ht="33" customHeight="1">
      <c r="A33" s="2" t="s">
        <v>4096</v>
      </c>
      <c r="B33" s="2" t="s">
        <v>4097</v>
      </c>
      <c r="C33" s="2" t="s">
        <v>857</v>
      </c>
      <c r="D33" s="2" t="s">
        <v>3107</v>
      </c>
      <c r="E33" s="2">
        <f>ROUND('Facts'!F264-'Calculations'!D33,J33)</f>
        <v>0.0</v>
      </c>
      <c r="F33" s="2">
        <v>0.02</v>
      </c>
      <c r="G33" s="2" t="str">
        <f>IF(COUNT(E33,F33)&lt;2,"not_tested",IF(ABS(E33)&lt;=F33,"within_input_tolerance","unexplained_difference"))</f>
        <v>within_input_tolerance</v>
      </c>
      <c r="H33" s="2" t="s">
        <v>4053</v>
      </c>
      <c r="I33" s="2">
        <f>IF(ISNUMBER(E33),"","missing or unavailable input")</f>
        <v/>
      </c>
      <c r="J33">
        <v>2</v>
      </c>
    </row>
    <row r="34" spans="1:10" ht="33" customHeight="1">
      <c r="A34" s="2" t="s">
        <v>4098</v>
      </c>
      <c r="B34" s="2" t="s">
        <v>4099</v>
      </c>
      <c r="C34" s="2" t="s">
        <v>1261</v>
      </c>
      <c r="D34" s="2" t="s">
        <v>3109</v>
      </c>
      <c r="E34" s="2">
        <f>ROUND('Facts'!F396-'Calculations'!D34,J34)</f>
        <v>0.0</v>
      </c>
      <c r="F34" s="2">
        <v>0.02</v>
      </c>
      <c r="G34" s="2" t="str">
        <f>IF(COUNT(E34,F34)&lt;2,"not_tested",IF(ABS(E34)&lt;=F34,"within_input_tolerance","unexplained_difference"))</f>
        <v>within_input_tolerance</v>
      </c>
      <c r="H34" s="2" t="s">
        <v>4053</v>
      </c>
      <c r="I34" s="2">
        <f>IF(ISNUMBER(E34),"","missing or unavailable input")</f>
        <v/>
      </c>
      <c r="J34">
        <v>2</v>
      </c>
    </row>
    <row r="35" spans="1:10" ht="33" customHeight="1">
      <c r="A35" s="2" t="s">
        <v>4100</v>
      </c>
      <c r="B35" s="2" t="s">
        <v>4101</v>
      </c>
      <c r="C35" s="2" t="s">
        <v>435</v>
      </c>
      <c r="D35" s="2" t="s">
        <v>3111</v>
      </c>
      <c r="E35" s="2">
        <f>ROUND('Facts'!F125-'Calculations'!D35,J35)</f>
        <v>0.0</v>
      </c>
      <c r="F35" s="2">
        <v>0.02</v>
      </c>
      <c r="G35" s="2" t="str">
        <f>IF(COUNT(E35,F35)&lt;2,"not_tested",IF(ABS(E35)&lt;=F35,"within_input_tolerance","unexplained_difference"))</f>
        <v>within_input_tolerance</v>
      </c>
      <c r="H35" s="2" t="s">
        <v>4053</v>
      </c>
      <c r="I35" s="2">
        <f>IF(ISNUMBER(E35),"","missing or unavailable input")</f>
        <v/>
      </c>
      <c r="J35">
        <v>2</v>
      </c>
    </row>
    <row r="36" spans="1:10" ht="33" customHeight="1">
      <c r="A36" s="2" t="s">
        <v>4102</v>
      </c>
      <c r="B36" s="2" t="s">
        <v>4103</v>
      </c>
      <c r="C36" s="2" t="s">
        <v>389</v>
      </c>
      <c r="D36" s="2" t="s">
        <v>3183</v>
      </c>
      <c r="E36" s="2">
        <f>ROUND('Facts'!F111-'Calculations'!D68,J36)</f>
        <v>0.0</v>
      </c>
      <c r="F36" s="2">
        <v>0.02</v>
      </c>
      <c r="G36" s="2" t="str">
        <f>IF(COUNT(E36,F36)&lt;2,"not_tested",IF(ABS(E36)&lt;=F36,"within_input_tolerance","unexplained_difference"))</f>
        <v>within_input_tolerance</v>
      </c>
      <c r="H36" s="2" t="s">
        <v>4053</v>
      </c>
      <c r="I36" s="2">
        <f>IF(ISNUMBER(E36),"","missing or unavailable input")</f>
        <v/>
      </c>
      <c r="J36">
        <v>2</v>
      </c>
    </row>
    <row r="37" spans="1:10" ht="33" customHeight="1">
      <c r="A37" s="2" t="s">
        <v>4104</v>
      </c>
      <c r="B37" s="2" t="s">
        <v>4105</v>
      </c>
      <c r="C37" s="2" t="s">
        <v>399</v>
      </c>
      <c r="D37" s="2" t="s">
        <v>3185</v>
      </c>
      <c r="E37" s="2">
        <f>ROUND('Facts'!F113-'Calculations'!D69,J37)</f>
        <v>0.0</v>
      </c>
      <c r="F37" s="2">
        <v>0.02</v>
      </c>
      <c r="G37" s="2" t="str">
        <f>IF(COUNT(E37,F37)&lt;2,"not_tested",IF(ABS(E37)&lt;=F37,"within_input_tolerance","unexplained_difference"))</f>
        <v>within_input_tolerance</v>
      </c>
      <c r="H37" s="2" t="s">
        <v>4053</v>
      </c>
      <c r="I37" s="2">
        <f>IF(ISNUMBER(E37),"","missing or unavailable input")</f>
        <v/>
      </c>
      <c r="J37">
        <v>2</v>
      </c>
    </row>
    <row r="38" spans="1:10" ht="33" customHeight="1">
      <c r="A38" s="2" t="s">
        <v>4106</v>
      </c>
      <c r="B38" s="2" t="s">
        <v>3044</v>
      </c>
      <c r="C38" s="2" t="s">
        <v>128</v>
      </c>
      <c r="D38" s="2" t="s">
        <v>3187</v>
      </c>
      <c r="E38" s="2">
        <f>ROUND('Facts'!F24-'Calculations'!D70,J38)</f>
        <v>0.0</v>
      </c>
      <c r="F38" s="2">
        <v>0.02</v>
      </c>
      <c r="G38" s="2" t="str">
        <f>IF(COUNT(E38,F38)&lt;2,"not_tested",IF(ABS(E38)&lt;=F38,"within_input_tolerance","unexplained_difference"))</f>
        <v>within_input_tolerance</v>
      </c>
      <c r="H38" s="2" t="s">
        <v>4053</v>
      </c>
      <c r="I38" s="2">
        <f>IF(ISNUMBER(E38),"","missing or unavailable input")</f>
        <v/>
      </c>
      <c r="J38">
        <v>2</v>
      </c>
    </row>
    <row r="39" spans="1:10" ht="33" customHeight="1">
      <c r="A39" s="2" t="s">
        <v>4107</v>
      </c>
      <c r="B39" s="2" t="s">
        <v>3048</v>
      </c>
      <c r="C39" s="2" t="s">
        <v>210</v>
      </c>
      <c r="D39" s="2" t="s">
        <v>3188</v>
      </c>
      <c r="E39" s="2">
        <f>ROUND('Facts'!F51-'Calculations'!D71,J39)</f>
        <v>0.0</v>
      </c>
      <c r="F39" s="2">
        <v>0.02</v>
      </c>
      <c r="G39" s="2" t="str">
        <f>IF(COUNT(E39,F39)&lt;2,"not_tested",IF(ABS(E39)&lt;=F39,"within_input_tolerance","unexplained_difference"))</f>
        <v>within_input_tolerance</v>
      </c>
      <c r="H39" s="2" t="s">
        <v>4053</v>
      </c>
      <c r="I39" s="2">
        <f>IF(ISNUMBER(E39),"","missing or unavailable input")</f>
        <v/>
      </c>
      <c r="J39">
        <v>2</v>
      </c>
    </row>
    <row r="40" spans="1:10" ht="33" customHeight="1">
      <c r="A40" s="2" t="s">
        <v>4108</v>
      </c>
      <c r="B40" s="2" t="s">
        <v>3050</v>
      </c>
      <c r="C40" s="2" t="s">
        <v>276</v>
      </c>
      <c r="D40" s="2" t="s">
        <v>3189</v>
      </c>
      <c r="E40" s="2">
        <f>ROUND('Facts'!F73-'Calculations'!D72,J40)</f>
        <v>0.0</v>
      </c>
      <c r="F40" s="2">
        <v>0.02</v>
      </c>
      <c r="G40" s="2" t="str">
        <f>IF(COUNT(E40,F40)&lt;2,"not_tested",IF(ABS(E40)&lt;=F40,"within_input_tolerance","unexplained_difference"))</f>
        <v>within_input_tolerance</v>
      </c>
      <c r="H40" s="2" t="s">
        <v>4053</v>
      </c>
      <c r="I40" s="2">
        <f>IF(ISNUMBER(E40),"","missing or unavailable input")</f>
        <v/>
      </c>
      <c r="J40">
        <v>2</v>
      </c>
    </row>
    <row r="41" spans="1:10" ht="33" customHeight="1">
      <c r="A41" s="2" t="s">
        <v>4109</v>
      </c>
      <c r="B41" s="2" t="s">
        <v>3052</v>
      </c>
      <c r="C41" s="2" t="s">
        <v>317</v>
      </c>
      <c r="D41" s="2" t="s">
        <v>3190</v>
      </c>
      <c r="E41" s="2">
        <f>ROUND('Facts'!F87-'Calculations'!D73,J41)</f>
        <v>0.0</v>
      </c>
      <c r="F41" s="2">
        <v>0.02</v>
      </c>
      <c r="G41" s="2" t="str">
        <f>IF(COUNT(E41,F41)&lt;2,"not_tested",IF(ABS(E41)&lt;=F41,"within_input_tolerance","unexplained_difference"))</f>
        <v>within_input_tolerance</v>
      </c>
      <c r="H41" s="2" t="s">
        <v>4053</v>
      </c>
      <c r="I41" s="2">
        <f>IF(ISNUMBER(E41),"","missing or unavailable input")</f>
        <v/>
      </c>
      <c r="J41">
        <v>2</v>
      </c>
    </row>
    <row r="42" spans="1:10" ht="33" customHeight="1">
      <c r="A42" s="2" t="s">
        <v>4110</v>
      </c>
      <c r="B42" s="2" t="s">
        <v>3054</v>
      </c>
      <c r="C42" s="2" t="s">
        <v>375</v>
      </c>
      <c r="D42" s="2" t="s">
        <v>3191</v>
      </c>
      <c r="E42" s="2">
        <f>ROUND('Facts'!F106-'Calculations'!D74,J42)</f>
        <v>0.0</v>
      </c>
      <c r="F42" s="2">
        <v>0.02</v>
      </c>
      <c r="G42" s="2" t="str">
        <f>IF(COUNT(E42,F42)&lt;2,"not_tested",IF(ABS(E42)&lt;=F42,"within_input_tolerance","unexplained_difference"))</f>
        <v>within_input_tolerance</v>
      </c>
      <c r="H42" s="2" t="s">
        <v>4053</v>
      </c>
      <c r="I42" s="2">
        <f>IF(ISNUMBER(E42),"","missing or unavailable input")</f>
        <v/>
      </c>
      <c r="J42">
        <v>2</v>
      </c>
    </row>
    <row r="43" spans="1:10" ht="33" customHeight="1">
      <c r="A43" s="2" t="s">
        <v>4111</v>
      </c>
      <c r="B43" s="2" t="s">
        <v>3056</v>
      </c>
      <c r="C43" s="2" t="s">
        <v>387</v>
      </c>
      <c r="D43" s="2" t="s">
        <v>3192</v>
      </c>
      <c r="E43" s="2">
        <f>ROUND('Facts'!F110-'Calculations'!D75,J43)</f>
        <v>0.0</v>
      </c>
      <c r="F43" s="2">
        <v>0.02</v>
      </c>
      <c r="G43" s="2" t="str">
        <f>IF(COUNT(E43,F43)&lt;2,"not_tested",IF(ABS(E43)&lt;=F43,"within_input_tolerance","unexplained_difference"))</f>
        <v>within_input_tolerance</v>
      </c>
      <c r="H43" s="2" t="s">
        <v>4053</v>
      </c>
      <c r="I43" s="2">
        <f>IF(ISNUMBER(E43),"","missing or unavailable input")</f>
        <v/>
      </c>
      <c r="J43">
        <v>2</v>
      </c>
    </row>
    <row r="44" spans="1:10" ht="33" customHeight="1">
      <c r="A44" s="2" t="s">
        <v>4112</v>
      </c>
      <c r="B44" s="2" t="s">
        <v>3058</v>
      </c>
      <c r="C44" s="2" t="s">
        <v>216</v>
      </c>
      <c r="D44" s="2" t="s">
        <v>3193</v>
      </c>
      <c r="E44" s="2">
        <f>ROUND('Facts'!F53-'Calculations'!D76,J44)</f>
        <v>0.0</v>
      </c>
      <c r="F44" s="2">
        <v>0.02</v>
      </c>
      <c r="G44" s="2" t="str">
        <f>IF(COUNT(E44,F44)&lt;2,"not_tested",IF(ABS(E44)&lt;=F44,"within_input_tolerance","unexplained_difference"))</f>
        <v>within_input_tolerance</v>
      </c>
      <c r="H44" s="2" t="s">
        <v>4053</v>
      </c>
      <c r="I44" s="2">
        <f>IF(ISNUMBER(E44),"","missing or unavailable input")</f>
        <v/>
      </c>
      <c r="J44">
        <v>2</v>
      </c>
    </row>
    <row r="45" spans="1:10" ht="33" customHeight="1">
      <c r="A45" s="2" t="s">
        <v>4113</v>
      </c>
      <c r="B45" s="2" t="s">
        <v>3060</v>
      </c>
      <c r="C45" s="2" t="s">
        <v>323</v>
      </c>
      <c r="D45" s="2" t="s">
        <v>3194</v>
      </c>
      <c r="E45" s="2">
        <f>ROUND('Facts'!F89-'Calculations'!D77,J45)</f>
        <v>0.0</v>
      </c>
      <c r="F45" s="2">
        <v>0.02</v>
      </c>
      <c r="G45" s="2" t="str">
        <f>IF(COUNT(E45,F45)&lt;2,"not_tested",IF(ABS(E45)&lt;=F45,"within_input_tolerance","unexplained_difference"))</f>
        <v>within_input_tolerance</v>
      </c>
      <c r="H45" s="2" t="s">
        <v>4053</v>
      </c>
      <c r="I45" s="2">
        <f>IF(ISNUMBER(E45),"","missing or unavailable input")</f>
        <v/>
      </c>
      <c r="J45">
        <v>2</v>
      </c>
    </row>
    <row r="46" spans="1:10" ht="33" customHeight="1">
      <c r="A46" s="2" t="s">
        <v>4114</v>
      </c>
      <c r="B46" s="2" t="s">
        <v>4062</v>
      </c>
      <c r="C46" s="2" t="s">
        <v>216</v>
      </c>
      <c r="D46" s="2" t="s">
        <v>3195</v>
      </c>
      <c r="E46" s="2">
        <f>ROUND('Facts'!F53-'Calculations'!D78,J46)</f>
        <v>0.0</v>
      </c>
      <c r="F46" s="2">
        <v>0.02</v>
      </c>
      <c r="G46" s="2" t="str">
        <f>IF(COUNT(E46,F46)&lt;2,"not_tested",IF(ABS(E46)&lt;=F46,"within_input_tolerance","unexplained_difference"))</f>
        <v>within_input_tolerance</v>
      </c>
      <c r="H46" s="2" t="s">
        <v>4053</v>
      </c>
      <c r="I46" s="2">
        <f>IF(ISNUMBER(E46),"","missing or unavailable input")</f>
        <v/>
      </c>
      <c r="J46">
        <v>2</v>
      </c>
    </row>
    <row r="47" spans="1:10" ht="33" customHeight="1">
      <c r="A47" s="2" t="s">
        <v>4115</v>
      </c>
      <c r="B47" s="2" t="s">
        <v>3064</v>
      </c>
      <c r="C47" s="2" t="s">
        <v>451</v>
      </c>
      <c r="D47" s="2" t="s">
        <v>3196</v>
      </c>
      <c r="E47" s="2">
        <f>ROUND('Facts'!F130-'Calculations'!D79,J47)</f>
        <v>0.0</v>
      </c>
      <c r="F47" s="2">
        <v>0.02</v>
      </c>
      <c r="G47" s="2" t="str">
        <f>IF(COUNT(E47,F47)&lt;2,"not_tested",IF(ABS(E47)&lt;=F47,"within_input_tolerance","unexplained_difference"))</f>
        <v>within_input_tolerance</v>
      </c>
      <c r="H47" s="2" t="s">
        <v>4053</v>
      </c>
      <c r="I47" s="2">
        <f>IF(ISNUMBER(E47),"","missing or unavailable input")</f>
        <v/>
      </c>
      <c r="J47">
        <v>2</v>
      </c>
    </row>
    <row r="48" spans="1:10" ht="33" customHeight="1">
      <c r="A48" s="2" t="s">
        <v>4116</v>
      </c>
      <c r="B48" s="2" t="s">
        <v>3066</v>
      </c>
      <c r="C48" s="2" t="s">
        <v>511</v>
      </c>
      <c r="D48" s="2" t="s">
        <v>3197</v>
      </c>
      <c r="E48" s="2">
        <f>ROUND('Facts'!F150-'Calculations'!D80,J48)</f>
        <v>0.0</v>
      </c>
      <c r="F48" s="2">
        <v>0.02</v>
      </c>
      <c r="G48" s="2" t="str">
        <f>IF(COUNT(E48,F48)&lt;2,"not_tested",IF(ABS(E48)&lt;=F48,"within_input_tolerance","unexplained_difference"))</f>
        <v>within_input_tolerance</v>
      </c>
      <c r="H48" s="2" t="s">
        <v>4053</v>
      </c>
      <c r="I48" s="2">
        <f>IF(ISNUMBER(E48),"","missing or unavailable input")</f>
        <v/>
      </c>
      <c r="J48">
        <v>2</v>
      </c>
    </row>
    <row r="49" spans="1:10" ht="33" customHeight="1">
      <c r="A49" s="2" t="s">
        <v>4117</v>
      </c>
      <c r="B49" s="2" t="s">
        <v>3068</v>
      </c>
      <c r="C49" s="2" t="s">
        <v>523</v>
      </c>
      <c r="D49" s="2" t="s">
        <v>3198</v>
      </c>
      <c r="E49" s="2">
        <f>ROUND('Facts'!F154-'Calculations'!D81,J49)</f>
        <v>0.0</v>
      </c>
      <c r="F49" s="2">
        <v>0.02</v>
      </c>
      <c r="G49" s="2" t="str">
        <f>IF(COUNT(E49,F49)&lt;2,"not_tested",IF(ABS(E49)&lt;=F49,"within_input_tolerance","unexplained_difference"))</f>
        <v>within_input_tolerance</v>
      </c>
      <c r="H49" s="2" t="s">
        <v>4053</v>
      </c>
      <c r="I49" s="2">
        <f>IF(ISNUMBER(E49),"","missing or unavailable input")</f>
        <v/>
      </c>
      <c r="J49">
        <v>2</v>
      </c>
    </row>
    <row r="50" spans="1:10" ht="33" customHeight="1">
      <c r="A50" s="2" t="s">
        <v>4118</v>
      </c>
      <c r="B50" s="2" t="s">
        <v>3070</v>
      </c>
      <c r="C50" s="2" t="s">
        <v>547</v>
      </c>
      <c r="D50" s="2" t="s">
        <v>3199</v>
      </c>
      <c r="E50" s="2">
        <f>ROUND('Facts'!F162-'Calculations'!D82,J50)</f>
        <v>0.0</v>
      </c>
      <c r="F50" s="2">
        <v>0.02</v>
      </c>
      <c r="G50" s="2" t="str">
        <f>IF(COUNT(E50,F50)&lt;2,"not_tested",IF(ABS(E50)&lt;=F50,"within_input_tolerance","unexplained_difference"))</f>
        <v>within_input_tolerance</v>
      </c>
      <c r="H50" s="2" t="s">
        <v>4053</v>
      </c>
      <c r="I50" s="2">
        <f>IF(ISNUMBER(E50),"","missing or unavailable input")</f>
        <v/>
      </c>
      <c r="J50">
        <v>2</v>
      </c>
    </row>
    <row r="51" spans="1:10" ht="33" customHeight="1">
      <c r="A51" s="2" t="s">
        <v>4119</v>
      </c>
      <c r="B51" s="2" t="s">
        <v>3072</v>
      </c>
      <c r="C51" s="2" t="s">
        <v>572</v>
      </c>
      <c r="D51" s="2" t="s">
        <v>3200</v>
      </c>
      <c r="E51" s="2">
        <f>ROUND('Facts'!F170-'Calculations'!D83,J51)</f>
        <v>0.0</v>
      </c>
      <c r="F51" s="2">
        <v>0.02</v>
      </c>
      <c r="G51" s="2" t="str">
        <f>IF(COUNT(E51,F51)&lt;2,"not_tested",IF(ABS(E51)&lt;=F51,"within_input_tolerance","unexplained_difference"))</f>
        <v>within_input_tolerance</v>
      </c>
      <c r="H51" s="2" t="s">
        <v>4053</v>
      </c>
      <c r="I51" s="2">
        <f>IF(ISNUMBER(E51),"","missing or unavailable input")</f>
        <v/>
      </c>
      <c r="J51">
        <v>2</v>
      </c>
    </row>
    <row r="52" spans="1:10" ht="33" customHeight="1">
      <c r="A52" s="2" t="s">
        <v>4120</v>
      </c>
      <c r="B52" s="2" t="s">
        <v>3074</v>
      </c>
      <c r="C52" s="2" t="s">
        <v>602</v>
      </c>
      <c r="D52" s="2" t="s">
        <v>3201</v>
      </c>
      <c r="E52" s="2">
        <f>ROUND('Facts'!F180-'Calculations'!D84,J52)</f>
        <v>0.0</v>
      </c>
      <c r="F52" s="2">
        <v>0.02</v>
      </c>
      <c r="G52" s="2" t="str">
        <f>IF(COUNT(E52,F52)&lt;2,"not_tested",IF(ABS(E52)&lt;=F52,"within_input_tolerance","unexplained_difference"))</f>
        <v>within_input_tolerance</v>
      </c>
      <c r="H52" s="2" t="s">
        <v>4053</v>
      </c>
      <c r="I52" s="2">
        <f>IF(ISNUMBER(E52),"","missing or unavailable input")</f>
        <v/>
      </c>
      <c r="J52">
        <v>2</v>
      </c>
    </row>
    <row r="53" spans="1:10" ht="33" customHeight="1">
      <c r="A53" s="2" t="s">
        <v>4121</v>
      </c>
      <c r="B53" s="2" t="s">
        <v>3076</v>
      </c>
      <c r="C53" s="2" t="s">
        <v>608</v>
      </c>
      <c r="D53" s="2" t="s">
        <v>3202</v>
      </c>
      <c r="E53" s="2">
        <f>ROUND('Facts'!F182-'Calculations'!D85,J53)</f>
        <v>0.0</v>
      </c>
      <c r="F53" s="2">
        <v>0.02</v>
      </c>
      <c r="G53" s="2" t="str">
        <f>IF(COUNT(E53,F53)&lt;2,"not_tested",IF(ABS(E53)&lt;=F53,"within_input_tolerance","unexplained_difference"))</f>
        <v>within_input_tolerance</v>
      </c>
      <c r="H53" s="2" t="s">
        <v>4053</v>
      </c>
      <c r="I53" s="2">
        <f>IF(ISNUMBER(E53),"","missing or unavailable input")</f>
        <v/>
      </c>
      <c r="J53">
        <v>2</v>
      </c>
    </row>
    <row r="54" spans="1:10" ht="33" customHeight="1">
      <c r="A54" s="2" t="s">
        <v>4122</v>
      </c>
      <c r="B54" s="2" t="s">
        <v>3078</v>
      </c>
      <c r="C54" s="2" t="s">
        <v>678</v>
      </c>
      <c r="D54" s="2" t="s">
        <v>3203</v>
      </c>
      <c r="E54" s="2">
        <f>ROUND('Facts'!F205-'Calculations'!D86,J54)</f>
        <v>0.0</v>
      </c>
      <c r="F54" s="2">
        <v>0.02</v>
      </c>
      <c r="G54" s="2" t="str">
        <f>IF(COUNT(E54,F54)&lt;2,"not_tested",IF(ABS(E54)&lt;=F54,"within_input_tolerance","unexplained_difference"))</f>
        <v>within_input_tolerance</v>
      </c>
      <c r="H54" s="2" t="s">
        <v>4053</v>
      </c>
      <c r="I54" s="2">
        <f>IF(ISNUMBER(E54),"","missing or unavailable input")</f>
        <v/>
      </c>
      <c r="J54">
        <v>2</v>
      </c>
    </row>
    <row r="55" spans="1:10" ht="33" customHeight="1">
      <c r="A55" s="2" t="s">
        <v>4123</v>
      </c>
      <c r="B55" s="2" t="s">
        <v>3080</v>
      </c>
      <c r="C55" s="2" t="s">
        <v>732</v>
      </c>
      <c r="D55" s="2" t="s">
        <v>3204</v>
      </c>
      <c r="E55" s="2">
        <f>ROUND('Facts'!F223-'Calculations'!D87,J55)</f>
        <v>0.0</v>
      </c>
      <c r="F55" s="2">
        <v>0.02</v>
      </c>
      <c r="G55" s="2" t="str">
        <f>IF(COUNT(E55,F55)&lt;2,"not_tested",IF(ABS(E55)&lt;=F55,"within_input_tolerance","unexplained_difference"))</f>
        <v>within_input_tolerance</v>
      </c>
      <c r="H55" s="2" t="s">
        <v>4053</v>
      </c>
      <c r="I55" s="2">
        <f>IF(ISNUMBER(E55),"","missing or unavailable input")</f>
        <v/>
      </c>
      <c r="J55">
        <v>2</v>
      </c>
    </row>
    <row r="56" spans="1:10" ht="33" customHeight="1">
      <c r="A56" s="2" t="s">
        <v>4124</v>
      </c>
      <c r="B56" s="2" t="s">
        <v>3082</v>
      </c>
      <c r="C56" s="2" t="s">
        <v>744</v>
      </c>
      <c r="D56" s="2" t="s">
        <v>3205</v>
      </c>
      <c r="E56" s="2">
        <f>ROUND('Facts'!F227-'Calculations'!D88,J56)</f>
        <v>0.0</v>
      </c>
      <c r="F56" s="2">
        <v>0.02</v>
      </c>
      <c r="G56" s="2" t="str">
        <f>IF(COUNT(E56,F56)&lt;2,"not_tested",IF(ABS(E56)&lt;=F56,"within_input_tolerance","unexplained_difference"))</f>
        <v>within_input_tolerance</v>
      </c>
      <c r="H56" s="2" t="s">
        <v>4053</v>
      </c>
      <c r="I56" s="2">
        <f>IF(ISNUMBER(E56),"","missing or unavailable input")</f>
        <v/>
      </c>
      <c r="J56">
        <v>2</v>
      </c>
    </row>
    <row r="57" spans="1:10" ht="33" customHeight="1">
      <c r="A57" s="2" t="s">
        <v>4125</v>
      </c>
      <c r="B57" s="2" t="s">
        <v>4074</v>
      </c>
      <c r="C57" s="2" t="s">
        <v>523</v>
      </c>
      <c r="D57" s="2" t="s">
        <v>3206</v>
      </c>
      <c r="E57" s="2">
        <f>ROUND('Facts'!F154-'Calculations'!D89,J57)</f>
        <v>0.0</v>
      </c>
      <c r="F57" s="2">
        <v>0.02</v>
      </c>
      <c r="G57" s="2" t="str">
        <f>IF(COUNT(E57,F57)&lt;2,"not_tested",IF(ABS(E57)&lt;=F57,"within_input_tolerance","unexplained_difference"))</f>
        <v>within_input_tolerance</v>
      </c>
      <c r="H57" s="2" t="s">
        <v>4053</v>
      </c>
      <c r="I57" s="2">
        <f>IF(ISNUMBER(E57),"","missing or unavailable input")</f>
        <v/>
      </c>
      <c r="J57">
        <v>2</v>
      </c>
    </row>
    <row r="58" spans="1:10" ht="33" customHeight="1">
      <c r="A58" s="2" t="s">
        <v>4126</v>
      </c>
      <c r="B58" s="2" t="s">
        <v>490</v>
      </c>
      <c r="C58" s="2" t="s">
        <v>493</v>
      </c>
      <c r="D58" s="2" t="s">
        <v>3207</v>
      </c>
      <c r="E58" s="2">
        <f>ROUND('Facts'!F144-'Calculations'!D90,J58)</f>
        <v>0.0</v>
      </c>
      <c r="F58" s="2">
        <v>0.02</v>
      </c>
      <c r="G58" s="2" t="str">
        <f>IF(COUNT(E58,F58)&lt;2,"not_tested",IF(ABS(E58)&lt;=F58,"within_input_tolerance","unexplained_difference"))</f>
        <v>within_input_tolerance</v>
      </c>
      <c r="H58" s="2" t="s">
        <v>4053</v>
      </c>
      <c r="I58" s="2">
        <f>IF(ISNUMBER(E58),"","missing or unavailable input")</f>
        <v/>
      </c>
      <c r="J58">
        <v>2</v>
      </c>
    </row>
    <row r="59" spans="1:10" ht="33" customHeight="1">
      <c r="A59" s="2" t="s">
        <v>4127</v>
      </c>
      <c r="B59" s="2" t="s">
        <v>4077</v>
      </c>
      <c r="C59" s="2" t="s">
        <v>751</v>
      </c>
      <c r="D59" s="2" t="s">
        <v>3208</v>
      </c>
      <c r="E59" s="2">
        <f>ROUND('Facts'!F229-'Calculations'!D91,J59)</f>
        <v>0.0</v>
      </c>
      <c r="F59" s="2">
        <v>0.02</v>
      </c>
      <c r="G59" s="2" t="str">
        <f>IF(COUNT(E59,F59)&lt;2,"not_tested",IF(ABS(E59)&lt;=F59,"within_input_tolerance","unexplained_difference"))</f>
        <v>within_input_tolerance</v>
      </c>
      <c r="H59" s="2" t="s">
        <v>4053</v>
      </c>
      <c r="I59" s="2">
        <f>IF(ISNUMBER(E59),"","missing or unavailable input")</f>
        <v/>
      </c>
      <c r="J59">
        <v>2</v>
      </c>
    </row>
    <row r="60" spans="1:10" ht="33" customHeight="1">
      <c r="A60" s="2" t="s">
        <v>4128</v>
      </c>
      <c r="B60" s="2" t="s">
        <v>4079</v>
      </c>
      <c r="C60" s="2" t="s">
        <v>62</v>
      </c>
      <c r="D60" s="2" t="s">
        <v>3209</v>
      </c>
      <c r="E60" s="2">
        <f>ROUND('Facts'!F3-'Calculations'!D92,J60)</f>
        <v>0.0</v>
      </c>
      <c r="F60" s="2">
        <v>0.02</v>
      </c>
      <c r="G60" s="2" t="str">
        <f>IF(COUNT(E60,F60)&lt;2,"not_tested",IF(ABS(E60)&lt;=F60,"within_input_tolerance","unexplained_difference"))</f>
        <v>within_input_tolerance</v>
      </c>
      <c r="H60" s="2" t="s">
        <v>4053</v>
      </c>
      <c r="I60" s="2">
        <f>IF(ISNUMBER(E60),"","missing or unavailable input")</f>
        <v/>
      </c>
      <c r="J60">
        <v>2</v>
      </c>
    </row>
    <row r="61" spans="1:10" ht="33" customHeight="1">
      <c r="A61" s="2" t="s">
        <v>4129</v>
      </c>
      <c r="B61" s="2" t="s">
        <v>4081</v>
      </c>
      <c r="C61" s="2" t="s">
        <v>757</v>
      </c>
      <c r="D61" s="2" t="s">
        <v>3210</v>
      </c>
      <c r="E61" s="2">
        <f>ROUND('Facts'!F231-'Calculations'!D93,J61)</f>
        <v>0.0</v>
      </c>
      <c r="F61" s="2">
        <v>0.02</v>
      </c>
      <c r="G61" s="2" t="str">
        <f>IF(COUNT(E61,F61)&lt;2,"not_tested",IF(ABS(E61)&lt;=F61,"within_input_tolerance","unexplained_difference"))</f>
        <v>within_input_tolerance</v>
      </c>
      <c r="H61" s="2" t="s">
        <v>4053</v>
      </c>
      <c r="I61" s="2">
        <f>IF(ISNUMBER(E61),"","missing or unavailable input")</f>
        <v/>
      </c>
      <c r="J61">
        <v>2</v>
      </c>
    </row>
    <row r="62" spans="1:10" ht="33" customHeight="1">
      <c r="A62" s="2" t="s">
        <v>4130</v>
      </c>
      <c r="B62" s="2" t="s">
        <v>4083</v>
      </c>
      <c r="C62" s="2" t="s">
        <v>608</v>
      </c>
      <c r="D62" s="2" t="s">
        <v>3211</v>
      </c>
      <c r="E62" s="2">
        <f>ROUND('Facts'!F182-'Calculations'!D94,J62)</f>
        <v>0.0</v>
      </c>
      <c r="F62" s="2">
        <v>0.02</v>
      </c>
      <c r="G62" s="2" t="str">
        <f>IF(COUNT(E62,F62)&lt;2,"not_tested",IF(ABS(E62)&lt;=F62,"within_input_tolerance","unexplained_difference"))</f>
        <v>within_input_tolerance</v>
      </c>
      <c r="H62" s="2" t="s">
        <v>4053</v>
      </c>
      <c r="I62" s="2">
        <f>IF(ISNUMBER(E62),"","missing or unavailable input")</f>
        <v/>
      </c>
      <c r="J62">
        <v>2</v>
      </c>
    </row>
    <row r="63" spans="1:10" ht="33" customHeight="1">
      <c r="A63" s="2" t="s">
        <v>4131</v>
      </c>
      <c r="B63" s="2" t="s">
        <v>4085</v>
      </c>
      <c r="C63" s="2" t="s">
        <v>82</v>
      </c>
      <c r="D63" s="2" t="s">
        <v>3212</v>
      </c>
      <c r="E63" s="2">
        <f>ROUND('Facts'!F9-'Calculations'!D95,J63)</f>
        <v>0.0</v>
      </c>
      <c r="F63" s="2">
        <v>0.02</v>
      </c>
      <c r="G63" s="2" t="str">
        <f>IF(COUNT(E63,F63)&lt;2,"not_tested",IF(ABS(E63)&lt;=F63,"within_input_tolerance","unexplained_difference"))</f>
        <v>within_input_tolerance</v>
      </c>
      <c r="H63" s="2" t="s">
        <v>4053</v>
      </c>
      <c r="I63" s="2">
        <f>IF(ISNUMBER(E63),"","missing or unavailable input")</f>
        <v/>
      </c>
      <c r="J63">
        <v>2</v>
      </c>
    </row>
    <row r="64" spans="1:10" ht="33" customHeight="1">
      <c r="A64" s="2" t="s">
        <v>4132</v>
      </c>
      <c r="B64" s="2" t="s">
        <v>4087</v>
      </c>
      <c r="C64" s="2" t="s">
        <v>100</v>
      </c>
      <c r="D64" s="2" t="s">
        <v>3213</v>
      </c>
      <c r="E64" s="2">
        <f>ROUND('Facts'!F15-'Calculations'!D96,J64)</f>
        <v>0.0</v>
      </c>
      <c r="F64" s="2">
        <v>0.02</v>
      </c>
      <c r="G64" s="2" t="str">
        <f>IF(COUNT(E64,F64)&lt;2,"not_tested",IF(ABS(E64)&lt;=F64,"within_input_tolerance","unexplained_difference"))</f>
        <v>within_input_tolerance</v>
      </c>
      <c r="H64" s="2" t="s">
        <v>4053</v>
      </c>
      <c r="I64" s="2">
        <f>IF(ISNUMBER(E64),"","missing or unavailable input")</f>
        <v/>
      </c>
      <c r="J64">
        <v>2</v>
      </c>
    </row>
    <row r="65" spans="1:10" ht="33" customHeight="1">
      <c r="A65" s="2" t="s">
        <v>4133</v>
      </c>
      <c r="B65" s="2" t="s">
        <v>4089</v>
      </c>
      <c r="C65" s="2" t="s">
        <v>106</v>
      </c>
      <c r="D65" s="2" t="s">
        <v>3214</v>
      </c>
      <c r="E65" s="2">
        <f>ROUND('Facts'!F17-'Calculations'!D97,J65)</f>
        <v>0.0</v>
      </c>
      <c r="F65" s="2">
        <v>0.02</v>
      </c>
      <c r="G65" s="2" t="str">
        <f>IF(COUNT(E65,F65)&lt;2,"not_tested",IF(ABS(E65)&lt;=F65,"within_input_tolerance","unexplained_difference"))</f>
        <v>within_input_tolerance</v>
      </c>
      <c r="H65" s="2" t="s">
        <v>4053</v>
      </c>
      <c r="I65" s="2">
        <f>IF(ISNUMBER(E65),"","missing or unavailable input")</f>
        <v/>
      </c>
      <c r="J65">
        <v>2</v>
      </c>
    </row>
    <row r="66" spans="1:10" ht="33" customHeight="1">
      <c r="A66" s="2" t="s">
        <v>4134</v>
      </c>
      <c r="B66" s="2" t="s">
        <v>4091</v>
      </c>
      <c r="C66" s="2" t="s">
        <v>112</v>
      </c>
      <c r="D66" s="2" t="s">
        <v>3215</v>
      </c>
      <c r="E66" s="2">
        <f>ROUND('Facts'!F19-'Calculations'!D98,J66)</f>
        <v>0.0</v>
      </c>
      <c r="F66" s="2">
        <v>0.02</v>
      </c>
      <c r="G66" s="2" t="str">
        <f>IF(COUNT(E66,F66)&lt;2,"not_tested",IF(ABS(E66)&lt;=F66,"within_input_tolerance","unexplained_difference"))</f>
        <v>within_input_tolerance</v>
      </c>
      <c r="H66" s="2" t="s">
        <v>4053</v>
      </c>
      <c r="I66" s="2">
        <f>IF(ISNUMBER(E66),"","missing or unavailable input")</f>
        <v/>
      </c>
      <c r="J66">
        <v>2</v>
      </c>
    </row>
    <row r="67" spans="1:10" ht="48" customHeight="1">
      <c r="A67" s="2" t="s">
        <v>4135</v>
      </c>
      <c r="B67" s="2" t="s">
        <v>4093</v>
      </c>
      <c r="C67" s="2" t="s">
        <v>965</v>
      </c>
      <c r="D67" s="2" t="s">
        <v>3216</v>
      </c>
      <c r="E67" s="2">
        <f>ROUND('Facts'!F299-'Calculations'!D99,J67)</f>
        <v>0.0</v>
      </c>
      <c r="F67" s="2">
        <v>0.02</v>
      </c>
      <c r="G67" s="2" t="str">
        <f>IF(COUNT(E67,F67)&lt;2,"not_tested",IF(ABS(E67)&lt;=F67,"within_input_tolerance","unexplained_difference"))</f>
        <v>within_input_tolerance</v>
      </c>
      <c r="H67" s="2" t="s">
        <v>4053</v>
      </c>
      <c r="I67" s="2">
        <f>IF(ISNUMBER(E67),"","missing or unavailable input")</f>
        <v/>
      </c>
      <c r="J67">
        <v>2</v>
      </c>
    </row>
    <row r="68" spans="1:10" ht="33" customHeight="1">
      <c r="A68" s="2" t="s">
        <v>4136</v>
      </c>
      <c r="B68" s="2" t="s">
        <v>4095</v>
      </c>
      <c r="C68" s="2" t="s">
        <v>1034</v>
      </c>
      <c r="D68" s="2" t="s">
        <v>3217</v>
      </c>
      <c r="E68" s="2">
        <f>ROUND('Facts'!F321-'Calculations'!D100,J68)</f>
        <v>0.0</v>
      </c>
      <c r="F68" s="2">
        <v>0.02</v>
      </c>
      <c r="G68" s="2" t="str">
        <f>IF(COUNT(E68,F68)&lt;2,"not_tested",IF(ABS(E68)&lt;=F68,"within_input_tolerance","unexplained_difference"))</f>
        <v>within_input_tolerance</v>
      </c>
      <c r="H68" s="2" t="s">
        <v>4053</v>
      </c>
      <c r="I68" s="2">
        <f>IF(ISNUMBER(E68),"","missing or unavailable input")</f>
        <v/>
      </c>
      <c r="J68">
        <v>2</v>
      </c>
    </row>
    <row r="69" spans="1:10" ht="33" customHeight="1">
      <c r="A69" s="2" t="s">
        <v>4137</v>
      </c>
      <c r="B69" s="2" t="s">
        <v>4097</v>
      </c>
      <c r="C69" s="2" t="s">
        <v>862</v>
      </c>
      <c r="D69" s="2" t="s">
        <v>3218</v>
      </c>
      <c r="E69" s="2">
        <f>ROUND('Facts'!F265-'Calculations'!D101,J69)</f>
        <v>0.0</v>
      </c>
      <c r="F69" s="2">
        <v>0.02</v>
      </c>
      <c r="G69" s="2" t="str">
        <f>IF(COUNT(E69,F69)&lt;2,"not_tested",IF(ABS(E69)&lt;=F69,"within_input_tolerance","unexplained_difference"))</f>
        <v>within_input_tolerance</v>
      </c>
      <c r="H69" s="2" t="s">
        <v>4053</v>
      </c>
      <c r="I69" s="2">
        <f>IF(ISNUMBER(E69),"","missing or unavailable input")</f>
        <v/>
      </c>
      <c r="J69">
        <v>2</v>
      </c>
    </row>
    <row r="70" spans="1:10" ht="33" customHeight="1">
      <c r="A70" s="2" t="s">
        <v>4138</v>
      </c>
      <c r="B70" s="2" t="s">
        <v>4099</v>
      </c>
      <c r="C70" s="2" t="s">
        <v>1266</v>
      </c>
      <c r="D70" s="2" t="s">
        <v>3219</v>
      </c>
      <c r="E70" s="2">
        <f>ROUND('Facts'!F397-'Calculations'!D102,J70)</f>
        <v>0.0</v>
      </c>
      <c r="F70" s="2">
        <v>0.02</v>
      </c>
      <c r="G70" s="2" t="str">
        <f>IF(COUNT(E70,F70)&lt;2,"not_tested",IF(ABS(E70)&lt;=F70,"within_input_tolerance","unexplained_difference"))</f>
        <v>within_input_tolerance</v>
      </c>
      <c r="H70" s="2" t="s">
        <v>4053</v>
      </c>
      <c r="I70" s="2">
        <f>IF(ISNUMBER(E70),"","missing or unavailable input")</f>
        <v/>
      </c>
      <c r="J70">
        <v>2</v>
      </c>
    </row>
    <row r="71" spans="1:10" ht="33" customHeight="1">
      <c r="A71" s="2" t="s">
        <v>4139</v>
      </c>
      <c r="B71" s="2" t="s">
        <v>4101</v>
      </c>
      <c r="C71" s="2" t="s">
        <v>439</v>
      </c>
      <c r="D71" s="2" t="s">
        <v>3220</v>
      </c>
      <c r="E71" s="2">
        <f>ROUND('Facts'!F126-'Calculations'!D103,J71)</f>
        <v>0.0</v>
      </c>
      <c r="F71" s="2">
        <v>0.02</v>
      </c>
      <c r="G71" s="2" t="str">
        <f>IF(COUNT(E71,F71)&lt;2,"not_tested",IF(ABS(E71)&lt;=F71,"within_input_tolerance","unexplained_difference"))</f>
        <v>within_input_tolerance</v>
      </c>
      <c r="H71" s="2" t="s">
        <v>4053</v>
      </c>
      <c r="I71" s="2">
        <f>IF(ISNUMBER(E71),"","missing or unavailable input")</f>
        <v/>
      </c>
      <c r="J71">
        <v>2</v>
      </c>
    </row>
    <row r="72" spans="1:10" ht="33" customHeight="1">
      <c r="A72" s="2" t="s">
        <v>4140</v>
      </c>
      <c r="B72" s="2" t="s">
        <v>4103</v>
      </c>
      <c r="C72" s="2" t="s">
        <v>396</v>
      </c>
      <c r="D72" s="2" t="s">
        <v>3253</v>
      </c>
      <c r="E72" s="2">
        <f>ROUND('Facts'!F112-'Calculations'!D136,J72)</f>
        <v>0.0</v>
      </c>
      <c r="F72" s="2">
        <v>0.02</v>
      </c>
      <c r="G72" s="2" t="str">
        <f>IF(COUNT(E72,F72)&lt;2,"not_tested",IF(ABS(E72)&lt;=F72,"within_input_tolerance","unexplained_difference"))</f>
        <v>within_input_tolerance</v>
      </c>
      <c r="H72" s="2" t="s">
        <v>4053</v>
      </c>
      <c r="I72" s="2">
        <f>IF(ISNUMBER(E72),"","missing or unavailable input")</f>
        <v/>
      </c>
      <c r="J72">
        <v>2</v>
      </c>
    </row>
    <row r="73" spans="1:10" ht="33" customHeight="1">
      <c r="A73" s="2" t="s">
        <v>4141</v>
      </c>
      <c r="B73" s="2" t="s">
        <v>4105</v>
      </c>
      <c r="C73" s="2" t="s">
        <v>403</v>
      </c>
      <c r="D73" s="2" t="s">
        <v>3254</v>
      </c>
      <c r="E73" s="2">
        <f>ROUND('Facts'!F114-'Calculations'!D137,J73)</f>
        <v>0.0</v>
      </c>
      <c r="F73" s="2">
        <v>0.02</v>
      </c>
      <c r="G73" s="2" t="str">
        <f>IF(COUNT(E73,F73)&lt;2,"not_tested",IF(ABS(E73)&lt;=F73,"within_input_tolerance","unexplained_difference"))</f>
        <v>within_input_tolerance</v>
      </c>
      <c r="H73" s="2" t="s">
        <v>4053</v>
      </c>
      <c r="I73" s="2">
        <f>IF(ISNUMBER(E73),"","missing or unavailable input")</f>
        <v/>
      </c>
      <c r="J73">
        <v>2</v>
      </c>
    </row>
    <row r="74" spans="1:10" ht="63" customHeight="1">
      <c r="A74" s="2" t="s">
        <v>4142</v>
      </c>
      <c r="B74" s="2" t="s">
        <v>3260</v>
      </c>
      <c r="C74" s="2" t="s">
        <v>864</v>
      </c>
      <c r="D74" s="2" t="s">
        <v>3259</v>
      </c>
      <c r="E74" s="2">
        <f>ROUND('Facts'!F266-'Calculations'!D140,J74)</f>
        <v>62431.64</v>
      </c>
      <c r="F74" s="2">
        <v>0.02</v>
      </c>
      <c r="G74" s="2" t="str">
        <f>IF(COUNT(E74,F74)&lt;2,"not_tested",IF(ABS(E74)&lt;=F74,"within_input_tolerance","unexplained_difference"))</f>
        <v>unexplained_difference</v>
      </c>
      <c r="H74" s="2" t="s">
        <v>4144</v>
      </c>
      <c r="I74" s="2">
        <f>IF(ISNUMBER(E74),"","missing or unavailable input")</f>
        <v/>
      </c>
      <c r="J74">
        <v>2</v>
      </c>
    </row>
    <row r="75" spans="1:10" ht="33" customHeight="1">
      <c r="A75" s="2" t="s">
        <v>4145</v>
      </c>
      <c r="B75" s="2" t="s">
        <v>3262</v>
      </c>
      <c r="C75" s="2" t="s">
        <v>986</v>
      </c>
      <c r="D75" s="2" t="s">
        <v>3261</v>
      </c>
      <c r="E75" s="2">
        <f>ROUND('Facts'!F306-'Calculations'!D141,J75)</f>
        <v>0.0</v>
      </c>
      <c r="F75" s="2">
        <v>0.02</v>
      </c>
      <c r="G75" s="2" t="str">
        <f>IF(COUNT(E75,F75)&lt;2,"not_tested",IF(ABS(E75)&lt;=F75,"within_input_tolerance","unexplained_difference"))</f>
        <v>within_input_tolerance</v>
      </c>
      <c r="H75" s="2" t="s">
        <v>4053</v>
      </c>
      <c r="I75" s="2">
        <f>IF(ISNUMBER(E75),"","missing or unavailable input")</f>
        <v/>
      </c>
      <c r="J75">
        <v>2</v>
      </c>
    </row>
    <row r="76" spans="1:10" ht="33" customHeight="1">
      <c r="A76" s="2" t="s">
        <v>4146</v>
      </c>
      <c r="B76" s="2" t="s">
        <v>3264</v>
      </c>
      <c r="C76" s="2" t="s">
        <v>1011</v>
      </c>
      <c r="D76" s="2" t="s">
        <v>3263</v>
      </c>
      <c r="E76" s="2">
        <f>ROUND('Facts'!F314-'Calculations'!D142,J76)</f>
        <v>0.0</v>
      </c>
      <c r="F76" s="2">
        <v>0.02</v>
      </c>
      <c r="G76" s="2" t="str">
        <f>IF(COUNT(E76,F76)&lt;2,"not_tested",IF(ABS(E76)&lt;=F76,"within_input_tolerance","unexplained_difference"))</f>
        <v>within_input_tolerance</v>
      </c>
      <c r="H76" s="2" t="s">
        <v>4053</v>
      </c>
      <c r="I76" s="2">
        <f>IF(ISNUMBER(E76),"","missing or unavailable input")</f>
        <v/>
      </c>
      <c r="J76">
        <v>2</v>
      </c>
    </row>
    <row r="77" spans="1:10" ht="33" customHeight="1">
      <c r="A77" s="2" t="s">
        <v>4147</v>
      </c>
      <c r="B77" s="2" t="s">
        <v>4148</v>
      </c>
      <c r="C77" s="2" t="s">
        <v>1036</v>
      </c>
      <c r="D77" s="2" t="s">
        <v>3265</v>
      </c>
      <c r="E77" s="2">
        <f>ROUND('Facts'!F322-'Calculations'!D143,J77)</f>
        <v>0.0</v>
      </c>
      <c r="F77" s="2">
        <v>0.02</v>
      </c>
      <c r="G77" s="2" t="str">
        <f>IF(COUNT(E77,F77)&lt;2,"not_tested",IF(ABS(E77)&lt;=F77,"within_input_tolerance","unexplained_difference"))</f>
        <v>within_input_tolerance</v>
      </c>
      <c r="H77" s="2" t="s">
        <v>4053</v>
      </c>
      <c r="I77" s="2">
        <f>IF(ISNUMBER(E77),"","missing or unavailable input")</f>
        <v/>
      </c>
      <c r="J77">
        <v>2</v>
      </c>
    </row>
    <row r="78" spans="1:10" ht="33" customHeight="1">
      <c r="A78" s="2" t="s">
        <v>4149</v>
      </c>
      <c r="B78" s="2" t="s">
        <v>4150</v>
      </c>
      <c r="C78" s="2" t="s">
        <v>1042</v>
      </c>
      <c r="D78" s="2" t="s">
        <v>3267</v>
      </c>
      <c r="E78" s="2">
        <f>ROUND('Facts'!F324-'Calculations'!D144,J78)</f>
        <v>0.0</v>
      </c>
      <c r="F78" s="2">
        <v>0.02</v>
      </c>
      <c r="G78" s="2" t="str">
        <f>IF(COUNT(E78,F78)&lt;2,"not_tested",IF(ABS(E78)&lt;=F78,"within_input_tolerance","unexplained_difference"))</f>
        <v>within_input_tolerance</v>
      </c>
      <c r="H78" s="2" t="s">
        <v>4053</v>
      </c>
      <c r="I78" s="2">
        <f>IF(ISNUMBER(E78),"","missing or unavailable input")</f>
        <v/>
      </c>
      <c r="J78">
        <v>2</v>
      </c>
    </row>
    <row r="79" spans="1:10" ht="33" customHeight="1">
      <c r="A79" s="2" t="s">
        <v>4151</v>
      </c>
      <c r="B79" s="2" t="s">
        <v>4152</v>
      </c>
      <c r="C79" s="2" t="s">
        <v>1048</v>
      </c>
      <c r="D79" s="2" t="s">
        <v>3269</v>
      </c>
      <c r="E79" s="2">
        <f>ROUND('Facts'!F326-'Calculations'!D145,J79)</f>
        <v>0.0</v>
      </c>
      <c r="F79" s="2">
        <v>0.02</v>
      </c>
      <c r="G79" s="2" t="str">
        <f>IF(COUNT(E79,F79)&lt;2,"not_tested",IF(ABS(E79)&lt;=F79,"within_input_tolerance","unexplained_difference"))</f>
        <v>within_input_tolerance</v>
      </c>
      <c r="H79" s="2" t="s">
        <v>4053</v>
      </c>
      <c r="I79" s="2">
        <f>IF(ISNUMBER(E79),"","missing or unavailable input")</f>
        <v/>
      </c>
      <c r="J79">
        <v>2</v>
      </c>
    </row>
    <row r="80" spans="1:10" ht="48" customHeight="1">
      <c r="A80" s="2" t="s">
        <v>4153</v>
      </c>
      <c r="B80" s="2" t="s">
        <v>4154</v>
      </c>
      <c r="C80" s="2" t="s">
        <v>1451</v>
      </c>
      <c r="D80" s="2" t="s">
        <v>3271</v>
      </c>
      <c r="E80" s="2">
        <f>ROUND('Facts'!F464-'Calculations'!D146,J80)</f>
        <v>12852572.76</v>
      </c>
      <c r="F80" s="2">
        <v>0.02</v>
      </c>
      <c r="G80" s="2" t="str">
        <f>IF(COUNT(E80,F80)&lt;2,"not_tested",IF(ABS(E80)&lt;=F80,"within_input_tolerance","unexplained_difference"))</f>
        <v>unexplained_difference</v>
      </c>
      <c r="H80" s="2" t="s">
        <v>4155</v>
      </c>
      <c r="I80" s="2">
        <f>IF(ISNUMBER(E80),"","missing or unavailable input")</f>
        <v/>
      </c>
      <c r="J80">
        <v>2</v>
      </c>
    </row>
    <row r="81" spans="1:10" ht="33" customHeight="1">
      <c r="A81" s="2" t="s">
        <v>4156</v>
      </c>
      <c r="B81" s="2" t="s">
        <v>4157</v>
      </c>
      <c r="C81" s="2" t="s">
        <v>284</v>
      </c>
      <c r="D81" s="2" t="s">
        <v>3274</v>
      </c>
      <c r="E81" s="2">
        <f>ROUND('Facts'!F76-'Calculations'!D147,J81)</f>
        <v>0.0</v>
      </c>
      <c r="F81" s="2">
        <v>0.02</v>
      </c>
      <c r="G81" s="2" t="str">
        <f>IF(COUNT(E81,F81)&lt;2,"not_tested",IF(ABS(E81)&lt;=F81,"within_input_tolerance","unexplained_difference"))</f>
        <v>within_input_tolerance</v>
      </c>
      <c r="H81" s="2" t="s">
        <v>4053</v>
      </c>
      <c r="I81" s="2">
        <f>IF(ISNUMBER(E81),"","missing or unavailable input")</f>
        <v/>
      </c>
      <c r="J81">
        <v>2</v>
      </c>
    </row>
    <row r="82" spans="1:10" ht="33" customHeight="1">
      <c r="A82" s="2" t="s">
        <v>4158</v>
      </c>
      <c r="B82" s="2" t="s">
        <v>4159</v>
      </c>
      <c r="C82" s="2" t="s">
        <v>1286</v>
      </c>
      <c r="D82" s="2" t="s">
        <v>3276</v>
      </c>
      <c r="E82" s="2">
        <f>ROUND('Facts'!F404-'Calculations'!D148,J82)</f>
        <v>0.0</v>
      </c>
      <c r="F82" s="2">
        <v>0.02</v>
      </c>
      <c r="G82" s="2" t="str">
        <f>IF(COUNT(E82,F82)&lt;2,"not_tested",IF(ABS(E82)&lt;=F82,"within_input_tolerance","unexplained_difference"))</f>
        <v>within_input_tolerance</v>
      </c>
      <c r="H82" s="2" t="s">
        <v>4053</v>
      </c>
      <c r="I82" s="2">
        <f>IF(ISNUMBER(E82),"","missing or unavailable input")</f>
        <v/>
      </c>
      <c r="J82">
        <v>2</v>
      </c>
    </row>
    <row r="83" spans="1:10" ht="33" customHeight="1">
      <c r="A83" s="2" t="s">
        <v>4160</v>
      </c>
      <c r="B83" s="2" t="s">
        <v>4161</v>
      </c>
      <c r="C83" s="2" t="s">
        <v>383</v>
      </c>
      <c r="D83" s="2" t="s">
        <v>3278</v>
      </c>
      <c r="E83" s="2">
        <f>ROUND('Facts'!F109-'Calculations'!D149,J83)</f>
        <v>0.0</v>
      </c>
      <c r="F83" s="2">
        <v>0.02</v>
      </c>
      <c r="G83" s="2" t="str">
        <f>IF(COUNT(E83,F83)&lt;2,"not_tested",IF(ABS(E83)&lt;=F83,"within_input_tolerance","unexplained_difference"))</f>
        <v>within_input_tolerance</v>
      </c>
      <c r="H83" s="2" t="s">
        <v>4053</v>
      </c>
      <c r="I83" s="2">
        <f>IF(ISNUMBER(E83),"","missing or unavailable input")</f>
        <v/>
      </c>
      <c r="J83">
        <v>2</v>
      </c>
    </row>
    <row r="84" spans="1:10" ht="33" customHeight="1">
      <c r="A84" s="2" t="s">
        <v>4162</v>
      </c>
      <c r="B84" s="2" t="s">
        <v>4163</v>
      </c>
      <c r="C84" s="2" t="s">
        <v>513</v>
      </c>
      <c r="D84" s="2" t="s">
        <v>3280</v>
      </c>
      <c r="E84" s="2">
        <f>ROUND('Facts'!F151-'Calculations'!D150,J84)</f>
        <v>0.0</v>
      </c>
      <c r="F84" s="2">
        <v>0.02</v>
      </c>
      <c r="G84" s="2" t="str">
        <f>IF(COUNT(E84,F84)&lt;2,"not_tested",IF(ABS(E84)&lt;=F84,"within_input_tolerance","unexplained_difference"))</f>
        <v>within_input_tolerance</v>
      </c>
      <c r="H84" s="2" t="s">
        <v>4053</v>
      </c>
      <c r="I84" s="2">
        <f>IF(ISNUMBER(E84),"","missing or unavailable input")</f>
        <v/>
      </c>
      <c r="J84">
        <v>2</v>
      </c>
    </row>
    <row r="85" spans="1:10" ht="33" customHeight="1">
      <c r="A85" s="2" t="s">
        <v>4164</v>
      </c>
      <c r="B85" s="2" t="s">
        <v>4165</v>
      </c>
      <c r="C85" s="2" t="s">
        <v>1293</v>
      </c>
      <c r="D85" s="2" t="s">
        <v>3302</v>
      </c>
      <c r="E85" s="2">
        <f>ROUND('Facts'!F406-'Calculations'!D159,J85)</f>
        <v>0.0</v>
      </c>
      <c r="F85" s="2">
        <v>0.02</v>
      </c>
      <c r="G85" s="2" t="str">
        <f>IF(COUNT(E85,F85)&lt;2,"not_tested",IF(ABS(E85)&lt;=F85,"within_input_tolerance","unexplained_difference"))</f>
        <v>within_input_tolerance</v>
      </c>
      <c r="H85" s="2" t="s">
        <v>4053</v>
      </c>
      <c r="I85" s="2">
        <f>IF(ISNUMBER(E85),"","missing or unavailable input")</f>
        <v/>
      </c>
      <c r="J85">
        <v>2</v>
      </c>
    </row>
    <row r="86" spans="1:10" ht="33" customHeight="1">
      <c r="A86" s="2" t="s">
        <v>4166</v>
      </c>
      <c r="B86" s="2" t="s">
        <v>4167</v>
      </c>
      <c r="C86" s="2" t="s">
        <v>1367</v>
      </c>
      <c r="D86" s="2" t="s">
        <v>3304</v>
      </c>
      <c r="E86" s="2">
        <f>ROUND('Facts'!F430-'Calculations'!D160,J86)</f>
        <v>0.0</v>
      </c>
      <c r="F86" s="2">
        <v>0.02</v>
      </c>
      <c r="G86" s="2" t="str">
        <f>IF(COUNT(E86,F86)&lt;2,"not_tested",IF(ABS(E86)&lt;=F86,"within_input_tolerance","unexplained_difference"))</f>
        <v>within_input_tolerance</v>
      </c>
      <c r="H86" s="2" t="s">
        <v>4053</v>
      </c>
      <c r="I86" s="2">
        <f>IF(ISNUMBER(E86),"","missing or unavailable input")</f>
        <v/>
      </c>
      <c r="J86">
        <v>2</v>
      </c>
    </row>
    <row r="87" spans="1:10" ht="33" customHeight="1">
      <c r="A87" s="2" t="s">
        <v>4168</v>
      </c>
      <c r="B87" s="2" t="s">
        <v>4165</v>
      </c>
      <c r="C87" s="2" t="s">
        <v>1299</v>
      </c>
      <c r="D87" s="2" t="s">
        <v>3306</v>
      </c>
      <c r="E87" s="2">
        <f>ROUND('Facts'!F407-'Calculations'!D161,J87)</f>
        <v>0.0</v>
      </c>
      <c r="F87" s="2">
        <v>0.02</v>
      </c>
      <c r="G87" s="2" t="str">
        <f>IF(COUNT(E87,F87)&lt;2,"not_tested",IF(ABS(E87)&lt;=F87,"within_input_tolerance","unexplained_difference"))</f>
        <v>within_input_tolerance</v>
      </c>
      <c r="H87" s="2" t="s">
        <v>4053</v>
      </c>
      <c r="I87" s="2">
        <f>IF(ISNUMBER(E87),"","missing or unavailable input")</f>
        <v/>
      </c>
      <c r="J87">
        <v>2</v>
      </c>
    </row>
    <row r="88" spans="1:10" ht="33" customHeight="1">
      <c r="A88" s="2" t="s">
        <v>4169</v>
      </c>
      <c r="B88" s="2" t="s">
        <v>4167</v>
      </c>
      <c r="C88" s="2" t="s">
        <v>1371</v>
      </c>
      <c r="D88" s="2" t="s">
        <v>3307</v>
      </c>
      <c r="E88" s="2">
        <f>ROUND('Facts'!F431-'Calculations'!D162,J88)</f>
        <v>0.0</v>
      </c>
      <c r="F88" s="2">
        <v>0.02</v>
      </c>
      <c r="G88" s="2" t="str">
        <f>IF(COUNT(E88,F88)&lt;2,"not_tested",IF(ABS(E88)&lt;=F88,"within_input_tolerance","unexplained_difference"))</f>
        <v>within_input_tolerance</v>
      </c>
      <c r="H88" s="2" t="s">
        <v>4053</v>
      </c>
      <c r="I88" s="2">
        <f>IF(ISNUMBER(E88),"","missing or unavailable input")</f>
        <v/>
      </c>
      <c r="J88">
        <v>2</v>
      </c>
    </row>
    <row r="89" spans="1:10" ht="33" customHeight="1">
      <c r="A89" s="2" t="s">
        <v>4170</v>
      </c>
      <c r="B89" s="2" t="s">
        <v>4171</v>
      </c>
      <c r="C89" s="2" t="s">
        <v>1772</v>
      </c>
      <c r="D89" s="2" t="s">
        <v>3308</v>
      </c>
      <c r="E89" s="2">
        <f>ROUND('Facts'!F576-'Calculations'!D163,J89)</f>
        <v>0.0</v>
      </c>
      <c r="F89" s="2">
        <v>0.02</v>
      </c>
      <c r="G89" s="2" t="str">
        <f>IF(COUNT(E89,F89)&lt;2,"not_tested",IF(ABS(E89)&lt;=F89,"within_input_tolerance","unexplained_difference"))</f>
        <v>within_input_tolerance</v>
      </c>
      <c r="H89" s="2" t="s">
        <v>4053</v>
      </c>
      <c r="I89" s="2">
        <f>IF(ISNUMBER(E89),"","missing or unavailable input")</f>
        <v/>
      </c>
      <c r="J89">
        <v>2</v>
      </c>
    </row>
    <row r="90" spans="1:10" ht="33" customHeight="1">
      <c r="A90" s="2" t="s">
        <v>4172</v>
      </c>
      <c r="B90" s="2" t="s">
        <v>3311</v>
      </c>
      <c r="C90" s="2" t="s">
        <v>1307</v>
      </c>
      <c r="D90" s="2" t="s">
        <v>3310</v>
      </c>
      <c r="E90" s="2">
        <f>ROUND('Facts'!F410-'Calculations'!D164,J90)</f>
        <v>0.0</v>
      </c>
      <c r="F90" s="2">
        <v>0.02</v>
      </c>
      <c r="G90" s="2" t="str">
        <f>IF(COUNT(E90,F90)&lt;2,"not_tested",IF(ABS(E90)&lt;=F90,"within_input_tolerance","unexplained_difference"))</f>
        <v>within_input_tolerance</v>
      </c>
      <c r="H90" s="2" t="s">
        <v>4053</v>
      </c>
      <c r="I90" s="2">
        <f>IF(ISNUMBER(E90),"","missing or unavailable input")</f>
        <v/>
      </c>
      <c r="J90">
        <v>2</v>
      </c>
    </row>
    <row r="91" spans="1:10" ht="33" customHeight="1">
      <c r="A91" s="2" t="s">
        <v>4173</v>
      </c>
      <c r="B91" s="2" t="s">
        <v>3313</v>
      </c>
      <c r="C91" s="2" t="s">
        <v>1589</v>
      </c>
      <c r="D91" s="2" t="s">
        <v>3312</v>
      </c>
      <c r="E91" s="2">
        <f>ROUND('Facts'!F510-'Calculations'!D165,J91)</f>
        <v>0.0</v>
      </c>
      <c r="F91" s="2">
        <v>0.02</v>
      </c>
      <c r="G91" s="2" t="str">
        <f>IF(COUNT(E91,F91)&lt;2,"not_tested",IF(ABS(E91)&lt;=F91,"within_input_tolerance","unexplained_difference"))</f>
        <v>within_input_tolerance</v>
      </c>
      <c r="H91" s="2" t="s">
        <v>4053</v>
      </c>
      <c r="I91" s="2">
        <f>IF(ISNUMBER(E91),"","missing or unavailable input")</f>
        <v/>
      </c>
      <c r="J91">
        <v>2</v>
      </c>
    </row>
    <row r="92" spans="1:10" ht="33" customHeight="1">
      <c r="A92" s="2" t="s">
        <v>4174</v>
      </c>
      <c r="B92" s="2" t="s">
        <v>4175</v>
      </c>
      <c r="C92" s="2" t="s">
        <v>1684</v>
      </c>
      <c r="D92" s="2" t="s">
        <v>3320</v>
      </c>
      <c r="E92" s="2">
        <f>ROUND('Facts'!F541-'Calculations'!D169,J92)</f>
        <v>0.0</v>
      </c>
      <c r="F92" s="2">
        <v>0.02</v>
      </c>
      <c r="G92" s="2" t="str">
        <f>IF(COUNT(E92,F92)&lt;2,"not_tested",IF(ABS(E92)&lt;=F92,"within_input_tolerance","unexplained_difference"))</f>
        <v>within_input_tolerance</v>
      </c>
      <c r="H92" s="2" t="s">
        <v>4053</v>
      </c>
      <c r="I92" s="2">
        <f>IF(ISNUMBER(E92),"","missing or unavailable input")</f>
        <v/>
      </c>
      <c r="J92">
        <v>2</v>
      </c>
    </row>
    <row r="93" spans="1:10" ht="33" customHeight="1">
      <c r="A93" s="2" t="s">
        <v>4176</v>
      </c>
      <c r="B93" s="2" t="s">
        <v>4177</v>
      </c>
      <c r="C93" s="2" t="s">
        <v>1710</v>
      </c>
      <c r="D93" s="2" t="s">
        <v>3328</v>
      </c>
      <c r="E93" s="2">
        <f>ROUND('Facts'!F549-'Calculations'!D173,J93)</f>
        <v>0.0</v>
      </c>
      <c r="F93" s="2">
        <v>0.02</v>
      </c>
      <c r="G93" s="2" t="str">
        <f>IF(COUNT(E93,F93)&lt;2,"not_tested",IF(ABS(E93)&lt;=F93,"within_input_tolerance","unexplained_difference"))</f>
        <v>within_input_tolerance</v>
      </c>
      <c r="H93" s="2" t="s">
        <v>4053</v>
      </c>
      <c r="I93" s="2">
        <f>IF(ISNUMBER(E93),"","missing or unavailable input")</f>
        <v/>
      </c>
      <c r="J93">
        <v>2</v>
      </c>
    </row>
    <row r="94" spans="1:10" ht="33" customHeight="1">
      <c r="A94" s="2" t="s">
        <v>4178</v>
      </c>
      <c r="B94" s="2" t="s">
        <v>4179</v>
      </c>
      <c r="C94" s="2" t="s">
        <v>1761</v>
      </c>
      <c r="D94" s="2" t="s">
        <v>3330</v>
      </c>
      <c r="E94" s="2">
        <f>ROUND('Facts'!F572-'Calculations'!D174,J94)</f>
        <v>0.0</v>
      </c>
      <c r="F94" s="2">
        <v>0.02</v>
      </c>
      <c r="G94" s="2" t="str">
        <f>IF(COUNT(E94,F94)&lt;2,"not_tested",IF(ABS(E94)&lt;=F94,"within_input_tolerance","unexplained_difference"))</f>
        <v>within_input_tolerance</v>
      </c>
      <c r="H94" s="2" t="s">
        <v>4053</v>
      </c>
      <c r="I94" s="2">
        <f>IF(ISNUMBER(E94),"","missing or unavailable input")</f>
        <v/>
      </c>
      <c r="J94">
        <v>2</v>
      </c>
    </row>
    <row r="95" spans="1:10" ht="33" customHeight="1">
      <c r="A95" s="2" t="s">
        <v>4180</v>
      </c>
      <c r="B95" s="2" t="s">
        <v>4181</v>
      </c>
      <c r="C95" s="2" t="s">
        <v>1721</v>
      </c>
      <c r="D95" s="2" t="s">
        <v>3332</v>
      </c>
      <c r="E95" s="2">
        <f>ROUND('Facts'!F553-'Calculations'!D175,J95)</f>
        <v>0.0</v>
      </c>
      <c r="F95" s="2">
        <v>0.02</v>
      </c>
      <c r="G95" s="2" t="str">
        <f>IF(COUNT(E95,F95)&lt;2,"not_tested",IF(ABS(E95)&lt;=F95,"within_input_tolerance","unexplained_difference"))</f>
        <v>within_input_tolerance</v>
      </c>
      <c r="H95" s="2" t="s">
        <v>4053</v>
      </c>
      <c r="I95" s="2">
        <f>IF(ISNUMBER(E95),"","missing or unavailable input")</f>
        <v/>
      </c>
      <c r="J95">
        <v>2</v>
      </c>
    </row>
    <row r="96" spans="1:10" ht="33" customHeight="1">
      <c r="A96" s="2" t="s">
        <v>4182</v>
      </c>
      <c r="B96" s="2" t="s">
        <v>4183</v>
      </c>
      <c r="C96" s="2" t="s">
        <v>1797</v>
      </c>
      <c r="D96" s="2" t="s">
        <v>3345</v>
      </c>
      <c r="E96" s="2">
        <f>ROUND('Facts'!F584-'Calculations'!D181,J96)</f>
        <v>0.0</v>
      </c>
      <c r="F96" s="2">
        <v>0.02</v>
      </c>
      <c r="G96" s="2" t="str">
        <f>IF(COUNT(E96,F96)&lt;2,"not_tested",IF(ABS(E96)&lt;=F96,"within_input_tolerance","unexplained_difference"))</f>
        <v>within_input_tolerance</v>
      </c>
      <c r="H96" s="2" t="s">
        <v>4053</v>
      </c>
      <c r="I96" s="2">
        <f>IF(ISNUMBER(E96),"","missing or unavailable input")</f>
        <v/>
      </c>
      <c r="J96">
        <v>2</v>
      </c>
    </row>
    <row r="97" spans="1:10" ht="33" customHeight="1">
      <c r="A97" s="2" t="s">
        <v>4184</v>
      </c>
      <c r="B97" s="2" t="s">
        <v>4185</v>
      </c>
      <c r="C97" s="2" t="s">
        <v>62</v>
      </c>
      <c r="D97" s="2" t="s">
        <v>3351</v>
      </c>
      <c r="E97" s="2">
        <f>ROUND('Facts'!F3-'Calculations'!D184,J97)</f>
        <v>0.0</v>
      </c>
      <c r="F97" s="2">
        <v>0.02</v>
      </c>
      <c r="G97" s="2" t="str">
        <f>IF(COUNT(E97,F97)&lt;2,"not_tested",IF(ABS(E97)&lt;=F97,"within_input_tolerance","unexplained_difference"))</f>
        <v>within_input_tolerance</v>
      </c>
      <c r="H97" s="2" t="s">
        <v>4053</v>
      </c>
      <c r="I97" s="2">
        <f>IF(ISNUMBER(E97),"","missing or unavailable input")</f>
        <v/>
      </c>
      <c r="J97">
        <v>2</v>
      </c>
    </row>
    <row r="98" spans="1:10" ht="33" customHeight="1">
      <c r="A98" s="2" t="s">
        <v>4186</v>
      </c>
      <c r="B98" s="2" t="s">
        <v>4187</v>
      </c>
      <c r="C98" s="2" t="s">
        <v>751</v>
      </c>
      <c r="D98" s="2" t="s">
        <v>3353</v>
      </c>
      <c r="E98" s="2">
        <f>ROUND('Facts'!F229-'Calculations'!D185,J98)</f>
        <v>0.0</v>
      </c>
      <c r="F98" s="2">
        <v>0.02</v>
      </c>
      <c r="G98" s="2" t="str">
        <f>IF(COUNT(E98,F98)&lt;2,"not_tested",IF(ABS(E98)&lt;=F98,"within_input_tolerance","unexplained_difference"))</f>
        <v>within_input_tolerance</v>
      </c>
      <c r="H98" s="2" t="s">
        <v>4053</v>
      </c>
      <c r="I98" s="2">
        <f>IF(ISNUMBER(E98),"","missing or unavailable input")</f>
        <v/>
      </c>
      <c r="J98">
        <v>2</v>
      </c>
    </row>
    <row r="99" spans="1:10" ht="33" customHeight="1">
      <c r="A99" s="2" t="s">
        <v>4188</v>
      </c>
      <c r="B99" s="2" t="s">
        <v>4189</v>
      </c>
      <c r="C99" s="2" t="s">
        <v>387</v>
      </c>
      <c r="D99" s="2" t="s">
        <v>3434</v>
      </c>
      <c r="E99" s="2">
        <f>ROUND('Facts'!F110-'Calculations'!D230,J99)</f>
        <v>0.0</v>
      </c>
      <c r="F99" s="2">
        <v>0.02</v>
      </c>
      <c r="G99" s="2" t="str">
        <f>IF(COUNT(E99,F99)&lt;2,"not_tested",IF(ABS(E99)&lt;=F99,"within_input_tolerance","unexplained_difference"))</f>
        <v>within_input_tolerance</v>
      </c>
      <c r="H99" s="2" t="s">
        <v>4053</v>
      </c>
      <c r="I99" s="2">
        <f>IF(ISNUMBER(E99),"","missing or unavailable input")</f>
        <v/>
      </c>
      <c r="J99">
        <v>2</v>
      </c>
    </row>
    <row r="100" spans="1:10" ht="33" customHeight="1">
      <c r="A100" s="2" t="s">
        <v>4190</v>
      </c>
      <c r="B100" s="2" t="s">
        <v>4191</v>
      </c>
      <c r="C100" s="2" t="s">
        <v>1597</v>
      </c>
      <c r="D100" s="2" t="s">
        <v>3436</v>
      </c>
      <c r="E100" s="2">
        <f>ROUND('Facts'!F512-'Calculations'!D231,J100)</f>
        <v>0.0</v>
      </c>
      <c r="F100" s="2">
        <v>0.02</v>
      </c>
      <c r="G100" s="2" t="str">
        <f>IF(COUNT(E100,F100)&lt;2,"not_tested",IF(ABS(E100)&lt;=F100,"within_input_tolerance","unexplained_difference"))</f>
        <v>within_input_tolerance</v>
      </c>
      <c r="H100" s="2" t="s">
        <v>4053</v>
      </c>
      <c r="I100" s="2">
        <f>IF(ISNUMBER(E100),"","missing or unavailable input")</f>
        <v/>
      </c>
      <c r="J100">
        <v>2</v>
      </c>
    </row>
    <row r="101" spans="1:10" ht="48" customHeight="1">
      <c r="A101" s="2" t="s">
        <v>4192</v>
      </c>
      <c r="B101" s="2" t="s">
        <v>4193</v>
      </c>
      <c r="C101" s="2" t="s">
        <v>2239</v>
      </c>
      <c r="D101" s="2" t="s">
        <v>3464</v>
      </c>
      <c r="E101" s="2">
        <f>ROUND('Facts'!F712-'Calculations'!D240,J101)</f>
        <v>0.0</v>
      </c>
      <c r="F101" s="2">
        <v>0</v>
      </c>
      <c r="G101" s="2" t="str">
        <f>IF(COUNT(E101,F101)&lt;2,"not_tested",IF(ABS(E101)&lt;=F101,"within_input_tolerance","unexplained_difference"))</f>
        <v>within_input_tolerance</v>
      </c>
      <c r="H101" s="2" t="s">
        <v>4194</v>
      </c>
      <c r="I101" s="2">
        <f>IF(ISNUMBER(E101),"","missing or unavailable input")</f>
        <v/>
      </c>
      <c r="J101">
        <v>2</v>
      </c>
    </row>
    <row r="102" spans="1:10" ht="48" customHeight="1">
      <c r="A102" s="2" t="s">
        <v>4195</v>
      </c>
      <c r="B102" s="2" t="s">
        <v>4196</v>
      </c>
      <c r="C102" s="2" t="s">
        <v>2234</v>
      </c>
      <c r="D102" s="2" t="s">
        <v>3480</v>
      </c>
      <c r="E102" s="2">
        <f>ROUND('Facts'!F711-'Calculations'!D244,J102)</f>
        <v>0.0</v>
      </c>
      <c r="F102" s="2">
        <v>0</v>
      </c>
      <c r="G102" s="2" t="str">
        <f>IF(COUNT(E102,F102)&lt;2,"not_tested",IF(ABS(E102)&lt;=F102,"within_input_tolerance","unexplained_difference"))</f>
        <v>within_input_tolerance</v>
      </c>
      <c r="H102" s="2" t="s">
        <v>4194</v>
      </c>
      <c r="I102" s="2">
        <f>IF(ISNUMBER(E102),"","missing or unavailable input")</f>
        <v/>
      </c>
      <c r="J102">
        <v>2</v>
      </c>
    </row>
    <row r="103" spans="1:10" ht="48" customHeight="1">
      <c r="A103" s="2" t="s">
        <v>4197</v>
      </c>
      <c r="B103" s="2" t="s">
        <v>4198</v>
      </c>
      <c r="C103" s="2" t="s">
        <v>2284</v>
      </c>
      <c r="D103" s="2" t="s">
        <v>3484</v>
      </c>
      <c r="E103" s="2">
        <f>ROUND('Facts'!F723-'Calculations'!D245,J103)</f>
        <v>0.0</v>
      </c>
      <c r="F103" s="2">
        <v>0</v>
      </c>
      <c r="G103" s="2" t="str">
        <f>IF(COUNT(E103,F103)&lt;2,"not_tested",IF(ABS(E103)&lt;=F103,"within_input_tolerance","unexplained_difference"))</f>
        <v>within_input_tolerance</v>
      </c>
      <c r="H103" s="2" t="s">
        <v>4194</v>
      </c>
      <c r="I103" s="2">
        <f>IF(ISNUMBER(E103),"","missing or unavailable input")</f>
        <v/>
      </c>
      <c r="J103">
        <v>0</v>
      </c>
    </row>
    <row r="104" spans="1:10" ht="48" customHeight="1">
      <c r="A104" s="2" t="s">
        <v>4199</v>
      </c>
      <c r="B104" s="2" t="s">
        <v>4200</v>
      </c>
      <c r="C104" s="2" t="s">
        <v>2289</v>
      </c>
      <c r="D104" s="2" t="s">
        <v>3488</v>
      </c>
      <c r="E104" s="2">
        <f>ROUND('Facts'!F725-'Calculations'!D246,J104)</f>
        <v>0.0</v>
      </c>
      <c r="F104" s="2">
        <v>0</v>
      </c>
      <c r="G104" s="2" t="str">
        <f>IF(COUNT(E104,F104)&lt;2,"not_tested",IF(ABS(E104)&lt;=F104,"within_input_tolerance","unexplained_difference"))</f>
        <v>within_input_tolerance</v>
      </c>
      <c r="H104" s="2" t="s">
        <v>4194</v>
      </c>
      <c r="I104" s="2">
        <f>IF(ISNUMBER(E104),"","missing or unavailable input")</f>
        <v/>
      </c>
      <c r="J104">
        <v>0</v>
      </c>
    </row>
    <row r="105" spans="1:10" ht="48" customHeight="1">
      <c r="A105" s="2" t="s">
        <v>4201</v>
      </c>
      <c r="B105" s="2" t="s">
        <v>4202</v>
      </c>
      <c r="C105" s="2" t="s">
        <v>2380</v>
      </c>
      <c r="D105" s="2" t="s">
        <v>3496</v>
      </c>
      <c r="E105" s="2">
        <f>ROUND('Facts'!F746-'Calculations'!D248,J105)</f>
        <v>0.0</v>
      </c>
      <c r="F105" s="2">
        <v>0</v>
      </c>
      <c r="G105" s="2" t="str">
        <f>IF(COUNT(E105,F105)&lt;2,"not_tested",IF(ABS(E105)&lt;=F105,"within_input_tolerance","unexplained_difference"))</f>
        <v>within_input_tolerance</v>
      </c>
      <c r="H105" s="2" t="s">
        <v>4194</v>
      </c>
      <c r="I105" s="2">
        <f>IF(ISNUMBER(E105),"","missing or unavailable input")</f>
        <v/>
      </c>
      <c r="J105">
        <v>2</v>
      </c>
    </row>
    <row r="106" spans="1:10" ht="48" customHeight="1">
      <c r="A106" s="2" t="s">
        <v>4203</v>
      </c>
      <c r="B106" s="2" t="s">
        <v>4204</v>
      </c>
      <c r="C106" s="2" t="s">
        <v>2380</v>
      </c>
      <c r="D106" s="2" t="s">
        <v>3501</v>
      </c>
      <c r="E106" s="2">
        <f>ROUND('Facts'!F746-'Calculations'!D249,J106)</f>
        <v>0.0</v>
      </c>
      <c r="F106" s="2">
        <v>0</v>
      </c>
      <c r="G106" s="2" t="str">
        <f>IF(COUNT(E106,F106)&lt;2,"not_tested",IF(ABS(E106)&lt;=F106,"within_input_tolerance","unexplained_difference"))</f>
        <v>within_input_tolerance</v>
      </c>
      <c r="H106" s="2" t="s">
        <v>4194</v>
      </c>
      <c r="I106" s="2">
        <f>IF(ISNUMBER(E106),"","missing or unavailable input")</f>
        <v/>
      </c>
      <c r="J106">
        <v>2</v>
      </c>
    </row>
    <row r="107" spans="1:10" ht="63" customHeight="1">
      <c r="A107" s="2" t="s">
        <v>4205</v>
      </c>
      <c r="B107" s="2" t="s">
        <v>4206</v>
      </c>
      <c r="C107" s="2" t="s">
        <v>3554</v>
      </c>
      <c r="D107" s="2" t="s">
        <v>3567</v>
      </c>
      <c r="E107" s="2">
        <f>ROUND('Calculations'!D263-'Calculations'!D267,J107)</f>
        <v>32.48</v>
      </c>
      <c r="F107" s="2">
        <v>0.02</v>
      </c>
      <c r="G107" s="2" t="str">
        <f>IF(COUNT(E107,F107)&lt;2,"not_tested",IF(ABS(E107)&lt;=F107,"within_input_tolerance","unexplained_difference"))</f>
        <v>unexplained_difference</v>
      </c>
      <c r="H107" s="2" t="s">
        <v>4207</v>
      </c>
      <c r="I107" s="2">
        <f>IF(ISNUMBER(E107),"","missing or unavailable input")</f>
        <v/>
      </c>
      <c r="J107">
        <v>2</v>
      </c>
    </row>
    <row r="108" spans="1:10" ht="33" customHeight="1">
      <c r="A108" s="2" t="s">
        <v>4208</v>
      </c>
      <c r="B108" s="2" t="s">
        <v>4209</v>
      </c>
      <c r="C108" s="2" t="s">
        <v>2840</v>
      </c>
      <c r="D108" s="2" t="s">
        <v>3631</v>
      </c>
      <c r="E108" s="2">
        <f>ROUND('Facts'!F867-'Calculations'!D283,J108)</f>
        <v>0.0</v>
      </c>
      <c r="F108" s="2">
        <v>0</v>
      </c>
      <c r="G108" s="2" t="str">
        <f>IF(COUNT(E108,F108)&lt;2,"not_tested",IF(ABS(E108)&lt;=F108,"within_input_tolerance","unexplained_difference"))</f>
        <v>within_input_tolerance</v>
      </c>
      <c r="H108" s="2" t="s">
        <v>4210</v>
      </c>
      <c r="I108" s="2">
        <f>IF(ISNUMBER(E108),"","missing or unavailable input")</f>
        <v/>
      </c>
      <c r="J108">
        <v>2</v>
      </c>
    </row>
    <row r="109" spans="1:10" ht="33" customHeight="1">
      <c r="A109" s="2" t="s">
        <v>4211</v>
      </c>
      <c r="B109" s="2" t="s">
        <v>4212</v>
      </c>
      <c r="C109" s="2" t="s">
        <v>1570</v>
      </c>
      <c r="D109" s="2" t="s">
        <v>3634</v>
      </c>
      <c r="E109" s="2">
        <f>ROUND('Facts'!F503-'Calculations'!D284,J109)</f>
        <v>0.0</v>
      </c>
      <c r="F109" s="2">
        <v>0</v>
      </c>
      <c r="G109" s="2" t="str">
        <f>IF(COUNT(E109,F109)&lt;2,"not_tested",IF(ABS(E109)&lt;=F109,"within_input_tolerance","unexplained_difference"))</f>
        <v>within_input_tolerance</v>
      </c>
      <c r="H109" s="2" t="s">
        <v>4210</v>
      </c>
      <c r="I109" s="2">
        <f>IF(ISNUMBER(E109),"","missing or unavailable input")</f>
        <v/>
      </c>
      <c r="J109">
        <v>2</v>
      </c>
    </row>
    <row r="110" spans="1:10" ht="33" customHeight="1">
      <c r="A110" s="2" t="s">
        <v>4213</v>
      </c>
      <c r="B110" s="2" t="s">
        <v>4214</v>
      </c>
      <c r="C110" s="2" t="s">
        <v>2837</v>
      </c>
      <c r="D110" s="2" t="s">
        <v>3647</v>
      </c>
      <c r="E110" s="2">
        <f>ROUND('Facts'!F866-'Calculations'!D289,J110)</f>
        <v>0.0</v>
      </c>
      <c r="F110" s="2">
        <v>0</v>
      </c>
      <c r="G110" s="2" t="str">
        <f>IF(COUNT(E110,F110)&lt;2,"not_tested",IF(ABS(E110)&lt;=F110,"within_input_tolerance","unexplained_difference"))</f>
        <v>within_input_tolerance</v>
      </c>
      <c r="H110" s="2" t="s">
        <v>4210</v>
      </c>
      <c r="I110" s="2">
        <f>IF(ISNUMBER(E110),"","missing or unavailable input")</f>
        <v/>
      </c>
      <c r="J110">
        <v>2</v>
      </c>
    </row>
    <row r="111" spans="1:10" ht="33" customHeight="1">
      <c r="A111" s="2" t="s">
        <v>4215</v>
      </c>
      <c r="B111" s="2" t="s">
        <v>4216</v>
      </c>
      <c r="C111" s="2" t="s">
        <v>1567</v>
      </c>
      <c r="D111" s="2" t="s">
        <v>3648</v>
      </c>
      <c r="E111" s="2">
        <f>ROUND('Facts'!F502-'Calculations'!D290,J111)</f>
        <v>0.0</v>
      </c>
      <c r="F111" s="2">
        <v>0</v>
      </c>
      <c r="G111" s="2" t="str">
        <f>IF(COUNT(E111,F111)&lt;2,"not_tested",IF(ABS(E111)&lt;=F111,"within_input_tolerance","unexplained_difference"))</f>
        <v>within_input_tolerance</v>
      </c>
      <c r="H111" s="2" t="s">
        <v>4210</v>
      </c>
      <c r="I111" s="2">
        <f>IF(ISNUMBER(E111),"","missing or unavailable input")</f>
        <v/>
      </c>
      <c r="J111">
        <v>2</v>
      </c>
    </row>
    <row r="112" spans="1:10" ht="33" customHeight="1">
      <c r="A112" s="2" t="s">
        <v>4217</v>
      </c>
      <c r="B112" s="2" t="s">
        <v>4218</v>
      </c>
      <c r="C112" s="2" t="s">
        <v>3652</v>
      </c>
      <c r="D112" s="2" t="s">
        <v>3661</v>
      </c>
      <c r="E112" s="2">
        <f>ROUND('Calculations'!D294-'Calculations'!D297,J112)</f>
        <v>0.0</v>
      </c>
      <c r="F112" s="2">
        <v>0</v>
      </c>
      <c r="G112" s="2" t="str">
        <f>IF(COUNT(E112,F112)&lt;2,"not_tested",IF(ABS(E112)&lt;=F112,"within_input_tolerance","unexplained_difference"))</f>
        <v>within_input_tolerance</v>
      </c>
      <c r="H112" s="2" t="s">
        <v>4219</v>
      </c>
      <c r="I112" s="2">
        <f>IF(ISNUMBER(E112),"","missing or unavailable input")</f>
        <v/>
      </c>
      <c r="J112">
        <v>2</v>
      </c>
    </row>
    <row r="113" spans="1:10" ht="33" customHeight="1">
      <c r="A113" s="2" t="s">
        <v>4220</v>
      </c>
      <c r="B113" s="2" t="s">
        <v>4221</v>
      </c>
      <c r="C113" s="2" t="s">
        <v>1529</v>
      </c>
      <c r="D113" s="2" t="s">
        <v>3677</v>
      </c>
      <c r="E113" s="2">
        <f>ROUND('Facts'!F493-'Calculations'!D302,J113)</f>
        <v>0.0</v>
      </c>
      <c r="F113" s="2">
        <v>0.01</v>
      </c>
      <c r="G113" s="2" t="str">
        <f>IF(COUNT(E113,F113)&lt;2,"not_tested",IF(ABS(E113)&lt;=F113,"within_input_tolerance","unexplained_difference"))</f>
        <v>within_input_tolerance</v>
      </c>
      <c r="H113" s="2" t="s">
        <v>4222</v>
      </c>
      <c r="I113" s="2">
        <f>IF(ISNUMBER(E113),"","missing or unavailable input")</f>
        <v/>
      </c>
      <c r="J113">
        <v>2</v>
      </c>
    </row>
    <row r="114" spans="1:10" ht="33" customHeight="1">
      <c r="A114" s="2" t="s">
        <v>4223</v>
      </c>
      <c r="B114" s="2" t="s">
        <v>4224</v>
      </c>
      <c r="C114" s="2" t="s">
        <v>2902</v>
      </c>
      <c r="D114" s="2" t="s">
        <v>3686</v>
      </c>
      <c r="E114" s="2">
        <f>ROUND('Facts'!F883-'Calculations'!D305,J114)</f>
        <v>0.0</v>
      </c>
      <c r="F114" s="2">
        <v>0.01</v>
      </c>
      <c r="G114" s="2" t="str">
        <f>IF(COUNT(E114,F114)&lt;2,"not_tested",IF(ABS(E114)&lt;=F114,"within_input_tolerance","unexplained_difference"))</f>
        <v>within_input_tolerance</v>
      </c>
      <c r="H114" s="2" t="s">
        <v>4225</v>
      </c>
      <c r="I114" s="2">
        <f>IF(ISNUMBER(E114),"","missing or unavailable input")</f>
        <v/>
      </c>
      <c r="J114">
        <v>2</v>
      </c>
    </row>
  </sheetData>
  <autoFilter ref="A1:J114"/>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33</v>
      </c>
      <c r="B1" s="1" t="s">
        <v>4226</v>
      </c>
      <c r="C1" s="1" t="s">
        <v>4227</v>
      </c>
      <c r="D1" s="1" t="s">
        <v>4228</v>
      </c>
      <c r="E1" s="1" t="s">
        <v>4229</v>
      </c>
      <c r="F1" s="1" t="s">
        <v>4230</v>
      </c>
    </row>
    <row r="2" spans="1:6">
      <c r="A2" s="2" t="s">
        <v>4231</v>
      </c>
      <c r="B2" s="2" t="s">
        <v>4232</v>
      </c>
      <c r="C2" s="2" t="s">
        <v>4233</v>
      </c>
      <c r="D2" s="2" t="s">
        <v>4234</v>
      </c>
      <c r="E2" s="2" t="s">
        <v>4235</v>
      </c>
      <c r="F2" s="2" t="s">
        <v>4236</v>
      </c>
    </row>
    <row r="3" spans="1:6">
      <c r="A3" s="2" t="s">
        <v>4237</v>
      </c>
      <c r="B3" s="2" t="s">
        <v>4238</v>
      </c>
      <c r="C3" s="2" t="s">
        <v>4239</v>
      </c>
      <c r="D3" s="2" t="s">
        <v>4240</v>
      </c>
      <c r="E3" s="2" t="s">
        <v>4241</v>
      </c>
      <c r="F3" s="2" t="s">
        <v>4236</v>
      </c>
    </row>
    <row r="4" spans="1:6">
      <c r="A4" s="2" t="s">
        <v>4242</v>
      </c>
      <c r="B4" s="2" t="s">
        <v>4243</v>
      </c>
      <c r="C4" s="2" t="s">
        <v>4244</v>
      </c>
      <c r="D4" s="2" t="s">
        <v>4234</v>
      </c>
      <c r="E4" s="2" t="s">
        <v>4245</v>
      </c>
      <c r="F4" s="2" t="s">
        <v>4236</v>
      </c>
    </row>
    <row r="5" spans="1:6">
      <c r="A5" s="2" t="s">
        <v>4246</v>
      </c>
      <c r="B5" s="2" t="s">
        <v>4247</v>
      </c>
      <c r="C5" s="2" t="s">
        <v>4248</v>
      </c>
      <c r="D5" s="2" t="s">
        <v>4234</v>
      </c>
      <c r="E5" s="2" t="s">
        <v>4249</v>
      </c>
      <c r="F5" s="2" t="s">
        <v>4236</v>
      </c>
    </row>
    <row r="6" spans="1:6">
      <c r="A6" s="2" t="s">
        <v>4250</v>
      </c>
      <c r="B6" s="2" t="s">
        <v>4251</v>
      </c>
      <c r="C6" s="2" t="s">
        <v>4252</v>
      </c>
      <c r="D6" s="2" t="s">
        <v>4234</v>
      </c>
      <c r="E6" s="2" t="s">
        <v>4253</v>
      </c>
      <c r="F6" s="2" t="s">
        <v>4236</v>
      </c>
    </row>
    <row r="7" spans="1:6">
      <c r="A7" s="2" t="s">
        <v>4254</v>
      </c>
      <c r="B7" s="2" t="s">
        <v>4255</v>
      </c>
      <c r="C7" s="2" t="s">
        <v>4256</v>
      </c>
      <c r="D7" s="2" t="s">
        <v>4234</v>
      </c>
      <c r="E7" s="2" t="s">
        <v>4257</v>
      </c>
      <c r="F7" s="2" t="s">
        <v>4236</v>
      </c>
    </row>
    <row r="8" spans="1:6">
      <c r="A8" s="2" t="s">
        <v>4258</v>
      </c>
      <c r="B8" s="2" t="s">
        <v>4259</v>
      </c>
      <c r="C8" s="2" t="s">
        <v>4260</v>
      </c>
      <c r="D8" s="2" t="s">
        <v>4234</v>
      </c>
      <c r="E8" s="2" t="s">
        <v>4261</v>
      </c>
      <c r="F8" s="2" t="s">
        <v>4236</v>
      </c>
    </row>
    <row r="9" spans="1:6">
      <c r="A9" s="2" t="s">
        <v>4262</v>
      </c>
      <c r="B9" s="2" t="s">
        <v>4263</v>
      </c>
      <c r="C9" s="2" t="s">
        <v>4264</v>
      </c>
      <c r="D9" s="2" t="s">
        <v>1866</v>
      </c>
      <c r="E9" s="2" t="s">
        <v>4265</v>
      </c>
      <c r="F9" s="2" t="s">
        <v>4236</v>
      </c>
    </row>
    <row r="10" spans="1:6">
      <c r="A10" s="2" t="s">
        <v>4266</v>
      </c>
      <c r="B10" s="2" t="s">
        <v>4267</v>
      </c>
      <c r="C10" s="2" t="s">
        <v>4268</v>
      </c>
      <c r="D10" s="2" t="s">
        <v>1870</v>
      </c>
      <c r="E10" s="2" t="s">
        <v>4269</v>
      </c>
      <c r="F10" s="2" t="s">
        <v>4236</v>
      </c>
    </row>
    <row r="11" spans="1:6">
      <c r="A11" s="2" t="s">
        <v>4270</v>
      </c>
      <c r="B11" s="2" t="s">
        <v>4271</v>
      </c>
      <c r="C11" s="2" t="s">
        <v>4272</v>
      </c>
      <c r="D11" s="2" t="s">
        <v>4273</v>
      </c>
      <c r="E11" s="2" t="s">
        <v>4274</v>
      </c>
      <c r="F11" s="2" t="s">
        <v>4275</v>
      </c>
    </row>
    <row r="12" spans="1:6">
      <c r="A12" s="2" t="s">
        <v>4276</v>
      </c>
      <c r="B12" s="2" t="s">
        <v>4277</v>
      </c>
      <c r="C12" s="2" t="s">
        <v>4278</v>
      </c>
      <c r="D12" s="2" t="s">
        <v>4279</v>
      </c>
      <c r="E12" s="2" t="s">
        <v>4280</v>
      </c>
      <c r="F12" s="2" t="s">
        <v>4281</v>
      </c>
    </row>
    <row r="13" spans="1:6">
      <c r="A13" s="2" t="s">
        <v>4282</v>
      </c>
      <c r="B13" s="2" t="s">
        <v>4283</v>
      </c>
      <c r="C13" s="2" t="s">
        <v>4284</v>
      </c>
      <c r="D13" s="2" t="s">
        <v>4285</v>
      </c>
      <c r="E13" s="2" t="s">
        <v>4286</v>
      </c>
      <c r="F13" s="2" t="s">
        <v>4287</v>
      </c>
    </row>
    <row r="14" spans="1:6">
      <c r="A14" s="2" t="s">
        <v>4288</v>
      </c>
      <c r="B14" s="2" t="s">
        <v>4289</v>
      </c>
      <c r="C14" s="2" t="s">
        <v>4290</v>
      </c>
      <c r="D14" s="2" t="s">
        <v>4291</v>
      </c>
      <c r="E14" s="2" t="s">
        <v>4292</v>
      </c>
      <c r="F14" s="2" t="s">
        <v>4293</v>
      </c>
    </row>
    <row r="15" spans="1:6">
      <c r="A15" s="2" t="s">
        <v>4294</v>
      </c>
      <c r="B15" s="2" t="s">
        <v>4295</v>
      </c>
      <c r="C15" s="2" t="s">
        <v>4296</v>
      </c>
      <c r="D15" s="2" t="s">
        <v>4297</v>
      </c>
      <c r="E15" s="2" t="s">
        <v>4298</v>
      </c>
      <c r="F15" s="2" t="s">
        <v>4299</v>
      </c>
    </row>
    <row r="16" spans="1:6">
      <c r="A16" s="2" t="s">
        <v>4300</v>
      </c>
      <c r="B16" s="2" t="s">
        <v>4301</v>
      </c>
      <c r="C16" s="2" t="s">
        <v>4302</v>
      </c>
      <c r="D16" s="2" t="s">
        <v>4297</v>
      </c>
      <c r="E16" s="2" t="s">
        <v>4303</v>
      </c>
      <c r="F16" s="2" t="s">
        <v>4304</v>
      </c>
    </row>
    <row r="17" spans="1:6">
      <c r="A17" s="2" t="s">
        <v>4305</v>
      </c>
      <c r="B17" s="2" t="s">
        <v>4306</v>
      </c>
      <c r="C17" s="2" t="s">
        <v>4307</v>
      </c>
      <c r="D17" s="2" t="s">
        <v>4279</v>
      </c>
      <c r="E17" s="2" t="s">
        <v>4308</v>
      </c>
      <c r="F17" s="2" t="s">
        <v>4309</v>
      </c>
    </row>
    <row r="18" spans="1:6">
      <c r="A18" s="2" t="s">
        <v>4310</v>
      </c>
      <c r="B18" s="2" t="s">
        <v>4311</v>
      </c>
      <c r="C18" s="2" t="s">
        <v>4312</v>
      </c>
      <c r="D18" s="2" t="s">
        <v>4313</v>
      </c>
      <c r="E18" s="2" t="s">
        <v>4314</v>
      </c>
      <c r="F18" s="2" t="s">
        <v>4315</v>
      </c>
    </row>
    <row r="19" spans="1:6">
      <c r="A19" s="2" t="s">
        <v>4316</v>
      </c>
      <c r="B19" s="2" t="s">
        <v>4317</v>
      </c>
      <c r="C19" s="2" t="s">
        <v>4318</v>
      </c>
      <c r="D19" s="2" t="s">
        <v>4319</v>
      </c>
      <c r="E19" s="2" t="s">
        <v>4320</v>
      </c>
      <c r="F19" s="2" t="s">
        <v>4321</v>
      </c>
    </row>
    <row r="20" spans="1:6">
      <c r="A20" s="2" t="s">
        <v>4322</v>
      </c>
      <c r="B20" s="2" t="s">
        <v>4323</v>
      </c>
      <c r="C20" s="2" t="s">
        <v>4324</v>
      </c>
      <c r="D20" s="2" t="s">
        <v>4240</v>
      </c>
      <c r="E20" s="2" t="s">
        <v>4325</v>
      </c>
      <c r="F20" s="2" t="s">
        <v>4326</v>
      </c>
    </row>
    <row r="21" spans="1:6">
      <c r="A21" s="2" t="s">
        <v>4327</v>
      </c>
      <c r="B21" s="2" t="s">
        <v>4328</v>
      </c>
      <c r="C21" s="2" t="s">
        <v>4329</v>
      </c>
      <c r="D21" s="2" t="s">
        <v>2062</v>
      </c>
      <c r="E21" s="2" t="s">
        <v>4330</v>
      </c>
      <c r="F21" s="2" t="s">
        <v>4331</v>
      </c>
    </row>
    <row r="22" spans="1:6">
      <c r="A22" s="2" t="s">
        <v>4332</v>
      </c>
      <c r="B22" s="2" t="s">
        <v>4333</v>
      </c>
      <c r="C22" s="2" t="s">
        <v>4334</v>
      </c>
      <c r="D22" s="2" t="s">
        <v>4335</v>
      </c>
      <c r="E22" s="2" t="s">
        <v>4336</v>
      </c>
      <c r="F22" s="2" t="s">
        <v>4337</v>
      </c>
    </row>
    <row r="23" spans="1:6">
      <c r="A23" s="2" t="s">
        <v>4338</v>
      </c>
      <c r="B23" s="2" t="s">
        <v>4339</v>
      </c>
      <c r="C23" s="2" t="s">
        <v>4340</v>
      </c>
      <c r="D23" s="2" t="s">
        <v>4341</v>
      </c>
      <c r="E23" s="2" t="s">
        <v>4342</v>
      </c>
      <c r="F23" s="2" t="s">
        <v>4343</v>
      </c>
    </row>
    <row r="24" spans="1:6">
      <c r="A24" s="2" t="s">
        <v>4344</v>
      </c>
      <c r="B24" s="2" t="s">
        <v>4345</v>
      </c>
      <c r="C24" s="2" t="s">
        <v>4346</v>
      </c>
      <c r="D24" s="2" t="s">
        <v>2271</v>
      </c>
      <c r="E24" s="2" t="s">
        <v>4347</v>
      </c>
      <c r="F24" s="2" t="s">
        <v>4348</v>
      </c>
    </row>
    <row r="25" spans="1:6">
      <c r="A25" s="2" t="s">
        <v>4349</v>
      </c>
      <c r="B25" s="2" t="s">
        <v>4350</v>
      </c>
      <c r="C25" s="2" t="s">
        <v>4351</v>
      </c>
      <c r="D25" s="2" t="s">
        <v>4352</v>
      </c>
      <c r="E25" s="2" t="s">
        <v>4353</v>
      </c>
      <c r="F25" s="2" t="s">
        <v>4348</v>
      </c>
    </row>
    <row r="26" spans="1:6">
      <c r="A26" s="2" t="s">
        <v>4354</v>
      </c>
      <c r="B26" s="2" t="s">
        <v>4355</v>
      </c>
      <c r="C26" s="2" t="s">
        <v>4356</v>
      </c>
      <c r="D26" s="2" t="s">
        <v>4357</v>
      </c>
      <c r="E26" s="2" t="s">
        <v>4358</v>
      </c>
      <c r="F26" s="2" t="s">
        <v>4348</v>
      </c>
    </row>
    <row r="27" spans="1:6">
      <c r="A27" s="2" t="s">
        <v>4359</v>
      </c>
      <c r="B27" s="2" t="s">
        <v>4360</v>
      </c>
      <c r="C27" s="2" t="s">
        <v>4361</v>
      </c>
      <c r="D27" s="2" t="s">
        <v>4362</v>
      </c>
      <c r="E27" s="2" t="s">
        <v>4363</v>
      </c>
      <c r="F27" s="2" t="s">
        <v>4348</v>
      </c>
    </row>
    <row r="28" spans="1:6">
      <c r="A28" s="2" t="s">
        <v>4364</v>
      </c>
      <c r="B28" s="2" t="s">
        <v>4365</v>
      </c>
      <c r="C28" s="2" t="s">
        <v>4366</v>
      </c>
      <c r="D28" s="2" t="s">
        <v>4341</v>
      </c>
      <c r="E28" s="2" t="s">
        <v>4367</v>
      </c>
      <c r="F28" s="2" t="s">
        <v>4348</v>
      </c>
    </row>
    <row r="29" spans="1:6">
      <c r="A29" s="2" t="s">
        <v>4368</v>
      </c>
      <c r="B29" s="2" t="s">
        <v>4369</v>
      </c>
      <c r="C29" s="2" t="s">
        <v>4370</v>
      </c>
      <c r="D29" s="2" t="s">
        <v>4234</v>
      </c>
      <c r="E29" s="2" t="s">
        <v>4371</v>
      </c>
      <c r="F29" s="2" t="s">
        <v>4348</v>
      </c>
    </row>
    <row r="30" spans="1:6">
      <c r="A30" s="2" t="s">
        <v>4372</v>
      </c>
      <c r="B30" s="2" t="s">
        <v>4373</v>
      </c>
      <c r="C30" s="2" t="s">
        <v>4374</v>
      </c>
      <c r="D30" s="2" t="s">
        <v>4375</v>
      </c>
      <c r="E30" s="2" t="s">
        <v>4376</v>
      </c>
      <c r="F30" s="2" t="s">
        <v>4348</v>
      </c>
    </row>
    <row r="31" spans="1:6">
      <c r="A31" s="2" t="s">
        <v>4377</v>
      </c>
      <c r="B31" s="2" t="s">
        <v>4378</v>
      </c>
      <c r="C31" s="2" t="s">
        <v>4379</v>
      </c>
      <c r="D31" s="2" t="s">
        <v>4380</v>
      </c>
      <c r="E31" s="2" t="s">
        <v>4381</v>
      </c>
      <c r="F31" s="2" t="s">
        <v>4382</v>
      </c>
    </row>
    <row r="32" spans="1:6">
      <c r="A32" s="2" t="s">
        <v>4383</v>
      </c>
      <c r="B32" s="2" t="s">
        <v>4384</v>
      </c>
      <c r="C32" s="2" t="s">
        <v>4385</v>
      </c>
      <c r="D32" s="2" t="s">
        <v>4386</v>
      </c>
      <c r="E32" s="2" t="s">
        <v>4387</v>
      </c>
      <c r="F32" s="2" t="s">
        <v>4348</v>
      </c>
    </row>
    <row r="33" spans="1:6">
      <c r="A33" s="2" t="s">
        <v>4388</v>
      </c>
      <c r="B33" s="2" t="s">
        <v>4389</v>
      </c>
      <c r="C33" s="2" t="s">
        <v>4390</v>
      </c>
      <c r="D33" s="2" t="s">
        <v>4391</v>
      </c>
      <c r="E33" s="2" t="s">
        <v>4392</v>
      </c>
      <c r="F33" s="2" t="s">
        <v>4348</v>
      </c>
    </row>
    <row r="34" spans="1:6">
      <c r="A34" s="2" t="s">
        <v>4393</v>
      </c>
      <c r="B34" s="2" t="s">
        <v>4394</v>
      </c>
      <c r="C34" s="2" t="s">
        <v>4395</v>
      </c>
      <c r="D34" s="2" t="s">
        <v>4396</v>
      </c>
      <c r="E34" s="2"/>
      <c r="F34" s="2" t="s">
        <v>4397</v>
      </c>
    </row>
    <row r="35" spans="1:6">
      <c r="A35" s="2" t="s">
        <v>4398</v>
      </c>
      <c r="B35" s="2" t="s">
        <v>4271</v>
      </c>
      <c r="C35" s="2" t="s">
        <v>4272</v>
      </c>
      <c r="D35" s="2" t="s">
        <v>4273</v>
      </c>
      <c r="E35" s="2" t="s">
        <v>4274</v>
      </c>
      <c r="F35" s="2" t="s">
        <v>4399</v>
      </c>
    </row>
    <row r="36" spans="1:6">
      <c r="A36" s="2" t="s">
        <v>4400</v>
      </c>
      <c r="B36" s="2" t="s">
        <v>4401</v>
      </c>
      <c r="C36" s="2" t="s">
        <v>4402</v>
      </c>
      <c r="D36" s="2" t="s">
        <v>4403</v>
      </c>
      <c r="E36" s="2" t="s">
        <v>4404</v>
      </c>
      <c r="F36" s="2" t="s">
        <v>4405</v>
      </c>
    </row>
    <row r="37" spans="1:6">
      <c r="A37" s="2" t="s">
        <v>4406</v>
      </c>
      <c r="B37" s="2" t="s">
        <v>4407</v>
      </c>
      <c r="C37" s="2" t="s">
        <v>4408</v>
      </c>
      <c r="D37" s="2" t="s">
        <v>4403</v>
      </c>
      <c r="E37" s="2" t="s">
        <v>4409</v>
      </c>
      <c r="F37" s="2" t="s">
        <v>4410</v>
      </c>
    </row>
    <row r="38" spans="1:6">
      <c r="A38" s="2" t="s">
        <v>4411</v>
      </c>
      <c r="B38" s="2" t="s">
        <v>4412</v>
      </c>
      <c r="C38" s="2" t="s">
        <v>4413</v>
      </c>
      <c r="D38" s="2" t="s">
        <v>4414</v>
      </c>
      <c r="E38" s="2" t="s">
        <v>4415</v>
      </c>
      <c r="F38" s="2" t="s">
        <v>4416</v>
      </c>
    </row>
    <row r="39" spans="1:6">
      <c r="A39" s="2" t="s">
        <v>4417</v>
      </c>
      <c r="B39" s="2" t="s">
        <v>4418</v>
      </c>
      <c r="C39" s="2" t="s">
        <v>4419</v>
      </c>
      <c r="D39" s="2" t="s">
        <v>4420</v>
      </c>
      <c r="E39" s="2" t="s">
        <v>4421</v>
      </c>
      <c r="F39" s="2" t="s">
        <v>4422</v>
      </c>
    </row>
    <row r="40" spans="1:6">
      <c r="A40" s="2" t="s">
        <v>4423</v>
      </c>
      <c r="B40" s="2" t="s">
        <v>4424</v>
      </c>
      <c r="C40" s="2" t="s">
        <v>4425</v>
      </c>
      <c r="D40" s="2" t="s">
        <v>4426</v>
      </c>
      <c r="E40" s="2" t="s">
        <v>4427</v>
      </c>
      <c r="F40" s="2" t="s">
        <v>4428</v>
      </c>
    </row>
    <row r="41" spans="1:6">
      <c r="A41" s="2" t="s">
        <v>4429</v>
      </c>
      <c r="B41" s="2" t="s">
        <v>4430</v>
      </c>
      <c r="C41" s="2" t="s">
        <v>4431</v>
      </c>
      <c r="D41" s="2" t="s">
        <v>4240</v>
      </c>
      <c r="E41" s="2" t="s">
        <v>4432</v>
      </c>
      <c r="F41" s="2" t="s">
        <v>4433</v>
      </c>
    </row>
    <row r="42" spans="1:6">
      <c r="A42" s="2" t="s">
        <v>4434</v>
      </c>
      <c r="B42" s="2" t="s">
        <v>4435</v>
      </c>
      <c r="C42" s="2" t="s">
        <v>4436</v>
      </c>
      <c r="D42" s="2" t="s">
        <v>4437</v>
      </c>
      <c r="E42" s="2"/>
      <c r="F42" s="2" t="s">
        <v>4438</v>
      </c>
    </row>
    <row r="43" spans="1:6">
      <c r="A43" s="2" t="s">
        <v>4439</v>
      </c>
      <c r="B43" s="2" t="s">
        <v>4440</v>
      </c>
      <c r="C43" s="2" t="s">
        <v>4441</v>
      </c>
      <c r="D43" s="2" t="s">
        <v>4442</v>
      </c>
      <c r="E43" s="2" t="s">
        <v>4443</v>
      </c>
      <c r="F43" s="2" t="s">
        <v>4444</v>
      </c>
    </row>
    <row r="44" spans="1:6">
      <c r="A44" s="2" t="s">
        <v>4445</v>
      </c>
      <c r="B44" s="2" t="s">
        <v>4446</v>
      </c>
      <c r="C44" s="2" t="s">
        <v>4447</v>
      </c>
      <c r="D44" s="2" t="s">
        <v>4234</v>
      </c>
      <c r="E44" s="2" t="s">
        <v>4448</v>
      </c>
      <c r="F44" s="2" t="s">
        <v>4449</v>
      </c>
    </row>
    <row r="45" spans="1:6">
      <c r="A45" s="2" t="s">
        <v>4450</v>
      </c>
      <c r="B45" s="2" t="s">
        <v>4451</v>
      </c>
      <c r="C45" s="2" t="s">
        <v>4452</v>
      </c>
      <c r="D45" s="2" t="s">
        <v>4453</v>
      </c>
      <c r="E45" s="2" t="s">
        <v>4454</v>
      </c>
      <c r="F45" s="2" t="s">
        <v>4455</v>
      </c>
    </row>
  </sheetData>
  <autoFilter ref="A1:F45"/>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9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33</v>
      </c>
      <c r="B1" s="1" t="s">
        <v>4456</v>
      </c>
      <c r="C1" s="1" t="s">
        <v>4457</v>
      </c>
      <c r="D1" s="1" t="s">
        <v>4458</v>
      </c>
      <c r="E1" s="1" t="s">
        <v>4459</v>
      </c>
    </row>
    <row r="2" spans="1:5">
      <c r="A2" s="2" t="s">
        <v>4460</v>
      </c>
      <c r="B2" s="2" t="s">
        <v>4231</v>
      </c>
      <c r="C2" s="2" t="s">
        <v>4461</v>
      </c>
      <c r="D2" s="2" t="s">
        <v>4462</v>
      </c>
      <c r="E2" s="2" t="s">
        <v>4463</v>
      </c>
    </row>
    <row r="3" spans="1:5">
      <c r="A3" s="2" t="s">
        <v>1562</v>
      </c>
      <c r="B3" s="2" t="s">
        <v>4231</v>
      </c>
      <c r="C3" s="2" t="s">
        <v>4464</v>
      </c>
      <c r="D3" s="2" t="s">
        <v>4465</v>
      </c>
      <c r="E3" s="2" t="s">
        <v>4466</v>
      </c>
    </row>
    <row r="4" spans="1:5">
      <c r="A4" s="2" t="s">
        <v>51</v>
      </c>
      <c r="B4" s="2" t="s">
        <v>4231</v>
      </c>
      <c r="C4" s="2" t="s">
        <v>4467</v>
      </c>
      <c r="D4" s="2" t="s">
        <v>4468</v>
      </c>
      <c r="E4" s="2" t="s">
        <v>4466</v>
      </c>
    </row>
    <row r="5" spans="1:5">
      <c r="A5" s="2" t="s">
        <v>1295</v>
      </c>
      <c r="B5" s="2" t="s">
        <v>4231</v>
      </c>
      <c r="C5" s="2" t="s">
        <v>4469</v>
      </c>
      <c r="D5" s="2" t="s">
        <v>4470</v>
      </c>
      <c r="E5" s="2" t="s">
        <v>4466</v>
      </c>
    </row>
    <row r="6" spans="1:5">
      <c r="A6" s="2" t="s">
        <v>391</v>
      </c>
      <c r="B6" s="2" t="s">
        <v>4231</v>
      </c>
      <c r="C6" s="2" t="s">
        <v>4471</v>
      </c>
      <c r="D6" s="2" t="s">
        <v>4472</v>
      </c>
      <c r="E6" s="2" t="s">
        <v>4466</v>
      </c>
    </row>
    <row r="7" spans="1:5">
      <c r="A7" s="2" t="s">
        <v>551</v>
      </c>
      <c r="B7" s="2" t="s">
        <v>4231</v>
      </c>
      <c r="C7" s="2" t="s">
        <v>4473</v>
      </c>
      <c r="D7" s="2" t="s">
        <v>4474</v>
      </c>
      <c r="E7" s="2" t="s">
        <v>4466</v>
      </c>
    </row>
    <row r="8" spans="1:5">
      <c r="A8" s="2" t="s">
        <v>1500</v>
      </c>
      <c r="B8" s="2" t="s">
        <v>4231</v>
      </c>
      <c r="C8" s="2" t="s">
        <v>4475</v>
      </c>
      <c r="D8" s="2" t="s">
        <v>4476</v>
      </c>
      <c r="E8" s="2" t="s">
        <v>4466</v>
      </c>
    </row>
    <row r="9" spans="1:5">
      <c r="A9" s="2" t="s">
        <v>4477</v>
      </c>
      <c r="B9" s="2" t="s">
        <v>4231</v>
      </c>
      <c r="C9" s="2" t="s">
        <v>4478</v>
      </c>
      <c r="D9" s="2" t="s">
        <v>4479</v>
      </c>
      <c r="E9" s="2" t="s">
        <v>4466</v>
      </c>
    </row>
    <row r="10" spans="1:5">
      <c r="A10" s="2" t="s">
        <v>4480</v>
      </c>
      <c r="B10" s="2" t="s">
        <v>4231</v>
      </c>
      <c r="C10" s="2" t="s">
        <v>4481</v>
      </c>
      <c r="D10" s="2" t="s">
        <v>4482</v>
      </c>
      <c r="E10" s="2" t="s">
        <v>4466</v>
      </c>
    </row>
    <row r="11" spans="1:5">
      <c r="A11" s="2" t="s">
        <v>748</v>
      </c>
      <c r="B11" s="2" t="s">
        <v>4231</v>
      </c>
      <c r="C11" s="2" t="s">
        <v>4483</v>
      </c>
      <c r="D11" s="2" t="s">
        <v>4484</v>
      </c>
      <c r="E11" s="2" t="s">
        <v>4466</v>
      </c>
    </row>
    <row r="12" spans="1:5">
      <c r="A12" s="2" t="s">
        <v>859</v>
      </c>
      <c r="B12" s="2" t="s">
        <v>4231</v>
      </c>
      <c r="C12" s="2" t="s">
        <v>4485</v>
      </c>
      <c r="D12" s="2" t="s">
        <v>4486</v>
      </c>
      <c r="E12" s="2" t="s">
        <v>4466</v>
      </c>
    </row>
    <row r="13" spans="1:5">
      <c r="A13" s="2" t="s">
        <v>1403</v>
      </c>
      <c r="B13" s="2" t="s">
        <v>4231</v>
      </c>
      <c r="C13" s="2" t="s">
        <v>4487</v>
      </c>
      <c r="D13" s="2" t="s">
        <v>4488</v>
      </c>
      <c r="E13" s="2" t="s">
        <v>4466</v>
      </c>
    </row>
    <row r="14" spans="1:5">
      <c r="A14" s="2" t="s">
        <v>938</v>
      </c>
      <c r="B14" s="2" t="s">
        <v>4231</v>
      </c>
      <c r="C14" s="2" t="s">
        <v>4489</v>
      </c>
      <c r="D14" s="2" t="s">
        <v>4490</v>
      </c>
      <c r="E14" s="2" t="s">
        <v>4466</v>
      </c>
    </row>
    <row r="15" spans="1:5">
      <c r="A15" s="2" t="s">
        <v>981</v>
      </c>
      <c r="B15" s="2" t="s">
        <v>4231</v>
      </c>
      <c r="C15" s="2" t="s">
        <v>4491</v>
      </c>
      <c r="D15" s="2" t="s">
        <v>4492</v>
      </c>
      <c r="E15" s="2" t="s">
        <v>4466</v>
      </c>
    </row>
    <row r="16" spans="1:5">
      <c r="A16" s="2" t="s">
        <v>1006</v>
      </c>
      <c r="B16" s="2" t="s">
        <v>4231</v>
      </c>
      <c r="C16" s="2" t="s">
        <v>4493</v>
      </c>
      <c r="D16" s="2" t="s">
        <v>4494</v>
      </c>
      <c r="E16" s="2" t="s">
        <v>4466</v>
      </c>
    </row>
    <row r="17" spans="1:5">
      <c r="A17" s="2" t="s">
        <v>1411</v>
      </c>
      <c r="B17" s="2" t="s">
        <v>4231</v>
      </c>
      <c r="C17" s="2" t="s">
        <v>4495</v>
      </c>
      <c r="D17" s="2" t="s">
        <v>4496</v>
      </c>
      <c r="E17" s="2" t="s">
        <v>4466</v>
      </c>
    </row>
    <row r="18" spans="1:5">
      <c r="A18" s="2" t="s">
        <v>1510</v>
      </c>
      <c r="B18" s="2" t="s">
        <v>4231</v>
      </c>
      <c r="C18" s="2" t="s">
        <v>4497</v>
      </c>
      <c r="D18" s="2" t="s">
        <v>4498</v>
      </c>
      <c r="E18" s="2" t="s">
        <v>4466</v>
      </c>
    </row>
    <row r="19" spans="1:5">
      <c r="A19" s="2" t="s">
        <v>1019</v>
      </c>
      <c r="B19" s="2" t="s">
        <v>4231</v>
      </c>
      <c r="C19" s="2" t="s">
        <v>4499</v>
      </c>
      <c r="D19" s="2" t="s">
        <v>4500</v>
      </c>
      <c r="E19" s="2" t="s">
        <v>4466</v>
      </c>
    </row>
    <row r="20" spans="1:5">
      <c r="A20" s="2" t="s">
        <v>1464</v>
      </c>
      <c r="B20" s="2" t="s">
        <v>4231</v>
      </c>
      <c r="C20" s="2" t="s">
        <v>4501</v>
      </c>
      <c r="D20" s="2" t="s">
        <v>4502</v>
      </c>
      <c r="E20" s="2" t="s">
        <v>4466</v>
      </c>
    </row>
    <row r="21" spans="1:5">
      <c r="A21" s="2" t="s">
        <v>818</v>
      </c>
      <c r="B21" s="2" t="s">
        <v>4231</v>
      </c>
      <c r="C21" s="2" t="s">
        <v>4503</v>
      </c>
      <c r="D21" s="2" t="s">
        <v>4504</v>
      </c>
      <c r="E21" s="2" t="s">
        <v>4466</v>
      </c>
    </row>
    <row r="22" spans="1:5">
      <c r="A22" s="2" t="s">
        <v>1063</v>
      </c>
      <c r="B22" s="2" t="s">
        <v>4231</v>
      </c>
      <c r="C22" s="2" t="s">
        <v>4505</v>
      </c>
      <c r="D22" s="2" t="s">
        <v>4506</v>
      </c>
      <c r="E22" s="2" t="s">
        <v>4466</v>
      </c>
    </row>
    <row r="23" spans="1:5">
      <c r="A23" s="2" t="s">
        <v>1166</v>
      </c>
      <c r="B23" s="2" t="s">
        <v>4231</v>
      </c>
      <c r="C23" s="2" t="s">
        <v>4507</v>
      </c>
      <c r="D23" s="2" t="s">
        <v>4508</v>
      </c>
      <c r="E23" s="2" t="s">
        <v>4466</v>
      </c>
    </row>
    <row r="24" spans="1:5">
      <c r="A24" s="2" t="s">
        <v>1288</v>
      </c>
      <c r="B24" s="2" t="s">
        <v>4231</v>
      </c>
      <c r="C24" s="2" t="s">
        <v>4509</v>
      </c>
      <c r="D24" s="2" t="s">
        <v>4510</v>
      </c>
      <c r="E24" s="2" t="s">
        <v>4466</v>
      </c>
    </row>
    <row r="25" spans="1:5">
      <c r="A25" s="2" t="s">
        <v>1263</v>
      </c>
      <c r="B25" s="2" t="s">
        <v>4231</v>
      </c>
      <c r="C25" s="2" t="s">
        <v>4511</v>
      </c>
      <c r="D25" s="2" t="s">
        <v>4512</v>
      </c>
      <c r="E25" s="2" t="s">
        <v>4466</v>
      </c>
    </row>
    <row r="26" spans="1:5">
      <c r="A26" s="2" t="s">
        <v>1542</v>
      </c>
      <c r="B26" s="2" t="s">
        <v>4231</v>
      </c>
      <c r="C26" s="2" t="s">
        <v>4513</v>
      </c>
      <c r="D26" s="2" t="s">
        <v>4514</v>
      </c>
      <c r="E26" s="2" t="s">
        <v>4466</v>
      </c>
    </row>
    <row r="27" spans="1:5">
      <c r="A27" s="2" t="s">
        <v>1538</v>
      </c>
      <c r="B27" s="2" t="s">
        <v>4231</v>
      </c>
      <c r="C27" s="2" t="s">
        <v>4515</v>
      </c>
      <c r="D27" s="2" t="s">
        <v>4516</v>
      </c>
      <c r="E27" s="2" t="s">
        <v>4466</v>
      </c>
    </row>
    <row r="28" spans="1:5">
      <c r="A28" s="2" t="s">
        <v>4517</v>
      </c>
      <c r="B28" s="2" t="s">
        <v>4231</v>
      </c>
      <c r="C28" s="2" t="s">
        <v>4518</v>
      </c>
      <c r="D28" s="2" t="s">
        <v>4519</v>
      </c>
      <c r="E28" s="2" t="s">
        <v>4466</v>
      </c>
    </row>
    <row r="29" spans="1:5">
      <c r="A29" s="2" t="s">
        <v>1407</v>
      </c>
      <c r="B29" s="2" t="s">
        <v>4231</v>
      </c>
      <c r="C29" s="2" t="s">
        <v>4520</v>
      </c>
      <c r="D29" s="2" t="s">
        <v>4521</v>
      </c>
      <c r="E29" s="2" t="s">
        <v>4466</v>
      </c>
    </row>
    <row r="30" spans="1:5">
      <c r="A30" s="2" t="s">
        <v>1591</v>
      </c>
      <c r="B30" s="2" t="s">
        <v>4237</v>
      </c>
      <c r="C30" s="2" t="s">
        <v>4522</v>
      </c>
      <c r="D30" s="2" t="s">
        <v>4523</v>
      </c>
      <c r="E30" s="2" t="s">
        <v>4466</v>
      </c>
    </row>
    <row r="31" spans="1:5">
      <c r="A31" s="2" t="s">
        <v>1712</v>
      </c>
      <c r="B31" s="2" t="s">
        <v>4242</v>
      </c>
      <c r="C31" s="2" t="s">
        <v>4524</v>
      </c>
      <c r="D31" s="2" t="s">
        <v>4525</v>
      </c>
      <c r="E31" s="2" t="s">
        <v>4526</v>
      </c>
    </row>
    <row r="32" spans="1:5">
      <c r="A32" s="2" t="s">
        <v>4527</v>
      </c>
      <c r="B32" s="2" t="s">
        <v>4246</v>
      </c>
      <c r="C32" s="2" t="s">
        <v>4528</v>
      </c>
      <c r="D32" s="2" t="s">
        <v>4529</v>
      </c>
      <c r="E32" s="2" t="s">
        <v>4530</v>
      </c>
    </row>
    <row r="33" spans="1:5">
      <c r="A33" s="2" t="s">
        <v>4531</v>
      </c>
      <c r="B33" s="2" t="s">
        <v>4250</v>
      </c>
      <c r="C33" s="2" t="s">
        <v>4532</v>
      </c>
      <c r="D33" s="2" t="s">
        <v>4533</v>
      </c>
      <c r="E33" s="2" t="s">
        <v>4534</v>
      </c>
    </row>
    <row r="34" spans="1:5">
      <c r="A34" s="2" t="s">
        <v>4535</v>
      </c>
      <c r="B34" s="2" t="s">
        <v>4254</v>
      </c>
      <c r="C34" s="2" t="s">
        <v>4536</v>
      </c>
      <c r="D34" s="2" t="s">
        <v>4537</v>
      </c>
      <c r="E34" s="2" t="s">
        <v>4466</v>
      </c>
    </row>
    <row r="35" spans="1:5">
      <c r="A35" s="2" t="s">
        <v>1553</v>
      </c>
      <c r="B35" s="2" t="s">
        <v>4258</v>
      </c>
      <c r="C35" s="2" t="s">
        <v>4538</v>
      </c>
      <c r="D35" s="2" t="s">
        <v>4539</v>
      </c>
      <c r="E35" s="2" t="s">
        <v>4540</v>
      </c>
    </row>
    <row r="36" spans="1:5">
      <c r="A36" s="2" t="s">
        <v>4541</v>
      </c>
      <c r="B36" s="2" t="s">
        <v>4237</v>
      </c>
      <c r="C36" s="2" t="s">
        <v>4542</v>
      </c>
      <c r="D36" s="2" t="s">
        <v>4543</v>
      </c>
      <c r="E36" s="2" t="s">
        <v>4466</v>
      </c>
    </row>
    <row r="37" spans="1:5">
      <c r="A37" s="2" t="s">
        <v>4544</v>
      </c>
      <c r="B37" s="2" t="s">
        <v>4231</v>
      </c>
      <c r="C37" s="2" t="s">
        <v>4545</v>
      </c>
      <c r="D37" s="2" t="s">
        <v>4546</v>
      </c>
      <c r="E37" s="2" t="s">
        <v>4466</v>
      </c>
    </row>
    <row r="38" spans="1:5">
      <c r="A38" s="2" t="s">
        <v>1865</v>
      </c>
      <c r="B38" s="2" t="s">
        <v>4262</v>
      </c>
      <c r="C38" s="2" t="s">
        <v>4547</v>
      </c>
      <c r="D38" s="2" t="s">
        <v>4548</v>
      </c>
      <c r="E38" s="2" t="s">
        <v>4466</v>
      </c>
    </row>
    <row r="39" spans="1:5">
      <c r="A39" s="2" t="s">
        <v>1869</v>
      </c>
      <c r="B39" s="2" t="s">
        <v>4266</v>
      </c>
      <c r="C39" s="2" t="s">
        <v>4549</v>
      </c>
      <c r="D39" s="2" t="s">
        <v>4550</v>
      </c>
      <c r="E39" s="2" t="s">
        <v>4466</v>
      </c>
    </row>
    <row r="40" spans="1:5">
      <c r="A40" s="2" t="s">
        <v>1912</v>
      </c>
      <c r="B40" s="2" t="s">
        <v>4231</v>
      </c>
      <c r="C40" s="2" t="s">
        <v>4551</v>
      </c>
      <c r="D40" s="2" t="s">
        <v>4552</v>
      </c>
      <c r="E40" s="2" t="s">
        <v>4553</v>
      </c>
    </row>
    <row r="41" spans="1:5">
      <c r="A41" s="2" t="s">
        <v>1931</v>
      </c>
      <c r="B41" s="2" t="s">
        <v>4231</v>
      </c>
      <c r="C41" s="2" t="s">
        <v>4554</v>
      </c>
      <c r="D41" s="2" t="s">
        <v>4555</v>
      </c>
      <c r="E41" s="2" t="s">
        <v>4556</v>
      </c>
    </row>
    <row r="42" spans="1:5">
      <c r="A42" s="2" t="s">
        <v>1935</v>
      </c>
      <c r="B42" s="2" t="s">
        <v>4231</v>
      </c>
      <c r="C42" s="2" t="s">
        <v>4557</v>
      </c>
      <c r="D42" s="2" t="s">
        <v>4558</v>
      </c>
      <c r="E42" s="2" t="s">
        <v>4559</v>
      </c>
    </row>
    <row r="43" spans="1:5">
      <c r="A43" s="2" t="s">
        <v>4560</v>
      </c>
      <c r="B43" s="2" t="s">
        <v>4231</v>
      </c>
      <c r="C43" s="2" t="s">
        <v>4561</v>
      </c>
      <c r="D43" s="2" t="s">
        <v>4562</v>
      </c>
      <c r="E43" s="2" t="s">
        <v>4563</v>
      </c>
    </row>
    <row r="44" spans="1:5">
      <c r="A44" s="2" t="s">
        <v>1999</v>
      </c>
      <c r="B44" s="2" t="s">
        <v>4242</v>
      </c>
      <c r="C44" s="2" t="s">
        <v>4564</v>
      </c>
      <c r="D44" s="2" t="s">
        <v>4565</v>
      </c>
      <c r="E44" s="2" t="s">
        <v>4566</v>
      </c>
    </row>
    <row r="45" spans="1:5">
      <c r="A45" s="2" t="s">
        <v>2016</v>
      </c>
      <c r="B45" s="2" t="s">
        <v>4276</v>
      </c>
      <c r="C45" s="2" t="s">
        <v>4567</v>
      </c>
      <c r="D45" s="2" t="s">
        <v>4568</v>
      </c>
      <c r="E45" s="2" t="s">
        <v>4569</v>
      </c>
    </row>
    <row r="46" spans="1:5">
      <c r="A46" s="2" t="s">
        <v>2025</v>
      </c>
      <c r="B46" s="2" t="s">
        <v>4282</v>
      </c>
      <c r="C46" s="2" t="s">
        <v>4570</v>
      </c>
      <c r="D46" s="2" t="s">
        <v>4571</v>
      </c>
      <c r="E46" s="2" t="s">
        <v>4572</v>
      </c>
    </row>
    <row r="47" spans="1:5">
      <c r="A47" s="2" t="s">
        <v>1992</v>
      </c>
      <c r="B47" s="2" t="s">
        <v>4231</v>
      </c>
      <c r="C47" s="2" t="s">
        <v>4573</v>
      </c>
      <c r="D47" s="2" t="s">
        <v>4574</v>
      </c>
      <c r="E47" s="2" t="s">
        <v>4575</v>
      </c>
    </row>
    <row r="48" spans="1:5">
      <c r="A48" s="2" t="s">
        <v>2038</v>
      </c>
      <c r="B48" s="2" t="s">
        <v>4231</v>
      </c>
      <c r="C48" s="2" t="s">
        <v>4576</v>
      </c>
      <c r="D48" s="2" t="s">
        <v>4577</v>
      </c>
      <c r="E48" s="2" t="s">
        <v>4578</v>
      </c>
    </row>
    <row r="49" spans="1:5">
      <c r="A49" s="2" t="s">
        <v>1939</v>
      </c>
      <c r="B49" s="2" t="s">
        <v>4231</v>
      </c>
      <c r="C49" s="2" t="s">
        <v>4579</v>
      </c>
      <c r="D49" s="2" t="s">
        <v>4580</v>
      </c>
      <c r="E49" s="2" t="s">
        <v>4581</v>
      </c>
    </row>
    <row r="50" spans="1:5">
      <c r="A50" s="2" t="s">
        <v>2060</v>
      </c>
      <c r="B50" s="2" t="s">
        <v>4327</v>
      </c>
      <c r="C50" s="2" t="s">
        <v>4582</v>
      </c>
      <c r="D50" s="2" t="s">
        <v>4583</v>
      </c>
      <c r="E50" s="2" t="s">
        <v>4584</v>
      </c>
    </row>
    <row r="51" spans="1:5">
      <c r="A51" s="2" t="s">
        <v>2056</v>
      </c>
      <c r="B51" s="2" t="s">
        <v>4231</v>
      </c>
      <c r="C51" s="2" t="s">
        <v>4585</v>
      </c>
      <c r="D51" s="2" t="s">
        <v>4586</v>
      </c>
      <c r="E51" s="2" t="s">
        <v>4587</v>
      </c>
    </row>
    <row r="52" spans="1:5">
      <c r="A52" s="2" t="s">
        <v>4588</v>
      </c>
      <c r="B52" s="2" t="s">
        <v>4332</v>
      </c>
      <c r="C52" s="2" t="s">
        <v>4589</v>
      </c>
      <c r="D52" s="2" t="s">
        <v>4590</v>
      </c>
      <c r="E52" s="2" t="s">
        <v>4591</v>
      </c>
    </row>
    <row r="53" spans="1:5">
      <c r="A53" s="2" t="s">
        <v>4592</v>
      </c>
      <c r="B53" s="2" t="s">
        <v>4262</v>
      </c>
      <c r="C53" s="2" t="s">
        <v>4593</v>
      </c>
      <c r="D53" s="2" t="s">
        <v>4594</v>
      </c>
      <c r="E53" s="2" t="s">
        <v>4595</v>
      </c>
    </row>
    <row r="54" spans="1:5">
      <c r="A54" s="2" t="s">
        <v>2073</v>
      </c>
      <c r="B54" s="2" t="s">
        <v>4266</v>
      </c>
      <c r="C54" s="2" t="s">
        <v>4596</v>
      </c>
      <c r="D54" s="2" t="s">
        <v>4597</v>
      </c>
      <c r="E54" s="2" t="s">
        <v>4598</v>
      </c>
    </row>
    <row r="55" spans="1:5">
      <c r="A55" s="2" t="s">
        <v>4599</v>
      </c>
      <c r="B55" s="2" t="s">
        <v>4338</v>
      </c>
      <c r="C55" s="2" t="s">
        <v>4600</v>
      </c>
      <c r="D55" s="2" t="s">
        <v>4601</v>
      </c>
      <c r="E55" s="2" t="s">
        <v>4602</v>
      </c>
    </row>
    <row r="56" spans="1:5">
      <c r="A56" s="2" t="s">
        <v>2087</v>
      </c>
      <c r="B56" s="2" t="s">
        <v>4288</v>
      </c>
      <c r="C56" s="2" t="s">
        <v>4603</v>
      </c>
      <c r="D56" s="2" t="s">
        <v>4604</v>
      </c>
      <c r="E56" s="2" t="s">
        <v>4605</v>
      </c>
    </row>
    <row r="57" spans="1:5">
      <c r="A57" s="2" t="s">
        <v>2091</v>
      </c>
      <c r="B57" s="2" t="s">
        <v>4294</v>
      </c>
      <c r="C57" s="2" t="s">
        <v>4606</v>
      </c>
      <c r="D57" s="2" t="s">
        <v>4607</v>
      </c>
      <c r="E57" s="2" t="s">
        <v>4608</v>
      </c>
    </row>
    <row r="58" spans="1:5">
      <c r="A58" s="2" t="s">
        <v>2102</v>
      </c>
      <c r="B58" s="2" t="s">
        <v>4300</v>
      </c>
      <c r="C58" s="2" t="s">
        <v>4609</v>
      </c>
      <c r="D58" s="2" t="s">
        <v>4610</v>
      </c>
      <c r="E58" s="2" t="s">
        <v>4611</v>
      </c>
    </row>
    <row r="59" spans="1:5">
      <c r="A59" s="2" t="s">
        <v>2080</v>
      </c>
      <c r="B59" s="2" t="s">
        <v>4305</v>
      </c>
      <c r="C59" s="2" t="s">
        <v>4612</v>
      </c>
      <c r="D59" s="2" t="s">
        <v>4613</v>
      </c>
      <c r="E59" s="2" t="s">
        <v>4614</v>
      </c>
    </row>
    <row r="60" spans="1:5">
      <c r="A60" s="2" t="s">
        <v>4615</v>
      </c>
      <c r="B60" s="2" t="s">
        <v>4310</v>
      </c>
      <c r="C60" s="2" t="s">
        <v>4616</v>
      </c>
      <c r="D60" s="2" t="s">
        <v>4617</v>
      </c>
      <c r="E60" s="2" t="s">
        <v>4618</v>
      </c>
    </row>
    <row r="61" spans="1:5">
      <c r="A61" s="2" t="s">
        <v>4619</v>
      </c>
      <c r="B61" s="2" t="s">
        <v>4316</v>
      </c>
      <c r="C61" s="2" t="s">
        <v>4620</v>
      </c>
      <c r="D61" s="2" t="s">
        <v>4621</v>
      </c>
      <c r="E61" s="2" t="s">
        <v>4622</v>
      </c>
    </row>
    <row r="62" spans="1:5">
      <c r="A62" s="2" t="s">
        <v>4623</v>
      </c>
      <c r="B62" s="2" t="s">
        <v>4322</v>
      </c>
      <c r="C62" s="2" t="s">
        <v>4624</v>
      </c>
      <c r="D62" s="2" t="s">
        <v>4625</v>
      </c>
      <c r="E62" s="2" t="s">
        <v>4626</v>
      </c>
    </row>
    <row r="63" spans="1:5">
      <c r="A63" s="2" t="s">
        <v>4627</v>
      </c>
      <c r="B63" s="2" t="s">
        <v>4270</v>
      </c>
      <c r="C63" s="2" t="s">
        <v>4628</v>
      </c>
      <c r="D63" s="2" t="s">
        <v>4629</v>
      </c>
      <c r="E63" s="2" t="s">
        <v>4630</v>
      </c>
    </row>
    <row r="64" spans="1:5">
      <c r="A64" s="2" t="s">
        <v>4631</v>
      </c>
      <c r="B64" s="2" t="s">
        <v>4231</v>
      </c>
      <c r="C64" s="2" t="s">
        <v>4632</v>
      </c>
      <c r="D64" s="2" t="s">
        <v>4633</v>
      </c>
      <c r="E64" s="2" t="s">
        <v>4634</v>
      </c>
    </row>
    <row r="65" spans="1:5">
      <c r="A65" s="2" t="s">
        <v>4635</v>
      </c>
      <c r="B65" s="2" t="s">
        <v>4344</v>
      </c>
      <c r="C65" s="2" t="s">
        <v>4636</v>
      </c>
      <c r="D65" s="2" t="s">
        <v>4637</v>
      </c>
      <c r="E65" s="2" t="s">
        <v>4634</v>
      </c>
    </row>
    <row r="66" spans="1:5">
      <c r="A66" s="2" t="s">
        <v>2241</v>
      </c>
      <c r="B66" s="2" t="s">
        <v>4231</v>
      </c>
      <c r="C66" s="2" t="s">
        <v>4638</v>
      </c>
      <c r="D66" s="2" t="s">
        <v>4639</v>
      </c>
      <c r="E66" s="2" t="s">
        <v>4634</v>
      </c>
    </row>
    <row r="67" spans="1:5">
      <c r="A67" s="2" t="s">
        <v>2236</v>
      </c>
      <c r="B67" s="2" t="s">
        <v>4231</v>
      </c>
      <c r="C67" s="2" t="s">
        <v>4640</v>
      </c>
      <c r="D67" s="2" t="s">
        <v>4641</v>
      </c>
      <c r="E67" s="2" t="s">
        <v>4634</v>
      </c>
    </row>
    <row r="68" spans="1:5">
      <c r="A68" s="2" t="s">
        <v>2283</v>
      </c>
      <c r="B68" s="2" t="s">
        <v>4231</v>
      </c>
      <c r="C68" s="2" t="s">
        <v>4642</v>
      </c>
      <c r="D68" s="2" t="s">
        <v>4643</v>
      </c>
      <c r="E68" s="2" t="s">
        <v>4634</v>
      </c>
    </row>
    <row r="69" spans="1:5">
      <c r="A69" s="2" t="s">
        <v>2291</v>
      </c>
      <c r="B69" s="2" t="s">
        <v>4359</v>
      </c>
      <c r="C69" s="2" t="s">
        <v>4644</v>
      </c>
      <c r="D69" s="2" t="s">
        <v>4645</v>
      </c>
      <c r="E69" s="2" t="s">
        <v>4634</v>
      </c>
    </row>
    <row r="70" spans="1:5">
      <c r="A70" s="2" t="s">
        <v>2300</v>
      </c>
      <c r="B70" s="2" t="s">
        <v>4344</v>
      </c>
      <c r="C70" s="2" t="s">
        <v>4646</v>
      </c>
      <c r="D70" s="2" t="s">
        <v>4647</v>
      </c>
      <c r="E70" s="2" t="s">
        <v>4634</v>
      </c>
    </row>
    <row r="71" spans="1:5">
      <c r="A71" s="2" t="s">
        <v>2326</v>
      </c>
      <c r="B71" s="2" t="s">
        <v>4344</v>
      </c>
      <c r="C71" s="2" t="s">
        <v>4648</v>
      </c>
      <c r="D71" s="2" t="s">
        <v>4649</v>
      </c>
      <c r="E71" s="2" t="s">
        <v>4634</v>
      </c>
    </row>
    <row r="72" spans="1:5">
      <c r="A72" s="2" t="s">
        <v>2331</v>
      </c>
      <c r="B72" s="2" t="s">
        <v>4344</v>
      </c>
      <c r="C72" s="2" t="s">
        <v>4650</v>
      </c>
      <c r="D72" s="2" t="s">
        <v>4651</v>
      </c>
      <c r="E72" s="2" t="s">
        <v>4634</v>
      </c>
    </row>
    <row r="73" spans="1:5">
      <c r="A73" s="2" t="s">
        <v>2336</v>
      </c>
      <c r="B73" s="2" t="s">
        <v>4344</v>
      </c>
      <c r="C73" s="2" t="s">
        <v>4652</v>
      </c>
      <c r="D73" s="2" t="s">
        <v>4653</v>
      </c>
      <c r="E73" s="2" t="s">
        <v>4634</v>
      </c>
    </row>
    <row r="74" spans="1:5">
      <c r="A74" s="2" t="s">
        <v>2363</v>
      </c>
      <c r="B74" s="2" t="s">
        <v>4364</v>
      </c>
      <c r="C74" s="2" t="s">
        <v>4654</v>
      </c>
      <c r="D74" s="2" t="s">
        <v>4655</v>
      </c>
      <c r="E74" s="2" t="s">
        <v>4634</v>
      </c>
    </row>
    <row r="75" spans="1:5">
      <c r="A75" s="2" t="s">
        <v>4656</v>
      </c>
      <c r="B75" s="2" t="s">
        <v>4338</v>
      </c>
      <c r="C75" s="2" t="s">
        <v>4657</v>
      </c>
      <c r="D75" s="2" t="s">
        <v>4658</v>
      </c>
      <c r="E75" s="2" t="s">
        <v>4634</v>
      </c>
    </row>
    <row r="76" spans="1:5">
      <c r="A76" s="2" t="s">
        <v>2345</v>
      </c>
      <c r="B76" s="2" t="s">
        <v>4332</v>
      </c>
      <c r="C76" s="2" t="s">
        <v>4659</v>
      </c>
      <c r="D76" s="2" t="s">
        <v>4660</v>
      </c>
      <c r="E76" s="2" t="s">
        <v>4634</v>
      </c>
    </row>
    <row r="77" spans="1:5">
      <c r="A77" s="2" t="s">
        <v>4661</v>
      </c>
      <c r="B77" s="2" t="s">
        <v>4354</v>
      </c>
      <c r="C77" s="2" t="s">
        <v>4662</v>
      </c>
      <c r="D77" s="2" t="s">
        <v>4663</v>
      </c>
      <c r="E77" s="2" t="s">
        <v>4634</v>
      </c>
    </row>
    <row r="78" spans="1:5">
      <c r="A78" s="2" t="s">
        <v>4664</v>
      </c>
      <c r="B78" s="2" t="s">
        <v>4332</v>
      </c>
      <c r="C78" s="2" t="s">
        <v>4665</v>
      </c>
      <c r="D78" s="2" t="s">
        <v>4666</v>
      </c>
      <c r="E78" s="2" t="s">
        <v>4634</v>
      </c>
    </row>
    <row r="79" spans="1:5">
      <c r="A79" s="2" t="s">
        <v>4667</v>
      </c>
      <c r="B79" s="2" t="s">
        <v>4332</v>
      </c>
      <c r="C79" s="2" t="s">
        <v>4668</v>
      </c>
      <c r="D79" s="2" t="s">
        <v>4669</v>
      </c>
      <c r="E79" s="2" t="s">
        <v>4634</v>
      </c>
    </row>
    <row r="80" spans="1:5">
      <c r="A80" s="2" t="s">
        <v>4670</v>
      </c>
      <c r="B80" s="2" t="s">
        <v>4372</v>
      </c>
      <c r="C80" s="2" t="s">
        <v>4671</v>
      </c>
      <c r="D80" s="2" t="s">
        <v>4672</v>
      </c>
      <c r="E80" s="2" t="s">
        <v>4634</v>
      </c>
    </row>
    <row r="81" spans="1:5">
      <c r="A81" s="2" t="s">
        <v>4673</v>
      </c>
      <c r="B81" s="2" t="s">
        <v>4349</v>
      </c>
      <c r="C81" s="2" t="s">
        <v>4674</v>
      </c>
      <c r="D81" s="2" t="s">
        <v>4675</v>
      </c>
      <c r="E81" s="2" t="s">
        <v>4634</v>
      </c>
    </row>
    <row r="82" spans="1:5">
      <c r="A82" s="2" t="s">
        <v>4676</v>
      </c>
      <c r="B82" s="2" t="s">
        <v>4349</v>
      </c>
      <c r="C82" s="2" t="s">
        <v>4677</v>
      </c>
      <c r="D82" s="2" t="s">
        <v>4678</v>
      </c>
      <c r="E82" s="2" t="s">
        <v>4634</v>
      </c>
    </row>
    <row r="83" spans="1:5">
      <c r="A83" s="2" t="s">
        <v>4679</v>
      </c>
      <c r="B83" s="2" t="s">
        <v>4344</v>
      </c>
      <c r="C83" s="2" t="s">
        <v>4680</v>
      </c>
      <c r="D83" s="2" t="s">
        <v>4681</v>
      </c>
      <c r="E83" s="2" t="s">
        <v>4634</v>
      </c>
    </row>
    <row r="84" spans="1:5">
      <c r="A84" s="2" t="s">
        <v>4682</v>
      </c>
      <c r="B84" s="2" t="s">
        <v>4393</v>
      </c>
      <c r="C84" s="2" t="s">
        <v>4683</v>
      </c>
      <c r="D84" s="2" t="s">
        <v>4684</v>
      </c>
      <c r="E84" s="2" t="s">
        <v>4685</v>
      </c>
    </row>
    <row r="85" spans="1:5">
      <c r="A85" s="2" t="s">
        <v>4686</v>
      </c>
      <c r="B85" s="2" t="s">
        <v>4377</v>
      </c>
      <c r="C85" s="2" t="s">
        <v>4687</v>
      </c>
      <c r="D85" s="2" t="s">
        <v>4688</v>
      </c>
      <c r="E85" s="2" t="s">
        <v>4689</v>
      </c>
    </row>
    <row r="86" spans="1:5">
      <c r="A86" s="2" t="s">
        <v>4690</v>
      </c>
      <c r="B86" s="2" t="s">
        <v>4388</v>
      </c>
      <c r="C86" s="2" t="s">
        <v>4691</v>
      </c>
      <c r="D86" s="2" t="s">
        <v>4692</v>
      </c>
      <c r="E86" s="2" t="s">
        <v>4634</v>
      </c>
    </row>
    <row r="87" spans="1:5">
      <c r="A87" s="2" t="s">
        <v>4693</v>
      </c>
      <c r="B87" s="2" t="s">
        <v>4383</v>
      </c>
      <c r="C87" s="2" t="s">
        <v>4694</v>
      </c>
      <c r="D87" s="2" t="s">
        <v>4695</v>
      </c>
      <c r="E87" s="2" t="s">
        <v>4696</v>
      </c>
    </row>
    <row r="88" spans="1:5">
      <c r="A88" s="2" t="s">
        <v>2368</v>
      </c>
      <c r="B88" s="2" t="s">
        <v>4368</v>
      </c>
      <c r="C88" s="2" t="s">
        <v>4697</v>
      </c>
      <c r="D88" s="2" t="s">
        <v>4698</v>
      </c>
      <c r="E88" s="2" t="s">
        <v>4634</v>
      </c>
    </row>
    <row r="89" spans="1:5">
      <c r="A89" s="2" t="s">
        <v>2391</v>
      </c>
      <c r="B89" s="2" t="s">
        <v>4262</v>
      </c>
      <c r="C89" s="2" t="s">
        <v>4699</v>
      </c>
      <c r="D89" s="2" t="s">
        <v>4700</v>
      </c>
      <c r="E89" s="2" t="s">
        <v>4634</v>
      </c>
    </row>
    <row r="90" spans="1:5">
      <c r="A90" s="2" t="s">
        <v>2397</v>
      </c>
      <c r="B90" s="2" t="s">
        <v>4266</v>
      </c>
      <c r="C90" s="2" t="s">
        <v>4701</v>
      </c>
      <c r="D90" s="2" t="s">
        <v>4702</v>
      </c>
      <c r="E90" s="2" t="s">
        <v>4634</v>
      </c>
    </row>
    <row r="91" spans="1:5">
      <c r="A91" s="2" t="s">
        <v>4703</v>
      </c>
      <c r="B91" s="2" t="s">
        <v>4368</v>
      </c>
      <c r="C91" s="2" t="s">
        <v>4704</v>
      </c>
      <c r="D91" s="2" t="s">
        <v>4705</v>
      </c>
      <c r="E91" s="2" t="s">
        <v>4634</v>
      </c>
    </row>
    <row r="92" spans="1:5">
      <c r="A92" s="2" t="s">
        <v>4706</v>
      </c>
      <c r="B92" s="2" t="s">
        <v>4332</v>
      </c>
      <c r="C92" s="2" t="s">
        <v>4707</v>
      </c>
      <c r="D92" s="2" t="s">
        <v>4708</v>
      </c>
      <c r="E92" s="2" t="s">
        <v>4634</v>
      </c>
    </row>
    <row r="93" spans="1:5">
      <c r="A93" s="2" t="s">
        <v>4709</v>
      </c>
      <c r="B93" s="2" t="s">
        <v>4398</v>
      </c>
      <c r="C93" s="2" t="s">
        <v>4710</v>
      </c>
      <c r="D93" s="2" t="s">
        <v>4711</v>
      </c>
      <c r="E93" s="2" t="s">
        <v>4712</v>
      </c>
    </row>
    <row r="94" spans="1:5">
      <c r="A94" s="2" t="s">
        <v>4713</v>
      </c>
      <c r="B94" s="2" t="s">
        <v>4398</v>
      </c>
      <c r="C94" s="2" t="s">
        <v>4714</v>
      </c>
      <c r="D94" s="2" t="s">
        <v>4715</v>
      </c>
      <c r="E94" s="2" t="s">
        <v>4712</v>
      </c>
    </row>
    <row r="95" spans="1:5">
      <c r="A95" s="2" t="s">
        <v>4716</v>
      </c>
      <c r="B95" s="2" t="s">
        <v>4398</v>
      </c>
      <c r="C95" s="2" t="s">
        <v>4717</v>
      </c>
      <c r="D95" s="2" t="s">
        <v>4718</v>
      </c>
      <c r="E95" s="2" t="s">
        <v>4712</v>
      </c>
    </row>
    <row r="96" spans="1:5">
      <c r="A96" s="2" t="s">
        <v>4719</v>
      </c>
      <c r="B96" s="2" t="s">
        <v>4398</v>
      </c>
      <c r="C96" s="2" t="s">
        <v>4720</v>
      </c>
      <c r="D96" s="2" t="s">
        <v>4721</v>
      </c>
      <c r="E96" s="2" t="s">
        <v>4712</v>
      </c>
    </row>
    <row r="97" spans="1:5">
      <c r="A97" s="2" t="s">
        <v>4722</v>
      </c>
      <c r="B97" s="2" t="s">
        <v>4400</v>
      </c>
      <c r="C97" s="2" t="s">
        <v>4723</v>
      </c>
      <c r="D97" s="2" t="s">
        <v>4724</v>
      </c>
      <c r="E97" s="2" t="s">
        <v>4712</v>
      </c>
    </row>
    <row r="98" spans="1:5">
      <c r="A98" s="2" t="s">
        <v>4725</v>
      </c>
      <c r="B98" s="2" t="s">
        <v>4406</v>
      </c>
      <c r="C98" s="2" t="s">
        <v>4726</v>
      </c>
      <c r="D98" s="2" t="s">
        <v>4727</v>
      </c>
      <c r="E98" s="2" t="s">
        <v>4712</v>
      </c>
    </row>
    <row r="99" spans="1:5">
      <c r="A99" s="2" t="s">
        <v>4728</v>
      </c>
      <c r="B99" s="2" t="s">
        <v>4411</v>
      </c>
      <c r="C99" s="2" t="s">
        <v>4729</v>
      </c>
      <c r="D99" s="2" t="s">
        <v>4730</v>
      </c>
      <c r="E99" s="2" t="s">
        <v>4712</v>
      </c>
    </row>
    <row r="100" spans="1:5">
      <c r="A100" s="2" t="s">
        <v>4731</v>
      </c>
      <c r="B100" s="2" t="s">
        <v>4417</v>
      </c>
      <c r="C100" s="2" t="s">
        <v>4732</v>
      </c>
      <c r="D100" s="2" t="s">
        <v>4733</v>
      </c>
      <c r="E100" s="2" t="s">
        <v>4712</v>
      </c>
    </row>
    <row r="101" spans="1:5">
      <c r="A101" s="2" t="s">
        <v>4734</v>
      </c>
      <c r="B101" s="2" t="s">
        <v>4242</v>
      </c>
      <c r="C101" s="2" t="s">
        <v>4735</v>
      </c>
      <c r="D101" s="2" t="s">
        <v>4736</v>
      </c>
      <c r="E101" s="2" t="s">
        <v>4737</v>
      </c>
    </row>
    <row r="102" spans="1:5">
      <c r="A102" s="2" t="s">
        <v>4738</v>
      </c>
      <c r="B102" s="2" t="s">
        <v>4231</v>
      </c>
      <c r="C102" s="2" t="s">
        <v>4739</v>
      </c>
      <c r="D102" s="2" t="s">
        <v>4740</v>
      </c>
      <c r="E102" s="2" t="s">
        <v>4737</v>
      </c>
    </row>
    <row r="103" spans="1:5">
      <c r="A103" s="2" t="s">
        <v>4741</v>
      </c>
      <c r="B103" s="2" t="s">
        <v>4231</v>
      </c>
      <c r="C103" s="2" t="s">
        <v>4742</v>
      </c>
      <c r="D103" s="2" t="s">
        <v>4743</v>
      </c>
      <c r="E103" s="2" t="s">
        <v>4737</v>
      </c>
    </row>
    <row r="104" spans="1:5">
      <c r="A104" s="2" t="s">
        <v>4744</v>
      </c>
      <c r="B104" s="2" t="s">
        <v>4231</v>
      </c>
      <c r="C104" s="2" t="s">
        <v>4745</v>
      </c>
      <c r="D104" s="2" t="s">
        <v>4746</v>
      </c>
      <c r="E104" s="2" t="s">
        <v>4737</v>
      </c>
    </row>
    <row r="105" spans="1:5">
      <c r="A105" s="2" t="s">
        <v>4747</v>
      </c>
      <c r="B105" s="2" t="s">
        <v>4338</v>
      </c>
      <c r="C105" s="2" t="s">
        <v>4748</v>
      </c>
      <c r="D105" s="2" t="s">
        <v>4749</v>
      </c>
      <c r="E105" s="2" t="s">
        <v>4737</v>
      </c>
    </row>
    <row r="106" spans="1:5">
      <c r="A106" s="2" t="s">
        <v>4750</v>
      </c>
      <c r="B106" s="2" t="s">
        <v>4344</v>
      </c>
      <c r="C106" s="2" t="s">
        <v>4751</v>
      </c>
      <c r="D106" s="2" t="s">
        <v>4752</v>
      </c>
      <c r="E106" s="2" t="s">
        <v>4737</v>
      </c>
    </row>
    <row r="107" spans="1:5">
      <c r="A107" s="2" t="s">
        <v>4753</v>
      </c>
      <c r="B107" s="2" t="s">
        <v>4266</v>
      </c>
      <c r="C107" s="2" t="s">
        <v>4754</v>
      </c>
      <c r="D107" s="2" t="s">
        <v>4755</v>
      </c>
      <c r="E107" s="2" t="s">
        <v>4737</v>
      </c>
    </row>
    <row r="108" spans="1:5">
      <c r="A108" s="2" t="s">
        <v>4756</v>
      </c>
      <c r="B108" s="2" t="s">
        <v>4231</v>
      </c>
      <c r="C108" s="2" t="s">
        <v>4757</v>
      </c>
      <c r="D108" s="2" t="s">
        <v>4758</v>
      </c>
      <c r="E108" s="2" t="s">
        <v>4737</v>
      </c>
    </row>
    <row r="109" spans="1:5">
      <c r="A109" s="2" t="s">
        <v>2415</v>
      </c>
      <c r="B109" s="2" t="s">
        <v>4242</v>
      </c>
      <c r="C109" s="2" t="s">
        <v>4759</v>
      </c>
      <c r="D109" s="2" t="s">
        <v>4760</v>
      </c>
      <c r="E109" s="2" t="s">
        <v>4761</v>
      </c>
    </row>
    <row r="110" spans="1:5">
      <c r="A110" s="2" t="s">
        <v>4762</v>
      </c>
      <c r="B110" s="2" t="s">
        <v>4242</v>
      </c>
      <c r="C110" s="2" t="s">
        <v>4759</v>
      </c>
      <c r="D110" s="2" t="s">
        <v>4763</v>
      </c>
      <c r="E110" s="2" t="s">
        <v>4761</v>
      </c>
    </row>
    <row r="111" spans="1:5">
      <c r="A111" s="2" t="s">
        <v>2428</v>
      </c>
      <c r="B111" s="2" t="s">
        <v>4242</v>
      </c>
      <c r="C111" s="2" t="s">
        <v>4759</v>
      </c>
      <c r="D111" s="2" t="s">
        <v>4764</v>
      </c>
      <c r="E111" s="2" t="s">
        <v>4761</v>
      </c>
    </row>
    <row r="112" spans="1:5">
      <c r="A112" s="2" t="s">
        <v>4765</v>
      </c>
      <c r="B112" s="2" t="s">
        <v>4242</v>
      </c>
      <c r="C112" s="2" t="s">
        <v>4759</v>
      </c>
      <c r="D112" s="2" t="s">
        <v>4766</v>
      </c>
      <c r="E112" s="2" t="s">
        <v>4761</v>
      </c>
    </row>
    <row r="113" spans="1:5">
      <c r="A113" s="2" t="s">
        <v>2436</v>
      </c>
      <c r="B113" s="2" t="s">
        <v>4242</v>
      </c>
      <c r="C113" s="2" t="s">
        <v>4759</v>
      </c>
      <c r="D113" s="2" t="s">
        <v>4767</v>
      </c>
      <c r="E113" s="2" t="s">
        <v>4761</v>
      </c>
    </row>
    <row r="114" spans="1:5">
      <c r="A114" s="2" t="s">
        <v>4768</v>
      </c>
      <c r="B114" s="2" t="s">
        <v>4242</v>
      </c>
      <c r="C114" s="2" t="s">
        <v>4759</v>
      </c>
      <c r="D114" s="2" t="s">
        <v>4769</v>
      </c>
      <c r="E114" s="2" t="s">
        <v>4761</v>
      </c>
    </row>
    <row r="115" spans="1:5">
      <c r="A115" s="2" t="s">
        <v>2444</v>
      </c>
      <c r="B115" s="2" t="s">
        <v>4242</v>
      </c>
      <c r="C115" s="2" t="s">
        <v>4759</v>
      </c>
      <c r="D115" s="2" t="s">
        <v>4770</v>
      </c>
      <c r="E115" s="2" t="s">
        <v>4761</v>
      </c>
    </row>
    <row r="116" spans="1:5">
      <c r="A116" s="2" t="s">
        <v>4771</v>
      </c>
      <c r="B116" s="2" t="s">
        <v>4242</v>
      </c>
      <c r="C116" s="2" t="s">
        <v>4759</v>
      </c>
      <c r="D116" s="2" t="s">
        <v>4772</v>
      </c>
      <c r="E116" s="2" t="s">
        <v>4761</v>
      </c>
    </row>
    <row r="117" spans="1:5">
      <c r="A117" s="2" t="s">
        <v>2452</v>
      </c>
      <c r="B117" s="2" t="s">
        <v>4242</v>
      </c>
      <c r="C117" s="2" t="s">
        <v>4759</v>
      </c>
      <c r="D117" s="2" t="s">
        <v>4773</v>
      </c>
      <c r="E117" s="2" t="s">
        <v>4761</v>
      </c>
    </row>
    <row r="118" spans="1:5">
      <c r="A118" s="2" t="s">
        <v>4774</v>
      </c>
      <c r="B118" s="2" t="s">
        <v>4242</v>
      </c>
      <c r="C118" s="2" t="s">
        <v>4759</v>
      </c>
      <c r="D118" s="2" t="s">
        <v>4775</v>
      </c>
      <c r="E118" s="2" t="s">
        <v>4761</v>
      </c>
    </row>
    <row r="119" spans="1:5">
      <c r="A119" s="2" t="s">
        <v>2460</v>
      </c>
      <c r="B119" s="2" t="s">
        <v>4242</v>
      </c>
      <c r="C119" s="2" t="s">
        <v>4759</v>
      </c>
      <c r="D119" s="2" t="s">
        <v>4776</v>
      </c>
      <c r="E119" s="2" t="s">
        <v>4761</v>
      </c>
    </row>
    <row r="120" spans="1:5">
      <c r="A120" s="2" t="s">
        <v>4777</v>
      </c>
      <c r="B120" s="2" t="s">
        <v>4242</v>
      </c>
      <c r="C120" s="2" t="s">
        <v>4759</v>
      </c>
      <c r="D120" s="2" t="s">
        <v>4778</v>
      </c>
      <c r="E120" s="2" t="s">
        <v>4761</v>
      </c>
    </row>
    <row r="121" spans="1:5">
      <c r="A121" s="2" t="s">
        <v>2468</v>
      </c>
      <c r="B121" s="2" t="s">
        <v>4242</v>
      </c>
      <c r="C121" s="2" t="s">
        <v>4759</v>
      </c>
      <c r="D121" s="2" t="s">
        <v>4779</v>
      </c>
      <c r="E121" s="2" t="s">
        <v>4761</v>
      </c>
    </row>
    <row r="122" spans="1:5">
      <c r="A122" s="2" t="s">
        <v>2472</v>
      </c>
      <c r="B122" s="2" t="s">
        <v>4242</v>
      </c>
      <c r="C122" s="2" t="s">
        <v>4759</v>
      </c>
      <c r="D122" s="2" t="s">
        <v>4780</v>
      </c>
      <c r="E122" s="2" t="s">
        <v>4761</v>
      </c>
    </row>
    <row r="123" spans="1:5">
      <c r="A123" s="2" t="s">
        <v>2476</v>
      </c>
      <c r="B123" s="2" t="s">
        <v>4242</v>
      </c>
      <c r="C123" s="2" t="s">
        <v>4759</v>
      </c>
      <c r="D123" s="2" t="s">
        <v>4781</v>
      </c>
      <c r="E123" s="2" t="s">
        <v>4761</v>
      </c>
    </row>
    <row r="124" spans="1:5">
      <c r="A124" s="2" t="s">
        <v>2480</v>
      </c>
      <c r="B124" s="2" t="s">
        <v>4242</v>
      </c>
      <c r="C124" s="2" t="s">
        <v>4759</v>
      </c>
      <c r="D124" s="2" t="s">
        <v>4782</v>
      </c>
      <c r="E124" s="2" t="s">
        <v>4761</v>
      </c>
    </row>
    <row r="125" spans="1:5">
      <c r="A125" s="2" t="s">
        <v>2484</v>
      </c>
      <c r="B125" s="2" t="s">
        <v>4242</v>
      </c>
      <c r="C125" s="2" t="s">
        <v>4759</v>
      </c>
      <c r="D125" s="2" t="s">
        <v>4783</v>
      </c>
      <c r="E125" s="2" t="s">
        <v>4761</v>
      </c>
    </row>
    <row r="126" spans="1:5">
      <c r="A126" s="2" t="s">
        <v>2488</v>
      </c>
      <c r="B126" s="2" t="s">
        <v>4242</v>
      </c>
      <c r="C126" s="2" t="s">
        <v>4759</v>
      </c>
      <c r="D126" s="2" t="s">
        <v>4784</v>
      </c>
      <c r="E126" s="2" t="s">
        <v>4761</v>
      </c>
    </row>
    <row r="127" spans="1:5">
      <c r="A127" s="2" t="s">
        <v>2492</v>
      </c>
      <c r="B127" s="2" t="s">
        <v>4242</v>
      </c>
      <c r="C127" s="2" t="s">
        <v>4759</v>
      </c>
      <c r="D127" s="2" t="s">
        <v>4785</v>
      </c>
      <c r="E127" s="2" t="s">
        <v>4761</v>
      </c>
    </row>
    <row r="128" spans="1:5">
      <c r="A128" s="2" t="s">
        <v>2496</v>
      </c>
      <c r="B128" s="2" t="s">
        <v>4242</v>
      </c>
      <c r="C128" s="2" t="s">
        <v>4759</v>
      </c>
      <c r="D128" s="2" t="s">
        <v>4786</v>
      </c>
      <c r="E128" s="2" t="s">
        <v>4761</v>
      </c>
    </row>
    <row r="129" spans="1:5">
      <c r="A129" s="2" t="s">
        <v>2500</v>
      </c>
      <c r="B129" s="2" t="s">
        <v>4242</v>
      </c>
      <c r="C129" s="2" t="s">
        <v>4759</v>
      </c>
      <c r="D129" s="2" t="s">
        <v>4787</v>
      </c>
      <c r="E129" s="2" t="s">
        <v>4761</v>
      </c>
    </row>
    <row r="130" spans="1:5">
      <c r="A130" s="2" t="s">
        <v>2504</v>
      </c>
      <c r="B130" s="2" t="s">
        <v>4242</v>
      </c>
      <c r="C130" s="2" t="s">
        <v>4759</v>
      </c>
      <c r="D130" s="2" t="s">
        <v>4788</v>
      </c>
      <c r="E130" s="2" t="s">
        <v>4761</v>
      </c>
    </row>
    <row r="131" spans="1:5">
      <c r="A131" s="2" t="s">
        <v>4789</v>
      </c>
      <c r="B131" s="2" t="s">
        <v>4242</v>
      </c>
      <c r="C131" s="2" t="s">
        <v>4790</v>
      </c>
      <c r="D131" s="2" t="s">
        <v>4791</v>
      </c>
      <c r="E131" s="2" t="s">
        <v>4761</v>
      </c>
    </row>
    <row r="132" spans="1:5">
      <c r="A132" s="2" t="s">
        <v>4792</v>
      </c>
      <c r="B132" s="2" t="s">
        <v>4231</v>
      </c>
      <c r="C132" s="2" t="s">
        <v>4793</v>
      </c>
      <c r="D132" s="2" t="s">
        <v>4794</v>
      </c>
      <c r="E132" s="2" t="s">
        <v>4761</v>
      </c>
    </row>
    <row r="133" spans="1:5">
      <c r="A133" s="2" t="s">
        <v>2516</v>
      </c>
      <c r="B133" s="2" t="s">
        <v>4231</v>
      </c>
      <c r="C133" s="2" t="s">
        <v>4795</v>
      </c>
      <c r="D133" s="2" t="s">
        <v>4796</v>
      </c>
      <c r="E133" s="2" t="s">
        <v>4761</v>
      </c>
    </row>
    <row r="134" spans="1:5">
      <c r="A134" s="2" t="s">
        <v>2520</v>
      </c>
      <c r="B134" s="2" t="s">
        <v>4231</v>
      </c>
      <c r="C134" s="2" t="s">
        <v>4795</v>
      </c>
      <c r="D134" s="2" t="s">
        <v>4797</v>
      </c>
      <c r="E134" s="2" t="s">
        <v>4761</v>
      </c>
    </row>
    <row r="135" spans="1:5">
      <c r="A135" s="2" t="s">
        <v>2526</v>
      </c>
      <c r="B135" s="2" t="s">
        <v>4231</v>
      </c>
      <c r="C135" s="2" t="s">
        <v>4795</v>
      </c>
      <c r="D135" s="2" t="s">
        <v>4798</v>
      </c>
      <c r="E135" s="2" t="s">
        <v>4761</v>
      </c>
    </row>
    <row r="136" spans="1:5">
      <c r="A136" s="2" t="s">
        <v>2531</v>
      </c>
      <c r="B136" s="2" t="s">
        <v>4231</v>
      </c>
      <c r="C136" s="2" t="s">
        <v>4795</v>
      </c>
      <c r="D136" s="2" t="s">
        <v>4799</v>
      </c>
      <c r="E136" s="2" t="s">
        <v>4761</v>
      </c>
    </row>
    <row r="137" spans="1:5">
      <c r="A137" s="2" t="s">
        <v>2536</v>
      </c>
      <c r="B137" s="2" t="s">
        <v>4231</v>
      </c>
      <c r="C137" s="2" t="s">
        <v>4795</v>
      </c>
      <c r="D137" s="2" t="s">
        <v>4800</v>
      </c>
      <c r="E137" s="2" t="s">
        <v>4761</v>
      </c>
    </row>
    <row r="138" spans="1:5">
      <c r="A138" s="2" t="s">
        <v>2539</v>
      </c>
      <c r="B138" s="2" t="s">
        <v>4231</v>
      </c>
      <c r="C138" s="2" t="s">
        <v>4795</v>
      </c>
      <c r="D138" s="2" t="s">
        <v>4801</v>
      </c>
      <c r="E138" s="2" t="s">
        <v>4761</v>
      </c>
    </row>
    <row r="139" spans="1:5">
      <c r="A139" s="2" t="s">
        <v>2542</v>
      </c>
      <c r="B139" s="2" t="s">
        <v>4231</v>
      </c>
      <c r="C139" s="2" t="s">
        <v>4795</v>
      </c>
      <c r="D139" s="2" t="s">
        <v>4802</v>
      </c>
      <c r="E139" s="2" t="s">
        <v>4761</v>
      </c>
    </row>
    <row r="140" spans="1:5">
      <c r="A140" s="2" t="s">
        <v>2546</v>
      </c>
      <c r="B140" s="2" t="s">
        <v>4231</v>
      </c>
      <c r="C140" s="2" t="s">
        <v>4803</v>
      </c>
      <c r="D140" s="2" t="s">
        <v>4804</v>
      </c>
      <c r="E140" s="2" t="s">
        <v>4761</v>
      </c>
    </row>
    <row r="141" spans="1:5">
      <c r="A141" s="2" t="s">
        <v>2550</v>
      </c>
      <c r="B141" s="2" t="s">
        <v>4242</v>
      </c>
      <c r="C141" s="2" t="s">
        <v>4805</v>
      </c>
      <c r="D141" s="2" t="s">
        <v>4806</v>
      </c>
      <c r="E141" s="2" t="s">
        <v>4761</v>
      </c>
    </row>
    <row r="142" spans="1:5">
      <c r="A142" s="2" t="s">
        <v>2554</v>
      </c>
      <c r="B142" s="2" t="s">
        <v>4242</v>
      </c>
      <c r="C142" s="2" t="s">
        <v>4807</v>
      </c>
      <c r="D142" s="2" t="s">
        <v>4808</v>
      </c>
      <c r="E142" s="2" t="s">
        <v>4761</v>
      </c>
    </row>
    <row r="143" spans="1:5">
      <c r="A143" s="2" t="s">
        <v>2559</v>
      </c>
      <c r="B143" s="2" t="s">
        <v>4231</v>
      </c>
      <c r="C143" s="2" t="s">
        <v>4809</v>
      </c>
      <c r="D143" s="2" t="s">
        <v>4810</v>
      </c>
      <c r="E143" s="2" t="s">
        <v>4761</v>
      </c>
    </row>
    <row r="144" spans="1:5">
      <c r="A144" s="2" t="s">
        <v>2563</v>
      </c>
      <c r="B144" s="2" t="s">
        <v>4231</v>
      </c>
      <c r="C144" s="2" t="s">
        <v>4811</v>
      </c>
      <c r="D144" s="2" t="s">
        <v>4812</v>
      </c>
      <c r="E144" s="2" t="s">
        <v>4761</v>
      </c>
    </row>
    <row r="145" spans="1:5">
      <c r="A145" s="2" t="s">
        <v>2568</v>
      </c>
      <c r="B145" s="2" t="s">
        <v>4231</v>
      </c>
      <c r="C145" s="2" t="s">
        <v>4811</v>
      </c>
      <c r="D145" s="2" t="s">
        <v>4813</v>
      </c>
      <c r="E145" s="2" t="s">
        <v>4761</v>
      </c>
    </row>
    <row r="146" spans="1:5">
      <c r="A146" s="2" t="s">
        <v>2572</v>
      </c>
      <c r="B146" s="2" t="s">
        <v>4231</v>
      </c>
      <c r="C146" s="2" t="s">
        <v>4811</v>
      </c>
      <c r="D146" s="2" t="s">
        <v>4814</v>
      </c>
      <c r="E146" s="2" t="s">
        <v>4761</v>
      </c>
    </row>
    <row r="147" spans="1:5">
      <c r="A147" s="2" t="s">
        <v>2575</v>
      </c>
      <c r="B147" s="2" t="s">
        <v>4231</v>
      </c>
      <c r="C147" s="2" t="s">
        <v>4815</v>
      </c>
      <c r="D147" s="2" t="s">
        <v>4816</v>
      </c>
      <c r="E147" s="2" t="s">
        <v>4761</v>
      </c>
    </row>
    <row r="148" spans="1:5">
      <c r="A148" s="2" t="s">
        <v>2578</v>
      </c>
      <c r="B148" s="2" t="s">
        <v>4231</v>
      </c>
      <c r="C148" s="2" t="s">
        <v>4815</v>
      </c>
      <c r="D148" s="2" t="s">
        <v>4817</v>
      </c>
      <c r="E148" s="2" t="s">
        <v>4761</v>
      </c>
    </row>
    <row r="149" spans="1:5">
      <c r="A149" s="2" t="s">
        <v>2582</v>
      </c>
      <c r="B149" s="2" t="s">
        <v>4231</v>
      </c>
      <c r="C149" s="2" t="s">
        <v>4818</v>
      </c>
      <c r="D149" s="2" t="s">
        <v>4819</v>
      </c>
      <c r="E149" s="2" t="s">
        <v>4761</v>
      </c>
    </row>
    <row r="150" spans="1:5">
      <c r="A150" s="2" t="s">
        <v>2587</v>
      </c>
      <c r="B150" s="2" t="s">
        <v>4338</v>
      </c>
      <c r="C150" s="2" t="s">
        <v>4748</v>
      </c>
      <c r="D150" s="2" t="s">
        <v>4820</v>
      </c>
      <c r="E150" s="2" t="s">
        <v>4761</v>
      </c>
    </row>
    <row r="151" spans="1:5">
      <c r="A151" s="2" t="s">
        <v>2595</v>
      </c>
      <c r="B151" s="2" t="s">
        <v>4231</v>
      </c>
      <c r="C151" s="2" t="s">
        <v>4821</v>
      </c>
      <c r="D151" s="2" t="s">
        <v>4822</v>
      </c>
      <c r="E151" s="2" t="s">
        <v>4761</v>
      </c>
    </row>
    <row r="152" spans="1:5">
      <c r="A152" s="2" t="s">
        <v>2601</v>
      </c>
      <c r="B152" s="2" t="s">
        <v>4231</v>
      </c>
      <c r="C152" s="2" t="s">
        <v>4823</v>
      </c>
      <c r="D152" s="2" t="s">
        <v>4824</v>
      </c>
      <c r="E152" s="2" t="s">
        <v>4761</v>
      </c>
    </row>
    <row r="153" spans="1:5">
      <c r="A153" s="2" t="s">
        <v>2605</v>
      </c>
      <c r="B153" s="2" t="s">
        <v>4231</v>
      </c>
      <c r="C153" s="2" t="s">
        <v>4823</v>
      </c>
      <c r="D153" s="2" t="s">
        <v>4825</v>
      </c>
      <c r="E153" s="2" t="s">
        <v>4761</v>
      </c>
    </row>
    <row r="154" spans="1:5">
      <c r="A154" s="2" t="s">
        <v>2609</v>
      </c>
      <c r="B154" s="2" t="s">
        <v>4231</v>
      </c>
      <c r="C154" s="2" t="s">
        <v>4823</v>
      </c>
      <c r="D154" s="2" t="s">
        <v>4826</v>
      </c>
      <c r="E154" s="2" t="s">
        <v>4761</v>
      </c>
    </row>
    <row r="155" spans="1:5">
      <c r="A155" s="2" t="s">
        <v>2613</v>
      </c>
      <c r="B155" s="2" t="s">
        <v>4231</v>
      </c>
      <c r="C155" s="2" t="s">
        <v>4823</v>
      </c>
      <c r="D155" s="2" t="s">
        <v>4827</v>
      </c>
      <c r="E155" s="2" t="s">
        <v>4761</v>
      </c>
    </row>
    <row r="156" spans="1:5">
      <c r="A156" s="2" t="s">
        <v>2617</v>
      </c>
      <c r="B156" s="2" t="s">
        <v>4231</v>
      </c>
      <c r="C156" s="2" t="s">
        <v>4823</v>
      </c>
      <c r="D156" s="2" t="s">
        <v>4828</v>
      </c>
      <c r="E156" s="2" t="s">
        <v>4761</v>
      </c>
    </row>
    <row r="157" spans="1:5">
      <c r="A157" s="2" t="s">
        <v>2621</v>
      </c>
      <c r="B157" s="2" t="s">
        <v>4231</v>
      </c>
      <c r="C157" s="2" t="s">
        <v>4823</v>
      </c>
      <c r="D157" s="2" t="s">
        <v>4829</v>
      </c>
      <c r="E157" s="2" t="s">
        <v>4761</v>
      </c>
    </row>
    <row r="158" spans="1:5">
      <c r="A158" s="2" t="s">
        <v>2625</v>
      </c>
      <c r="B158" s="2" t="s">
        <v>4231</v>
      </c>
      <c r="C158" s="2" t="s">
        <v>4830</v>
      </c>
      <c r="D158" s="2" t="s">
        <v>4831</v>
      </c>
      <c r="E158" s="2" t="s">
        <v>4761</v>
      </c>
    </row>
    <row r="159" spans="1:5">
      <c r="A159" s="2" t="s">
        <v>4832</v>
      </c>
      <c r="B159" s="2" t="s">
        <v>4231</v>
      </c>
      <c r="C159" s="2" t="s">
        <v>4833</v>
      </c>
      <c r="D159" s="2" t="s">
        <v>4834</v>
      </c>
      <c r="E159" s="2" t="s">
        <v>4835</v>
      </c>
    </row>
    <row r="160" spans="1:5">
      <c r="A160" s="2" t="s">
        <v>4836</v>
      </c>
      <c r="B160" s="2" t="s">
        <v>4276</v>
      </c>
      <c r="C160" s="2" t="s">
        <v>4837</v>
      </c>
      <c r="D160" s="2" t="s">
        <v>4834</v>
      </c>
      <c r="E160" s="2" t="s">
        <v>4835</v>
      </c>
    </row>
    <row r="161" spans="1:5">
      <c r="A161" s="2" t="s">
        <v>4838</v>
      </c>
      <c r="B161" s="2" t="s">
        <v>4282</v>
      </c>
      <c r="C161" s="2" t="s">
        <v>4839</v>
      </c>
      <c r="D161" s="2" t="s">
        <v>4834</v>
      </c>
      <c r="E161" s="2" t="s">
        <v>4835</v>
      </c>
    </row>
    <row r="162" spans="1:5">
      <c r="A162" s="2" t="s">
        <v>2629</v>
      </c>
      <c r="B162" s="2" t="s">
        <v>4231</v>
      </c>
      <c r="C162" s="2" t="s">
        <v>4840</v>
      </c>
      <c r="D162" s="2" t="s">
        <v>4841</v>
      </c>
      <c r="E162" s="2" t="s">
        <v>4842</v>
      </c>
    </row>
    <row r="163" spans="1:5">
      <c r="A163" s="2" t="s">
        <v>2645</v>
      </c>
      <c r="B163" s="2" t="s">
        <v>4344</v>
      </c>
      <c r="C163" s="2" t="s">
        <v>4843</v>
      </c>
      <c r="D163" s="2" t="s">
        <v>4844</v>
      </c>
      <c r="E163" s="2" t="s">
        <v>4845</v>
      </c>
    </row>
    <row r="164" spans="1:5">
      <c r="A164" s="2" t="s">
        <v>2673</v>
      </c>
      <c r="B164" s="2" t="s">
        <v>4368</v>
      </c>
      <c r="C164" s="2" t="s">
        <v>4846</v>
      </c>
      <c r="D164" s="2" t="s">
        <v>4847</v>
      </c>
      <c r="E164" s="2" t="s">
        <v>4848</v>
      </c>
    </row>
    <row r="165" spans="1:5">
      <c r="A165" s="2" t="s">
        <v>4849</v>
      </c>
      <c r="B165" s="2" t="s">
        <v>4368</v>
      </c>
      <c r="C165" s="2" t="s">
        <v>4850</v>
      </c>
      <c r="D165" s="2" t="s">
        <v>4851</v>
      </c>
      <c r="E165" s="2" t="s">
        <v>4852</v>
      </c>
    </row>
    <row r="166" spans="1:5">
      <c r="A166" s="2" t="s">
        <v>4853</v>
      </c>
      <c r="B166" s="2" t="s">
        <v>4372</v>
      </c>
      <c r="C166" s="2" t="s">
        <v>4854</v>
      </c>
      <c r="D166" s="2" t="s">
        <v>4855</v>
      </c>
      <c r="E166" s="2" t="s">
        <v>4856</v>
      </c>
    </row>
    <row r="167" spans="1:5">
      <c r="A167" s="2" t="s">
        <v>2713</v>
      </c>
      <c r="B167" s="2" t="s">
        <v>4423</v>
      </c>
      <c r="C167" s="2" t="s">
        <v>4857</v>
      </c>
      <c r="D167" s="2" t="s">
        <v>4858</v>
      </c>
      <c r="E167" s="2" t="s">
        <v>4859</v>
      </c>
    </row>
    <row r="168" spans="1:5">
      <c r="A168" s="2" t="s">
        <v>2773</v>
      </c>
      <c r="B168" s="2" t="s">
        <v>4429</v>
      </c>
      <c r="C168" s="2" t="s">
        <v>4860</v>
      </c>
      <c r="D168" s="2" t="s">
        <v>4861</v>
      </c>
      <c r="E168" s="2" t="s">
        <v>4862</v>
      </c>
    </row>
    <row r="169" spans="1:5">
      <c r="A169" s="2" t="s">
        <v>2747</v>
      </c>
      <c r="B169" s="2" t="s">
        <v>4423</v>
      </c>
      <c r="C169" s="2" t="s">
        <v>4863</v>
      </c>
      <c r="D169" s="2" t="s">
        <v>4864</v>
      </c>
      <c r="E169" s="2" t="s">
        <v>4865</v>
      </c>
    </row>
    <row r="170" spans="1:5">
      <c r="A170" s="2" t="s">
        <v>2753</v>
      </c>
      <c r="B170" s="2" t="s">
        <v>4423</v>
      </c>
      <c r="C170" s="2" t="s">
        <v>4866</v>
      </c>
      <c r="D170" s="2" t="s">
        <v>4867</v>
      </c>
      <c r="E170" s="2" t="s">
        <v>4868</v>
      </c>
    </row>
    <row r="171" spans="1:5">
      <c r="A171" s="2" t="s">
        <v>2761</v>
      </c>
      <c r="B171" s="2" t="s">
        <v>4231</v>
      </c>
      <c r="C171" s="2" t="s">
        <v>4869</v>
      </c>
      <c r="D171" s="2" t="s">
        <v>4870</v>
      </c>
      <c r="E171" s="2" t="s">
        <v>4871</v>
      </c>
    </row>
    <row r="172" spans="1:5">
      <c r="A172" s="2" t="s">
        <v>4872</v>
      </c>
      <c r="B172" s="2" t="s">
        <v>4242</v>
      </c>
      <c r="C172" s="2" t="s">
        <v>4873</v>
      </c>
      <c r="D172" s="2" t="s">
        <v>4874</v>
      </c>
      <c r="E172" s="2" t="s">
        <v>4875</v>
      </c>
    </row>
    <row r="173" spans="1:5">
      <c r="A173" s="2" t="s">
        <v>2781</v>
      </c>
      <c r="B173" s="2" t="s">
        <v>4231</v>
      </c>
      <c r="C173" s="2" t="s">
        <v>4876</v>
      </c>
      <c r="D173" s="2" t="s">
        <v>4877</v>
      </c>
      <c r="E173" s="2" t="s">
        <v>4878</v>
      </c>
    </row>
    <row r="174" spans="1:5">
      <c r="A174" s="2" t="s">
        <v>2787</v>
      </c>
      <c r="B174" s="2" t="s">
        <v>4231</v>
      </c>
      <c r="C174" s="2" t="s">
        <v>4879</v>
      </c>
      <c r="D174" s="2" t="s">
        <v>4880</v>
      </c>
      <c r="E174" s="2" t="s">
        <v>4881</v>
      </c>
    </row>
    <row r="175" spans="1:5">
      <c r="A175" s="2" t="s">
        <v>4882</v>
      </c>
      <c r="B175" s="2" t="s">
        <v>4231</v>
      </c>
      <c r="C175" s="2" t="s">
        <v>4883</v>
      </c>
      <c r="D175" s="2" t="s">
        <v>4884</v>
      </c>
      <c r="E175" s="2" t="s">
        <v>4885</v>
      </c>
    </row>
    <row r="176" spans="1:5">
      <c r="A176" s="2" t="s">
        <v>4886</v>
      </c>
      <c r="B176" s="2" t="s">
        <v>4231</v>
      </c>
      <c r="C176" s="2" t="s">
        <v>4887</v>
      </c>
      <c r="D176" s="2" t="s">
        <v>4888</v>
      </c>
      <c r="E176" s="2" t="s">
        <v>4889</v>
      </c>
    </row>
    <row r="177" spans="1:5">
      <c r="A177" s="2" t="s">
        <v>4890</v>
      </c>
      <c r="B177" s="2" t="s">
        <v>4434</v>
      </c>
      <c r="C177" s="2" t="s">
        <v>4891</v>
      </c>
      <c r="D177" s="2" t="s">
        <v>4892</v>
      </c>
      <c r="E177" s="2" t="s">
        <v>4893</v>
      </c>
    </row>
    <row r="178" spans="1:5">
      <c r="A178" s="2" t="s">
        <v>4894</v>
      </c>
      <c r="B178" s="2" t="s">
        <v>4439</v>
      </c>
      <c r="C178" s="2" t="s">
        <v>4895</v>
      </c>
      <c r="D178" s="2" t="s">
        <v>4896</v>
      </c>
      <c r="E178" s="2" t="s">
        <v>4897</v>
      </c>
    </row>
    <row r="179" spans="1:5">
      <c r="A179" s="2" t="s">
        <v>2798</v>
      </c>
      <c r="B179" s="2" t="s">
        <v>4231</v>
      </c>
      <c r="C179" s="2" t="s">
        <v>4898</v>
      </c>
      <c r="D179" s="2" t="s">
        <v>4899</v>
      </c>
      <c r="E179" s="2" t="s">
        <v>4900</v>
      </c>
    </row>
    <row r="180" spans="1:5">
      <c r="A180" s="2" t="s">
        <v>2843</v>
      </c>
      <c r="B180" s="2" t="s">
        <v>4417</v>
      </c>
      <c r="C180" s="2" t="s">
        <v>4901</v>
      </c>
      <c r="D180" s="2" t="s">
        <v>4902</v>
      </c>
      <c r="E180" s="2" t="s">
        <v>4903</v>
      </c>
    </row>
    <row r="181" spans="1:5">
      <c r="A181" s="2" t="s">
        <v>1531</v>
      </c>
      <c r="B181" s="2" t="s">
        <v>4231</v>
      </c>
      <c r="C181" s="2" t="s">
        <v>4904</v>
      </c>
      <c r="D181" s="2" t="s">
        <v>4905</v>
      </c>
      <c r="E181" s="2" t="s">
        <v>4906</v>
      </c>
    </row>
    <row r="182" spans="1:5">
      <c r="A182" s="2" t="s">
        <v>2896</v>
      </c>
      <c r="B182" s="2" t="s">
        <v>4445</v>
      </c>
      <c r="C182" s="2" t="s">
        <v>4907</v>
      </c>
      <c r="D182" s="2" t="s">
        <v>4908</v>
      </c>
      <c r="E182" s="2" t="s">
        <v>4909</v>
      </c>
    </row>
    <row r="183" spans="1:5">
      <c r="A183" s="2" t="s">
        <v>2907</v>
      </c>
      <c r="B183" s="2" t="s">
        <v>4445</v>
      </c>
      <c r="C183" s="2" t="s">
        <v>4910</v>
      </c>
      <c r="D183" s="2" t="s">
        <v>4911</v>
      </c>
      <c r="E183" s="2" t="s">
        <v>4912</v>
      </c>
    </row>
    <row r="184" spans="1:5">
      <c r="A184" s="2" t="s">
        <v>4913</v>
      </c>
      <c r="B184" s="2" t="s">
        <v>4450</v>
      </c>
      <c r="C184" s="2" t="s">
        <v>4914</v>
      </c>
      <c r="D184" s="2" t="s">
        <v>4915</v>
      </c>
      <c r="E184" s="2" t="s">
        <v>4916</v>
      </c>
    </row>
    <row r="185" spans="1:5">
      <c r="A185" s="2" t="s">
        <v>4917</v>
      </c>
      <c r="B185" s="2" t="s">
        <v>4417</v>
      </c>
      <c r="C185" s="2" t="s">
        <v>4918</v>
      </c>
      <c r="D185" s="2" t="s">
        <v>4919</v>
      </c>
      <c r="E185" s="2" t="s">
        <v>4920</v>
      </c>
    </row>
    <row r="186" spans="1:5">
      <c r="A186" s="2" t="s">
        <v>2913</v>
      </c>
      <c r="B186" s="2" t="s">
        <v>4242</v>
      </c>
      <c r="C186" s="2" t="s">
        <v>4921</v>
      </c>
      <c r="D186" s="2" t="s">
        <v>4922</v>
      </c>
      <c r="E186" s="2" t="s">
        <v>4923</v>
      </c>
    </row>
    <row r="187" spans="1:5">
      <c r="A187" s="2" t="s">
        <v>2934</v>
      </c>
      <c r="B187" s="2" t="s">
        <v>4231</v>
      </c>
      <c r="C187" s="2" t="s">
        <v>4924</v>
      </c>
      <c r="D187" s="2" t="s">
        <v>4925</v>
      </c>
      <c r="E187" s="2" t="s">
        <v>4926</v>
      </c>
    </row>
    <row r="188" spans="1:5">
      <c r="A188" s="2" t="s">
        <v>2959</v>
      </c>
      <c r="B188" s="2" t="s">
        <v>4231</v>
      </c>
      <c r="C188" s="2" t="s">
        <v>4927</v>
      </c>
      <c r="D188" s="2" t="s">
        <v>4928</v>
      </c>
      <c r="E188" s="2" t="s">
        <v>4929</v>
      </c>
    </row>
    <row r="189" spans="1:5">
      <c r="A189" s="2" t="s">
        <v>2990</v>
      </c>
      <c r="B189" s="2" t="s">
        <v>4231</v>
      </c>
      <c r="C189" s="2" t="s">
        <v>4930</v>
      </c>
      <c r="D189" s="2" t="s">
        <v>4931</v>
      </c>
      <c r="E189" s="2" t="s">
        <v>4932</v>
      </c>
    </row>
    <row r="190" spans="1:5">
      <c r="A190" s="2" t="s">
        <v>3031</v>
      </c>
      <c r="B190" s="2" t="s">
        <v>4231</v>
      </c>
      <c r="C190" s="2" t="s">
        <v>4933</v>
      </c>
      <c r="D190" s="2" t="s">
        <v>4934</v>
      </c>
      <c r="E190" s="2" t="s">
        <v>4935</v>
      </c>
    </row>
    <row r="191" spans="1:5">
      <c r="A191" s="2" t="s">
        <v>4936</v>
      </c>
      <c r="B191" s="2" t="s">
        <v>4231</v>
      </c>
      <c r="C191" s="2" t="s">
        <v>4937</v>
      </c>
      <c r="D191" s="2" t="s">
        <v>4938</v>
      </c>
      <c r="E191" s="2" t="s">
        <v>4939</v>
      </c>
    </row>
    <row r="192" spans="1:5">
      <c r="A192" s="2" t="s">
        <v>4940</v>
      </c>
      <c r="B192" s="2" t="s">
        <v>4231</v>
      </c>
      <c r="C192" s="2" t="s">
        <v>4941</v>
      </c>
      <c r="D192" s="2" t="s">
        <v>4942</v>
      </c>
      <c r="E192" s="2" t="s">
        <v>4943</v>
      </c>
    </row>
  </sheetData>
  <autoFilter ref="A1:E192"/>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33</v>
      </c>
      <c r="B1" s="1" t="s">
        <v>4944</v>
      </c>
      <c r="C1" s="1" t="s">
        <v>4945</v>
      </c>
      <c r="D1" s="1" t="s">
        <v>4946</v>
      </c>
      <c r="E1" s="1" t="s">
        <v>45</v>
      </c>
      <c r="F1" s="1" t="s">
        <v>4947</v>
      </c>
      <c r="G1" s="1" t="s">
        <v>4948</v>
      </c>
      <c r="H1" s="1" t="s">
        <v>4949</v>
      </c>
      <c r="I1" s="1" t="s">
        <v>4950</v>
      </c>
    </row>
    <row r="2" spans="1:9">
      <c r="A2" s="2" t="s">
        <v>4951</v>
      </c>
      <c r="B2" s="2" t="s">
        <v>4952</v>
      </c>
      <c r="C2" s="2" t="s">
        <v>4953</v>
      </c>
      <c r="D2" s="2" t="s">
        <v>4954</v>
      </c>
      <c r="E2" s="2" t="s">
        <v>4955</v>
      </c>
      <c r="F2" s="2" t="s">
        <v>4956</v>
      </c>
      <c r="G2" s="2" t="s">
        <v>4957</v>
      </c>
      <c r="H2" s="2" t="s">
        <v>4958</v>
      </c>
      <c r="I2" s="2" t="s">
        <v>4959</v>
      </c>
    </row>
    <row r="3" spans="1:9">
      <c r="A3" s="2" t="s">
        <v>4960</v>
      </c>
      <c r="B3" s="2" t="s">
        <v>4961</v>
      </c>
      <c r="C3" s="2" t="s">
        <v>4962</v>
      </c>
      <c r="D3" s="2" t="s">
        <v>4963</v>
      </c>
      <c r="E3" s="2" t="s">
        <v>4955</v>
      </c>
      <c r="F3" s="2" t="s">
        <v>4964</v>
      </c>
      <c r="G3" s="2" t="s">
        <v>4965</v>
      </c>
      <c r="H3" s="2" t="s">
        <v>4966</v>
      </c>
      <c r="I3" s="2" t="s">
        <v>4967</v>
      </c>
    </row>
    <row r="4" spans="1:9">
      <c r="A4" s="2" t="s">
        <v>4968</v>
      </c>
      <c r="B4" s="2" t="s">
        <v>4969</v>
      </c>
      <c r="C4" s="2" t="s">
        <v>4970</v>
      </c>
      <c r="D4" s="2" t="s">
        <v>4971</v>
      </c>
      <c r="E4" s="2" t="s">
        <v>4955</v>
      </c>
      <c r="F4" s="2" t="s">
        <v>4972</v>
      </c>
      <c r="G4" s="2" t="s">
        <v>4973</v>
      </c>
      <c r="H4" s="2" t="s">
        <v>4974</v>
      </c>
      <c r="I4" s="2" t="s">
        <v>4975</v>
      </c>
    </row>
    <row r="5" spans="1:9">
      <c r="A5" s="2" t="s">
        <v>4976</v>
      </c>
      <c r="B5" s="2" t="s">
        <v>4977</v>
      </c>
      <c r="C5" s="2" t="s">
        <v>4978</v>
      </c>
      <c r="D5" s="2" t="s">
        <v>4979</v>
      </c>
      <c r="E5" s="2" t="s">
        <v>4955</v>
      </c>
      <c r="F5" s="2" t="s">
        <v>4980</v>
      </c>
      <c r="G5" s="2" t="s">
        <v>4981</v>
      </c>
      <c r="H5" s="2" t="s">
        <v>4982</v>
      </c>
      <c r="I5" s="2" t="s">
        <v>4983</v>
      </c>
    </row>
    <row r="6" spans="1:9">
      <c r="A6" s="2" t="s">
        <v>4984</v>
      </c>
      <c r="B6" s="2" t="s">
        <v>4985</v>
      </c>
      <c r="C6" s="2" t="s">
        <v>4986</v>
      </c>
      <c r="D6" s="2" t="s">
        <v>4987</v>
      </c>
      <c r="E6" s="2" t="s">
        <v>4955</v>
      </c>
      <c r="F6" s="2" t="s">
        <v>4988</v>
      </c>
      <c r="G6" s="2" t="s">
        <v>4989</v>
      </c>
      <c r="H6" s="2" t="s">
        <v>4990</v>
      </c>
      <c r="I6" s="2" t="s">
        <v>4991</v>
      </c>
    </row>
    <row r="7" spans="1:9">
      <c r="A7" s="2" t="s">
        <v>4992</v>
      </c>
      <c r="B7" s="2" t="s">
        <v>4993</v>
      </c>
      <c r="C7" s="2" t="s">
        <v>4994</v>
      </c>
      <c r="D7" s="2" t="s">
        <v>4995</v>
      </c>
      <c r="E7" s="2" t="s">
        <v>4955</v>
      </c>
      <c r="F7" s="2" t="s">
        <v>4996</v>
      </c>
      <c r="G7" s="2" t="s">
        <v>1712</v>
      </c>
      <c r="H7" s="2" t="s">
        <v>4997</v>
      </c>
      <c r="I7" s="2" t="s">
        <v>4998</v>
      </c>
    </row>
    <row r="8" spans="1:9">
      <c r="A8" s="2" t="s">
        <v>4999</v>
      </c>
      <c r="B8" s="2" t="s">
        <v>5000</v>
      </c>
      <c r="C8" s="2" t="s">
        <v>5001</v>
      </c>
      <c r="D8" s="2" t="s">
        <v>5002</v>
      </c>
      <c r="E8" s="2" t="s">
        <v>4955</v>
      </c>
      <c r="F8" s="2" t="s">
        <v>5003</v>
      </c>
      <c r="G8" s="2"/>
      <c r="H8" s="2" t="s">
        <v>5004</v>
      </c>
      <c r="I8" s="2" t="s">
        <v>5005</v>
      </c>
    </row>
    <row r="9" spans="1:9">
      <c r="A9" s="2" t="s">
        <v>5006</v>
      </c>
      <c r="B9" s="2" t="s">
        <v>5007</v>
      </c>
      <c r="C9" s="2" t="s">
        <v>5008</v>
      </c>
      <c r="D9" s="2" t="s">
        <v>5009</v>
      </c>
      <c r="E9" s="2" t="s">
        <v>5010</v>
      </c>
      <c r="F9" s="2" t="s">
        <v>5011</v>
      </c>
      <c r="G9" s="2" t="s">
        <v>1562</v>
      </c>
      <c r="H9" s="2" t="s">
        <v>5012</v>
      </c>
      <c r="I9" s="2" t="s">
        <v>5013</v>
      </c>
    </row>
    <row r="10" spans="1:9">
      <c r="A10" s="2" t="s">
        <v>5014</v>
      </c>
      <c r="B10" s="2" t="s">
        <v>5015</v>
      </c>
      <c r="C10" s="2" t="s">
        <v>5016</v>
      </c>
      <c r="D10" s="2" t="s">
        <v>5017</v>
      </c>
      <c r="E10" s="2" t="s">
        <v>5010</v>
      </c>
      <c r="F10" s="2" t="s">
        <v>5018</v>
      </c>
      <c r="G10" s="2" t="s">
        <v>5019</v>
      </c>
      <c r="H10" s="2" t="s">
        <v>5020</v>
      </c>
      <c r="I10" s="2" t="s">
        <v>5021</v>
      </c>
    </row>
    <row r="11" spans="1:9">
      <c r="A11" s="2" t="s">
        <v>5022</v>
      </c>
      <c r="B11" s="2" t="s">
        <v>5023</v>
      </c>
      <c r="C11" s="2" t="s">
        <v>5024</v>
      </c>
      <c r="D11" s="2" t="s">
        <v>5025</v>
      </c>
      <c r="E11" s="2" t="s">
        <v>5010</v>
      </c>
      <c r="F11" s="2" t="s">
        <v>5026</v>
      </c>
      <c r="G11" s="2" t="s">
        <v>3257</v>
      </c>
      <c r="H11" s="2" t="s">
        <v>5027</v>
      </c>
      <c r="I11" s="2" t="s">
        <v>5028</v>
      </c>
    </row>
    <row r="12" spans="1:9">
      <c r="A12" s="2" t="s">
        <v>5029</v>
      </c>
      <c r="B12" s="2" t="s">
        <v>5030</v>
      </c>
      <c r="C12" s="2" t="s">
        <v>5031</v>
      </c>
      <c r="D12" s="2" t="s">
        <v>5032</v>
      </c>
      <c r="E12" s="2" t="s">
        <v>5010</v>
      </c>
      <c r="F12" s="2" t="s">
        <v>5033</v>
      </c>
      <c r="G12" s="2"/>
      <c r="H12" s="2" t="s">
        <v>5034</v>
      </c>
      <c r="I12" s="2" t="s">
        <v>5035</v>
      </c>
    </row>
    <row r="13" spans="1:9">
      <c r="A13" s="2" t="s">
        <v>5036</v>
      </c>
      <c r="B13" s="2" t="s">
        <v>5037</v>
      </c>
      <c r="C13" s="2" t="s">
        <v>5038</v>
      </c>
      <c r="D13" s="2" t="s">
        <v>5039</v>
      </c>
      <c r="E13" s="2" t="s">
        <v>5010</v>
      </c>
      <c r="F13" s="2" t="s">
        <v>5040</v>
      </c>
      <c r="G13" s="2"/>
      <c r="H13" s="2" t="s">
        <v>5041</v>
      </c>
      <c r="I13" s="2" t="s">
        <v>5042</v>
      </c>
    </row>
    <row r="14" spans="1:9">
      <c r="A14" s="2" t="s">
        <v>5043</v>
      </c>
      <c r="B14" s="2" t="s">
        <v>5044</v>
      </c>
      <c r="C14" s="2" t="s">
        <v>5045</v>
      </c>
      <c r="D14" s="2" t="s">
        <v>5046</v>
      </c>
      <c r="E14" s="2" t="s">
        <v>5010</v>
      </c>
      <c r="F14" s="2" t="s">
        <v>5047</v>
      </c>
      <c r="G14" s="2"/>
      <c r="H14" s="2" t="s">
        <v>5048</v>
      </c>
      <c r="I14" s="2" t="s">
        <v>5049</v>
      </c>
    </row>
    <row r="15" spans="1:9">
      <c r="A15" s="2" t="s">
        <v>5050</v>
      </c>
      <c r="B15" s="2" t="s">
        <v>5051</v>
      </c>
      <c r="C15" s="2" t="s">
        <v>5052</v>
      </c>
      <c r="D15" s="2" t="s">
        <v>5053</v>
      </c>
      <c r="E15" s="2" t="s">
        <v>4955</v>
      </c>
      <c r="F15" s="2" t="s">
        <v>5054</v>
      </c>
      <c r="G15" s="2"/>
      <c r="H15" s="2" t="s">
        <v>5055</v>
      </c>
      <c r="I15" s="2" t="s">
        <v>5056</v>
      </c>
    </row>
    <row r="16" spans="1:9">
      <c r="A16" s="2" t="s">
        <v>5057</v>
      </c>
      <c r="B16" s="2" t="s">
        <v>5058</v>
      </c>
      <c r="C16" s="2" t="s">
        <v>5059</v>
      </c>
      <c r="D16" s="2" t="s">
        <v>5060</v>
      </c>
      <c r="E16" s="2" t="s">
        <v>5010</v>
      </c>
      <c r="F16" s="2" t="s">
        <v>5061</v>
      </c>
      <c r="G16" s="2" t="s">
        <v>2896</v>
      </c>
      <c r="H16" s="2" t="s">
        <v>5062</v>
      </c>
      <c r="I16" s="2" t="s">
        <v>5063</v>
      </c>
    </row>
    <row r="17" spans="1:9">
      <c r="A17" s="2" t="s">
        <v>5064</v>
      </c>
      <c r="B17" s="2" t="s">
        <v>5065</v>
      </c>
      <c r="C17" s="2" t="s">
        <v>5066</v>
      </c>
      <c r="D17" s="2" t="s">
        <v>5067</v>
      </c>
      <c r="E17" s="2" t="s">
        <v>5010</v>
      </c>
      <c r="F17" s="2" t="s">
        <v>5068</v>
      </c>
      <c r="G17" s="2"/>
      <c r="H17" s="2" t="s">
        <v>5069</v>
      </c>
      <c r="I17" s="2" t="s">
        <v>5070</v>
      </c>
    </row>
    <row r="18" spans="1:9">
      <c r="A18" s="2" t="s">
        <v>5071</v>
      </c>
      <c r="B18" s="2" t="s">
        <v>5072</v>
      </c>
      <c r="C18" s="2" t="s">
        <v>5073</v>
      </c>
      <c r="D18" s="2" t="s">
        <v>5074</v>
      </c>
      <c r="E18" s="2" t="s">
        <v>5010</v>
      </c>
      <c r="F18" s="2" t="s">
        <v>5075</v>
      </c>
      <c r="G18" s="2"/>
      <c r="H18" s="2" t="s">
        <v>5076</v>
      </c>
      <c r="I18" s="2" t="s">
        <v>5077</v>
      </c>
    </row>
    <row r="19" spans="1:9">
      <c r="A19" s="2" t="s">
        <v>5078</v>
      </c>
      <c r="B19" s="2" t="s">
        <v>5079</v>
      </c>
      <c r="C19" s="2" t="s">
        <v>5080</v>
      </c>
      <c r="D19" s="2" t="s">
        <v>5081</v>
      </c>
      <c r="E19" s="2" t="s">
        <v>4955</v>
      </c>
      <c r="F19" s="2" t="s">
        <v>5082</v>
      </c>
      <c r="G19" s="2"/>
      <c r="H19" s="2" t="s">
        <v>5083</v>
      </c>
      <c r="I19" s="2" t="s">
        <v>5084</v>
      </c>
    </row>
    <row r="20" spans="1:9">
      <c r="A20" s="2" t="s">
        <v>5085</v>
      </c>
      <c r="B20" s="2" t="s">
        <v>5086</v>
      </c>
      <c r="C20" s="2" t="s">
        <v>5087</v>
      </c>
      <c r="D20" s="2" t="s">
        <v>5088</v>
      </c>
      <c r="E20" s="2" t="s">
        <v>4955</v>
      </c>
      <c r="F20" s="2" t="s">
        <v>5089</v>
      </c>
      <c r="G20" s="2"/>
      <c r="H20" s="2" t="s">
        <v>5090</v>
      </c>
      <c r="I20" s="2" t="s">
        <v>5091</v>
      </c>
    </row>
    <row r="21" spans="1:9">
      <c r="A21" s="2" t="s">
        <v>5092</v>
      </c>
      <c r="B21" s="2" t="s">
        <v>5093</v>
      </c>
      <c r="C21" s="2" t="s">
        <v>5094</v>
      </c>
      <c r="D21" s="2" t="s">
        <v>5095</v>
      </c>
      <c r="E21" s="2" t="s">
        <v>5096</v>
      </c>
      <c r="F21" s="2" t="s">
        <v>5097</v>
      </c>
      <c r="G21" s="2"/>
      <c r="H21" s="2" t="s">
        <v>5098</v>
      </c>
      <c r="I21" s="2" t="s">
        <v>5099</v>
      </c>
    </row>
    <row r="22" spans="1:9">
      <c r="A22" s="2" t="s">
        <v>5100</v>
      </c>
      <c r="B22" s="2" t="s">
        <v>5101</v>
      </c>
      <c r="C22" s="2" t="s">
        <v>5102</v>
      </c>
      <c r="D22" s="2" t="s">
        <v>5103</v>
      </c>
      <c r="E22" s="2" t="s">
        <v>4955</v>
      </c>
      <c r="F22" s="2" t="s">
        <v>5104</v>
      </c>
      <c r="G22" s="2" t="s">
        <v>5105</v>
      </c>
      <c r="H22" s="2" t="s">
        <v>5106</v>
      </c>
      <c r="I22" s="2" t="s">
        <v>5107</v>
      </c>
    </row>
    <row r="23" spans="1:9">
      <c r="A23" s="2" t="s">
        <v>5108</v>
      </c>
      <c r="B23" s="2" t="s">
        <v>5109</v>
      </c>
      <c r="C23" s="2" t="s">
        <v>5110</v>
      </c>
      <c r="D23" s="2" t="s">
        <v>5111</v>
      </c>
      <c r="E23" s="2" t="s">
        <v>4955</v>
      </c>
      <c r="F23" s="2" t="s">
        <v>5112</v>
      </c>
      <c r="G23" s="2"/>
      <c r="H23" s="2" t="s">
        <v>5113</v>
      </c>
      <c r="I23" s="2" t="s">
        <v>5114</v>
      </c>
    </row>
    <row r="24" spans="1:9">
      <c r="A24" s="2" t="s">
        <v>5115</v>
      </c>
      <c r="B24" s="2" t="s">
        <v>5116</v>
      </c>
      <c r="C24" s="2" t="s">
        <v>5117</v>
      </c>
      <c r="D24" s="2" t="s">
        <v>5118</v>
      </c>
      <c r="E24" s="2" t="s">
        <v>4955</v>
      </c>
      <c r="F24" s="2" t="s">
        <v>5119</v>
      </c>
      <c r="G24" s="2"/>
      <c r="H24" s="2" t="s">
        <v>5120</v>
      </c>
      <c r="I24" s="2" t="s">
        <v>5121</v>
      </c>
    </row>
    <row r="25" spans="1:9">
      <c r="A25" s="2" t="s">
        <v>5122</v>
      </c>
      <c r="B25" s="2" t="s">
        <v>5123</v>
      </c>
      <c r="C25" s="2" t="s">
        <v>5124</v>
      </c>
      <c r="D25" s="2" t="s">
        <v>5125</v>
      </c>
      <c r="E25" s="2" t="s">
        <v>4955</v>
      </c>
      <c r="F25" s="2" t="s">
        <v>5126</v>
      </c>
      <c r="G25" s="2" t="s">
        <v>2896</v>
      </c>
      <c r="H25" s="2" t="s">
        <v>5127</v>
      </c>
      <c r="I25" s="2" t="s">
        <v>5128</v>
      </c>
    </row>
    <row r="26" spans="1:9">
      <c r="A26" s="2" t="s">
        <v>5129</v>
      </c>
      <c r="B26" s="2" t="s">
        <v>5130</v>
      </c>
      <c r="C26" s="2" t="s">
        <v>5131</v>
      </c>
      <c r="D26" s="2" t="s">
        <v>5132</v>
      </c>
      <c r="E26" s="2" t="s">
        <v>4955</v>
      </c>
      <c r="F26" s="2" t="s">
        <v>5133</v>
      </c>
      <c r="G26" s="2"/>
      <c r="H26" s="2" t="s">
        <v>5134</v>
      </c>
      <c r="I26" s="2" t="s">
        <v>5135</v>
      </c>
    </row>
    <row r="27" spans="1:9">
      <c r="A27" s="2" t="s">
        <v>5136</v>
      </c>
      <c r="B27" s="2" t="s">
        <v>5137</v>
      </c>
      <c r="C27" s="2" t="s">
        <v>5138</v>
      </c>
      <c r="D27" s="2" t="s">
        <v>5139</v>
      </c>
      <c r="E27" s="2" t="s">
        <v>5010</v>
      </c>
      <c r="F27" s="2" t="s">
        <v>5140</v>
      </c>
      <c r="G27" s="2"/>
      <c r="H27" s="2" t="s">
        <v>5141</v>
      </c>
      <c r="I27" s="2" t="s">
        <v>5142</v>
      </c>
    </row>
    <row r="28" spans="1:9">
      <c r="A28" s="2" t="s">
        <v>5143</v>
      </c>
      <c r="B28" s="2" t="s">
        <v>5144</v>
      </c>
      <c r="C28" s="2" t="s">
        <v>5145</v>
      </c>
      <c r="D28" s="2" t="s">
        <v>5146</v>
      </c>
      <c r="E28" s="2" t="s">
        <v>4955</v>
      </c>
      <c r="F28" s="2" t="s">
        <v>5147</v>
      </c>
      <c r="G28" s="2"/>
      <c r="H28" s="2" t="s">
        <v>5148</v>
      </c>
      <c r="I28" s="2" t="s">
        <v>5149</v>
      </c>
    </row>
    <row r="29" spans="1:9">
      <c r="A29" s="2" t="s">
        <v>5150</v>
      </c>
      <c r="B29" s="2" t="s">
        <v>5151</v>
      </c>
      <c r="C29" s="2" t="s">
        <v>5152</v>
      </c>
      <c r="D29" s="2" t="s">
        <v>5153</v>
      </c>
      <c r="E29" s="2" t="s">
        <v>5096</v>
      </c>
      <c r="F29" s="2" t="s">
        <v>5154</v>
      </c>
      <c r="G29" s="2"/>
      <c r="H29" s="2" t="s">
        <v>5155</v>
      </c>
      <c r="I29" s="2" t="s">
        <v>5156</v>
      </c>
    </row>
    <row r="30" spans="1:9">
      <c r="A30" s="2" t="s">
        <v>5157</v>
      </c>
      <c r="B30" s="2" t="s">
        <v>5158</v>
      </c>
      <c r="C30" s="2" t="s">
        <v>5159</v>
      </c>
      <c r="D30" s="2" t="s">
        <v>5160</v>
      </c>
      <c r="E30" s="2" t="s">
        <v>5010</v>
      </c>
      <c r="F30" s="2" t="s">
        <v>5161</v>
      </c>
      <c r="G30" s="2"/>
      <c r="H30" s="2" t="s">
        <v>5162</v>
      </c>
      <c r="I30" s="2" t="s">
        <v>5163</v>
      </c>
    </row>
    <row r="31" spans="1:9">
      <c r="A31" s="2" t="s">
        <v>5164</v>
      </c>
      <c r="B31" s="2" t="s">
        <v>5165</v>
      </c>
      <c r="C31" s="2" t="s">
        <v>5166</v>
      </c>
      <c r="D31" s="2" t="s">
        <v>5167</v>
      </c>
      <c r="E31" s="2" t="s">
        <v>5010</v>
      </c>
      <c r="F31" s="2" t="s">
        <v>2133</v>
      </c>
      <c r="G31" s="2" t="s">
        <v>1912</v>
      </c>
      <c r="H31" s="2" t="s">
        <v>5168</v>
      </c>
      <c r="I31" s="2" t="s">
        <v>5169</v>
      </c>
    </row>
    <row r="32" spans="1:9">
      <c r="A32" s="2" t="s">
        <v>5170</v>
      </c>
      <c r="B32" s="2" t="s">
        <v>5171</v>
      </c>
      <c r="C32" s="2" t="s">
        <v>5172</v>
      </c>
      <c r="D32" s="2" t="s">
        <v>5173</v>
      </c>
      <c r="E32" s="2" t="s">
        <v>5010</v>
      </c>
      <c r="F32" s="2" t="s">
        <v>5174</v>
      </c>
      <c r="G32" s="2" t="s">
        <v>1999</v>
      </c>
      <c r="H32" s="2" t="s">
        <v>5175</v>
      </c>
      <c r="I32" s="2" t="s">
        <v>5176</v>
      </c>
    </row>
    <row r="33" spans="1:9">
      <c r="A33" s="2" t="s">
        <v>5177</v>
      </c>
      <c r="B33" s="2" t="s">
        <v>5178</v>
      </c>
      <c r="C33" s="2" t="s">
        <v>5179</v>
      </c>
      <c r="D33" s="2" t="s">
        <v>5180</v>
      </c>
      <c r="E33" s="2" t="s">
        <v>5010</v>
      </c>
      <c r="F33" s="2" t="s">
        <v>2153</v>
      </c>
      <c r="G33" s="2" t="s">
        <v>5181</v>
      </c>
      <c r="H33" s="2" t="s">
        <v>5182</v>
      </c>
      <c r="I33" s="2" t="s">
        <v>5183</v>
      </c>
    </row>
    <row r="34" spans="1:9">
      <c r="A34" s="2" t="s">
        <v>5184</v>
      </c>
      <c r="B34" s="2" t="s">
        <v>5185</v>
      </c>
      <c r="C34" s="2" t="s">
        <v>5186</v>
      </c>
      <c r="D34" s="2" t="s">
        <v>5187</v>
      </c>
      <c r="E34" s="2" t="s">
        <v>5010</v>
      </c>
      <c r="F34" s="2" t="s">
        <v>5188</v>
      </c>
      <c r="G34" s="2" t="s">
        <v>5189</v>
      </c>
      <c r="H34" s="2" t="s">
        <v>5190</v>
      </c>
      <c r="I34" s="2" t="s">
        <v>5191</v>
      </c>
    </row>
    <row r="35" spans="1:9">
      <c r="A35" s="2" t="s">
        <v>5192</v>
      </c>
      <c r="B35" s="2" t="s">
        <v>5193</v>
      </c>
      <c r="C35" s="2" t="s">
        <v>5194</v>
      </c>
      <c r="D35" s="2" t="s">
        <v>5195</v>
      </c>
      <c r="E35" s="2" t="s">
        <v>5010</v>
      </c>
      <c r="F35" s="2" t="s">
        <v>5196</v>
      </c>
      <c r="G35" s="2" t="s">
        <v>5197</v>
      </c>
      <c r="H35" s="2" t="s">
        <v>5198</v>
      </c>
      <c r="I35" s="2" t="s">
        <v>5199</v>
      </c>
    </row>
    <row r="36" spans="1:9">
      <c r="A36" s="2" t="s">
        <v>5200</v>
      </c>
      <c r="B36" s="2" t="s">
        <v>5201</v>
      </c>
      <c r="C36" s="2" t="s">
        <v>5202</v>
      </c>
      <c r="D36" s="2" t="s">
        <v>5203</v>
      </c>
      <c r="E36" s="2" t="s">
        <v>5010</v>
      </c>
      <c r="F36" s="2" t="s">
        <v>5204</v>
      </c>
      <c r="G36" s="2" t="s">
        <v>5205</v>
      </c>
      <c r="H36" s="2" t="s">
        <v>5206</v>
      </c>
      <c r="I36" s="2" t="s">
        <v>5207</v>
      </c>
    </row>
    <row r="37" spans="1:9">
      <c r="A37" s="2" t="s">
        <v>5208</v>
      </c>
      <c r="B37" s="2" t="s">
        <v>5209</v>
      </c>
      <c r="C37" s="2" t="s">
        <v>5210</v>
      </c>
      <c r="D37" s="2" t="s">
        <v>5211</v>
      </c>
      <c r="E37" s="2" t="s">
        <v>4955</v>
      </c>
      <c r="F37" s="2" t="s">
        <v>1999</v>
      </c>
      <c r="G37" s="2" t="s">
        <v>5212</v>
      </c>
      <c r="H37" s="2" t="s">
        <v>5213</v>
      </c>
      <c r="I37" s="2" t="s">
        <v>5214</v>
      </c>
    </row>
    <row r="38" spans="1:9">
      <c r="A38" s="2" t="s">
        <v>5215</v>
      </c>
      <c r="B38" s="2" t="s">
        <v>5216</v>
      </c>
      <c r="C38" s="2" t="s">
        <v>5217</v>
      </c>
      <c r="D38" s="2" t="s">
        <v>5218</v>
      </c>
      <c r="E38" s="2" t="s">
        <v>5096</v>
      </c>
      <c r="F38" s="2" t="s">
        <v>5219</v>
      </c>
      <c r="G38" s="2"/>
      <c r="H38" s="2" t="s">
        <v>5220</v>
      </c>
      <c r="I38" s="2" t="s">
        <v>5221</v>
      </c>
    </row>
    <row r="39" spans="1:9">
      <c r="A39" s="2" t="s">
        <v>5222</v>
      </c>
      <c r="B39" s="2" t="s">
        <v>5223</v>
      </c>
      <c r="C39" s="2" t="s">
        <v>5224</v>
      </c>
      <c r="D39" s="2" t="s">
        <v>5225</v>
      </c>
      <c r="E39" s="2" t="s">
        <v>4955</v>
      </c>
      <c r="F39" s="2" t="s">
        <v>5226</v>
      </c>
      <c r="G39" s="2" t="s">
        <v>5227</v>
      </c>
      <c r="H39" s="2" t="s">
        <v>5228</v>
      </c>
      <c r="I39" s="2" t="s">
        <v>5229</v>
      </c>
    </row>
    <row r="40" spans="1:9">
      <c r="A40" s="2" t="s">
        <v>5230</v>
      </c>
      <c r="B40" s="2" t="s">
        <v>5231</v>
      </c>
      <c r="C40" s="2" t="s">
        <v>5232</v>
      </c>
      <c r="D40" s="2" t="s">
        <v>5233</v>
      </c>
      <c r="E40" s="2" t="s">
        <v>5096</v>
      </c>
      <c r="F40" s="2" t="s">
        <v>5234</v>
      </c>
      <c r="G40" s="2" t="s">
        <v>5235</v>
      </c>
      <c r="H40" s="2" t="s">
        <v>5236</v>
      </c>
      <c r="I40" s="2" t="s">
        <v>5237</v>
      </c>
    </row>
    <row r="41" spans="1:9">
      <c r="A41" s="2" t="s">
        <v>5238</v>
      </c>
      <c r="B41" s="2" t="s">
        <v>5239</v>
      </c>
      <c r="C41" s="2" t="s">
        <v>5240</v>
      </c>
      <c r="D41" s="2" t="s">
        <v>5241</v>
      </c>
      <c r="E41" s="2" t="s">
        <v>4955</v>
      </c>
      <c r="F41" s="2" t="s">
        <v>5242</v>
      </c>
      <c r="G41" s="2" t="s">
        <v>4664</v>
      </c>
      <c r="H41" s="2" t="s">
        <v>5243</v>
      </c>
      <c r="I41" s="2" t="s">
        <v>5244</v>
      </c>
    </row>
    <row r="42" spans="1:9">
      <c r="A42" s="2" t="s">
        <v>5245</v>
      </c>
      <c r="B42" s="2" t="s">
        <v>5246</v>
      </c>
      <c r="C42" s="2" t="s">
        <v>5247</v>
      </c>
      <c r="D42" s="2" t="s">
        <v>5248</v>
      </c>
      <c r="E42" s="2" t="s">
        <v>4955</v>
      </c>
      <c r="F42" s="2" t="s">
        <v>5249</v>
      </c>
      <c r="G42" s="2" t="s">
        <v>5250</v>
      </c>
      <c r="H42" s="2" t="s">
        <v>5251</v>
      </c>
      <c r="I42" s="2" t="s">
        <v>5252</v>
      </c>
    </row>
    <row r="43" spans="1:9">
      <c r="A43" s="2" t="s">
        <v>5253</v>
      </c>
      <c r="B43" s="2" t="s">
        <v>5254</v>
      </c>
      <c r="C43" s="2" t="s">
        <v>5255</v>
      </c>
      <c r="D43" s="2" t="s">
        <v>5256</v>
      </c>
      <c r="E43" s="2" t="s">
        <v>5010</v>
      </c>
      <c r="F43" s="2" t="s">
        <v>5257</v>
      </c>
      <c r="G43" s="2" t="s">
        <v>5258</v>
      </c>
      <c r="H43" s="2" t="s">
        <v>5259</v>
      </c>
      <c r="I43" s="2" t="s">
        <v>5260</v>
      </c>
    </row>
    <row r="44" spans="1:9">
      <c r="A44" s="2" t="s">
        <v>5261</v>
      </c>
      <c r="B44" s="2" t="s">
        <v>5262</v>
      </c>
      <c r="C44" s="2" t="s">
        <v>5263</v>
      </c>
      <c r="D44" s="2" t="s">
        <v>5264</v>
      </c>
      <c r="E44" s="2" t="s">
        <v>4955</v>
      </c>
      <c r="F44" s="2" t="s">
        <v>5265</v>
      </c>
      <c r="G44" s="2" t="s">
        <v>5266</v>
      </c>
      <c r="H44" s="2" t="s">
        <v>5267</v>
      </c>
      <c r="I44" s="2" t="s">
        <v>5268</v>
      </c>
    </row>
    <row r="45" spans="1:9">
      <c r="A45" s="2" t="s">
        <v>5269</v>
      </c>
      <c r="B45" s="2" t="s">
        <v>5270</v>
      </c>
      <c r="C45" s="2" t="s">
        <v>5271</v>
      </c>
      <c r="D45" s="2" t="s">
        <v>5272</v>
      </c>
      <c r="E45" s="2" t="s">
        <v>4955</v>
      </c>
      <c r="F45" s="2" t="s">
        <v>5273</v>
      </c>
      <c r="G45" s="2" t="s">
        <v>5274</v>
      </c>
      <c r="H45" s="2" t="s">
        <v>5275</v>
      </c>
      <c r="I45" s="2" t="s">
        <v>5276</v>
      </c>
    </row>
    <row r="46" spans="1:9">
      <c r="A46" s="2" t="s">
        <v>5277</v>
      </c>
      <c r="B46" s="2" t="s">
        <v>5278</v>
      </c>
      <c r="C46" s="2" t="s">
        <v>5279</v>
      </c>
      <c r="D46" s="2" t="s">
        <v>5280</v>
      </c>
      <c r="E46" s="2" t="s">
        <v>5096</v>
      </c>
      <c r="F46" s="2" t="s">
        <v>5281</v>
      </c>
      <c r="G46" s="2" t="s">
        <v>4480</v>
      </c>
      <c r="H46" s="2" t="s">
        <v>5282</v>
      </c>
      <c r="I46" s="2" t="s">
        <v>5283</v>
      </c>
    </row>
    <row r="47" spans="1:9">
      <c r="A47" s="2" t="s">
        <v>5284</v>
      </c>
      <c r="B47" s="2" t="s">
        <v>5285</v>
      </c>
      <c r="C47" s="2" t="s">
        <v>5286</v>
      </c>
      <c r="D47" s="2" t="s">
        <v>5287</v>
      </c>
      <c r="E47" s="2" t="s">
        <v>5010</v>
      </c>
      <c r="F47" s="2" t="s">
        <v>5288</v>
      </c>
      <c r="G47" s="2" t="s">
        <v>5289</v>
      </c>
      <c r="H47" s="2" t="s">
        <v>5290</v>
      </c>
      <c r="I47" s="2" t="s">
        <v>5291</v>
      </c>
    </row>
    <row r="48" spans="1:9">
      <c r="A48" s="2" t="s">
        <v>5292</v>
      </c>
      <c r="B48" s="2" t="s">
        <v>5293</v>
      </c>
      <c r="C48" s="2" t="s">
        <v>5294</v>
      </c>
      <c r="D48" s="2" t="s">
        <v>5295</v>
      </c>
      <c r="E48" s="2" t="s">
        <v>4955</v>
      </c>
      <c r="F48" s="2" t="s">
        <v>5296</v>
      </c>
      <c r="G48" s="2" t="s">
        <v>5297</v>
      </c>
      <c r="H48" s="2" t="s">
        <v>5298</v>
      </c>
      <c r="I48" s="2" t="s">
        <v>5299</v>
      </c>
    </row>
    <row r="49" spans="1:9">
      <c r="A49" s="2" t="s">
        <v>5300</v>
      </c>
      <c r="B49" s="2" t="s">
        <v>5301</v>
      </c>
      <c r="C49" s="2" t="s">
        <v>5302</v>
      </c>
      <c r="D49" s="2" t="s">
        <v>5303</v>
      </c>
      <c r="E49" s="2" t="s">
        <v>4955</v>
      </c>
      <c r="F49" s="2" t="s">
        <v>5304</v>
      </c>
      <c r="G49" s="2" t="s">
        <v>5305</v>
      </c>
      <c r="H49" s="2" t="s">
        <v>5306</v>
      </c>
      <c r="I49" s="2" t="s">
        <v>5307</v>
      </c>
    </row>
    <row r="50" spans="1:9">
      <c r="A50" s="2" t="s">
        <v>5308</v>
      </c>
      <c r="B50" s="2" t="s">
        <v>5309</v>
      </c>
      <c r="C50" s="2" t="s">
        <v>5310</v>
      </c>
      <c r="D50" s="2" t="s">
        <v>5311</v>
      </c>
      <c r="E50" s="2" t="s">
        <v>4955</v>
      </c>
      <c r="F50" s="2" t="s">
        <v>5312</v>
      </c>
      <c r="G50" s="2" t="s">
        <v>5313</v>
      </c>
      <c r="H50" s="2" t="s">
        <v>5314</v>
      </c>
      <c r="I50" s="2" t="s">
        <v>5315</v>
      </c>
    </row>
    <row r="51" spans="1:9">
      <c r="A51" s="2" t="s">
        <v>5316</v>
      </c>
      <c r="B51" s="2" t="s">
        <v>5317</v>
      </c>
      <c r="C51" s="2" t="s">
        <v>5318</v>
      </c>
      <c r="D51" s="2" t="s">
        <v>5319</v>
      </c>
      <c r="E51" s="2" t="s">
        <v>4955</v>
      </c>
      <c r="F51" s="2" t="s">
        <v>5320</v>
      </c>
      <c r="G51" s="2" t="s">
        <v>1712</v>
      </c>
      <c r="H51" s="2" t="s">
        <v>5321</v>
      </c>
      <c r="I51" s="2" t="s">
        <v>5322</v>
      </c>
    </row>
    <row r="52" spans="1:9">
      <c r="A52" s="2" t="s">
        <v>5323</v>
      </c>
      <c r="B52" s="2" t="s">
        <v>5324</v>
      </c>
      <c r="C52" s="2" t="s">
        <v>5325</v>
      </c>
      <c r="D52" s="2" t="s">
        <v>5326</v>
      </c>
      <c r="E52" s="2" t="s">
        <v>4955</v>
      </c>
      <c r="F52" s="2" t="s">
        <v>5327</v>
      </c>
      <c r="G52" s="2"/>
      <c r="H52" s="2" t="s">
        <v>5328</v>
      </c>
      <c r="I52" s="2" t="s">
        <v>5329</v>
      </c>
    </row>
    <row r="53" spans="1:9">
      <c r="A53" s="2" t="s">
        <v>5330</v>
      </c>
      <c r="B53" s="2" t="s">
        <v>5331</v>
      </c>
      <c r="C53" s="2" t="s">
        <v>5332</v>
      </c>
      <c r="D53" s="2" t="s">
        <v>5333</v>
      </c>
      <c r="E53" s="2" t="s">
        <v>4955</v>
      </c>
      <c r="F53" s="2" t="s">
        <v>5320</v>
      </c>
      <c r="G53" s="2" t="s">
        <v>1712</v>
      </c>
      <c r="H53" s="2" t="s">
        <v>5334</v>
      </c>
      <c r="I53" s="2" t="s">
        <v>5335</v>
      </c>
    </row>
    <row r="54" spans="1:9">
      <c r="A54" s="2" t="s">
        <v>5336</v>
      </c>
      <c r="B54" s="2" t="s">
        <v>5337</v>
      </c>
      <c r="C54" s="2" t="s">
        <v>5338</v>
      </c>
      <c r="D54" s="2" t="s">
        <v>5339</v>
      </c>
      <c r="E54" s="2" t="s">
        <v>5096</v>
      </c>
      <c r="F54" s="2" t="s">
        <v>5340</v>
      </c>
      <c r="G54" s="2" t="s">
        <v>4480</v>
      </c>
      <c r="H54" s="2" t="s">
        <v>5341</v>
      </c>
      <c r="I54" s="2" t="s">
        <v>5342</v>
      </c>
    </row>
    <row r="55" spans="1:9">
      <c r="A55" s="2" t="s">
        <v>5343</v>
      </c>
      <c r="B55" s="2" t="s">
        <v>5344</v>
      </c>
      <c r="C55" s="2" t="s">
        <v>5345</v>
      </c>
      <c r="D55" s="2" t="s">
        <v>5346</v>
      </c>
      <c r="E55" s="2" t="s">
        <v>5096</v>
      </c>
      <c r="F55" s="2" t="s">
        <v>5347</v>
      </c>
      <c r="G55" s="2" t="s">
        <v>3575</v>
      </c>
      <c r="H55" s="2" t="s">
        <v>5348</v>
      </c>
      <c r="I55" s="2" t="s">
        <v>5349</v>
      </c>
    </row>
    <row r="56" spans="1:9">
      <c r="A56" s="2" t="s">
        <v>5350</v>
      </c>
      <c r="B56" s="2" t="s">
        <v>5351</v>
      </c>
      <c r="C56" s="2" t="s">
        <v>5352</v>
      </c>
      <c r="D56" s="2" t="s">
        <v>5353</v>
      </c>
      <c r="E56" s="2" t="s">
        <v>5096</v>
      </c>
      <c r="F56" s="2" t="s">
        <v>5354</v>
      </c>
      <c r="G56" s="2" t="s">
        <v>5355</v>
      </c>
      <c r="H56" s="2" t="s">
        <v>5356</v>
      </c>
      <c r="I56" s="2" t="s">
        <v>5357</v>
      </c>
    </row>
    <row r="57" spans="1:9">
      <c r="A57" s="2" t="s">
        <v>5358</v>
      </c>
      <c r="B57" s="2" t="s">
        <v>5359</v>
      </c>
      <c r="C57" s="2" t="s">
        <v>5360</v>
      </c>
      <c r="D57" s="2" t="s">
        <v>5361</v>
      </c>
      <c r="E57" s="2" t="s">
        <v>4955</v>
      </c>
      <c r="F57" s="2" t="s">
        <v>5362</v>
      </c>
      <c r="G57" s="2"/>
      <c r="H57" s="2" t="s">
        <v>5363</v>
      </c>
      <c r="I57" s="2" t="s">
        <v>5364</v>
      </c>
    </row>
    <row r="58" spans="1:9">
      <c r="A58" s="2" t="s">
        <v>5365</v>
      </c>
      <c r="B58" s="2" t="s">
        <v>5366</v>
      </c>
      <c r="C58" s="2" t="s">
        <v>5367</v>
      </c>
      <c r="D58" s="2" t="s">
        <v>5368</v>
      </c>
      <c r="E58" s="2" t="s">
        <v>4955</v>
      </c>
      <c r="F58" s="2" t="s">
        <v>5369</v>
      </c>
      <c r="G58" s="2"/>
      <c r="H58" s="2" t="s">
        <v>5370</v>
      </c>
      <c r="I58" s="2" t="s">
        <v>5371</v>
      </c>
    </row>
    <row r="59" spans="1:9">
      <c r="A59" s="2" t="s">
        <v>5372</v>
      </c>
      <c r="B59" s="2" t="s">
        <v>5373</v>
      </c>
      <c r="C59" s="2" t="s">
        <v>5374</v>
      </c>
      <c r="D59" s="2" t="s">
        <v>5375</v>
      </c>
      <c r="E59" s="2" t="s">
        <v>4955</v>
      </c>
      <c r="F59" s="2" t="s">
        <v>5376</v>
      </c>
      <c r="G59" s="2"/>
      <c r="H59" s="2" t="s">
        <v>5377</v>
      </c>
      <c r="I59" s="2" t="s">
        <v>5378</v>
      </c>
    </row>
  </sheetData>
  <autoFilter ref="A1:I59"/>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33</v>
      </c>
      <c r="B1" s="1" t="s">
        <v>5379</v>
      </c>
      <c r="C1" s="1" t="s">
        <v>5380</v>
      </c>
      <c r="D1" s="1" t="s">
        <v>5381</v>
      </c>
      <c r="E1" s="1" t="s">
        <v>5382</v>
      </c>
      <c r="F1" s="1" t="s">
        <v>5383</v>
      </c>
      <c r="G1" s="1" t="s">
        <v>45</v>
      </c>
      <c r="H1" s="1" t="s">
        <v>5384</v>
      </c>
      <c r="I1" s="1" t="s">
        <v>35</v>
      </c>
      <c r="J1" s="1" t="s">
        <v>5385</v>
      </c>
    </row>
    <row r="2" spans="1:10">
      <c r="A2" s="2" t="s">
        <v>5386</v>
      </c>
      <c r="B2" s="2" t="s">
        <v>4999</v>
      </c>
      <c r="C2" s="2" t="s">
        <v>5387</v>
      </c>
      <c r="D2" s="2" t="s">
        <v>5388</v>
      </c>
      <c r="E2" s="2" t="s">
        <v>5389</v>
      </c>
      <c r="F2" s="2" t="s">
        <v>5390</v>
      </c>
      <c r="G2" s="2" t="s">
        <v>5391</v>
      </c>
      <c r="H2" s="2" t="s">
        <v>5392</v>
      </c>
      <c r="I2" s="2" t="s">
        <v>5393</v>
      </c>
      <c r="J2" s="2" t="s">
        <v>5394</v>
      </c>
    </row>
    <row r="3" spans="1:10">
      <c r="A3" s="2" t="s">
        <v>5395</v>
      </c>
      <c r="B3" s="2" t="s">
        <v>5057</v>
      </c>
      <c r="C3" s="2" t="s">
        <v>5396</v>
      </c>
      <c r="D3" s="2" t="s">
        <v>5397</v>
      </c>
      <c r="E3" s="2" t="s">
        <v>5398</v>
      </c>
      <c r="F3" s="2" t="s">
        <v>5399</v>
      </c>
      <c r="G3" s="2" t="s">
        <v>5391</v>
      </c>
      <c r="H3" s="2" t="s">
        <v>5400</v>
      </c>
      <c r="I3" s="2" t="s">
        <v>5401</v>
      </c>
      <c r="J3" s="2" t="s">
        <v>5402</v>
      </c>
    </row>
    <row r="4" spans="1:10">
      <c r="A4" s="2" t="s">
        <v>5403</v>
      </c>
      <c r="B4" s="2" t="s">
        <v>5092</v>
      </c>
      <c r="C4" s="2" t="s">
        <v>5387</v>
      </c>
      <c r="D4" s="2" t="s">
        <v>5388</v>
      </c>
      <c r="E4" s="2" t="s">
        <v>5389</v>
      </c>
      <c r="F4" s="2" t="s">
        <v>5404</v>
      </c>
      <c r="G4" s="2" t="s">
        <v>5391</v>
      </c>
      <c r="H4" s="2" t="s">
        <v>5405</v>
      </c>
      <c r="I4" s="2" t="s">
        <v>1019</v>
      </c>
      <c r="J4" s="2" t="s">
        <v>5394</v>
      </c>
    </row>
    <row r="5" spans="1:10">
      <c r="A5" s="2" t="s">
        <v>5406</v>
      </c>
      <c r="B5" s="2" t="s">
        <v>5129</v>
      </c>
      <c r="C5" s="2" t="s">
        <v>5387</v>
      </c>
      <c r="D5" s="2" t="s">
        <v>5388</v>
      </c>
      <c r="E5" s="2" t="s">
        <v>5389</v>
      </c>
      <c r="F5" s="2" t="s">
        <v>5407</v>
      </c>
      <c r="G5" s="2" t="s">
        <v>5391</v>
      </c>
      <c r="H5" s="2" t="s">
        <v>5408</v>
      </c>
      <c r="I5" s="2" t="s">
        <v>5409</v>
      </c>
      <c r="J5" s="2" t="s">
        <v>5394</v>
      </c>
    </row>
    <row r="6" spans="1:10">
      <c r="A6" s="2" t="s">
        <v>5410</v>
      </c>
      <c r="B6" s="2" t="s">
        <v>5143</v>
      </c>
      <c r="C6" s="2" t="s">
        <v>5387</v>
      </c>
      <c r="D6" s="2" t="s">
        <v>5388</v>
      </c>
      <c r="E6" s="2" t="s">
        <v>5389</v>
      </c>
      <c r="F6" s="2" t="s">
        <v>5411</v>
      </c>
      <c r="G6" s="2" t="s">
        <v>5391</v>
      </c>
      <c r="H6" s="2" t="s">
        <v>5412</v>
      </c>
      <c r="I6" s="2" t="s">
        <v>5413</v>
      </c>
      <c r="J6" s="2" t="s">
        <v>5394</v>
      </c>
    </row>
    <row r="7" spans="1:10">
      <c r="A7" s="2" t="s">
        <v>5414</v>
      </c>
      <c r="B7" s="2" t="s">
        <v>4999</v>
      </c>
      <c r="C7" s="2" t="s">
        <v>5415</v>
      </c>
      <c r="D7" s="2" t="s">
        <v>5416</v>
      </c>
      <c r="E7" s="2" t="s">
        <v>5417</v>
      </c>
      <c r="F7" s="2" t="s">
        <v>5418</v>
      </c>
      <c r="G7" s="2" t="s">
        <v>5419</v>
      </c>
      <c r="H7" s="2" t="s">
        <v>5420</v>
      </c>
      <c r="I7" s="2"/>
      <c r="J7" s="2" t="s">
        <v>5421</v>
      </c>
    </row>
    <row r="8" spans="1:10">
      <c r="A8" s="2" t="s">
        <v>5422</v>
      </c>
      <c r="B8" s="2" t="s">
        <v>5022</v>
      </c>
      <c r="C8" s="2" t="s">
        <v>5423</v>
      </c>
      <c r="D8" s="2" t="s">
        <v>5424</v>
      </c>
      <c r="E8" s="2" t="s">
        <v>5425</v>
      </c>
      <c r="F8" s="2" t="s">
        <v>5426</v>
      </c>
      <c r="G8" s="2" t="s">
        <v>5419</v>
      </c>
      <c r="H8" s="2" t="s">
        <v>5427</v>
      </c>
      <c r="I8" s="2" t="s">
        <v>5428</v>
      </c>
      <c r="J8" s="2" t="s">
        <v>5421</v>
      </c>
    </row>
    <row r="9" spans="1:10">
      <c r="A9" s="2" t="s">
        <v>5429</v>
      </c>
      <c r="B9" s="2" t="s">
        <v>5029</v>
      </c>
      <c r="C9" s="2" t="s">
        <v>5415</v>
      </c>
      <c r="D9" s="2" t="s">
        <v>5416</v>
      </c>
      <c r="E9" s="2" t="s">
        <v>5417</v>
      </c>
      <c r="F9" s="2" t="s">
        <v>5430</v>
      </c>
      <c r="G9" s="2" t="s">
        <v>5419</v>
      </c>
      <c r="H9" s="2" t="s">
        <v>5420</v>
      </c>
      <c r="I9" s="2"/>
      <c r="J9" s="2" t="s">
        <v>5421</v>
      </c>
    </row>
    <row r="10" spans="1:10">
      <c r="A10" s="2" t="s">
        <v>5431</v>
      </c>
      <c r="B10" s="2" t="s">
        <v>5036</v>
      </c>
      <c r="C10" s="2" t="s">
        <v>5415</v>
      </c>
      <c r="D10" s="2" t="s">
        <v>5416</v>
      </c>
      <c r="E10" s="2" t="s">
        <v>5417</v>
      </c>
      <c r="F10" s="2" t="s">
        <v>5432</v>
      </c>
      <c r="G10" s="2" t="s">
        <v>5419</v>
      </c>
      <c r="H10" s="2" t="s">
        <v>5420</v>
      </c>
      <c r="I10" s="2"/>
      <c r="J10" s="2" t="s">
        <v>5421</v>
      </c>
    </row>
    <row r="11" spans="1:10">
      <c r="A11" s="2" t="s">
        <v>5433</v>
      </c>
      <c r="B11" s="2" t="s">
        <v>5050</v>
      </c>
      <c r="C11" s="2" t="s">
        <v>5415</v>
      </c>
      <c r="D11" s="2" t="s">
        <v>5416</v>
      </c>
      <c r="E11" s="2" t="s">
        <v>5417</v>
      </c>
      <c r="F11" s="2" t="s">
        <v>5434</v>
      </c>
      <c r="G11" s="2" t="s">
        <v>5419</v>
      </c>
      <c r="H11" s="2" t="s">
        <v>5420</v>
      </c>
      <c r="I11" s="2"/>
      <c r="J11" s="2" t="s">
        <v>5421</v>
      </c>
    </row>
    <row r="12" spans="1:10">
      <c r="A12" s="2" t="s">
        <v>5435</v>
      </c>
      <c r="B12" s="2" t="s">
        <v>5078</v>
      </c>
      <c r="C12" s="2" t="s">
        <v>5415</v>
      </c>
      <c r="D12" s="2" t="s">
        <v>5416</v>
      </c>
      <c r="E12" s="2" t="s">
        <v>5417</v>
      </c>
      <c r="F12" s="2" t="s">
        <v>5436</v>
      </c>
      <c r="G12" s="2" t="s">
        <v>5419</v>
      </c>
      <c r="H12" s="2" t="s">
        <v>5420</v>
      </c>
      <c r="I12" s="2"/>
      <c r="J12" s="2" t="s">
        <v>5421</v>
      </c>
    </row>
    <row r="13" spans="1:10">
      <c r="A13" s="2" t="s">
        <v>5437</v>
      </c>
      <c r="B13" s="2" t="s">
        <v>5085</v>
      </c>
      <c r="C13" s="2" t="s">
        <v>5415</v>
      </c>
      <c r="D13" s="2" t="s">
        <v>5416</v>
      </c>
      <c r="E13" s="2" t="s">
        <v>5417</v>
      </c>
      <c r="F13" s="2" t="s">
        <v>5438</v>
      </c>
      <c r="G13" s="2" t="s">
        <v>5419</v>
      </c>
      <c r="H13" s="2" t="s">
        <v>5420</v>
      </c>
      <c r="I13" s="2"/>
      <c r="J13" s="2" t="s">
        <v>5421</v>
      </c>
    </row>
    <row r="14" spans="1:10">
      <c r="A14" s="2" t="s">
        <v>5439</v>
      </c>
      <c r="B14" s="2" t="s">
        <v>5092</v>
      </c>
      <c r="C14" s="2" t="s">
        <v>5440</v>
      </c>
      <c r="D14" s="2" t="s">
        <v>5441</v>
      </c>
      <c r="E14" s="2" t="s">
        <v>5442</v>
      </c>
      <c r="F14" s="2" t="s">
        <v>5443</v>
      </c>
      <c r="G14" s="2" t="s">
        <v>5419</v>
      </c>
      <c r="H14" s="2" t="s">
        <v>5444</v>
      </c>
      <c r="I14" s="2" t="s">
        <v>5445</v>
      </c>
      <c r="J14" s="2" t="s">
        <v>5421</v>
      </c>
    </row>
    <row r="15" spans="1:10">
      <c r="A15" s="2" t="s">
        <v>5446</v>
      </c>
      <c r="B15" s="2" t="s">
        <v>5100</v>
      </c>
      <c r="C15" s="2" t="s">
        <v>5447</v>
      </c>
      <c r="D15" s="2" t="s">
        <v>5448</v>
      </c>
      <c r="E15" s="2" t="s">
        <v>5449</v>
      </c>
      <c r="F15" s="2" t="s">
        <v>5450</v>
      </c>
      <c r="G15" s="2" t="s">
        <v>5419</v>
      </c>
      <c r="H15" s="2" t="s">
        <v>5451</v>
      </c>
      <c r="I15" s="2" t="s">
        <v>5452</v>
      </c>
      <c r="J15" s="2" t="s">
        <v>5421</v>
      </c>
    </row>
    <row r="16" spans="1:10">
      <c r="A16" s="2" t="s">
        <v>5453</v>
      </c>
      <c r="B16" s="2" t="s">
        <v>5108</v>
      </c>
      <c r="C16" s="2" t="s">
        <v>5415</v>
      </c>
      <c r="D16" s="2" t="s">
        <v>5416</v>
      </c>
      <c r="E16" s="2" t="s">
        <v>5417</v>
      </c>
      <c r="F16" s="2" t="s">
        <v>5454</v>
      </c>
      <c r="G16" s="2" t="s">
        <v>5419</v>
      </c>
      <c r="H16" s="2" t="s">
        <v>5420</v>
      </c>
      <c r="I16" s="2"/>
      <c r="J16" s="2" t="s">
        <v>5421</v>
      </c>
    </row>
    <row r="17" spans="1:10">
      <c r="A17" s="2" t="s">
        <v>5455</v>
      </c>
      <c r="B17" s="2" t="s">
        <v>5122</v>
      </c>
      <c r="C17" s="2" t="s">
        <v>5456</v>
      </c>
      <c r="D17" s="2" t="s">
        <v>5457</v>
      </c>
      <c r="E17" s="2" t="s">
        <v>5458</v>
      </c>
      <c r="F17" s="2" t="s">
        <v>5459</v>
      </c>
      <c r="G17" s="2" t="s">
        <v>5419</v>
      </c>
      <c r="H17" s="2" t="s">
        <v>5460</v>
      </c>
      <c r="I17" s="2" t="s">
        <v>5461</v>
      </c>
      <c r="J17" s="2" t="s">
        <v>5421</v>
      </c>
    </row>
    <row r="18" spans="1:10">
      <c r="A18" s="2" t="s">
        <v>5462</v>
      </c>
      <c r="B18" s="2" t="s">
        <v>5136</v>
      </c>
      <c r="C18" s="2" t="s">
        <v>5415</v>
      </c>
      <c r="D18" s="2" t="s">
        <v>5416</v>
      </c>
      <c r="E18" s="2" t="s">
        <v>5417</v>
      </c>
      <c r="F18" s="2" t="s">
        <v>5463</v>
      </c>
      <c r="G18" s="2" t="s">
        <v>5419</v>
      </c>
      <c r="H18" s="2" t="s">
        <v>5420</v>
      </c>
      <c r="I18" s="2"/>
      <c r="J18" s="2" t="s">
        <v>5421</v>
      </c>
    </row>
    <row r="19" spans="1:10">
      <c r="A19" s="2" t="s">
        <v>5464</v>
      </c>
      <c r="B19" s="2" t="s">
        <v>5143</v>
      </c>
      <c r="C19" s="2" t="s">
        <v>5415</v>
      </c>
      <c r="D19" s="2" t="s">
        <v>5416</v>
      </c>
      <c r="E19" s="2" t="s">
        <v>5417</v>
      </c>
      <c r="F19" s="2" t="s">
        <v>5465</v>
      </c>
      <c r="G19" s="2" t="s">
        <v>5419</v>
      </c>
      <c r="H19" s="2" t="s">
        <v>5420</v>
      </c>
      <c r="I19" s="2"/>
      <c r="J19" s="2" t="s">
        <v>5421</v>
      </c>
    </row>
    <row r="20" spans="1:10">
      <c r="A20" s="2" t="s">
        <v>5466</v>
      </c>
      <c r="B20" s="2" t="s">
        <v>5150</v>
      </c>
      <c r="C20" s="2" t="s">
        <v>5467</v>
      </c>
      <c r="D20" s="2" t="s">
        <v>5468</v>
      </c>
      <c r="E20" s="2" t="s">
        <v>5469</v>
      </c>
      <c r="F20" s="2" t="s">
        <v>5470</v>
      </c>
      <c r="G20" s="2" t="s">
        <v>5391</v>
      </c>
      <c r="H20" s="2" t="s">
        <v>5471</v>
      </c>
      <c r="I20" s="2" t="s">
        <v>4544</v>
      </c>
      <c r="J20" s="2" t="s">
        <v>5394</v>
      </c>
    </row>
    <row r="21" spans="1:10">
      <c r="A21" s="2" t="s">
        <v>5472</v>
      </c>
      <c r="B21" s="2" t="s">
        <v>5230</v>
      </c>
      <c r="C21" s="2" t="s">
        <v>5473</v>
      </c>
      <c r="D21" s="2" t="s">
        <v>5474</v>
      </c>
      <c r="E21" s="2" t="s">
        <v>5475</v>
      </c>
      <c r="F21" s="2" t="s">
        <v>5476</v>
      </c>
      <c r="G21" s="2" t="s">
        <v>5477</v>
      </c>
      <c r="H21" s="2" t="s">
        <v>5478</v>
      </c>
      <c r="I21" s="2" t="s">
        <v>5479</v>
      </c>
      <c r="J21" s="2" t="s">
        <v>5480</v>
      </c>
    </row>
    <row r="22" spans="1:10">
      <c r="A22" s="2" t="s">
        <v>5481</v>
      </c>
      <c r="B22" s="2" t="s">
        <v>5245</v>
      </c>
      <c r="C22" s="2" t="s">
        <v>5482</v>
      </c>
      <c r="D22" s="2" t="s">
        <v>5483</v>
      </c>
      <c r="E22" s="2" t="s">
        <v>5484</v>
      </c>
      <c r="F22" s="2" t="s">
        <v>5485</v>
      </c>
      <c r="G22" s="2" t="s">
        <v>5391</v>
      </c>
      <c r="H22" s="2" t="s">
        <v>5486</v>
      </c>
      <c r="I22" s="2" t="s">
        <v>5487</v>
      </c>
      <c r="J22" s="2" t="s">
        <v>5480</v>
      </c>
    </row>
    <row r="23" spans="1:10">
      <c r="A23" s="2" t="s">
        <v>5488</v>
      </c>
      <c r="B23" s="2" t="s">
        <v>5253</v>
      </c>
      <c r="C23" s="2" t="s">
        <v>5489</v>
      </c>
      <c r="D23" s="2" t="s">
        <v>5490</v>
      </c>
      <c r="E23" s="2" t="s">
        <v>5491</v>
      </c>
      <c r="F23" s="2" t="s">
        <v>5492</v>
      </c>
      <c r="G23" s="2" t="s">
        <v>5391</v>
      </c>
      <c r="H23" s="2" t="s">
        <v>5493</v>
      </c>
      <c r="I23" s="2" t="s">
        <v>5494</v>
      </c>
      <c r="J23" s="2" t="s">
        <v>5480</v>
      </c>
    </row>
    <row r="24" spans="1:10">
      <c r="A24" s="2" t="s">
        <v>5495</v>
      </c>
      <c r="B24" s="2" t="s">
        <v>5261</v>
      </c>
      <c r="C24" s="2" t="s">
        <v>5496</v>
      </c>
      <c r="D24" s="2" t="s">
        <v>5497</v>
      </c>
      <c r="E24" s="2" t="s">
        <v>5498</v>
      </c>
      <c r="F24" s="2" t="s">
        <v>5499</v>
      </c>
      <c r="G24" s="2" t="s">
        <v>5477</v>
      </c>
      <c r="H24" s="2" t="s">
        <v>5500</v>
      </c>
      <c r="I24" s="2" t="s">
        <v>5501</v>
      </c>
      <c r="J24" s="2" t="s">
        <v>5480</v>
      </c>
    </row>
    <row r="25" spans="1:10">
      <c r="A25" s="2" t="s">
        <v>5502</v>
      </c>
      <c r="B25" s="2" t="s">
        <v>5122</v>
      </c>
      <c r="C25" s="2" t="s">
        <v>5503</v>
      </c>
      <c r="D25" s="2" t="s">
        <v>5504</v>
      </c>
      <c r="E25" s="2" t="s">
        <v>5505</v>
      </c>
      <c r="F25" s="2" t="s">
        <v>5506</v>
      </c>
      <c r="G25" s="2" t="s">
        <v>5391</v>
      </c>
      <c r="H25" s="2" t="s">
        <v>5507</v>
      </c>
      <c r="I25" s="2" t="s">
        <v>5508</v>
      </c>
      <c r="J25" s="2" t="s">
        <v>5394</v>
      </c>
    </row>
    <row r="26" spans="1:10">
      <c r="A26" s="2" t="s">
        <v>5509</v>
      </c>
      <c r="B26" s="2" t="s">
        <v>5350</v>
      </c>
      <c r="C26" s="2" t="s">
        <v>5510</v>
      </c>
      <c r="D26" s="2" t="s">
        <v>5511</v>
      </c>
      <c r="E26" s="2" t="s">
        <v>5512</v>
      </c>
      <c r="F26" s="2" t="s">
        <v>5513</v>
      </c>
      <c r="G26" s="2" t="s">
        <v>5419</v>
      </c>
      <c r="H26" s="2" t="s">
        <v>5514</v>
      </c>
      <c r="I26" s="2" t="s">
        <v>5515</v>
      </c>
      <c r="J26" s="2" t="s">
        <v>5421</v>
      </c>
    </row>
  </sheetData>
  <autoFilter ref="A1:J26"/>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33</v>
      </c>
      <c r="B1" s="1" t="s">
        <v>5379</v>
      </c>
      <c r="C1" s="1" t="s">
        <v>5516</v>
      </c>
      <c r="D1" s="1" t="s">
        <v>5517</v>
      </c>
      <c r="E1" s="1" t="s">
        <v>5518</v>
      </c>
      <c r="F1" s="1" t="s">
        <v>5519</v>
      </c>
    </row>
    <row r="2" spans="1:6">
      <c r="A2" s="2" t="s">
        <v>5520</v>
      </c>
      <c r="B2" s="2" t="s">
        <v>4999</v>
      </c>
      <c r="C2" s="2" t="s">
        <v>5418</v>
      </c>
      <c r="D2" s="2" t="s">
        <v>5521</v>
      </c>
      <c r="E2" s="2" t="s">
        <v>5522</v>
      </c>
      <c r="F2" s="2" t="s">
        <v>5005</v>
      </c>
    </row>
    <row r="3" spans="1:6">
      <c r="A3" s="2" t="s">
        <v>5523</v>
      </c>
      <c r="B3" s="2" t="s">
        <v>5022</v>
      </c>
      <c r="C3" s="2" t="s">
        <v>5524</v>
      </c>
      <c r="D3" s="2" t="s">
        <v>5525</v>
      </c>
      <c r="E3" s="2" t="s">
        <v>5522</v>
      </c>
      <c r="F3" s="2" t="s">
        <v>5028</v>
      </c>
    </row>
    <row r="4" spans="1:6">
      <c r="A4" s="2" t="s">
        <v>5526</v>
      </c>
      <c r="B4" s="2" t="s">
        <v>5029</v>
      </c>
      <c r="C4" s="2" t="s">
        <v>5430</v>
      </c>
      <c r="D4" s="2" t="s">
        <v>5527</v>
      </c>
      <c r="E4" s="2" t="s">
        <v>5522</v>
      </c>
      <c r="F4" s="2" t="s">
        <v>5035</v>
      </c>
    </row>
    <row r="5" spans="1:6">
      <c r="A5" s="2" t="s">
        <v>5528</v>
      </c>
      <c r="B5" s="2" t="s">
        <v>5036</v>
      </c>
      <c r="C5" s="2" t="s">
        <v>5432</v>
      </c>
      <c r="D5" s="2" t="s">
        <v>5529</v>
      </c>
      <c r="E5" s="2" t="s">
        <v>5522</v>
      </c>
      <c r="F5" s="2" t="s">
        <v>5042</v>
      </c>
    </row>
    <row r="6" spans="1:6">
      <c r="A6" s="2" t="s">
        <v>5530</v>
      </c>
      <c r="B6" s="2" t="s">
        <v>5050</v>
      </c>
      <c r="C6" s="2" t="s">
        <v>5434</v>
      </c>
      <c r="D6" s="2" t="s">
        <v>5531</v>
      </c>
      <c r="E6" s="2" t="s">
        <v>5522</v>
      </c>
      <c r="F6" s="2" t="s">
        <v>5056</v>
      </c>
    </row>
    <row r="7" spans="1:6">
      <c r="A7" s="2" t="s">
        <v>5532</v>
      </c>
      <c r="B7" s="2" t="s">
        <v>5078</v>
      </c>
      <c r="C7" s="2" t="s">
        <v>5436</v>
      </c>
      <c r="D7" s="2" t="s">
        <v>5533</v>
      </c>
      <c r="E7" s="2" t="s">
        <v>5522</v>
      </c>
      <c r="F7" s="2" t="s">
        <v>5084</v>
      </c>
    </row>
    <row r="8" spans="1:6">
      <c r="A8" s="2" t="s">
        <v>5534</v>
      </c>
      <c r="B8" s="2" t="s">
        <v>5085</v>
      </c>
      <c r="C8" s="2" t="s">
        <v>5438</v>
      </c>
      <c r="D8" s="2" t="s">
        <v>5535</v>
      </c>
      <c r="E8" s="2" t="s">
        <v>5522</v>
      </c>
      <c r="F8" s="2" t="s">
        <v>5091</v>
      </c>
    </row>
    <row r="9" spans="1:6">
      <c r="A9" s="2" t="s">
        <v>5536</v>
      </c>
      <c r="B9" s="2" t="s">
        <v>5092</v>
      </c>
      <c r="C9" s="2" t="s">
        <v>5537</v>
      </c>
      <c r="D9" s="2" t="s">
        <v>5538</v>
      </c>
      <c r="E9" s="2" t="s">
        <v>5522</v>
      </c>
      <c r="F9" s="2" t="s">
        <v>5099</v>
      </c>
    </row>
    <row r="10" spans="1:6">
      <c r="A10" s="2" t="s">
        <v>5539</v>
      </c>
      <c r="B10" s="2" t="s">
        <v>5100</v>
      </c>
      <c r="C10" s="2" t="s">
        <v>5540</v>
      </c>
      <c r="D10" s="2" t="s">
        <v>5541</v>
      </c>
      <c r="E10" s="2" t="s">
        <v>5542</v>
      </c>
      <c r="F10" s="2" t="s">
        <v>5543</v>
      </c>
    </row>
    <row r="11" spans="1:6">
      <c r="A11" s="2" t="s">
        <v>5544</v>
      </c>
      <c r="B11" s="2" t="s">
        <v>5108</v>
      </c>
      <c r="C11" s="2" t="s">
        <v>5454</v>
      </c>
      <c r="D11" s="2" t="s">
        <v>5545</v>
      </c>
      <c r="E11" s="2" t="s">
        <v>5522</v>
      </c>
      <c r="F11" s="2" t="s">
        <v>5114</v>
      </c>
    </row>
    <row r="12" spans="1:6">
      <c r="A12" s="2" t="s">
        <v>5546</v>
      </c>
      <c r="B12" s="2" t="s">
        <v>5122</v>
      </c>
      <c r="C12" s="2" t="s">
        <v>5547</v>
      </c>
      <c r="D12" s="2" t="s">
        <v>5548</v>
      </c>
      <c r="E12" s="2" t="s">
        <v>5522</v>
      </c>
      <c r="F12" s="2" t="s">
        <v>5549</v>
      </c>
    </row>
    <row r="13" spans="1:6">
      <c r="A13" s="2" t="s">
        <v>5550</v>
      </c>
      <c r="B13" s="2" t="s">
        <v>5136</v>
      </c>
      <c r="C13" s="2" t="s">
        <v>5551</v>
      </c>
      <c r="D13" s="2" t="s">
        <v>5552</v>
      </c>
      <c r="E13" s="2" t="s">
        <v>5522</v>
      </c>
      <c r="F13" s="2" t="s">
        <v>5142</v>
      </c>
    </row>
    <row r="14" spans="1:6">
      <c r="A14" s="2" t="s">
        <v>5553</v>
      </c>
      <c r="B14" s="2" t="s">
        <v>5143</v>
      </c>
      <c r="C14" s="2" t="s">
        <v>5465</v>
      </c>
      <c r="D14" s="2" t="s">
        <v>5554</v>
      </c>
      <c r="E14" s="2" t="s">
        <v>5522</v>
      </c>
      <c r="F14" s="2" t="s">
        <v>5149</v>
      </c>
    </row>
    <row r="15" spans="1:6">
      <c r="A15" s="2" t="s">
        <v>5555</v>
      </c>
      <c r="B15" s="2" t="s">
        <v>5177</v>
      </c>
      <c r="C15" s="2" t="s">
        <v>5556</v>
      </c>
      <c r="D15" s="2" t="s">
        <v>5557</v>
      </c>
      <c r="E15" s="2" t="s">
        <v>5558</v>
      </c>
      <c r="F15" s="2" t="s">
        <v>5559</v>
      </c>
    </row>
    <row r="16" spans="1:6">
      <c r="A16" s="2" t="s">
        <v>5560</v>
      </c>
      <c r="B16" s="2" t="s">
        <v>5215</v>
      </c>
      <c r="C16" s="2" t="s">
        <v>5561</v>
      </c>
      <c r="D16" s="2" t="s">
        <v>5562</v>
      </c>
      <c r="E16" s="2" t="s">
        <v>5563</v>
      </c>
      <c r="F16" s="2" t="s">
        <v>5564</v>
      </c>
    </row>
    <row r="17" spans="1:6">
      <c r="A17" s="2" t="s">
        <v>5565</v>
      </c>
      <c r="B17" s="2" t="s">
        <v>5230</v>
      </c>
      <c r="C17" s="2" t="s">
        <v>5566</v>
      </c>
      <c r="D17" s="2" t="s">
        <v>5567</v>
      </c>
      <c r="E17" s="2" t="s">
        <v>5568</v>
      </c>
      <c r="F17" s="2" t="s">
        <v>5569</v>
      </c>
    </row>
    <row r="18" spans="1:6">
      <c r="A18" s="2" t="s">
        <v>5570</v>
      </c>
      <c r="B18" s="2" t="s">
        <v>5238</v>
      </c>
      <c r="C18" s="2" t="s">
        <v>5571</v>
      </c>
      <c r="D18" s="2" t="s">
        <v>5572</v>
      </c>
      <c r="E18" s="2" t="s">
        <v>5573</v>
      </c>
      <c r="F18" s="2" t="s">
        <v>5574</v>
      </c>
    </row>
    <row r="19" spans="1:6">
      <c r="A19" s="2" t="s">
        <v>5575</v>
      </c>
      <c r="B19" s="2" t="s">
        <v>5261</v>
      </c>
      <c r="C19" s="2" t="s">
        <v>5576</v>
      </c>
      <c r="D19" s="2" t="s">
        <v>5577</v>
      </c>
      <c r="E19" s="2" t="s">
        <v>5578</v>
      </c>
      <c r="F19" s="2" t="s">
        <v>5579</v>
      </c>
    </row>
    <row r="20" spans="1:6">
      <c r="A20" s="2" t="s">
        <v>5580</v>
      </c>
      <c r="B20" s="2" t="s">
        <v>5245</v>
      </c>
      <c r="C20" s="2" t="s">
        <v>5581</v>
      </c>
      <c r="D20" s="2" t="s">
        <v>5582</v>
      </c>
      <c r="E20" s="2" t="s">
        <v>5583</v>
      </c>
      <c r="F20" s="2" t="s">
        <v>5584</v>
      </c>
    </row>
    <row r="21" spans="1:6">
      <c r="A21" s="2" t="s">
        <v>5585</v>
      </c>
      <c r="B21" s="2" t="s">
        <v>5277</v>
      </c>
      <c r="C21" s="2" t="s">
        <v>5586</v>
      </c>
      <c r="D21" s="2" t="s">
        <v>5587</v>
      </c>
      <c r="E21" s="2" t="s">
        <v>5588</v>
      </c>
      <c r="F21" s="2" t="s">
        <v>5589</v>
      </c>
    </row>
    <row r="22" spans="1:6">
      <c r="A22" s="2" t="s">
        <v>5590</v>
      </c>
      <c r="B22" s="2" t="s">
        <v>5284</v>
      </c>
      <c r="C22" s="2" t="s">
        <v>5591</v>
      </c>
      <c r="D22" s="2" t="s">
        <v>5592</v>
      </c>
      <c r="E22" s="2" t="s">
        <v>5593</v>
      </c>
      <c r="F22" s="2" t="s">
        <v>5594</v>
      </c>
    </row>
    <row r="23" spans="1:6">
      <c r="A23" s="2" t="s">
        <v>5595</v>
      </c>
      <c r="B23" s="2" t="s">
        <v>5316</v>
      </c>
      <c r="C23" s="2" t="s">
        <v>5596</v>
      </c>
      <c r="D23" s="2" t="s">
        <v>5597</v>
      </c>
      <c r="E23" s="2" t="s">
        <v>5598</v>
      </c>
      <c r="F23" s="2" t="s">
        <v>5599</v>
      </c>
    </row>
    <row r="24" spans="1:6">
      <c r="A24" s="2" t="s">
        <v>5600</v>
      </c>
      <c r="B24" s="2" t="s">
        <v>5336</v>
      </c>
      <c r="C24" s="2" t="s">
        <v>5601</v>
      </c>
      <c r="D24" s="2" t="s">
        <v>5602</v>
      </c>
      <c r="E24" s="2" t="s">
        <v>5603</v>
      </c>
      <c r="F24" s="2" t="s">
        <v>5604</v>
      </c>
    </row>
    <row r="25" spans="1:6">
      <c r="A25" s="2" t="s">
        <v>5605</v>
      </c>
      <c r="B25" s="2" t="s">
        <v>5343</v>
      </c>
      <c r="C25" s="2" t="s">
        <v>5606</v>
      </c>
      <c r="D25" s="2" t="s">
        <v>5607</v>
      </c>
      <c r="E25" s="2" t="s">
        <v>5542</v>
      </c>
      <c r="F25" s="2" t="s">
        <v>5608</v>
      </c>
    </row>
    <row r="26" spans="1:6">
      <c r="A26" s="2" t="s">
        <v>5609</v>
      </c>
      <c r="B26" s="2" t="s">
        <v>5350</v>
      </c>
      <c r="C26" s="2" t="s">
        <v>5610</v>
      </c>
      <c r="D26" s="2" t="s">
        <v>5611</v>
      </c>
      <c r="E26" s="2" t="s">
        <v>5612</v>
      </c>
      <c r="F26" s="2" t="s">
        <v>5613</v>
      </c>
    </row>
  </sheetData>
  <autoFilter ref="A1:F26"/>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5614</v>
      </c>
      <c r="B1" s="1" t="s">
        <v>5615</v>
      </c>
      <c r="C1" s="1" t="s">
        <v>5616</v>
      </c>
      <c r="D1" s="1" t="s">
        <v>5617</v>
      </c>
      <c r="E1" s="1" t="s">
        <v>5618</v>
      </c>
    </row>
    <row r="2" spans="1:5">
      <c r="A2" s="2" t="s">
        <v>5619</v>
      </c>
      <c r="B2" s="2" t="s">
        <v>5620</v>
      </c>
      <c r="C2" s="2" t="s">
        <v>5621</v>
      </c>
      <c r="D2" s="2" t="s">
        <v>5622</v>
      </c>
      <c r="E2" s="2" t="s">
        <v>5623</v>
      </c>
    </row>
    <row r="3" spans="1:5">
      <c r="A3" s="2" t="s">
        <v>5624</v>
      </c>
      <c r="B3" s="2" t="s">
        <v>5625</v>
      </c>
      <c r="C3" s="2" t="s">
        <v>5626</v>
      </c>
      <c r="D3" s="2" t="s">
        <v>5627</v>
      </c>
      <c r="E3" s="2" t="s">
        <v>5623</v>
      </c>
    </row>
    <row r="4" spans="1:5">
      <c r="A4" s="2" t="s">
        <v>5628</v>
      </c>
      <c r="B4" s="2" t="s">
        <v>5629</v>
      </c>
      <c r="C4" s="2" t="s">
        <v>5630</v>
      </c>
      <c r="D4" s="2" t="s">
        <v>5631</v>
      </c>
      <c r="E4" s="2" t="s">
        <v>5623</v>
      </c>
    </row>
    <row r="5" spans="1:5">
      <c r="A5" s="2" t="s">
        <v>5632</v>
      </c>
      <c r="B5" s="2" t="s">
        <v>5633</v>
      </c>
      <c r="C5" s="2" t="s">
        <v>5634</v>
      </c>
      <c r="D5" s="2" t="s">
        <v>5635</v>
      </c>
      <c r="E5" s="2" t="s">
        <v>5623</v>
      </c>
    </row>
    <row r="6" spans="1:5">
      <c r="A6" s="2" t="s">
        <v>5636</v>
      </c>
      <c r="B6" s="2" t="s">
        <v>5637</v>
      </c>
      <c r="C6" s="2" t="s">
        <v>5634</v>
      </c>
      <c r="D6" s="2" t="s">
        <v>5638</v>
      </c>
      <c r="E6" s="2" t="s">
        <v>5623</v>
      </c>
    </row>
    <row r="7" spans="1:5">
      <c r="A7" s="2" t="s">
        <v>5639</v>
      </c>
      <c r="B7" s="2" t="s">
        <v>5640</v>
      </c>
      <c r="C7" s="2" t="s">
        <v>5641</v>
      </c>
      <c r="D7" s="2" t="s">
        <v>5642</v>
      </c>
      <c r="E7" s="2" t="s">
        <v>5623</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5646</v>
      </c>
    </row>
    <row r="3" spans="1:2">
      <c r="A3" s="2" t="s">
        <v>5647</v>
      </c>
      <c r="B3" s="2" t="s">
        <v>5648</v>
      </c>
    </row>
    <row r="4" spans="1:2">
      <c r="A4" s="2" t="s">
        <v>5649</v>
      </c>
      <c r="B4" s="2" t="s">
        <v>7</v>
      </c>
    </row>
    <row r="5" spans="1:2">
      <c r="A5" s="2" t="s">
        <v>5650</v>
      </c>
      <c r="B5" s="2" t="s">
        <v>2206</v>
      </c>
    </row>
    <row r="6" spans="1:2">
      <c r="A6" s="2" t="s">
        <v>5651</v>
      </c>
      <c r="B6" s="2" t="s">
        <v>5652</v>
      </c>
    </row>
    <row r="7" spans="1:2">
      <c r="A7" s="2" t="s">
        <v>5653</v>
      </c>
      <c r="B7" s="2" t="s">
        <v>5654</v>
      </c>
    </row>
    <row r="8" spans="1:2">
      <c r="A8" s="2" t="s">
        <v>5655</v>
      </c>
      <c r="B8" s="2" t="s">
        <v>5656</v>
      </c>
    </row>
    <row r="9" spans="1:2">
      <c r="A9" s="2" t="s">
        <v>5657</v>
      </c>
      <c r="B9" s="2" t="s">
        <v>5658</v>
      </c>
    </row>
    <row r="10" spans="1:2">
      <c r="A10" s="2" t="s">
        <v>5659</v>
      </c>
      <c r="B10" s="2" t="s">
        <v>5660</v>
      </c>
    </row>
    <row r="11" spans="1:2">
      <c r="A11" s="2" t="s">
        <v>5661</v>
      </c>
      <c r="B11" s="2" t="s">
        <v>5662</v>
      </c>
    </row>
    <row r="12" spans="1:2">
      <c r="A12" s="2" t="s">
        <v>5663</v>
      </c>
      <c r="B12" s="2" t="s">
        <v>5664</v>
      </c>
    </row>
    <row r="13" spans="1:2">
      <c r="A13" s="2" t="s">
        <v>5665</v>
      </c>
      <c r="B13" s="2" t="s">
        <v>5666</v>
      </c>
    </row>
    <row r="14" spans="1:2">
      <c r="A14" s="2" t="s">
        <v>5667</v>
      </c>
      <c r="B14" s="2" t="s">
        <v>5668</v>
      </c>
    </row>
    <row r="15" spans="1:2">
      <c r="A15" s="2" t="s">
        <v>5669</v>
      </c>
      <c r="B15" s="2" t="s">
        <v>5670</v>
      </c>
    </row>
    <row r="16" spans="1:2">
      <c r="A16" s="2" t="s">
        <v>5671</v>
      </c>
      <c r="B16" s="2" t="s">
        <v>5672</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5673</v>
      </c>
      <c r="B1" s="1" t="s">
        <v>5674</v>
      </c>
      <c r="C1" s="1" t="s">
        <v>5675</v>
      </c>
      <c r="D1" s="1" t="s">
        <v>5676</v>
      </c>
      <c r="E1" s="1" t="s">
        <v>5677</v>
      </c>
      <c r="F1" s="1" t="s">
        <v>5678</v>
      </c>
      <c r="G1" s="1" t="s">
        <v>5679</v>
      </c>
      <c r="H1" s="1" t="s">
        <v>5680</v>
      </c>
      <c r="I1" s="1" t="s">
        <v>5618</v>
      </c>
      <c r="J1" s="1" t="s">
        <v>5681</v>
      </c>
    </row>
    <row r="2" spans="1:10">
      <c r="A2" s="2">
        <v>2026</v>
      </c>
      <c r="B2" s="2" t="s">
        <v>2314</v>
      </c>
      <c r="C2" s="2" t="s">
        <v>5682</v>
      </c>
      <c r="D2" s="2" t="s">
        <v>1713</v>
      </c>
      <c r="E2" s="2" t="s">
        <v>5621</v>
      </c>
      <c r="F2" s="2" t="s">
        <v>5683</v>
      </c>
      <c r="G2" s="2" t="s">
        <v>5621</v>
      </c>
      <c r="H2" s="2" t="s">
        <v>5683</v>
      </c>
      <c r="I2" s="2" t="s">
        <v>5684</v>
      </c>
      <c r="J2" s="2"/>
    </row>
    <row r="3" spans="1:10">
      <c r="A3" s="2">
        <v>2027</v>
      </c>
      <c r="B3" s="2" t="s">
        <v>2318</v>
      </c>
      <c r="C3" s="2" t="s">
        <v>5682</v>
      </c>
      <c r="D3" s="2" t="s">
        <v>1713</v>
      </c>
      <c r="E3" s="2" t="s">
        <v>5621</v>
      </c>
      <c r="F3" s="2" t="s">
        <v>5685</v>
      </c>
      <c r="G3" s="2" t="s">
        <v>5621</v>
      </c>
      <c r="H3" s="2" t="s">
        <v>5685</v>
      </c>
      <c r="I3" s="2" t="s">
        <v>5686</v>
      </c>
      <c r="J3" s="2"/>
    </row>
    <row r="4" spans="1:10">
      <c r="A4" s="2">
        <v>2028</v>
      </c>
      <c r="B4" s="2" t="s">
        <v>2322</v>
      </c>
      <c r="C4" s="2" t="s">
        <v>5682</v>
      </c>
      <c r="D4" s="2" t="s">
        <v>1713</v>
      </c>
      <c r="E4" s="2" t="s">
        <v>5621</v>
      </c>
      <c r="F4" s="2" t="s">
        <v>5687</v>
      </c>
      <c r="G4" s="2" t="s">
        <v>5621</v>
      </c>
      <c r="H4" s="2" t="s">
        <v>5687</v>
      </c>
      <c r="I4" s="2" t="s">
        <v>5688</v>
      </c>
      <c r="J4" s="2"/>
    </row>
    <row r="5" spans="1:10">
      <c r="A5" s="2">
        <v>2029</v>
      </c>
      <c r="B5" s="2"/>
      <c r="C5" s="2" t="s">
        <v>5689</v>
      </c>
      <c r="D5" s="2" t="s">
        <v>1713</v>
      </c>
      <c r="E5" s="2" t="s">
        <v>5690</v>
      </c>
      <c r="F5" s="2" t="s">
        <v>5691</v>
      </c>
      <c r="G5" s="2" t="s">
        <v>5692</v>
      </c>
      <c r="H5" s="2" t="s">
        <v>5693</v>
      </c>
      <c r="I5" s="2" t="s">
        <v>5694</v>
      </c>
      <c r="J5" s="2" t="s">
        <v>2323</v>
      </c>
    </row>
    <row r="6" spans="1:10">
      <c r="A6" s="2" t="s">
        <v>5695</v>
      </c>
      <c r="B6" s="2"/>
      <c r="C6" s="2"/>
      <c r="D6" s="2"/>
      <c r="E6" s="2"/>
      <c r="F6" s="2"/>
      <c r="G6" s="2"/>
      <c r="H6" s="2" t="s">
        <v>5696</v>
      </c>
      <c r="I6" s="2" t="s">
        <v>5697</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5698</v>
      </c>
    </row>
    <row r="3" spans="1:2">
      <c r="A3" s="2" t="s">
        <v>5647</v>
      </c>
      <c r="B3" s="2" t="s">
        <v>5699</v>
      </c>
    </row>
    <row r="4" spans="1:2">
      <c r="A4" s="2" t="s">
        <v>5649</v>
      </c>
      <c r="B4" s="2" t="s">
        <v>7</v>
      </c>
    </row>
    <row r="5" spans="1:2">
      <c r="A5" s="2" t="s">
        <v>5650</v>
      </c>
      <c r="B5" s="2" t="s">
        <v>5700</v>
      </c>
    </row>
    <row r="6" spans="1:2">
      <c r="A6" s="2" t="s">
        <v>5651</v>
      </c>
      <c r="B6" s="2" t="s">
        <v>5701</v>
      </c>
    </row>
    <row r="7" spans="1:2">
      <c r="A7" s="2" t="s">
        <v>5653</v>
      </c>
      <c r="B7" s="2" t="s">
        <v>5702</v>
      </c>
    </row>
    <row r="8" spans="1:2">
      <c r="A8" s="2" t="s">
        <v>5655</v>
      </c>
      <c r="B8" s="2" t="s">
        <v>5703</v>
      </c>
    </row>
    <row r="9" spans="1:2">
      <c r="A9" s="2" t="s">
        <v>5657</v>
      </c>
      <c r="B9" s="2" t="s">
        <v>5704</v>
      </c>
    </row>
    <row r="10" spans="1:2">
      <c r="A10" s="2" t="s">
        <v>5659</v>
      </c>
      <c r="B10" s="2" t="s">
        <v>5660</v>
      </c>
    </row>
    <row r="11" spans="1:2">
      <c r="A11" s="2" t="s">
        <v>5705</v>
      </c>
      <c r="B11" s="2" t="s">
        <v>5706</v>
      </c>
    </row>
    <row r="12" spans="1:2">
      <c r="A12" s="2" t="s">
        <v>5707</v>
      </c>
      <c r="B12" s="2" t="s">
        <v>5708</v>
      </c>
    </row>
    <row r="13" spans="1:2">
      <c r="A13" s="2" t="s">
        <v>5709</v>
      </c>
      <c r="B13" s="2" t="s">
        <v>5710</v>
      </c>
    </row>
    <row r="14" spans="1:2">
      <c r="A14" s="2" t="s">
        <v>5711</v>
      </c>
      <c r="B14" s="2" t="s">
        <v>5712</v>
      </c>
    </row>
    <row r="15" spans="1:2">
      <c r="A15" s="2" t="s">
        <v>5713</v>
      </c>
      <c r="B15" s="2" t="s">
        <v>5714</v>
      </c>
    </row>
    <row r="16" spans="1:2">
      <c r="A16" s="2" t="s">
        <v>5715</v>
      </c>
      <c r="B16" s="2" t="s">
        <v>5716</v>
      </c>
    </row>
    <row r="17" spans="1:2">
      <c r="A17" s="2" t="s">
        <v>5717</v>
      </c>
      <c r="B17" s="2" t="s">
        <v>5718</v>
      </c>
    </row>
    <row r="18" spans="1:2">
      <c r="A18" s="2" t="s">
        <v>5719</v>
      </c>
      <c r="B18" s="2" t="s">
        <v>5720</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5721</v>
      </c>
      <c r="B1" s="1" t="s">
        <v>5722</v>
      </c>
      <c r="C1" s="1" t="s">
        <v>5723</v>
      </c>
      <c r="D1" s="1" t="s">
        <v>5618</v>
      </c>
    </row>
    <row r="2" spans="1:4">
      <c r="A2" s="2" t="s">
        <v>5724</v>
      </c>
      <c r="B2" s="2" t="s">
        <v>2359</v>
      </c>
      <c r="C2" s="2" t="s">
        <v>5725</v>
      </c>
      <c r="D2" s="2" t="s">
        <v>5726</v>
      </c>
    </row>
    <row r="3" spans="1:4">
      <c r="A3" s="2" t="s">
        <v>5727</v>
      </c>
      <c r="B3" s="2" t="s">
        <v>2359</v>
      </c>
      <c r="C3" s="2" t="s">
        <v>5728</v>
      </c>
      <c r="D3" s="2" t="s">
        <v>5729</v>
      </c>
    </row>
    <row r="4" spans="1:4">
      <c r="A4" s="2" t="s">
        <v>5730</v>
      </c>
      <c r="B4" s="2" t="s">
        <v>2359</v>
      </c>
      <c r="C4" s="2" t="s">
        <v>5731</v>
      </c>
      <c r="D4" s="2" t="s">
        <v>5732</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5733</v>
      </c>
    </row>
    <row r="3" spans="1:2">
      <c r="A3" s="2" t="s">
        <v>5647</v>
      </c>
      <c r="B3" s="2" t="s">
        <v>5734</v>
      </c>
    </row>
    <row r="4" spans="1:2">
      <c r="A4" s="2" t="s">
        <v>5649</v>
      </c>
      <c r="B4" s="2" t="s">
        <v>7</v>
      </c>
    </row>
    <row r="5" spans="1:2">
      <c r="A5" s="2" t="s">
        <v>5650</v>
      </c>
      <c r="B5" s="2" t="s">
        <v>5735</v>
      </c>
    </row>
    <row r="6" spans="1:2">
      <c r="A6" s="2" t="s">
        <v>5651</v>
      </c>
      <c r="B6" s="2" t="s">
        <v>5736</v>
      </c>
    </row>
    <row r="7" spans="1:2">
      <c r="A7" s="2" t="s">
        <v>5653</v>
      </c>
      <c r="B7" s="2" t="s">
        <v>5737</v>
      </c>
    </row>
    <row r="8" spans="1:2">
      <c r="A8" s="2" t="s">
        <v>5655</v>
      </c>
      <c r="B8" s="2" t="s">
        <v>5738</v>
      </c>
    </row>
    <row r="9" spans="1:2">
      <c r="A9" s="2" t="s">
        <v>5657</v>
      </c>
      <c r="B9" s="2" t="s">
        <v>5739</v>
      </c>
    </row>
    <row r="10" spans="1:2">
      <c r="A10" s="2" t="s">
        <v>5659</v>
      </c>
      <c r="B10" s="2" t="s">
        <v>5660</v>
      </c>
    </row>
    <row r="11" spans="1:2">
      <c r="A11" s="2" t="s">
        <v>5740</v>
      </c>
      <c r="B11" s="2" t="s">
        <v>5741</v>
      </c>
    </row>
    <row r="12" spans="1:2">
      <c r="A12" s="2" t="s">
        <v>5742</v>
      </c>
      <c r="B12" s="2" t="s">
        <v>5743</v>
      </c>
    </row>
    <row r="13" spans="1:2">
      <c r="A13" s="2" t="s">
        <v>5744</v>
      </c>
      <c r="B13" s="2" t="s">
        <v>5745</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5746</v>
      </c>
      <c r="B1" s="1" t="s">
        <v>5747</v>
      </c>
      <c r="C1" s="1" t="s">
        <v>5618</v>
      </c>
    </row>
    <row r="2" spans="1:3">
      <c r="A2" s="2" t="s">
        <v>56</v>
      </c>
      <c r="B2" s="2" t="s">
        <v>5748</v>
      </c>
      <c r="C2" s="2" t="s">
        <v>5749</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5750</v>
      </c>
    </row>
    <row r="3" spans="1:2">
      <c r="A3" s="2" t="s">
        <v>5647</v>
      </c>
      <c r="B3" s="2" t="s">
        <v>5751</v>
      </c>
    </row>
    <row r="4" spans="1:2">
      <c r="A4" s="2" t="s">
        <v>5649</v>
      </c>
      <c r="B4" s="2" t="s">
        <v>7</v>
      </c>
    </row>
    <row r="5" spans="1:2">
      <c r="A5" s="2" t="s">
        <v>5650</v>
      </c>
      <c r="B5" s="2" t="s">
        <v>5752</v>
      </c>
    </row>
    <row r="6" spans="1:2">
      <c r="A6" s="2" t="s">
        <v>5651</v>
      </c>
      <c r="B6" s="2" t="s">
        <v>5753</v>
      </c>
    </row>
    <row r="7" spans="1:2">
      <c r="A7" s="2" t="s">
        <v>5653</v>
      </c>
      <c r="B7" s="2" t="s">
        <v>5754</v>
      </c>
    </row>
    <row r="8" spans="1:2">
      <c r="A8" s="2" t="s">
        <v>5655</v>
      </c>
      <c r="B8" s="2" t="s">
        <v>5755</v>
      </c>
    </row>
    <row r="9" spans="1:2">
      <c r="A9" s="2" t="s">
        <v>5657</v>
      </c>
      <c r="B9" s="2" t="s">
        <v>5756</v>
      </c>
    </row>
    <row r="10" spans="1:2">
      <c r="A10" s="2" t="s">
        <v>5659</v>
      </c>
      <c r="B10" s="2" t="s">
        <v>5660</v>
      </c>
    </row>
    <row r="11" spans="1:2">
      <c r="A11" s="2" t="s">
        <v>5757</v>
      </c>
      <c r="B11" s="2" t="s">
        <v>5758</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5614</v>
      </c>
      <c r="B1" s="1" t="s">
        <v>5759</v>
      </c>
      <c r="C1" s="1" t="s">
        <v>5760</v>
      </c>
      <c r="D1" s="1" t="s">
        <v>5761</v>
      </c>
      <c r="E1" s="1" t="s">
        <v>5762</v>
      </c>
      <c r="F1" s="1" t="s">
        <v>5763</v>
      </c>
      <c r="G1" s="1" t="s">
        <v>5764</v>
      </c>
    </row>
    <row r="2" spans="1:7">
      <c r="A2" s="2" t="s">
        <v>5765</v>
      </c>
      <c r="B2" s="2" t="s">
        <v>5766</v>
      </c>
      <c r="C2" s="2">
        <v>4</v>
      </c>
      <c r="D2" s="2" t="s">
        <v>5767</v>
      </c>
      <c r="E2" s="2">
        <v>3</v>
      </c>
      <c r="F2" s="2" t="s">
        <v>5768</v>
      </c>
      <c r="G2" s="2" t="s">
        <v>5769</v>
      </c>
    </row>
    <row r="3" spans="1:7">
      <c r="A3" s="2" t="s">
        <v>5770</v>
      </c>
      <c r="B3" s="2" t="s">
        <v>5771</v>
      </c>
      <c r="C3" s="2">
        <v>4</v>
      </c>
      <c r="D3" s="2" t="s">
        <v>5772</v>
      </c>
      <c r="E3" s="2">
        <v>4</v>
      </c>
      <c r="F3" s="2" t="s">
        <v>5773</v>
      </c>
      <c r="G3" s="2" t="s">
        <v>5774</v>
      </c>
    </row>
    <row r="4" spans="1:7">
      <c r="A4" s="2" t="s">
        <v>5775</v>
      </c>
      <c r="B4" s="2" t="s">
        <v>5766</v>
      </c>
      <c r="C4" s="2">
        <v>4</v>
      </c>
      <c r="D4" s="2" t="s">
        <v>5776</v>
      </c>
      <c r="E4" s="2">
        <v>3</v>
      </c>
      <c r="F4" s="2" t="s">
        <v>5768</v>
      </c>
      <c r="G4" s="2" t="s">
        <v>5777</v>
      </c>
    </row>
    <row r="5" spans="1:7">
      <c r="A5" s="2" t="s">
        <v>5778</v>
      </c>
      <c r="B5" s="2" t="s">
        <v>5766</v>
      </c>
      <c r="C5" s="2">
        <v>4</v>
      </c>
      <c r="D5" s="2" t="s">
        <v>5779</v>
      </c>
      <c r="E5" s="2">
        <v>4</v>
      </c>
      <c r="F5" s="2" t="s">
        <v>5773</v>
      </c>
      <c r="G5" s="2" t="s">
        <v>5780</v>
      </c>
    </row>
    <row r="6" spans="1:7">
      <c r="A6" s="2" t="s">
        <v>5781</v>
      </c>
      <c r="B6" s="2" t="s">
        <v>5782</v>
      </c>
      <c r="C6" s="2">
        <v>3</v>
      </c>
      <c r="D6" s="2" t="s">
        <v>5783</v>
      </c>
      <c r="E6" s="2">
        <v>3</v>
      </c>
      <c r="F6" s="2" t="s">
        <v>5768</v>
      </c>
      <c r="G6" s="2" t="s">
        <v>5784</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5785</v>
      </c>
    </row>
    <row r="3" spans="1:2">
      <c r="A3" s="2" t="s">
        <v>5647</v>
      </c>
      <c r="B3" s="2" t="s">
        <v>5786</v>
      </c>
    </row>
    <row r="4" spans="1:2">
      <c r="A4" s="2" t="s">
        <v>5649</v>
      </c>
      <c r="B4" s="2" t="s">
        <v>7</v>
      </c>
    </row>
    <row r="5" spans="1:2">
      <c r="A5" s="2" t="s">
        <v>5650</v>
      </c>
      <c r="B5" s="2" t="s">
        <v>5787</v>
      </c>
    </row>
    <row r="6" spans="1:2">
      <c r="A6" s="2" t="s">
        <v>5651</v>
      </c>
      <c r="B6" s="2" t="s">
        <v>5788</v>
      </c>
    </row>
    <row r="7" spans="1:2">
      <c r="A7" s="2" t="s">
        <v>5653</v>
      </c>
      <c r="B7" s="2" t="s">
        <v>5789</v>
      </c>
    </row>
    <row r="8" spans="1:2">
      <c r="A8" s="2" t="s">
        <v>5655</v>
      </c>
      <c r="B8" s="2" t="s">
        <v>5790</v>
      </c>
    </row>
    <row r="9" spans="1:2">
      <c r="A9" s="2" t="s">
        <v>5657</v>
      </c>
      <c r="B9" s="2" t="s">
        <v>5791</v>
      </c>
    </row>
    <row r="10" spans="1:2">
      <c r="A10" s="2" t="s">
        <v>5659</v>
      </c>
      <c r="B10" s="2" t="s">
        <v>5660</v>
      </c>
    </row>
    <row r="11" spans="1:2">
      <c r="A11" s="2" t="s">
        <v>5792</v>
      </c>
      <c r="B11" s="2" t="s">
        <v>5793</v>
      </c>
    </row>
    <row r="12" spans="1:2">
      <c r="A12" s="2" t="s">
        <v>5794</v>
      </c>
      <c r="B12" s="2" t="s">
        <v>5795</v>
      </c>
    </row>
    <row r="13" spans="1:2">
      <c r="A13" s="2" t="s">
        <v>5796</v>
      </c>
      <c r="B13" s="2" t="s">
        <v>5797</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5798</v>
      </c>
      <c r="B1" s="1" t="s">
        <v>5799</v>
      </c>
      <c r="C1" s="1" t="s">
        <v>5800</v>
      </c>
      <c r="D1" s="1" t="s">
        <v>5801</v>
      </c>
      <c r="E1" s="1" t="s">
        <v>5802</v>
      </c>
      <c r="F1" s="1" t="s">
        <v>5803</v>
      </c>
      <c r="G1" s="1" t="s">
        <v>5804</v>
      </c>
      <c r="H1" s="1" t="s">
        <v>5805</v>
      </c>
      <c r="I1" s="1" t="s">
        <v>5806</v>
      </c>
      <c r="J1" s="1" t="s">
        <v>5807</v>
      </c>
      <c r="K1" s="1" t="s">
        <v>5808</v>
      </c>
      <c r="L1" s="1" t="s">
        <v>5809</v>
      </c>
      <c r="M1" s="1" t="s">
        <v>5810</v>
      </c>
      <c r="N1" s="1" t="s">
        <v>5811</v>
      </c>
      <c r="O1" s="1" t="s">
        <v>5812</v>
      </c>
      <c r="P1" s="1" t="s">
        <v>5813</v>
      </c>
      <c r="Q1" s="1" t="s">
        <v>5814</v>
      </c>
      <c r="R1" s="1" t="s">
        <v>5815</v>
      </c>
      <c r="S1" s="1" t="s">
        <v>5816</v>
      </c>
      <c r="T1" s="1" t="s">
        <v>5618</v>
      </c>
      <c r="U1" s="1" t="s">
        <v>5817</v>
      </c>
      <c r="V1" s="1" t="s">
        <v>5818</v>
      </c>
    </row>
    <row r="2" spans="1:22">
      <c r="A2" s="2" t="s">
        <v>5819</v>
      </c>
      <c r="B2" s="2" t="s">
        <v>5820</v>
      </c>
      <c r="C2" s="2"/>
      <c r="D2" s="2"/>
      <c r="E2" s="2" t="s">
        <v>5821</v>
      </c>
      <c r="F2" s="2" t="s">
        <v>5822</v>
      </c>
      <c r="G2" s="2" t="s">
        <v>5823</v>
      </c>
      <c r="H2" s="2" t="s">
        <v>5824</v>
      </c>
      <c r="I2" s="2"/>
      <c r="J2" s="2" t="s">
        <v>5825</v>
      </c>
      <c r="K2" s="2"/>
      <c r="L2" s="2" t="s">
        <v>5826</v>
      </c>
      <c r="M2" s="2" t="s">
        <v>5827</v>
      </c>
      <c r="N2" s="2"/>
      <c r="O2" s="2"/>
      <c r="P2" s="2"/>
      <c r="Q2" s="2"/>
      <c r="R2" s="2"/>
      <c r="S2" s="2"/>
      <c r="T2" s="2"/>
      <c r="U2" s="2"/>
      <c r="V2" s="2"/>
    </row>
    <row r="3" spans="1:22">
      <c r="A3" s="2" t="s">
        <v>5828</v>
      </c>
      <c r="B3" s="2" t="s">
        <v>5829</v>
      </c>
      <c r="C3" s="2" t="s">
        <v>5830</v>
      </c>
      <c r="D3" s="2" t="s">
        <v>5831</v>
      </c>
      <c r="E3" s="2" t="s">
        <v>3117</v>
      </c>
      <c r="F3" s="2"/>
      <c r="G3" s="2"/>
      <c r="H3" s="2" t="s">
        <v>5832</v>
      </c>
      <c r="I3" s="2" t="s">
        <v>5833</v>
      </c>
      <c r="J3" s="2" t="s">
        <v>5834</v>
      </c>
      <c r="K3" s="2" t="s">
        <v>5835</v>
      </c>
      <c r="L3" s="2" t="s">
        <v>5823</v>
      </c>
      <c r="M3" s="2" t="s">
        <v>5836</v>
      </c>
      <c r="N3" s="2" t="s">
        <v>5837</v>
      </c>
      <c r="O3" s="2"/>
      <c r="P3" s="2"/>
      <c r="Q3" s="2"/>
      <c r="R3" s="2"/>
      <c r="S3" s="2"/>
      <c r="T3" s="2"/>
      <c r="U3" s="2"/>
      <c r="V3" s="2"/>
    </row>
    <row r="4" spans="1:22">
      <c r="A4" s="2" t="s">
        <v>5838</v>
      </c>
      <c r="B4" s="2" t="s">
        <v>5839</v>
      </c>
      <c r="C4" s="2" t="s">
        <v>5840</v>
      </c>
      <c r="D4" s="2" t="s">
        <v>5841</v>
      </c>
      <c r="E4" s="2" t="s">
        <v>3117</v>
      </c>
      <c r="F4" s="2"/>
      <c r="G4" s="2"/>
      <c r="H4" s="2" t="s">
        <v>5832</v>
      </c>
      <c r="I4" s="2" t="s">
        <v>5842</v>
      </c>
      <c r="J4" s="2" t="s">
        <v>5834</v>
      </c>
      <c r="K4" s="2" t="s">
        <v>5835</v>
      </c>
      <c r="L4" s="2" t="s">
        <v>5823</v>
      </c>
      <c r="M4" s="2" t="s">
        <v>5843</v>
      </c>
      <c r="N4" s="2" t="s">
        <v>5844</v>
      </c>
      <c r="O4" s="2"/>
      <c r="P4" s="2"/>
      <c r="Q4" s="2"/>
      <c r="R4" s="2"/>
      <c r="S4" s="2"/>
      <c r="T4" s="2"/>
      <c r="U4" s="2"/>
      <c r="V4" s="2"/>
    </row>
    <row r="5" spans="1:22">
      <c r="A5" s="2" t="s">
        <v>5845</v>
      </c>
      <c r="B5" s="2" t="s">
        <v>5846</v>
      </c>
      <c r="C5" s="2" t="s">
        <v>5847</v>
      </c>
      <c r="D5" s="2" t="s">
        <v>5848</v>
      </c>
      <c r="E5" s="2" t="s">
        <v>5849</v>
      </c>
      <c r="F5" s="2"/>
      <c r="G5" s="2"/>
      <c r="H5" s="2" t="s">
        <v>5850</v>
      </c>
      <c r="I5" s="2" t="s">
        <v>5851</v>
      </c>
      <c r="J5" s="2" t="s">
        <v>5834</v>
      </c>
      <c r="K5" s="2" t="s">
        <v>5852</v>
      </c>
      <c r="L5" s="2" t="s">
        <v>5853</v>
      </c>
      <c r="M5" s="2" t="s">
        <v>5854</v>
      </c>
      <c r="N5" s="2" t="s">
        <v>5855</v>
      </c>
      <c r="O5" s="2"/>
      <c r="P5" s="2"/>
      <c r="Q5" s="2"/>
      <c r="R5" s="2"/>
      <c r="S5" s="2"/>
      <c r="T5" s="2"/>
      <c r="U5" s="2"/>
      <c r="V5" s="2"/>
    </row>
    <row r="6" spans="1:22">
      <c r="A6" s="2" t="s">
        <v>3136</v>
      </c>
      <c r="B6" s="2" t="s">
        <v>5846</v>
      </c>
      <c r="C6" s="2" t="s">
        <v>5856</v>
      </c>
      <c r="D6" s="2" t="s">
        <v>5857</v>
      </c>
      <c r="E6" s="2" t="s">
        <v>3117</v>
      </c>
      <c r="F6" s="2"/>
      <c r="G6" s="2"/>
      <c r="H6" s="2" t="s">
        <v>5850</v>
      </c>
      <c r="I6" s="2" t="s">
        <v>5858</v>
      </c>
      <c r="J6" s="2" t="s">
        <v>5834</v>
      </c>
      <c r="K6" s="2" t="s">
        <v>5859</v>
      </c>
      <c r="L6" s="2" t="s">
        <v>5860</v>
      </c>
      <c r="M6" s="2" t="s">
        <v>5861</v>
      </c>
      <c r="N6" s="2" t="s">
        <v>5862</v>
      </c>
      <c r="O6" s="2"/>
      <c r="P6" s="2"/>
      <c r="Q6" s="2"/>
      <c r="R6" s="2"/>
      <c r="S6" s="2"/>
      <c r="T6" s="2"/>
      <c r="U6" s="2"/>
      <c r="V6" s="2"/>
    </row>
    <row r="7" spans="1:22">
      <c r="A7" s="2" t="s">
        <v>5863</v>
      </c>
      <c r="B7" s="2" t="s">
        <v>5820</v>
      </c>
      <c r="C7" s="2" t="s">
        <v>5864</v>
      </c>
      <c r="D7" s="2" t="s">
        <v>5865</v>
      </c>
      <c r="E7" s="2" t="s">
        <v>3139</v>
      </c>
      <c r="F7" s="2"/>
      <c r="G7" s="2"/>
      <c r="H7" s="2" t="s">
        <v>5866</v>
      </c>
      <c r="I7" s="2" t="s">
        <v>5867</v>
      </c>
      <c r="J7" s="2" t="s">
        <v>5834</v>
      </c>
      <c r="K7" s="2" t="s">
        <v>5868</v>
      </c>
      <c r="L7" s="2" t="s">
        <v>5868</v>
      </c>
      <c r="M7" s="2" t="s">
        <v>5820</v>
      </c>
      <c r="N7" s="2" t="s">
        <v>5869</v>
      </c>
      <c r="O7" s="2"/>
      <c r="P7" s="2"/>
      <c r="Q7" s="2"/>
      <c r="R7" s="2"/>
      <c r="S7" s="2"/>
      <c r="T7" s="2"/>
      <c r="U7" s="2"/>
      <c r="V7" s="2"/>
    </row>
    <row r="8" spans="1:22">
      <c r="A8" s="2" t="s">
        <v>5870</v>
      </c>
      <c r="B8" s="2" t="s">
        <v>5871</v>
      </c>
      <c r="C8" s="2" t="s">
        <v>5872</v>
      </c>
      <c r="D8" s="2" t="s">
        <v>5873</v>
      </c>
      <c r="E8" s="2" t="s">
        <v>3139</v>
      </c>
      <c r="F8" s="2"/>
      <c r="G8" s="2"/>
      <c r="H8" s="2" t="s">
        <v>5866</v>
      </c>
      <c r="I8" s="2" t="s">
        <v>5874</v>
      </c>
      <c r="J8" s="2" t="s">
        <v>5834</v>
      </c>
      <c r="K8" s="2" t="s">
        <v>5868</v>
      </c>
      <c r="L8" s="2" t="s">
        <v>5868</v>
      </c>
      <c r="M8" s="2" t="s">
        <v>5871</v>
      </c>
      <c r="N8" s="2" t="s">
        <v>5875</v>
      </c>
      <c r="O8" s="2" t="s">
        <v>5876</v>
      </c>
      <c r="P8" s="2"/>
      <c r="Q8" s="2"/>
      <c r="R8" s="2"/>
      <c r="S8" s="2"/>
      <c r="T8" s="2"/>
      <c r="U8" s="2"/>
      <c r="V8" s="2"/>
    </row>
    <row r="9" spans="1:22">
      <c r="A9" s="2" t="s">
        <v>5877</v>
      </c>
      <c r="B9" s="2" t="s">
        <v>5878</v>
      </c>
      <c r="C9" s="2" t="s">
        <v>5879</v>
      </c>
      <c r="D9" s="2" t="s">
        <v>5880</v>
      </c>
      <c r="E9" s="2" t="s">
        <v>3139</v>
      </c>
      <c r="F9" s="2"/>
      <c r="G9" s="2"/>
      <c r="H9" s="2" t="s">
        <v>5866</v>
      </c>
      <c r="I9" s="2" t="s">
        <v>5881</v>
      </c>
      <c r="J9" s="2" t="s">
        <v>5834</v>
      </c>
      <c r="K9" s="2" t="s">
        <v>5859</v>
      </c>
      <c r="L9" s="2" t="s">
        <v>5860</v>
      </c>
      <c r="M9" s="2" t="s">
        <v>5882</v>
      </c>
      <c r="N9" s="2" t="s">
        <v>5883</v>
      </c>
      <c r="O9" s="2"/>
      <c r="P9" s="2"/>
      <c r="Q9" s="2"/>
      <c r="R9" s="2"/>
      <c r="S9" s="2"/>
      <c r="T9" s="2"/>
      <c r="U9" s="2"/>
      <c r="V9" s="2"/>
    </row>
    <row r="10" spans="1:22">
      <c r="A10" s="2" t="s">
        <v>5884</v>
      </c>
      <c r="B10" s="2" t="s">
        <v>5878</v>
      </c>
      <c r="C10" s="2" t="s">
        <v>5885</v>
      </c>
      <c r="D10" s="2" t="s">
        <v>5886</v>
      </c>
      <c r="E10" s="2" t="s">
        <v>3139</v>
      </c>
      <c r="F10" s="2"/>
      <c r="G10" s="2"/>
      <c r="H10" s="2" t="s">
        <v>5866</v>
      </c>
      <c r="I10" s="2" t="s">
        <v>5887</v>
      </c>
      <c r="J10" s="2" t="s">
        <v>5834</v>
      </c>
      <c r="K10" s="2" t="s">
        <v>5888</v>
      </c>
      <c r="L10" s="2" t="s">
        <v>5889</v>
      </c>
      <c r="M10" s="2" t="s">
        <v>5890</v>
      </c>
      <c r="N10" s="2" t="s">
        <v>5891</v>
      </c>
      <c r="O10" s="2"/>
      <c r="P10" s="2"/>
      <c r="Q10" s="2"/>
      <c r="R10" s="2"/>
      <c r="S10" s="2"/>
      <c r="T10" s="2"/>
      <c r="U10" s="2"/>
      <c r="V10" s="2"/>
    </row>
    <row r="11" spans="1:22">
      <c r="A11" s="2" t="s">
        <v>5892</v>
      </c>
      <c r="B11" s="2" t="s">
        <v>5871</v>
      </c>
      <c r="C11" s="2"/>
      <c r="D11" s="2"/>
      <c r="E11" s="2" t="s">
        <v>5821</v>
      </c>
      <c r="F11" s="2" t="s">
        <v>5893</v>
      </c>
      <c r="G11" s="2" t="s">
        <v>5853</v>
      </c>
      <c r="H11" s="2" t="s">
        <v>5894</v>
      </c>
      <c r="I11" s="2"/>
      <c r="J11" s="2" t="s">
        <v>5895</v>
      </c>
      <c r="K11" s="2"/>
      <c r="L11" s="2" t="s">
        <v>5896</v>
      </c>
      <c r="M11" s="2" t="s">
        <v>5897</v>
      </c>
      <c r="N11" s="2"/>
      <c r="O11" s="2"/>
      <c r="P11" s="2"/>
      <c r="Q11" s="2"/>
      <c r="R11" s="2"/>
      <c r="S11" s="2"/>
      <c r="T11" s="2"/>
      <c r="U11" s="2"/>
      <c r="V11" s="2"/>
    </row>
    <row r="12" spans="1:22">
      <c r="A12" s="2" t="s">
        <v>5898</v>
      </c>
      <c r="B12" s="2"/>
      <c r="C12" s="2"/>
      <c r="D12" s="2"/>
      <c r="E12" s="2"/>
      <c r="F12" s="2"/>
      <c r="G12" s="2"/>
      <c r="H12" s="2"/>
      <c r="I12" s="2"/>
      <c r="J12" s="2"/>
      <c r="K12" s="2"/>
      <c r="L12" s="2"/>
      <c r="M12" s="2"/>
      <c r="N12" s="2"/>
      <c r="O12" s="2"/>
      <c r="P12" s="2" t="s">
        <v>5899</v>
      </c>
      <c r="Q12" s="2" t="s">
        <v>5900</v>
      </c>
      <c r="R12" s="2" t="s">
        <v>5901</v>
      </c>
      <c r="S12" s="2" t="s">
        <v>5902</v>
      </c>
      <c r="T12" s="2" t="s">
        <v>5903</v>
      </c>
      <c r="U12" s="2" t="s">
        <v>5904</v>
      </c>
      <c r="V12" s="2"/>
    </row>
    <row r="13" spans="1:22">
      <c r="A13" s="2" t="s">
        <v>5905</v>
      </c>
      <c r="B13" s="2"/>
      <c r="C13" s="2"/>
      <c r="D13" s="2"/>
      <c r="E13" s="2"/>
      <c r="F13" s="2"/>
      <c r="G13" s="2"/>
      <c r="H13" s="2"/>
      <c r="I13" s="2"/>
      <c r="J13" s="2"/>
      <c r="K13" s="2"/>
      <c r="L13" s="2"/>
      <c r="M13" s="2"/>
      <c r="N13" s="2"/>
      <c r="O13" s="2"/>
      <c r="P13" s="2" t="s">
        <v>5899</v>
      </c>
      <c r="Q13" s="2"/>
      <c r="R13" s="2"/>
      <c r="S13" s="2" t="s">
        <v>5902</v>
      </c>
      <c r="T13" s="2"/>
      <c r="U13" s="2"/>
      <c r="V13" s="2" t="s">
        <v>5906</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5907</v>
      </c>
    </row>
    <row r="3" spans="1:2">
      <c r="A3" s="2" t="s">
        <v>5647</v>
      </c>
      <c r="B3" s="2" t="s">
        <v>5908</v>
      </c>
    </row>
    <row r="4" spans="1:2">
      <c r="A4" s="2" t="s">
        <v>5649</v>
      </c>
      <c r="B4" s="2" t="s">
        <v>7</v>
      </c>
    </row>
    <row r="5" spans="1:2">
      <c r="A5" s="2" t="s">
        <v>5650</v>
      </c>
      <c r="B5" s="2" t="s">
        <v>5909</v>
      </c>
    </row>
    <row r="6" spans="1:2">
      <c r="A6" s="2" t="s">
        <v>5651</v>
      </c>
      <c r="B6" s="2" t="s">
        <v>5910</v>
      </c>
    </row>
    <row r="7" spans="1:2">
      <c r="A7" s="2" t="s">
        <v>5653</v>
      </c>
      <c r="B7" s="2" t="s">
        <v>5911</v>
      </c>
    </row>
    <row r="8" spans="1:2">
      <c r="A8" s="2" t="s">
        <v>5655</v>
      </c>
      <c r="B8" s="2" t="s">
        <v>5912</v>
      </c>
    </row>
    <row r="9" spans="1:2">
      <c r="A9" s="2" t="s">
        <v>5657</v>
      </c>
      <c r="B9" s="2" t="s">
        <v>5913</v>
      </c>
    </row>
    <row r="10" spans="1:2">
      <c r="A10" s="2" t="s">
        <v>5659</v>
      </c>
      <c r="B10" s="2" t="s">
        <v>5660</v>
      </c>
    </row>
    <row r="11" spans="1:2">
      <c r="A11" s="2" t="s">
        <v>5914</v>
      </c>
      <c r="B11" s="2" t="s">
        <v>5915</v>
      </c>
    </row>
    <row r="12" spans="1:2">
      <c r="A12" s="2" t="s">
        <v>5916</v>
      </c>
      <c r="B12" s="2" t="s">
        <v>5917</v>
      </c>
    </row>
    <row r="13" spans="1:2">
      <c r="A13" s="2" t="s">
        <v>5918</v>
      </c>
      <c r="B13" s="2" t="s">
        <v>5919</v>
      </c>
    </row>
    <row r="14" spans="1:2">
      <c r="A14" s="2" t="s">
        <v>5920</v>
      </c>
      <c r="B14" s="2" t="s">
        <v>5921</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5922</v>
      </c>
      <c r="B1" s="1" t="s">
        <v>5923</v>
      </c>
      <c r="C1" s="1" t="s">
        <v>5924</v>
      </c>
      <c r="D1" s="1" t="s">
        <v>395</v>
      </c>
      <c r="E1" s="1" t="s">
        <v>5925</v>
      </c>
      <c r="F1" s="1" t="s">
        <v>5926</v>
      </c>
      <c r="G1" s="1" t="s">
        <v>5927</v>
      </c>
      <c r="H1" s="1" t="s">
        <v>5928</v>
      </c>
      <c r="I1" s="1" t="s">
        <v>5929</v>
      </c>
      <c r="J1" s="1" t="s">
        <v>5930</v>
      </c>
      <c r="K1" s="1" t="s">
        <v>5931</v>
      </c>
      <c r="L1" s="1" t="s">
        <v>5932</v>
      </c>
      <c r="M1" s="1" t="s">
        <v>607</v>
      </c>
      <c r="N1" s="1" t="s">
        <v>5933</v>
      </c>
      <c r="O1" s="1" t="s">
        <v>647</v>
      </c>
      <c r="P1" s="1" t="s">
        <v>5934</v>
      </c>
      <c r="Q1" s="1" t="s">
        <v>5935</v>
      </c>
      <c r="R1" s="1" t="s">
        <v>5936</v>
      </c>
      <c r="S1" s="1" t="s">
        <v>5937</v>
      </c>
      <c r="T1" s="1" t="s">
        <v>5938</v>
      </c>
      <c r="U1" s="1" t="s">
        <v>5939</v>
      </c>
      <c r="V1" s="1" t="s">
        <v>5940</v>
      </c>
      <c r="W1" s="1" t="s">
        <v>5941</v>
      </c>
      <c r="X1" s="1" t="s">
        <v>5942</v>
      </c>
      <c r="Y1" s="1" t="s">
        <v>5943</v>
      </c>
      <c r="Z1" s="1" t="s">
        <v>5944</v>
      </c>
      <c r="AA1" s="1" t="s">
        <v>5945</v>
      </c>
      <c r="AB1" s="1" t="s">
        <v>5946</v>
      </c>
      <c r="AC1" s="1" t="s">
        <v>5947</v>
      </c>
      <c r="AD1" s="1" t="s">
        <v>5948</v>
      </c>
      <c r="AE1" s="1" t="s">
        <v>5949</v>
      </c>
      <c r="AF1" s="1" t="s">
        <v>5950</v>
      </c>
      <c r="AG1" s="1" t="s">
        <v>5951</v>
      </c>
      <c r="AH1" s="1" t="s">
        <v>5952</v>
      </c>
      <c r="AI1" s="1" t="s">
        <v>5953</v>
      </c>
      <c r="AJ1" s="1" t="s">
        <v>5954</v>
      </c>
      <c r="AK1" s="1" t="s">
        <v>5955</v>
      </c>
      <c r="AL1" s="1" t="s">
        <v>5956</v>
      </c>
      <c r="AM1" s="1" t="s">
        <v>5957</v>
      </c>
      <c r="AN1" s="1" t="s">
        <v>5958</v>
      </c>
      <c r="AO1" s="1" t="s">
        <v>5959</v>
      </c>
      <c r="AP1" s="1" t="s">
        <v>5960</v>
      </c>
      <c r="AQ1" s="1" t="s">
        <v>5961</v>
      </c>
    </row>
    <row r="2" spans="1:43">
      <c r="A2" s="2" t="s">
        <v>4362</v>
      </c>
      <c r="B2" s="2" t="s">
        <v>7</v>
      </c>
      <c r="C2" s="2" t="s">
        <v>5962</v>
      </c>
      <c r="D2" s="2" t="s">
        <v>5963</v>
      </c>
      <c r="E2" s="2" t="s">
        <v>5964</v>
      </c>
      <c r="F2" s="2" t="s">
        <v>5965</v>
      </c>
      <c r="G2" s="2" t="s">
        <v>5966</v>
      </c>
      <c r="H2" s="2" t="s">
        <v>5967</v>
      </c>
      <c r="I2" s="2" t="s">
        <v>5968</v>
      </c>
      <c r="J2" s="2" t="s">
        <v>5969</v>
      </c>
      <c r="K2" s="2" t="s">
        <v>5970</v>
      </c>
      <c r="L2" s="2" t="s">
        <v>5971</v>
      </c>
      <c r="M2" s="2" t="s">
        <v>5972</v>
      </c>
      <c r="N2" s="2" t="s">
        <v>5973</v>
      </c>
      <c r="O2" s="2" t="s">
        <v>5974</v>
      </c>
      <c r="P2" s="2" t="s">
        <v>5975</v>
      </c>
      <c r="Q2" s="2" t="s">
        <v>5976</v>
      </c>
      <c r="R2" s="2" t="s">
        <v>5977</v>
      </c>
      <c r="S2" s="2" t="s">
        <v>5978</v>
      </c>
      <c r="T2" s="2" t="s">
        <v>5979</v>
      </c>
      <c r="U2" s="2" t="s">
        <v>5621</v>
      </c>
      <c r="V2" s="2" t="s">
        <v>5621</v>
      </c>
      <c r="W2" s="2" t="s">
        <v>5621</v>
      </c>
      <c r="X2" s="2" t="s">
        <v>5621</v>
      </c>
      <c r="Y2" s="2" t="s">
        <v>5980</v>
      </c>
      <c r="Z2" s="2" t="s">
        <v>5981</v>
      </c>
      <c r="AA2" s="2" t="s">
        <v>5964</v>
      </c>
      <c r="AB2" s="2" t="s">
        <v>5982</v>
      </c>
      <c r="AC2" s="2" t="s">
        <v>5983</v>
      </c>
      <c r="AD2" s="2" t="s">
        <v>5984</v>
      </c>
      <c r="AE2" s="2"/>
      <c r="AF2" s="2"/>
      <c r="AG2" s="2"/>
      <c r="AH2" s="2"/>
      <c r="AI2" s="2"/>
      <c r="AJ2" s="2"/>
      <c r="AK2" s="2"/>
      <c r="AL2" s="2"/>
      <c r="AM2" s="2"/>
      <c r="AN2" s="2"/>
      <c r="AO2" s="2"/>
      <c r="AP2" s="2"/>
      <c r="AQ2" s="2"/>
    </row>
    <row r="3" spans="1:43">
      <c r="A3" s="2" t="s">
        <v>5985</v>
      </c>
      <c r="B3" s="2" t="s">
        <v>5986</v>
      </c>
      <c r="C3" s="2" t="s">
        <v>5962</v>
      </c>
      <c r="D3" s="2" t="s">
        <v>5987</v>
      </c>
      <c r="E3" s="2" t="s">
        <v>5988</v>
      </c>
      <c r="F3" s="2" t="s">
        <v>5989</v>
      </c>
      <c r="G3" s="2" t="s">
        <v>5990</v>
      </c>
      <c r="H3" s="2" t="s">
        <v>5991</v>
      </c>
      <c r="I3" s="2" t="s">
        <v>5992</v>
      </c>
      <c r="J3" s="2" t="s">
        <v>5993</v>
      </c>
      <c r="K3" s="2" t="s">
        <v>5994</v>
      </c>
      <c r="L3" s="2" t="s">
        <v>5995</v>
      </c>
      <c r="M3" s="2" t="s">
        <v>5996</v>
      </c>
      <c r="N3" s="2" t="s">
        <v>5981</v>
      </c>
      <c r="O3" s="2" t="s">
        <v>5974</v>
      </c>
      <c r="P3" s="2" t="s">
        <v>5621</v>
      </c>
      <c r="Q3" s="2" t="s">
        <v>5976</v>
      </c>
      <c r="R3" s="2" t="s">
        <v>5977</v>
      </c>
      <c r="S3" s="2" t="s">
        <v>5978</v>
      </c>
      <c r="T3" s="2" t="s">
        <v>5979</v>
      </c>
      <c r="U3" s="2" t="s">
        <v>5683</v>
      </c>
      <c r="V3" s="2" t="s">
        <v>5621</v>
      </c>
      <c r="W3" s="2" t="s">
        <v>5621</v>
      </c>
      <c r="X3" s="2" t="s">
        <v>5621</v>
      </c>
      <c r="Y3" s="2" t="s">
        <v>5997</v>
      </c>
      <c r="Z3" s="2" t="s">
        <v>5998</v>
      </c>
      <c r="AA3" s="2" t="s">
        <v>5999</v>
      </c>
      <c r="AB3" s="2" t="s">
        <v>6000</v>
      </c>
      <c r="AC3" s="2" t="s">
        <v>5983</v>
      </c>
      <c r="AD3" s="2" t="s">
        <v>5984</v>
      </c>
      <c r="AE3" s="2"/>
      <c r="AF3" s="2"/>
      <c r="AG3" s="2"/>
      <c r="AH3" s="2"/>
      <c r="AI3" s="2"/>
      <c r="AJ3" s="2"/>
      <c r="AK3" s="2"/>
      <c r="AL3" s="2"/>
      <c r="AM3" s="2"/>
      <c r="AN3" s="2"/>
      <c r="AO3" s="2"/>
      <c r="AP3" s="2"/>
      <c r="AQ3" s="2"/>
    </row>
    <row r="4" spans="1:43">
      <c r="A4" s="2" t="s">
        <v>6001</v>
      </c>
      <c r="B4" s="2" t="s">
        <v>2207</v>
      </c>
      <c r="C4" s="2" t="s">
        <v>5962</v>
      </c>
      <c r="D4" s="2" t="s">
        <v>6002</v>
      </c>
      <c r="E4" s="2" t="s">
        <v>6003</v>
      </c>
      <c r="F4" s="2" t="s">
        <v>6004</v>
      </c>
      <c r="G4" s="2" t="s">
        <v>6005</v>
      </c>
      <c r="H4" s="2" t="s">
        <v>6006</v>
      </c>
      <c r="I4" s="2" t="s">
        <v>6007</v>
      </c>
      <c r="J4" s="2" t="s">
        <v>6008</v>
      </c>
      <c r="K4" s="2" t="s">
        <v>6009</v>
      </c>
      <c r="L4" s="2" t="s">
        <v>6010</v>
      </c>
      <c r="M4" s="2" t="s">
        <v>6011</v>
      </c>
      <c r="N4" s="2" t="s">
        <v>5998</v>
      </c>
      <c r="O4" s="2" t="s">
        <v>6012</v>
      </c>
      <c r="P4" s="2" t="s">
        <v>5621</v>
      </c>
      <c r="Q4" s="2" t="s">
        <v>6013</v>
      </c>
      <c r="R4" s="2" t="s">
        <v>6014</v>
      </c>
      <c r="S4" s="2" t="s">
        <v>6015</v>
      </c>
      <c r="T4" s="2" t="s">
        <v>5979</v>
      </c>
      <c r="U4" s="2" t="s">
        <v>5621</v>
      </c>
      <c r="V4" s="2" t="s">
        <v>5621</v>
      </c>
      <c r="W4" s="2" t="s">
        <v>5621</v>
      </c>
      <c r="X4" s="2" t="s">
        <v>5621</v>
      </c>
      <c r="Y4" s="2" t="s">
        <v>6016</v>
      </c>
      <c r="Z4" s="2" t="s">
        <v>6017</v>
      </c>
      <c r="AA4" s="2" t="s">
        <v>6018</v>
      </c>
      <c r="AB4" s="2" t="s">
        <v>6019</v>
      </c>
      <c r="AC4" s="2" t="s">
        <v>5983</v>
      </c>
      <c r="AD4" s="2" t="s">
        <v>5984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5984</v>
      </c>
      <c r="AE5" s="2"/>
      <c r="AF5" s="2"/>
      <c r="AG5" s="2" t="s">
        <v>6020</v>
      </c>
      <c r="AH5" s="2" t="s">
        <v>6017</v>
      </c>
      <c r="AI5" s="2" t="s">
        <v>5998</v>
      </c>
      <c r="AJ5" s="2" t="s">
        <v>5986</v>
      </c>
      <c r="AK5" s="2" t="s">
        <v>6021</v>
      </c>
      <c r="AL5" s="2" t="s">
        <v>6022</v>
      </c>
      <c r="AM5" s="2" t="s">
        <v>6023</v>
      </c>
      <c r="AN5" s="2" t="s">
        <v>6024</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6025</v>
      </c>
    </row>
    <row r="3" spans="1:2">
      <c r="A3" s="2" t="s">
        <v>5647</v>
      </c>
      <c r="B3" s="2" t="s">
        <v>6026</v>
      </c>
    </row>
    <row r="4" spans="1:2">
      <c r="A4" s="2" t="s">
        <v>5649</v>
      </c>
      <c r="B4" s="2" t="s">
        <v>7</v>
      </c>
    </row>
    <row r="5" spans="1:2">
      <c r="A5" s="2" t="s">
        <v>5650</v>
      </c>
      <c r="B5" s="2" t="s">
        <v>6027</v>
      </c>
    </row>
    <row r="6" spans="1:2">
      <c r="A6" s="2" t="s">
        <v>5651</v>
      </c>
      <c r="B6" s="2" t="s">
        <v>6028</v>
      </c>
    </row>
    <row r="7" spans="1:2">
      <c r="A7" s="2" t="s">
        <v>5653</v>
      </c>
      <c r="B7" s="2" t="s">
        <v>6029</v>
      </c>
    </row>
    <row r="8" spans="1:2">
      <c r="A8" s="2" t="s">
        <v>5655</v>
      </c>
      <c r="B8" s="2" t="s">
        <v>6030</v>
      </c>
    </row>
    <row r="9" spans="1:2">
      <c r="A9" s="2" t="s">
        <v>5657</v>
      </c>
      <c r="B9" s="2" t="s">
        <v>6031</v>
      </c>
    </row>
    <row r="10" spans="1:2">
      <c r="A10" s="2" t="s">
        <v>5659</v>
      </c>
      <c r="B10" s="2" t="s">
        <v>5660</v>
      </c>
    </row>
    <row r="11" spans="1:2">
      <c r="A11" s="2" t="s">
        <v>6032</v>
      </c>
      <c r="B11" s="2" t="s">
        <v>6033</v>
      </c>
    </row>
    <row r="12" spans="1:2">
      <c r="A12" s="2" t="s">
        <v>6034</v>
      </c>
      <c r="B12" s="2" t="s">
        <v>6035</v>
      </c>
    </row>
    <row r="13" spans="1:2">
      <c r="A13" s="2" t="s">
        <v>6036</v>
      </c>
      <c r="B13" s="2" t="s">
        <v>6037</v>
      </c>
    </row>
    <row r="14" spans="1:2">
      <c r="A14" s="2" t="s">
        <v>6038</v>
      </c>
      <c r="B14" s="2" t="s">
        <v>6039</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5922</v>
      </c>
      <c r="B1" s="1" t="s">
        <v>5923</v>
      </c>
      <c r="C1" s="1" t="s">
        <v>5924</v>
      </c>
      <c r="D1" s="1" t="s">
        <v>395</v>
      </c>
      <c r="E1" s="1" t="s">
        <v>5925</v>
      </c>
      <c r="F1" s="1" t="s">
        <v>5926</v>
      </c>
      <c r="G1" s="1" t="s">
        <v>5927</v>
      </c>
      <c r="H1" s="1" t="s">
        <v>5928</v>
      </c>
      <c r="I1" s="1" t="s">
        <v>5929</v>
      </c>
      <c r="J1" s="1" t="s">
        <v>5930</v>
      </c>
      <c r="K1" s="1" t="s">
        <v>5931</v>
      </c>
      <c r="L1" s="1" t="s">
        <v>5932</v>
      </c>
      <c r="M1" s="1" t="s">
        <v>607</v>
      </c>
      <c r="N1" s="1" t="s">
        <v>5933</v>
      </c>
      <c r="O1" s="1" t="s">
        <v>647</v>
      </c>
      <c r="P1" s="1" t="s">
        <v>5934</v>
      </c>
      <c r="Q1" s="1" t="s">
        <v>5935</v>
      </c>
      <c r="R1" s="1" t="s">
        <v>5936</v>
      </c>
      <c r="S1" s="1" t="s">
        <v>5937</v>
      </c>
      <c r="T1" s="1" t="s">
        <v>5938</v>
      </c>
      <c r="U1" s="1" t="s">
        <v>5939</v>
      </c>
      <c r="V1" s="1" t="s">
        <v>5940</v>
      </c>
      <c r="W1" s="1" t="s">
        <v>5941</v>
      </c>
      <c r="X1" s="1" t="s">
        <v>5942</v>
      </c>
      <c r="Y1" s="1" t="s">
        <v>5943</v>
      </c>
      <c r="Z1" s="1" t="s">
        <v>5944</v>
      </c>
      <c r="AA1" s="1" t="s">
        <v>5945</v>
      </c>
      <c r="AB1" s="1" t="s">
        <v>5946</v>
      </c>
      <c r="AC1" s="1" t="s">
        <v>5947</v>
      </c>
      <c r="AD1" s="1" t="s">
        <v>5948</v>
      </c>
      <c r="AE1" s="1" t="s">
        <v>5949</v>
      </c>
      <c r="AF1" s="1" t="s">
        <v>5950</v>
      </c>
      <c r="AG1" s="1" t="s">
        <v>5951</v>
      </c>
      <c r="AH1" s="1" t="s">
        <v>5952</v>
      </c>
      <c r="AI1" s="1" t="s">
        <v>5953</v>
      </c>
      <c r="AJ1" s="1" t="s">
        <v>5954</v>
      </c>
      <c r="AK1" s="1" t="s">
        <v>5955</v>
      </c>
      <c r="AL1" s="1" t="s">
        <v>5956</v>
      </c>
      <c r="AM1" s="1" t="s">
        <v>5957</v>
      </c>
      <c r="AN1" s="1" t="s">
        <v>5958</v>
      </c>
      <c r="AO1" s="1" t="s">
        <v>5959</v>
      </c>
      <c r="AP1" s="1" t="s">
        <v>5960</v>
      </c>
      <c r="AQ1" s="1" t="s">
        <v>5961</v>
      </c>
    </row>
    <row r="2" spans="1:43">
      <c r="A2" s="2" t="s">
        <v>4362</v>
      </c>
      <c r="B2" s="2" t="s">
        <v>7</v>
      </c>
      <c r="C2" s="2" t="s">
        <v>5962</v>
      </c>
      <c r="D2" s="2" t="s">
        <v>6040</v>
      </c>
      <c r="E2" s="2" t="s">
        <v>6041</v>
      </c>
      <c r="F2" s="2" t="s">
        <v>6042</v>
      </c>
      <c r="G2" s="2" t="s">
        <v>5966</v>
      </c>
      <c r="H2" s="2" t="s">
        <v>6043</v>
      </c>
      <c r="I2" s="2" t="s">
        <v>6044</v>
      </c>
      <c r="J2" s="2" t="s">
        <v>5969</v>
      </c>
      <c r="K2" s="2" t="s">
        <v>6045</v>
      </c>
      <c r="L2" s="2" t="s">
        <v>6046</v>
      </c>
      <c r="M2" s="2" t="s">
        <v>6047</v>
      </c>
      <c r="N2" s="2" t="s">
        <v>5973</v>
      </c>
      <c r="O2" s="2" t="s">
        <v>5974</v>
      </c>
      <c r="P2" s="2" t="s">
        <v>5975</v>
      </c>
      <c r="Q2" s="2" t="s">
        <v>5976</v>
      </c>
      <c r="R2" s="2" t="s">
        <v>5977</v>
      </c>
      <c r="S2" s="2" t="s">
        <v>5978</v>
      </c>
      <c r="T2" s="2" t="s">
        <v>5979</v>
      </c>
      <c r="U2" s="2" t="s">
        <v>5621</v>
      </c>
      <c r="V2" s="2" t="s">
        <v>5621</v>
      </c>
      <c r="W2" s="2" t="s">
        <v>5621</v>
      </c>
      <c r="X2" s="2" t="s">
        <v>5621</v>
      </c>
      <c r="Y2" s="2" t="s">
        <v>5980</v>
      </c>
      <c r="Z2" s="2" t="s">
        <v>6048</v>
      </c>
      <c r="AA2" s="2" t="s">
        <v>6041</v>
      </c>
      <c r="AB2" s="2" t="s">
        <v>5982</v>
      </c>
      <c r="AC2" s="2" t="s">
        <v>5983</v>
      </c>
      <c r="AD2" s="2" t="s">
        <v>5984</v>
      </c>
      <c r="AE2" s="2"/>
      <c r="AF2" s="2"/>
      <c r="AG2" s="2"/>
      <c r="AH2" s="2"/>
      <c r="AI2" s="2"/>
      <c r="AJ2" s="2"/>
      <c r="AK2" s="2"/>
      <c r="AL2" s="2"/>
      <c r="AM2" s="2"/>
      <c r="AN2" s="2"/>
      <c r="AO2" s="2"/>
      <c r="AP2" s="2"/>
      <c r="AQ2" s="2"/>
    </row>
    <row r="3" spans="1:43">
      <c r="A3" s="2" t="s">
        <v>5985</v>
      </c>
      <c r="B3" s="2" t="s">
        <v>5986</v>
      </c>
      <c r="C3" s="2" t="s">
        <v>5962</v>
      </c>
      <c r="D3" s="2" t="s">
        <v>6049</v>
      </c>
      <c r="E3" s="2" t="s">
        <v>6050</v>
      </c>
      <c r="F3" s="2" t="s">
        <v>6051</v>
      </c>
      <c r="G3" s="2" t="s">
        <v>5990</v>
      </c>
      <c r="H3" s="2" t="s">
        <v>6052</v>
      </c>
      <c r="I3" s="2" t="s">
        <v>6053</v>
      </c>
      <c r="J3" s="2" t="s">
        <v>5993</v>
      </c>
      <c r="K3" s="2" t="s">
        <v>6054</v>
      </c>
      <c r="L3" s="2" t="s">
        <v>6055</v>
      </c>
      <c r="M3" s="2" t="s">
        <v>6056</v>
      </c>
      <c r="N3" s="2" t="s">
        <v>6048</v>
      </c>
      <c r="O3" s="2" t="s">
        <v>5974</v>
      </c>
      <c r="P3" s="2" t="s">
        <v>5621</v>
      </c>
      <c r="Q3" s="2" t="s">
        <v>5976</v>
      </c>
      <c r="R3" s="2" t="s">
        <v>5977</v>
      </c>
      <c r="S3" s="2" t="s">
        <v>5978</v>
      </c>
      <c r="T3" s="2" t="s">
        <v>5979</v>
      </c>
      <c r="U3" s="2" t="s">
        <v>5683</v>
      </c>
      <c r="V3" s="2" t="s">
        <v>5621</v>
      </c>
      <c r="W3" s="2" t="s">
        <v>5621</v>
      </c>
      <c r="X3" s="2" t="s">
        <v>5621</v>
      </c>
      <c r="Y3" s="2" t="s">
        <v>5997</v>
      </c>
      <c r="Z3" s="2" t="s">
        <v>6057</v>
      </c>
      <c r="AA3" s="2" t="s">
        <v>6058</v>
      </c>
      <c r="AB3" s="2" t="s">
        <v>6000</v>
      </c>
      <c r="AC3" s="2" t="s">
        <v>6059</v>
      </c>
      <c r="AD3" s="2" t="s">
        <v>5984</v>
      </c>
      <c r="AE3" s="2"/>
      <c r="AF3" s="2"/>
      <c r="AG3" s="2"/>
      <c r="AH3" s="2"/>
      <c r="AI3" s="2"/>
      <c r="AJ3" s="2"/>
      <c r="AK3" s="2"/>
      <c r="AL3" s="2"/>
      <c r="AM3" s="2"/>
      <c r="AN3" s="2"/>
      <c r="AO3" s="2"/>
      <c r="AP3" s="2"/>
      <c r="AQ3" s="2"/>
    </row>
    <row r="4" spans="1:43">
      <c r="A4" s="2" t="s">
        <v>6001</v>
      </c>
      <c r="B4" s="2" t="s">
        <v>2207</v>
      </c>
      <c r="C4" s="2" t="s">
        <v>5962</v>
      </c>
      <c r="D4" s="2" t="s">
        <v>6060</v>
      </c>
      <c r="E4" s="2" t="s">
        <v>6061</v>
      </c>
      <c r="F4" s="2" t="s">
        <v>6062</v>
      </c>
      <c r="G4" s="2" t="s">
        <v>6005</v>
      </c>
      <c r="H4" s="2" t="s">
        <v>6063</v>
      </c>
      <c r="I4" s="2" t="s">
        <v>6064</v>
      </c>
      <c r="J4" s="2" t="s">
        <v>6008</v>
      </c>
      <c r="K4" s="2" t="s">
        <v>6065</v>
      </c>
      <c r="L4" s="2" t="s">
        <v>6066</v>
      </c>
      <c r="M4" s="2" t="s">
        <v>6067</v>
      </c>
      <c r="N4" s="2" t="s">
        <v>6057</v>
      </c>
      <c r="O4" s="2" t="s">
        <v>6012</v>
      </c>
      <c r="P4" s="2" t="s">
        <v>5621</v>
      </c>
      <c r="Q4" s="2" t="s">
        <v>6013</v>
      </c>
      <c r="R4" s="2" t="s">
        <v>6014</v>
      </c>
      <c r="S4" s="2" t="s">
        <v>6015</v>
      </c>
      <c r="T4" s="2" t="s">
        <v>5979</v>
      </c>
      <c r="U4" s="2" t="s">
        <v>5621</v>
      </c>
      <c r="V4" s="2" t="s">
        <v>5621</v>
      </c>
      <c r="W4" s="2" t="s">
        <v>5621</v>
      </c>
      <c r="X4" s="2" t="s">
        <v>5621</v>
      </c>
      <c r="Y4" s="2" t="s">
        <v>6016</v>
      </c>
      <c r="Z4" s="2" t="s">
        <v>6068</v>
      </c>
      <c r="AA4" s="2" t="s">
        <v>6069</v>
      </c>
      <c r="AB4" s="2" t="s">
        <v>6019</v>
      </c>
      <c r="AC4" s="2" t="s">
        <v>6059</v>
      </c>
      <c r="AD4" s="2" t="s">
        <v>5984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5984</v>
      </c>
      <c r="AE5" s="2"/>
      <c r="AF5" s="2"/>
      <c r="AG5" s="2" t="s">
        <v>6020</v>
      </c>
      <c r="AH5" s="2" t="s">
        <v>6068</v>
      </c>
      <c r="AI5" s="2" t="s">
        <v>6057</v>
      </c>
      <c r="AJ5" s="2" t="s">
        <v>5986</v>
      </c>
      <c r="AK5" s="2" t="s">
        <v>6070</v>
      </c>
      <c r="AL5" s="2" t="s">
        <v>6071</v>
      </c>
      <c r="AM5" s="2" t="s">
        <v>6072</v>
      </c>
      <c r="AN5" s="2" t="s">
        <v>5621</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6073</v>
      </c>
    </row>
    <row r="3" spans="1:2">
      <c r="A3" s="2" t="s">
        <v>5647</v>
      </c>
      <c r="B3" s="2" t="s">
        <v>6026</v>
      </c>
    </row>
    <row r="4" spans="1:2">
      <c r="A4" s="2" t="s">
        <v>5649</v>
      </c>
      <c r="B4" s="2" t="s">
        <v>7</v>
      </c>
    </row>
    <row r="5" spans="1:2">
      <c r="A5" s="2" t="s">
        <v>5650</v>
      </c>
      <c r="B5" s="2" t="s">
        <v>6027</v>
      </c>
    </row>
    <row r="6" spans="1:2">
      <c r="A6" s="2" t="s">
        <v>5651</v>
      </c>
      <c r="B6" s="2" t="s">
        <v>6028</v>
      </c>
    </row>
    <row r="7" spans="1:2">
      <c r="A7" s="2" t="s">
        <v>5653</v>
      </c>
      <c r="B7" s="2" t="s">
        <v>6029</v>
      </c>
    </row>
    <row r="8" spans="1:2">
      <c r="A8" s="2" t="s">
        <v>5655</v>
      </c>
      <c r="B8" s="2" t="s">
        <v>6030</v>
      </c>
    </row>
    <row r="9" spans="1:2">
      <c r="A9" s="2" t="s">
        <v>5657</v>
      </c>
      <c r="B9" s="2" t="s">
        <v>6074</v>
      </c>
    </row>
    <row r="10" spans="1:2">
      <c r="A10" s="2" t="s">
        <v>5659</v>
      </c>
      <c r="B10" s="2" t="s">
        <v>5660</v>
      </c>
    </row>
    <row r="11" spans="1:2">
      <c r="A11" s="2" t="s">
        <v>6075</v>
      </c>
      <c r="B11" s="2" t="s">
        <v>6076</v>
      </c>
    </row>
    <row r="12" spans="1:2">
      <c r="A12" s="2" t="s">
        <v>6077</v>
      </c>
      <c r="B12" s="2" t="s">
        <v>6078</v>
      </c>
    </row>
    <row r="13" spans="1:2">
      <c r="A13" s="2" t="s">
        <v>6079</v>
      </c>
      <c r="B13" s="2" t="s">
        <v>6080</v>
      </c>
    </row>
    <row r="14" spans="1:2">
      <c r="A14" s="2" t="s">
        <v>6081</v>
      </c>
      <c r="B14" s="2" t="s">
        <v>6082</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5922</v>
      </c>
      <c r="B1" s="1" t="s">
        <v>5923</v>
      </c>
      <c r="C1" s="1" t="s">
        <v>5924</v>
      </c>
      <c r="D1" s="1" t="s">
        <v>395</v>
      </c>
      <c r="E1" s="1" t="s">
        <v>5925</v>
      </c>
      <c r="F1" s="1" t="s">
        <v>5926</v>
      </c>
      <c r="G1" s="1" t="s">
        <v>5927</v>
      </c>
      <c r="H1" s="1" t="s">
        <v>5928</v>
      </c>
      <c r="I1" s="1" t="s">
        <v>5929</v>
      </c>
      <c r="J1" s="1" t="s">
        <v>5930</v>
      </c>
      <c r="K1" s="1" t="s">
        <v>5931</v>
      </c>
      <c r="L1" s="1" t="s">
        <v>5932</v>
      </c>
      <c r="M1" s="1" t="s">
        <v>607</v>
      </c>
      <c r="N1" s="1" t="s">
        <v>5933</v>
      </c>
      <c r="O1" s="1" t="s">
        <v>647</v>
      </c>
      <c r="P1" s="1" t="s">
        <v>5934</v>
      </c>
      <c r="Q1" s="1" t="s">
        <v>5935</v>
      </c>
      <c r="R1" s="1" t="s">
        <v>5936</v>
      </c>
      <c r="S1" s="1" t="s">
        <v>5937</v>
      </c>
      <c r="T1" s="1" t="s">
        <v>5938</v>
      </c>
      <c r="U1" s="1" t="s">
        <v>5939</v>
      </c>
      <c r="V1" s="1" t="s">
        <v>5940</v>
      </c>
      <c r="W1" s="1" t="s">
        <v>5941</v>
      </c>
      <c r="X1" s="1" t="s">
        <v>5942</v>
      </c>
      <c r="Y1" s="1" t="s">
        <v>5943</v>
      </c>
      <c r="Z1" s="1" t="s">
        <v>5944</v>
      </c>
      <c r="AA1" s="1" t="s">
        <v>5945</v>
      </c>
      <c r="AB1" s="1" t="s">
        <v>5946</v>
      </c>
      <c r="AC1" s="1" t="s">
        <v>5947</v>
      </c>
      <c r="AD1" s="1" t="s">
        <v>5948</v>
      </c>
      <c r="AE1" s="1" t="s">
        <v>5949</v>
      </c>
      <c r="AF1" s="1" t="s">
        <v>5950</v>
      </c>
      <c r="AG1" s="1" t="s">
        <v>5951</v>
      </c>
      <c r="AH1" s="1" t="s">
        <v>5952</v>
      </c>
      <c r="AI1" s="1" t="s">
        <v>5953</v>
      </c>
      <c r="AJ1" s="1" t="s">
        <v>5954</v>
      </c>
      <c r="AK1" s="1" t="s">
        <v>5955</v>
      </c>
      <c r="AL1" s="1" t="s">
        <v>5956</v>
      </c>
      <c r="AM1" s="1" t="s">
        <v>5957</v>
      </c>
      <c r="AN1" s="1" t="s">
        <v>5958</v>
      </c>
      <c r="AO1" s="1" t="s">
        <v>5959</v>
      </c>
      <c r="AP1" s="1" t="s">
        <v>5960</v>
      </c>
      <c r="AQ1" s="1" t="s">
        <v>5961</v>
      </c>
    </row>
    <row r="2" spans="1:43">
      <c r="A2" s="2" t="s">
        <v>4362</v>
      </c>
      <c r="B2" s="2" t="s">
        <v>7</v>
      </c>
      <c r="C2" s="2" t="s">
        <v>5962</v>
      </c>
      <c r="D2" s="2" t="s">
        <v>6083</v>
      </c>
      <c r="E2" s="2" t="s">
        <v>6084</v>
      </c>
      <c r="F2" s="2" t="s">
        <v>6085</v>
      </c>
      <c r="G2" s="2" t="s">
        <v>5966</v>
      </c>
      <c r="H2" s="2" t="s">
        <v>6086</v>
      </c>
      <c r="I2" s="2" t="s">
        <v>6087</v>
      </c>
      <c r="J2" s="2" t="s">
        <v>5969</v>
      </c>
      <c r="K2" s="2" t="s">
        <v>6088</v>
      </c>
      <c r="L2" s="2" t="s">
        <v>5971</v>
      </c>
      <c r="M2" s="2" t="s">
        <v>6089</v>
      </c>
      <c r="N2" s="2" t="s">
        <v>5973</v>
      </c>
      <c r="O2" s="2" t="s">
        <v>5974</v>
      </c>
      <c r="P2" s="2" t="s">
        <v>5975</v>
      </c>
      <c r="Q2" s="2" t="s">
        <v>5976</v>
      </c>
      <c r="R2" s="2" t="s">
        <v>5977</v>
      </c>
      <c r="S2" s="2" t="s">
        <v>5978</v>
      </c>
      <c r="T2" s="2" t="s">
        <v>5979</v>
      </c>
      <c r="U2" s="2" t="s">
        <v>5621</v>
      </c>
      <c r="V2" s="2" t="s">
        <v>5621</v>
      </c>
      <c r="W2" s="2" t="s">
        <v>5621</v>
      </c>
      <c r="X2" s="2" t="s">
        <v>5621</v>
      </c>
      <c r="Y2" s="2" t="s">
        <v>5980</v>
      </c>
      <c r="Z2" s="2" t="s">
        <v>6090</v>
      </c>
      <c r="AA2" s="2" t="s">
        <v>6084</v>
      </c>
      <c r="AB2" s="2" t="s">
        <v>5982</v>
      </c>
      <c r="AC2" s="2" t="s">
        <v>5983</v>
      </c>
      <c r="AD2" s="2" t="s">
        <v>5984</v>
      </c>
      <c r="AE2" s="2"/>
      <c r="AF2" s="2"/>
      <c r="AG2" s="2"/>
      <c r="AH2" s="2"/>
      <c r="AI2" s="2"/>
      <c r="AJ2" s="2"/>
      <c r="AK2" s="2"/>
      <c r="AL2" s="2"/>
      <c r="AM2" s="2"/>
      <c r="AN2" s="2"/>
      <c r="AO2" s="2"/>
      <c r="AP2" s="2"/>
      <c r="AQ2" s="2"/>
    </row>
    <row r="3" spans="1:43">
      <c r="A3" s="2" t="s">
        <v>5985</v>
      </c>
      <c r="B3" s="2" t="s">
        <v>5986</v>
      </c>
      <c r="C3" s="2" t="s">
        <v>5962</v>
      </c>
      <c r="D3" s="2" t="s">
        <v>6091</v>
      </c>
      <c r="E3" s="2" t="s">
        <v>6092</v>
      </c>
      <c r="F3" s="2" t="s">
        <v>6093</v>
      </c>
      <c r="G3" s="2" t="s">
        <v>5990</v>
      </c>
      <c r="H3" s="2" t="s">
        <v>6094</v>
      </c>
      <c r="I3" s="2" t="s">
        <v>6087</v>
      </c>
      <c r="J3" s="2" t="s">
        <v>5993</v>
      </c>
      <c r="K3" s="2" t="s">
        <v>6095</v>
      </c>
      <c r="L3" s="2" t="s">
        <v>5995</v>
      </c>
      <c r="M3" s="2" t="s">
        <v>6096</v>
      </c>
      <c r="N3" s="2" t="s">
        <v>6090</v>
      </c>
      <c r="O3" s="2" t="s">
        <v>5974</v>
      </c>
      <c r="P3" s="2" t="s">
        <v>5621</v>
      </c>
      <c r="Q3" s="2" t="s">
        <v>5976</v>
      </c>
      <c r="R3" s="2" t="s">
        <v>5977</v>
      </c>
      <c r="S3" s="2" t="s">
        <v>5978</v>
      </c>
      <c r="T3" s="2" t="s">
        <v>5979</v>
      </c>
      <c r="U3" s="2" t="s">
        <v>5683</v>
      </c>
      <c r="V3" s="2" t="s">
        <v>5621</v>
      </c>
      <c r="W3" s="2" t="s">
        <v>5621</v>
      </c>
      <c r="X3" s="2" t="s">
        <v>5621</v>
      </c>
      <c r="Y3" s="2" t="s">
        <v>5997</v>
      </c>
      <c r="Z3" s="2" t="s">
        <v>6097</v>
      </c>
      <c r="AA3" s="2" t="s">
        <v>6098</v>
      </c>
      <c r="AB3" s="2" t="s">
        <v>6000</v>
      </c>
      <c r="AC3" s="2" t="s">
        <v>5983</v>
      </c>
      <c r="AD3" s="2" t="s">
        <v>5984</v>
      </c>
      <c r="AE3" s="2"/>
      <c r="AF3" s="2"/>
      <c r="AG3" s="2"/>
      <c r="AH3" s="2"/>
      <c r="AI3" s="2"/>
      <c r="AJ3" s="2"/>
      <c r="AK3" s="2"/>
      <c r="AL3" s="2"/>
      <c r="AM3" s="2"/>
      <c r="AN3" s="2"/>
      <c r="AO3" s="2"/>
      <c r="AP3" s="2"/>
      <c r="AQ3" s="2"/>
    </row>
    <row r="4" spans="1:43">
      <c r="A4" s="2" t="s">
        <v>6001</v>
      </c>
      <c r="B4" s="2" t="s">
        <v>2207</v>
      </c>
      <c r="C4" s="2" t="s">
        <v>5962</v>
      </c>
      <c r="D4" s="2" t="s">
        <v>6099</v>
      </c>
      <c r="E4" s="2" t="s">
        <v>6100</v>
      </c>
      <c r="F4" s="2" t="s">
        <v>6101</v>
      </c>
      <c r="G4" s="2" t="s">
        <v>6005</v>
      </c>
      <c r="H4" s="2" t="s">
        <v>6102</v>
      </c>
      <c r="I4" s="2" t="s">
        <v>6087</v>
      </c>
      <c r="J4" s="2" t="s">
        <v>6008</v>
      </c>
      <c r="K4" s="2" t="s">
        <v>6103</v>
      </c>
      <c r="L4" s="2" t="s">
        <v>6010</v>
      </c>
      <c r="M4" s="2" t="s">
        <v>6104</v>
      </c>
      <c r="N4" s="2" t="s">
        <v>6097</v>
      </c>
      <c r="O4" s="2" t="s">
        <v>6012</v>
      </c>
      <c r="P4" s="2" t="s">
        <v>5621</v>
      </c>
      <c r="Q4" s="2" t="s">
        <v>6013</v>
      </c>
      <c r="R4" s="2" t="s">
        <v>6014</v>
      </c>
      <c r="S4" s="2" t="s">
        <v>6015</v>
      </c>
      <c r="T4" s="2" t="s">
        <v>5979</v>
      </c>
      <c r="U4" s="2" t="s">
        <v>5621</v>
      </c>
      <c r="V4" s="2" t="s">
        <v>5621</v>
      </c>
      <c r="W4" s="2" t="s">
        <v>5621</v>
      </c>
      <c r="X4" s="2" t="s">
        <v>5621</v>
      </c>
      <c r="Y4" s="2" t="s">
        <v>6016</v>
      </c>
      <c r="Z4" s="2" t="s">
        <v>6105</v>
      </c>
      <c r="AA4" s="2" t="s">
        <v>6106</v>
      </c>
      <c r="AB4" s="2" t="s">
        <v>6019</v>
      </c>
      <c r="AC4" s="2" t="s">
        <v>5983</v>
      </c>
      <c r="AD4" s="2" t="s">
        <v>5984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5984</v>
      </c>
      <c r="AE5" s="2"/>
      <c r="AF5" s="2"/>
      <c r="AG5" s="2" t="s">
        <v>6020</v>
      </c>
      <c r="AH5" s="2" t="s">
        <v>6105</v>
      </c>
      <c r="AI5" s="2" t="s">
        <v>6097</v>
      </c>
      <c r="AJ5" s="2" t="s">
        <v>5986</v>
      </c>
      <c r="AK5" s="2" t="s">
        <v>6107</v>
      </c>
      <c r="AL5" s="2" t="s">
        <v>6108</v>
      </c>
      <c r="AM5" s="2" t="s">
        <v>6109</v>
      </c>
      <c r="AN5" s="2" t="s">
        <v>6110</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6111</v>
      </c>
    </row>
    <row r="3" spans="1:2">
      <c r="A3" s="2" t="s">
        <v>5647</v>
      </c>
      <c r="B3" s="2" t="s">
        <v>6026</v>
      </c>
    </row>
    <row r="4" spans="1:2">
      <c r="A4" s="2" t="s">
        <v>5649</v>
      </c>
      <c r="B4" s="2" t="s">
        <v>7</v>
      </c>
    </row>
    <row r="5" spans="1:2">
      <c r="A5" s="2" t="s">
        <v>5650</v>
      </c>
      <c r="B5" s="2" t="s">
        <v>6027</v>
      </c>
    </row>
    <row r="6" spans="1:2">
      <c r="A6" s="2" t="s">
        <v>5651</v>
      </c>
      <c r="B6" s="2" t="s">
        <v>6028</v>
      </c>
    </row>
    <row r="7" spans="1:2">
      <c r="A7" s="2" t="s">
        <v>5653</v>
      </c>
      <c r="B7" s="2" t="s">
        <v>6029</v>
      </c>
    </row>
    <row r="8" spans="1:2">
      <c r="A8" s="2" t="s">
        <v>5655</v>
      </c>
      <c r="B8" s="2" t="s">
        <v>6030</v>
      </c>
    </row>
    <row r="9" spans="1:2">
      <c r="A9" s="2" t="s">
        <v>5657</v>
      </c>
      <c r="B9" s="2" t="s">
        <v>6112</v>
      </c>
    </row>
    <row r="10" spans="1:2">
      <c r="A10" s="2" t="s">
        <v>5659</v>
      </c>
      <c r="B10" s="2" t="s">
        <v>5660</v>
      </c>
    </row>
    <row r="11" spans="1:2">
      <c r="A11" s="2" t="s">
        <v>6113</v>
      </c>
      <c r="B11" s="2" t="s">
        <v>6114</v>
      </c>
    </row>
    <row r="12" spans="1:2">
      <c r="A12" s="2" t="s">
        <v>6115</v>
      </c>
      <c r="B12" s="2" t="s">
        <v>6116</v>
      </c>
    </row>
    <row r="13" spans="1:2">
      <c r="A13" s="2" t="s">
        <v>6117</v>
      </c>
      <c r="B13" s="2" t="s">
        <v>6118</v>
      </c>
    </row>
    <row r="14" spans="1:2">
      <c r="A14" s="2" t="s">
        <v>6119</v>
      </c>
      <c r="B14" s="2" t="s">
        <v>6120</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6121</v>
      </c>
      <c r="B1" s="1" t="s">
        <v>6122</v>
      </c>
      <c r="C1" s="1" t="s">
        <v>6123</v>
      </c>
      <c r="D1" s="1" t="s">
        <v>6124</v>
      </c>
      <c r="E1" s="1" t="s">
        <v>6125</v>
      </c>
      <c r="F1" s="1" t="s">
        <v>6126</v>
      </c>
      <c r="G1" s="1" t="s">
        <v>6127</v>
      </c>
      <c r="H1" s="1" t="s">
        <v>6128</v>
      </c>
      <c r="I1" s="1" t="s">
        <v>6129</v>
      </c>
      <c r="J1" s="1" t="s">
        <v>6130</v>
      </c>
      <c r="K1" s="1" t="s">
        <v>6131</v>
      </c>
      <c r="L1" s="1" t="s">
        <v>6132</v>
      </c>
      <c r="M1" s="1" t="s">
        <v>6133</v>
      </c>
      <c r="N1" s="1" t="s">
        <v>6134</v>
      </c>
      <c r="O1" s="1" t="s">
        <v>6135</v>
      </c>
      <c r="P1" s="1" t="s">
        <v>6136</v>
      </c>
      <c r="Q1" s="1" t="s">
        <v>6137</v>
      </c>
      <c r="R1" s="1" t="s">
        <v>6138</v>
      </c>
      <c r="S1" s="1" t="s">
        <v>6139</v>
      </c>
      <c r="T1" s="1" t="s">
        <v>6140</v>
      </c>
      <c r="U1" s="1" t="s">
        <v>6141</v>
      </c>
      <c r="V1" s="1" t="s">
        <v>6142</v>
      </c>
      <c r="W1" s="1" t="s">
        <v>6143</v>
      </c>
      <c r="X1" s="1" t="s">
        <v>6144</v>
      </c>
      <c r="Y1" s="1" t="s">
        <v>5655</v>
      </c>
      <c r="Z1" s="1" t="s">
        <v>6145</v>
      </c>
    </row>
    <row r="2" spans="1:26">
      <c r="A2" s="2" t="s">
        <v>56</v>
      </c>
      <c r="B2" s="2" t="b">
        <v>0</v>
      </c>
      <c r="C2" s="2" t="s">
        <v>6146</v>
      </c>
      <c r="D2" s="2" t="s">
        <v>6147</v>
      </c>
      <c r="E2" s="2" t="s">
        <v>6148</v>
      </c>
      <c r="F2" s="2" t="s">
        <v>6149</v>
      </c>
      <c r="G2" s="2" t="s">
        <v>6150</v>
      </c>
      <c r="H2" s="2" t="s">
        <v>6151</v>
      </c>
      <c r="I2" s="2" t="s">
        <v>6152</v>
      </c>
      <c r="J2" s="2" t="s">
        <v>6153</v>
      </c>
      <c r="K2" s="2" t="s">
        <v>6154</v>
      </c>
      <c r="L2" s="2" t="s">
        <v>6155</v>
      </c>
      <c r="M2" s="2" t="s">
        <v>6156</v>
      </c>
      <c r="N2" s="2" t="s">
        <v>6157</v>
      </c>
      <c r="O2" s="2" t="s">
        <v>6158</v>
      </c>
      <c r="P2" s="2" t="s">
        <v>6159</v>
      </c>
      <c r="Q2" s="2" t="s">
        <v>6160</v>
      </c>
      <c r="R2" s="2" t="s">
        <v>6161</v>
      </c>
      <c r="S2" s="2" t="s">
        <v>6162</v>
      </c>
      <c r="T2" s="2" t="s">
        <v>6163</v>
      </c>
      <c r="U2" s="2" t="s">
        <v>6164</v>
      </c>
      <c r="V2" s="2" t="s">
        <v>6165</v>
      </c>
      <c r="W2" s="2" t="s">
        <v>6166</v>
      </c>
      <c r="X2" s="2" t="s">
        <v>6167</v>
      </c>
      <c r="Y2" s="2" t="s">
        <v>6168</v>
      </c>
      <c r="Z2" s="2" t="s">
        <v>6169</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6170</v>
      </c>
    </row>
    <row r="3" spans="1:2">
      <c r="A3" s="2" t="s">
        <v>5647</v>
      </c>
      <c r="B3" s="2" t="s">
        <v>6171</v>
      </c>
    </row>
    <row r="4" spans="1:2">
      <c r="A4" s="2" t="s">
        <v>5649</v>
      </c>
      <c r="B4" s="2" t="s">
        <v>7</v>
      </c>
    </row>
    <row r="5" spans="1:2">
      <c r="A5" s="2" t="s">
        <v>5650</v>
      </c>
      <c r="B5" s="2" t="s">
        <v>6172</v>
      </c>
    </row>
    <row r="6" spans="1:2">
      <c r="A6" s="2" t="s">
        <v>5651</v>
      </c>
      <c r="B6" s="2" t="s">
        <v>6173</v>
      </c>
    </row>
    <row r="7" spans="1:2">
      <c r="A7" s="2" t="s">
        <v>5653</v>
      </c>
      <c r="B7" s="2" t="s">
        <v>6174</v>
      </c>
    </row>
    <row r="8" spans="1:2">
      <c r="A8" s="2" t="s">
        <v>5655</v>
      </c>
      <c r="B8" s="2" t="s">
        <v>6175</v>
      </c>
    </row>
    <row r="9" spans="1:2">
      <c r="A9" s="2" t="s">
        <v>5657</v>
      </c>
      <c r="B9" s="2" t="s">
        <v>6176</v>
      </c>
    </row>
    <row r="10" spans="1:2">
      <c r="A10" s="2" t="s">
        <v>5659</v>
      </c>
      <c r="B10" s="2" t="s">
        <v>5660</v>
      </c>
    </row>
    <row r="11" spans="1:2">
      <c r="A11" s="2" t="s">
        <v>6177</v>
      </c>
      <c r="B11" s="2" t="s">
        <v>6178</v>
      </c>
    </row>
    <row r="12" spans="1:2">
      <c r="A12" s="2" t="s">
        <v>6179</v>
      </c>
      <c r="B12" s="2" t="s">
        <v>6180</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6181</v>
      </c>
      <c r="B1" s="1" t="s">
        <v>6182</v>
      </c>
      <c r="C1" s="1" t="s">
        <v>432</v>
      </c>
      <c r="D1" s="1" t="s">
        <v>6183</v>
      </c>
      <c r="E1" s="1" t="s">
        <v>6184</v>
      </c>
      <c r="F1" s="1" t="s">
        <v>6185</v>
      </c>
      <c r="G1" s="1" t="s">
        <v>6186</v>
      </c>
      <c r="H1" s="1" t="s">
        <v>6187</v>
      </c>
      <c r="I1" s="1" t="s">
        <v>6188</v>
      </c>
      <c r="J1" s="1" t="s">
        <v>6189</v>
      </c>
      <c r="K1" s="1" t="s">
        <v>5721</v>
      </c>
    </row>
    <row r="2" spans="1:11">
      <c r="A2" s="2" t="s">
        <v>6190</v>
      </c>
      <c r="B2" s="2" t="s">
        <v>5768</v>
      </c>
      <c r="C2" s="2" t="s">
        <v>5902</v>
      </c>
      <c r="D2" s="2" t="s">
        <v>6191</v>
      </c>
      <c r="E2" s="2" t="s">
        <v>6192</v>
      </c>
      <c r="F2" s="2" t="s">
        <v>6193</v>
      </c>
      <c r="G2" s="2" t="s">
        <v>6194</v>
      </c>
      <c r="H2" s="2" t="s">
        <v>6195</v>
      </c>
      <c r="I2" s="2" t="s">
        <v>6195</v>
      </c>
      <c r="J2" s="2" t="s">
        <v>6196</v>
      </c>
      <c r="K2" s="2" t="s">
        <v>6197</v>
      </c>
    </row>
    <row r="3" spans="1:11">
      <c r="A3" s="2" t="s">
        <v>6198</v>
      </c>
      <c r="B3" s="2" t="s">
        <v>5768</v>
      </c>
      <c r="C3" s="2" t="s">
        <v>5902</v>
      </c>
      <c r="D3" s="2" t="s">
        <v>6191</v>
      </c>
      <c r="E3" s="2" t="s">
        <v>6192</v>
      </c>
      <c r="F3" s="2"/>
      <c r="G3" s="2"/>
      <c r="H3" s="2" t="s">
        <v>6195</v>
      </c>
      <c r="I3" s="2" t="s">
        <v>6195</v>
      </c>
      <c r="J3" s="2" t="s">
        <v>6196</v>
      </c>
      <c r="K3" s="2" t="s">
        <v>6199</v>
      </c>
    </row>
    <row r="4" spans="1:11">
      <c r="A4" s="2" t="s">
        <v>6200</v>
      </c>
      <c r="B4" s="2" t="s">
        <v>5773</v>
      </c>
      <c r="C4" s="2" t="s">
        <v>5902</v>
      </c>
      <c r="D4" s="2" t="s">
        <v>6201</v>
      </c>
      <c r="E4" s="2" t="s">
        <v>6202</v>
      </c>
      <c r="F4" s="2"/>
      <c r="G4" s="2"/>
      <c r="H4" s="2" t="s">
        <v>6203</v>
      </c>
      <c r="I4" s="2" t="s">
        <v>6203</v>
      </c>
      <c r="J4" s="2"/>
      <c r="K4" s="2" t="s">
        <v>6204</v>
      </c>
    </row>
    <row r="5" spans="1:11">
      <c r="A5" s="2" t="s">
        <v>6205</v>
      </c>
      <c r="B5" s="2" t="s">
        <v>5768</v>
      </c>
      <c r="C5" s="2" t="s">
        <v>6206</v>
      </c>
      <c r="D5" s="2" t="s">
        <v>6207</v>
      </c>
      <c r="E5" s="2" t="s">
        <v>6208</v>
      </c>
      <c r="F5" s="2"/>
      <c r="G5" s="2"/>
      <c r="H5" s="2" t="s">
        <v>6209</v>
      </c>
      <c r="I5" s="2" t="s">
        <v>6209</v>
      </c>
      <c r="J5" s="2"/>
      <c r="K5" s="2" t="s">
        <v>6210</v>
      </c>
    </row>
    <row r="6" spans="1:11">
      <c r="A6" s="2" t="s">
        <v>6211</v>
      </c>
      <c r="B6" s="2" t="s">
        <v>5773</v>
      </c>
      <c r="C6" s="2" t="s">
        <v>6206</v>
      </c>
      <c r="D6" s="2" t="s">
        <v>6212</v>
      </c>
      <c r="E6" s="2" t="s">
        <v>6212</v>
      </c>
      <c r="F6" s="2"/>
      <c r="G6" s="2"/>
      <c r="H6" s="2" t="s">
        <v>6213</v>
      </c>
      <c r="I6" s="2" t="s">
        <v>6213</v>
      </c>
      <c r="J6" s="2"/>
      <c r="K6" s="2" t="s">
        <v>6214</v>
      </c>
    </row>
    <row r="7" spans="1:11">
      <c r="A7" s="2" t="s">
        <v>6215</v>
      </c>
      <c r="B7" s="2" t="s">
        <v>5768</v>
      </c>
      <c r="C7" s="2" t="s">
        <v>6216</v>
      </c>
      <c r="D7" s="2" t="s">
        <v>6217</v>
      </c>
      <c r="E7" s="2" t="s">
        <v>6218</v>
      </c>
      <c r="F7" s="2"/>
      <c r="G7" s="2"/>
      <c r="H7" s="2" t="s">
        <v>6219</v>
      </c>
      <c r="I7" s="2" t="s">
        <v>6219</v>
      </c>
      <c r="J7" s="2"/>
      <c r="K7" s="2" t="s">
        <v>6220</v>
      </c>
    </row>
    <row r="8" spans="1:11">
      <c r="A8" s="2" t="s">
        <v>6221</v>
      </c>
      <c r="B8" s="2"/>
      <c r="C8" s="2"/>
      <c r="D8" s="2"/>
      <c r="E8" s="2"/>
      <c r="F8" s="2"/>
      <c r="G8" s="2"/>
      <c r="H8" s="2"/>
      <c r="I8" s="2"/>
      <c r="J8" s="2"/>
      <c r="K8" s="2" t="s">
        <v>6222</v>
      </c>
    </row>
    <row r="9" spans="1:11">
      <c r="A9" s="2" t="s">
        <v>6223</v>
      </c>
      <c r="B9" s="2" t="s">
        <v>5768</v>
      </c>
      <c r="C9" s="2" t="s">
        <v>6216</v>
      </c>
      <c r="D9" s="2" t="s">
        <v>6217</v>
      </c>
      <c r="E9" s="2" t="s">
        <v>6218</v>
      </c>
      <c r="F9" s="2"/>
      <c r="G9" s="2"/>
      <c r="H9" s="2" t="s">
        <v>6219</v>
      </c>
      <c r="I9" s="2" t="s">
        <v>6219</v>
      </c>
      <c r="J9" s="2"/>
      <c r="K9" s="2" t="s">
        <v>6224</v>
      </c>
    </row>
    <row r="10" spans="1:11">
      <c r="A10" s="2" t="s">
        <v>6225</v>
      </c>
      <c r="B10" s="2" t="s">
        <v>5768</v>
      </c>
      <c r="C10" s="2" t="s">
        <v>5902</v>
      </c>
      <c r="D10" s="2" t="s">
        <v>6191</v>
      </c>
      <c r="E10" s="2" t="s">
        <v>6192</v>
      </c>
      <c r="F10" s="2"/>
      <c r="G10" s="2"/>
      <c r="H10" s="2" t="s">
        <v>6195</v>
      </c>
      <c r="I10" s="2" t="s">
        <v>6195</v>
      </c>
      <c r="J10" s="2"/>
      <c r="K10" s="2" t="s">
        <v>6226</v>
      </c>
    </row>
    <row r="11" spans="1:11">
      <c r="A11" s="2" t="s">
        <v>6227</v>
      </c>
      <c r="B11" s="2"/>
      <c r="C11" s="2"/>
      <c r="D11" s="2"/>
      <c r="E11" s="2"/>
      <c r="F11" s="2"/>
      <c r="G11" s="2"/>
      <c r="H11" s="2"/>
      <c r="I11" s="2"/>
      <c r="J11" s="2"/>
      <c r="K11" s="2" t="s">
        <v>6228</v>
      </c>
    </row>
  </sheetData>
  <autoFilter ref="A1:K11"/>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6229</v>
      </c>
    </row>
    <row r="3" spans="1:2">
      <c r="A3" s="2" t="s">
        <v>5647</v>
      </c>
      <c r="B3" s="2" t="s">
        <v>6230</v>
      </c>
    </row>
    <row r="4" spans="1:2">
      <c r="A4" s="2" t="s">
        <v>5649</v>
      </c>
      <c r="B4" s="2" t="s">
        <v>7</v>
      </c>
    </row>
    <row r="5" spans="1:2">
      <c r="A5" s="2" t="s">
        <v>5650</v>
      </c>
      <c r="B5" s="2" t="s">
        <v>6231</v>
      </c>
    </row>
    <row r="6" spans="1:2">
      <c r="A6" s="2" t="s">
        <v>5651</v>
      </c>
      <c r="B6" s="2" t="s">
        <v>6232</v>
      </c>
    </row>
    <row r="7" spans="1:2">
      <c r="A7" s="2" t="s">
        <v>5653</v>
      </c>
      <c r="B7" s="2" t="s">
        <v>6233</v>
      </c>
    </row>
    <row r="8" spans="1:2">
      <c r="A8" s="2" t="s">
        <v>5655</v>
      </c>
      <c r="B8" s="2" t="s">
        <v>6234</v>
      </c>
    </row>
    <row r="9" spans="1:2">
      <c r="A9" s="2" t="s">
        <v>5657</v>
      </c>
      <c r="B9" s="2" t="s">
        <v>6235</v>
      </c>
    </row>
    <row r="10" spans="1:2">
      <c r="A10" s="2" t="s">
        <v>5659</v>
      </c>
      <c r="B10" s="2" t="s">
        <v>5660</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6236</v>
      </c>
      <c r="B1" s="1" t="s">
        <v>6237</v>
      </c>
      <c r="C1" s="1" t="s">
        <v>6238</v>
      </c>
      <c r="D1" s="1" t="s">
        <v>6239</v>
      </c>
      <c r="E1" s="1" t="s">
        <v>6240</v>
      </c>
      <c r="F1" s="1" t="s">
        <v>6241</v>
      </c>
      <c r="G1" s="1" t="s">
        <v>6242</v>
      </c>
      <c r="H1" s="1" t="s">
        <v>6243</v>
      </c>
      <c r="I1" s="1" t="s">
        <v>6244</v>
      </c>
      <c r="J1" s="1" t="s">
        <v>6245</v>
      </c>
    </row>
    <row r="2" spans="1:10">
      <c r="A2" s="2" t="s">
        <v>54</v>
      </c>
      <c r="B2" s="2" t="s">
        <v>6246</v>
      </c>
      <c r="C2" s="2" t="s">
        <v>6247</v>
      </c>
      <c r="D2" s="2" t="s">
        <v>6248</v>
      </c>
      <c r="E2" s="2" t="s">
        <v>6249</v>
      </c>
      <c r="F2" s="2" t="s">
        <v>6250</v>
      </c>
      <c r="G2" s="2" t="s">
        <v>6251</v>
      </c>
      <c r="H2" s="2" t="s">
        <v>6252</v>
      </c>
      <c r="I2" s="2" t="s">
        <v>6253</v>
      </c>
      <c r="J2" s="2" t="s">
        <v>6254</v>
      </c>
    </row>
    <row r="3" spans="1:10">
      <c r="A3" s="2" t="s">
        <v>6255</v>
      </c>
      <c r="B3" s="2" t="s">
        <v>6246</v>
      </c>
      <c r="C3" s="2" t="s">
        <v>6247</v>
      </c>
      <c r="D3" s="2" t="s">
        <v>6256</v>
      </c>
      <c r="E3" s="2" t="s">
        <v>6257</v>
      </c>
      <c r="F3" s="2" t="s">
        <v>6258</v>
      </c>
      <c r="G3" s="2" t="s">
        <v>6259</v>
      </c>
      <c r="H3" s="2" t="s">
        <v>6260</v>
      </c>
      <c r="I3" s="2" t="s">
        <v>6261</v>
      </c>
      <c r="J3" s="2" t="s">
        <v>6262</v>
      </c>
    </row>
    <row r="4" spans="1:10">
      <c r="A4" s="2" t="s">
        <v>6263</v>
      </c>
      <c r="B4" s="2" t="s">
        <v>6246</v>
      </c>
      <c r="C4" s="2" t="s">
        <v>6247</v>
      </c>
      <c r="D4" s="2" t="s">
        <v>6264</v>
      </c>
      <c r="E4" s="2" t="s">
        <v>6265</v>
      </c>
      <c r="F4" s="2" t="s">
        <v>6266</v>
      </c>
      <c r="G4" s="2" t="s">
        <v>6267</v>
      </c>
      <c r="H4" s="2" t="s">
        <v>6268</v>
      </c>
      <c r="I4" s="2" t="s">
        <v>6269</v>
      </c>
      <c r="J4" s="2" t="s">
        <v>6270</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6271</v>
      </c>
    </row>
    <row r="3" spans="1:2">
      <c r="A3" s="2" t="s">
        <v>5647</v>
      </c>
      <c r="B3" s="2" t="s">
        <v>6272</v>
      </c>
    </row>
    <row r="4" spans="1:2">
      <c r="A4" s="2" t="s">
        <v>5649</v>
      </c>
      <c r="B4" s="2" t="s">
        <v>7</v>
      </c>
    </row>
    <row r="5" spans="1:2">
      <c r="A5" s="2" t="s">
        <v>5650</v>
      </c>
      <c r="B5" s="2" t="s">
        <v>5273</v>
      </c>
    </row>
    <row r="6" spans="1:2">
      <c r="A6" s="2" t="s">
        <v>5651</v>
      </c>
      <c r="B6" s="2" t="s">
        <v>6273</v>
      </c>
    </row>
    <row r="7" spans="1:2">
      <c r="A7" s="2" t="s">
        <v>5653</v>
      </c>
      <c r="B7" s="2" t="s">
        <v>6274</v>
      </c>
    </row>
    <row r="8" spans="1:2">
      <c r="A8" s="2" t="s">
        <v>5655</v>
      </c>
      <c r="B8" s="2" t="s">
        <v>6275</v>
      </c>
    </row>
    <row r="9" spans="1:2">
      <c r="A9" s="2" t="s">
        <v>5657</v>
      </c>
      <c r="B9" s="2" t="s">
        <v>6276</v>
      </c>
    </row>
    <row r="10" spans="1:2">
      <c r="A10" s="2" t="s">
        <v>5659</v>
      </c>
      <c r="B10" s="2" t="s">
        <v>5660</v>
      </c>
    </row>
    <row r="11" spans="1:2">
      <c r="A11" s="2" t="s">
        <v>6277</v>
      </c>
      <c r="B11" s="2" t="s">
        <v>6278</v>
      </c>
    </row>
    <row r="12" spans="1:2">
      <c r="A12" s="2" t="s">
        <v>6279</v>
      </c>
      <c r="B12" s="2" t="s">
        <v>6280</v>
      </c>
    </row>
    <row r="13" spans="1:2">
      <c r="A13" s="2" t="s">
        <v>6281</v>
      </c>
      <c r="B13" s="2" t="s">
        <v>6282</v>
      </c>
    </row>
    <row r="14" spans="1:2">
      <c r="A14" s="2" t="s">
        <v>6283</v>
      </c>
      <c r="B14" s="2" t="s">
        <v>6284</v>
      </c>
    </row>
    <row r="15" spans="1:2">
      <c r="A15" s="2" t="s">
        <v>6285</v>
      </c>
      <c r="B15" s="2" t="s">
        <v>6286</v>
      </c>
    </row>
    <row r="16" spans="1:2">
      <c r="A16" s="2" t="s">
        <v>6287</v>
      </c>
      <c r="B16" s="2" t="s">
        <v>6288</v>
      </c>
    </row>
    <row r="17" spans="1:2">
      <c r="A17" s="2" t="s">
        <v>6289</v>
      </c>
      <c r="B17" s="2" t="s">
        <v>6290</v>
      </c>
    </row>
    <row r="18" spans="1:2">
      <c r="A18" s="2" t="s">
        <v>6291</v>
      </c>
      <c r="B18" s="2" t="s">
        <v>6292</v>
      </c>
    </row>
    <row r="19" spans="1:2">
      <c r="A19" s="2" t="s">
        <v>6293</v>
      </c>
      <c r="B19" s="2" t="s">
        <v>6294</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6295</v>
      </c>
      <c r="B1" s="1" t="s">
        <v>6296</v>
      </c>
      <c r="C1" s="1" t="s">
        <v>6297</v>
      </c>
      <c r="D1" s="1" t="s">
        <v>6298</v>
      </c>
      <c r="E1" s="1" t="s">
        <v>6299</v>
      </c>
    </row>
    <row r="2" spans="1:5">
      <c r="A2" s="2" t="s">
        <v>6300</v>
      </c>
      <c r="B2" s="2" t="s">
        <v>6301</v>
      </c>
      <c r="C2" s="2" t="s">
        <v>6302</v>
      </c>
      <c r="D2" s="2" t="s">
        <v>6303</v>
      </c>
      <c r="E2" s="2" t="s">
        <v>6304</v>
      </c>
    </row>
    <row r="3" spans="1:5">
      <c r="A3" s="2" t="s">
        <v>6305</v>
      </c>
      <c r="B3" s="2" t="s">
        <v>6306</v>
      </c>
      <c r="C3" s="2" t="s">
        <v>6307</v>
      </c>
      <c r="D3" s="2" t="s">
        <v>6308</v>
      </c>
      <c r="E3" s="2" t="s">
        <v>6304</v>
      </c>
    </row>
    <row r="4" spans="1:5">
      <c r="A4" s="2" t="s">
        <v>6309</v>
      </c>
      <c r="B4" s="2" t="s">
        <v>6310</v>
      </c>
      <c r="C4" s="2" t="s">
        <v>6163</v>
      </c>
      <c r="D4" s="2" t="s">
        <v>6311</v>
      </c>
      <c r="E4" s="2" t="s">
        <v>6304</v>
      </c>
    </row>
    <row r="5" spans="1:5">
      <c r="A5" s="2" t="s">
        <v>6312</v>
      </c>
      <c r="B5" s="2" t="s">
        <v>6313</v>
      </c>
      <c r="C5" s="2" t="s">
        <v>6314</v>
      </c>
      <c r="D5" s="2" t="s">
        <v>6315</v>
      </c>
      <c r="E5" s="2" t="s">
        <v>6304</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6316</v>
      </c>
    </row>
    <row r="3" spans="1:2">
      <c r="A3" s="2" t="s">
        <v>5647</v>
      </c>
      <c r="B3" s="2" t="s">
        <v>6317</v>
      </c>
    </row>
    <row r="4" spans="1:2">
      <c r="A4" s="2" t="s">
        <v>5649</v>
      </c>
      <c r="B4" s="2" t="s">
        <v>7</v>
      </c>
    </row>
    <row r="5" spans="1:2">
      <c r="A5" s="2" t="s">
        <v>5650</v>
      </c>
      <c r="B5" s="2" t="s">
        <v>5281</v>
      </c>
    </row>
    <row r="6" spans="1:2">
      <c r="A6" s="2" t="s">
        <v>5651</v>
      </c>
      <c r="B6" s="2" t="s">
        <v>6318</v>
      </c>
    </row>
    <row r="7" spans="1:2">
      <c r="A7" s="2" t="s">
        <v>5653</v>
      </c>
      <c r="B7" s="2" t="s">
        <v>6319</v>
      </c>
    </row>
    <row r="8" spans="1:2">
      <c r="A8" s="2" t="s">
        <v>5655</v>
      </c>
      <c r="B8" s="2" t="s">
        <v>6320</v>
      </c>
    </row>
    <row r="9" spans="1:2">
      <c r="A9" s="2" t="s">
        <v>5657</v>
      </c>
      <c r="B9" s="2" t="s">
        <v>6321</v>
      </c>
    </row>
    <row r="10" spans="1:2">
      <c r="A10" s="2" t="s">
        <v>5659</v>
      </c>
      <c r="B10" s="2" t="s">
        <v>5660</v>
      </c>
    </row>
    <row r="11" spans="1:2">
      <c r="A11" s="2" t="s">
        <v>6322</v>
      </c>
      <c r="B11" s="2" t="s">
        <v>6323</v>
      </c>
    </row>
    <row r="12" spans="1:2">
      <c r="A12" s="2" t="s">
        <v>6324</v>
      </c>
      <c r="B12" s="2" t="s">
        <v>6325</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6326</v>
      </c>
      <c r="B1" s="1" t="s">
        <v>6327</v>
      </c>
      <c r="C1" s="1" t="s">
        <v>6328</v>
      </c>
      <c r="D1" s="1" t="s">
        <v>6329</v>
      </c>
      <c r="E1" s="1" t="s">
        <v>6330</v>
      </c>
      <c r="F1" s="1" t="s">
        <v>6331</v>
      </c>
      <c r="G1" s="1" t="s">
        <v>6332</v>
      </c>
      <c r="H1" s="1" t="s">
        <v>6333</v>
      </c>
      <c r="I1" s="1" t="s">
        <v>6334</v>
      </c>
      <c r="J1" s="1" t="s">
        <v>6335</v>
      </c>
      <c r="K1" s="1" t="s">
        <v>6336</v>
      </c>
      <c r="L1" s="1" t="s">
        <v>6337</v>
      </c>
      <c r="M1" s="1" t="s">
        <v>6338</v>
      </c>
      <c r="N1" s="1" t="s">
        <v>6339</v>
      </c>
      <c r="O1" s="1" t="s">
        <v>6144</v>
      </c>
      <c r="P1" s="1" t="s">
        <v>5948</v>
      </c>
      <c r="Q1" s="1" t="s">
        <v>6340</v>
      </c>
      <c r="R1" s="1" t="s">
        <v>6341</v>
      </c>
      <c r="S1" s="1" t="s">
        <v>6342</v>
      </c>
    </row>
    <row r="2" spans="1:19">
      <c r="A2" s="2" t="s">
        <v>6343</v>
      </c>
      <c r="B2" s="2" t="s">
        <v>6344</v>
      </c>
      <c r="C2" s="2" t="s">
        <v>1870</v>
      </c>
      <c r="D2" s="2" t="s">
        <v>2707</v>
      </c>
      <c r="E2" s="2" t="s">
        <v>6345</v>
      </c>
      <c r="F2" s="2" t="s">
        <v>6017</v>
      </c>
      <c r="G2" s="2" t="s">
        <v>5621</v>
      </c>
      <c r="H2" s="2" t="s">
        <v>5621</v>
      </c>
      <c r="I2" s="2" t="s">
        <v>5621</v>
      </c>
      <c r="J2" s="2" t="s">
        <v>6017</v>
      </c>
      <c r="K2" s="2" t="s">
        <v>6346</v>
      </c>
      <c r="L2" s="2" t="s">
        <v>6347</v>
      </c>
      <c r="M2" s="2" t="s">
        <v>6348</v>
      </c>
      <c r="N2" s="2"/>
      <c r="O2" s="2" t="s">
        <v>6349</v>
      </c>
      <c r="P2" s="2" t="s">
        <v>5984</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6350</v>
      </c>
    </row>
    <row r="3" spans="1:2">
      <c r="A3" s="2" t="s">
        <v>5647</v>
      </c>
      <c r="B3" s="2" t="s">
        <v>6351</v>
      </c>
    </row>
    <row r="4" spans="1:2">
      <c r="A4" s="2" t="s">
        <v>5649</v>
      </c>
      <c r="B4" s="2" t="s">
        <v>7</v>
      </c>
    </row>
    <row r="5" spans="1:2">
      <c r="A5" s="2" t="s">
        <v>5650</v>
      </c>
      <c r="B5" s="2" t="s">
        <v>6352</v>
      </c>
    </row>
    <row r="6" spans="1:2">
      <c r="A6" s="2" t="s">
        <v>5651</v>
      </c>
      <c r="B6" s="2" t="s">
        <v>6353</v>
      </c>
    </row>
    <row r="7" spans="1:2">
      <c r="A7" s="2" t="s">
        <v>5653</v>
      </c>
      <c r="B7" s="2" t="s">
        <v>6354</v>
      </c>
    </row>
    <row r="8" spans="1:2">
      <c r="A8" s="2" t="s">
        <v>5655</v>
      </c>
      <c r="B8" s="2" t="s">
        <v>6355</v>
      </c>
    </row>
    <row r="9" spans="1:2">
      <c r="A9" s="2" t="s">
        <v>5657</v>
      </c>
      <c r="B9" s="2" t="s">
        <v>6356</v>
      </c>
    </row>
    <row r="10" spans="1:2">
      <c r="A10" s="2" t="s">
        <v>5659</v>
      </c>
      <c r="B10" s="2" t="s">
        <v>5660</v>
      </c>
    </row>
    <row r="11" spans="1:2">
      <c r="A11" s="2" t="s">
        <v>6357</v>
      </c>
      <c r="B11" s="2" t="s">
        <v>6358</v>
      </c>
    </row>
    <row r="12" spans="1:2">
      <c r="A12" s="2" t="s">
        <v>6359</v>
      </c>
      <c r="B12" s="2" t="s">
        <v>6360</v>
      </c>
    </row>
    <row r="13" spans="1:2">
      <c r="A13" s="2" t="s">
        <v>6361</v>
      </c>
      <c r="B13" s="2" t="s">
        <v>6362</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5746</v>
      </c>
      <c r="B1" s="1" t="s">
        <v>5951</v>
      </c>
      <c r="C1" s="1" t="s">
        <v>6363</v>
      </c>
      <c r="D1" s="1" t="s">
        <v>6364</v>
      </c>
      <c r="E1" s="1" t="s">
        <v>6365</v>
      </c>
      <c r="F1" s="1" t="s">
        <v>6366</v>
      </c>
      <c r="G1" s="1" t="s">
        <v>6367</v>
      </c>
      <c r="H1" s="1" t="s">
        <v>6368</v>
      </c>
      <c r="I1" s="1" t="s">
        <v>6369</v>
      </c>
      <c r="J1" s="1" t="s">
        <v>6370</v>
      </c>
      <c r="K1" s="1" t="s">
        <v>6371</v>
      </c>
      <c r="L1" s="1" t="s">
        <v>6372</v>
      </c>
      <c r="M1" s="1" t="s">
        <v>6373</v>
      </c>
      <c r="N1" s="1" t="s">
        <v>6374</v>
      </c>
      <c r="O1" s="1" t="s">
        <v>6375</v>
      </c>
      <c r="P1" s="1" t="s">
        <v>6376</v>
      </c>
      <c r="Q1" s="1" t="s">
        <v>6377</v>
      </c>
      <c r="R1" s="1" t="s">
        <v>6378</v>
      </c>
      <c r="S1" s="1" t="s">
        <v>6379</v>
      </c>
      <c r="T1" s="1" t="s">
        <v>6380</v>
      </c>
      <c r="U1" s="1" t="s">
        <v>6381</v>
      </c>
      <c r="V1" s="1" t="s">
        <v>6382</v>
      </c>
      <c r="W1" s="1" t="s">
        <v>6383</v>
      </c>
      <c r="X1" s="1" t="s">
        <v>6384</v>
      </c>
      <c r="Y1" s="1" t="s">
        <v>6385</v>
      </c>
      <c r="Z1" s="1" t="s">
        <v>6386</v>
      </c>
      <c r="AA1" s="1" t="s">
        <v>5948</v>
      </c>
      <c r="AB1" s="1" t="s">
        <v>6387</v>
      </c>
      <c r="AC1" s="1" t="s">
        <v>6342</v>
      </c>
      <c r="AD1" s="1" t="s">
        <v>6388</v>
      </c>
      <c r="AE1" s="1" t="s">
        <v>6389</v>
      </c>
      <c r="AF1" s="1" t="s">
        <v>6390</v>
      </c>
      <c r="AG1" s="1" t="s">
        <v>6391</v>
      </c>
      <c r="AH1" s="1" t="s">
        <v>6392</v>
      </c>
      <c r="AI1" s="1" t="s">
        <v>6393</v>
      </c>
      <c r="AJ1" s="1" t="s">
        <v>6394</v>
      </c>
      <c r="AK1" s="1" t="s">
        <v>6395</v>
      </c>
      <c r="AL1" s="1" t="s">
        <v>6396</v>
      </c>
      <c r="AM1" s="1" t="s">
        <v>6397</v>
      </c>
      <c r="AN1" s="1" t="s">
        <v>5959</v>
      </c>
      <c r="AO1" s="1" t="s">
        <v>5960</v>
      </c>
      <c r="AP1" s="1" t="s">
        <v>5961</v>
      </c>
    </row>
    <row r="2" spans="1:42">
      <c r="A2" s="2" t="s">
        <v>7</v>
      </c>
      <c r="B2" s="2" t="s">
        <v>6398</v>
      </c>
      <c r="C2" s="2" t="s">
        <v>5981</v>
      </c>
      <c r="D2" s="2" t="s">
        <v>6399</v>
      </c>
      <c r="E2" s="2" t="s">
        <v>6400</v>
      </c>
      <c r="F2" s="2" t="s">
        <v>5972</v>
      </c>
      <c r="G2" s="2" t="s">
        <v>6401</v>
      </c>
      <c r="H2" s="2" t="s">
        <v>6087</v>
      </c>
      <c r="I2" s="2"/>
      <c r="J2" s="2"/>
      <c r="K2" s="2"/>
      <c r="L2" s="2"/>
      <c r="M2" s="2"/>
      <c r="N2" s="2" t="s">
        <v>6402</v>
      </c>
      <c r="O2" s="2" t="s">
        <v>6087</v>
      </c>
      <c r="P2" s="2" t="s">
        <v>6087</v>
      </c>
      <c r="Q2" s="2" t="s">
        <v>6402</v>
      </c>
      <c r="R2" s="2" t="s">
        <v>6087</v>
      </c>
      <c r="S2" s="2" t="s">
        <v>6087</v>
      </c>
      <c r="T2" s="2" t="s">
        <v>6402</v>
      </c>
      <c r="U2" s="2" t="s">
        <v>6087</v>
      </c>
      <c r="V2" s="2" t="s">
        <v>6087</v>
      </c>
      <c r="W2" s="2" t="s">
        <v>6403</v>
      </c>
      <c r="X2" s="2" t="s">
        <v>6402</v>
      </c>
      <c r="Y2" s="2" t="s">
        <v>6087</v>
      </c>
      <c r="Z2" s="2" t="s">
        <v>6087</v>
      </c>
      <c r="AA2" s="2" t="s">
        <v>5984</v>
      </c>
      <c r="AB2" s="2"/>
      <c r="AC2" s="2"/>
      <c r="AD2" s="2"/>
      <c r="AE2" s="2"/>
      <c r="AF2" s="2"/>
      <c r="AG2" s="2"/>
      <c r="AH2" s="2"/>
      <c r="AI2" s="2"/>
      <c r="AJ2" s="2"/>
      <c r="AK2" s="2"/>
      <c r="AL2" s="2"/>
      <c r="AM2" s="2"/>
      <c r="AN2" s="2"/>
      <c r="AO2" s="2"/>
      <c r="AP2" s="2"/>
    </row>
    <row r="3" spans="1:42">
      <c r="A3" s="2" t="s">
        <v>2314</v>
      </c>
      <c r="B3" s="2" t="s">
        <v>6404</v>
      </c>
      <c r="C3" s="2" t="s">
        <v>6405</v>
      </c>
      <c r="D3" s="2" t="s">
        <v>6406</v>
      </c>
      <c r="E3" s="2" t="s">
        <v>6407</v>
      </c>
      <c r="F3" s="2" t="s">
        <v>6408</v>
      </c>
      <c r="G3" s="2" t="s">
        <v>6409</v>
      </c>
      <c r="H3" s="2" t="s">
        <v>6087</v>
      </c>
      <c r="I3" s="2"/>
      <c r="J3" s="2"/>
      <c r="K3" s="2"/>
      <c r="L3" s="2"/>
      <c r="M3" s="2"/>
      <c r="N3" s="2" t="s">
        <v>6410</v>
      </c>
      <c r="O3" s="2" t="s">
        <v>6087</v>
      </c>
      <c r="P3" s="2" t="s">
        <v>6087</v>
      </c>
      <c r="Q3" s="2" t="s">
        <v>6410</v>
      </c>
      <c r="R3" s="2" t="s">
        <v>6087</v>
      </c>
      <c r="S3" s="2" t="s">
        <v>6087</v>
      </c>
      <c r="T3" s="2" t="s">
        <v>6410</v>
      </c>
      <c r="U3" s="2" t="s">
        <v>6087</v>
      </c>
      <c r="V3" s="2" t="s">
        <v>6087</v>
      </c>
      <c r="W3" s="2" t="s">
        <v>6403</v>
      </c>
      <c r="X3" s="2" t="s">
        <v>6410</v>
      </c>
      <c r="Y3" s="2" t="s">
        <v>6087</v>
      </c>
      <c r="Z3" s="2" t="s">
        <v>6087</v>
      </c>
      <c r="AA3" s="2" t="s">
        <v>5984</v>
      </c>
      <c r="AB3" s="2"/>
      <c r="AC3" s="2"/>
      <c r="AD3" s="2"/>
      <c r="AE3" s="2"/>
      <c r="AF3" s="2"/>
      <c r="AG3" s="2"/>
      <c r="AH3" s="2"/>
      <c r="AI3" s="2"/>
      <c r="AJ3" s="2"/>
      <c r="AK3" s="2"/>
      <c r="AL3" s="2"/>
      <c r="AM3" s="2"/>
      <c r="AN3" s="2"/>
      <c r="AO3" s="2"/>
      <c r="AP3" s="2"/>
    </row>
    <row r="4" spans="1:42">
      <c r="A4" s="2" t="s">
        <v>5986</v>
      </c>
      <c r="B4" s="2" t="s">
        <v>6398</v>
      </c>
      <c r="C4" s="2" t="s">
        <v>6411</v>
      </c>
      <c r="D4" s="2" t="s">
        <v>6406</v>
      </c>
      <c r="E4" s="2" t="s">
        <v>6407</v>
      </c>
      <c r="F4" s="2" t="s">
        <v>5996</v>
      </c>
      <c r="G4" s="2" t="s">
        <v>6401</v>
      </c>
      <c r="H4" s="2" t="s">
        <v>6087</v>
      </c>
      <c r="I4" s="2"/>
      <c r="J4" s="2"/>
      <c r="K4" s="2"/>
      <c r="L4" s="2"/>
      <c r="M4" s="2"/>
      <c r="N4" s="2" t="s">
        <v>6412</v>
      </c>
      <c r="O4" s="2" t="s">
        <v>6413</v>
      </c>
      <c r="P4" s="2" t="s">
        <v>6413</v>
      </c>
      <c r="Q4" s="2" t="s">
        <v>6412</v>
      </c>
      <c r="R4" s="2" t="s">
        <v>6413</v>
      </c>
      <c r="S4" s="2" t="s">
        <v>6413</v>
      </c>
      <c r="T4" s="2" t="s">
        <v>6412</v>
      </c>
      <c r="U4" s="2" t="s">
        <v>6413</v>
      </c>
      <c r="V4" s="2" t="s">
        <v>6413</v>
      </c>
      <c r="W4" s="2" t="s">
        <v>6403</v>
      </c>
      <c r="X4" s="2" t="s">
        <v>6412</v>
      </c>
      <c r="Y4" s="2" t="s">
        <v>6087</v>
      </c>
      <c r="Z4" s="2" t="s">
        <v>6414</v>
      </c>
      <c r="AA4" s="2" t="s">
        <v>5984</v>
      </c>
      <c r="AB4" s="2"/>
      <c r="AC4" s="2"/>
      <c r="AD4" s="2"/>
      <c r="AE4" s="2"/>
      <c r="AF4" s="2"/>
      <c r="AG4" s="2"/>
      <c r="AH4" s="2"/>
      <c r="AI4" s="2"/>
      <c r="AJ4" s="2"/>
      <c r="AK4" s="2"/>
      <c r="AL4" s="2"/>
      <c r="AM4" s="2"/>
      <c r="AN4" s="2"/>
      <c r="AO4" s="2"/>
      <c r="AP4" s="2"/>
    </row>
    <row r="5" spans="1:42">
      <c r="A5" s="2" t="s">
        <v>2207</v>
      </c>
      <c r="B5" s="2" t="s">
        <v>6398</v>
      </c>
      <c r="C5" s="2" t="s">
        <v>6415</v>
      </c>
      <c r="D5" s="2" t="s">
        <v>6416</v>
      </c>
      <c r="E5" s="2" t="s">
        <v>6417</v>
      </c>
      <c r="F5" s="2" t="s">
        <v>6011</v>
      </c>
      <c r="G5" s="2" t="s">
        <v>6012</v>
      </c>
      <c r="H5" s="2" t="s">
        <v>6087</v>
      </c>
      <c r="I5" s="2"/>
      <c r="J5" s="2"/>
      <c r="K5" s="2"/>
      <c r="L5" s="2"/>
      <c r="M5" s="2"/>
      <c r="N5" s="2" t="s">
        <v>6418</v>
      </c>
      <c r="O5" s="2" t="s">
        <v>6087</v>
      </c>
      <c r="P5" s="2" t="s">
        <v>6413</v>
      </c>
      <c r="Q5" s="2" t="s">
        <v>6418</v>
      </c>
      <c r="R5" s="2" t="s">
        <v>6087</v>
      </c>
      <c r="S5" s="2" t="s">
        <v>6413</v>
      </c>
      <c r="T5" s="2" t="s">
        <v>6418</v>
      </c>
      <c r="U5" s="2" t="s">
        <v>6087</v>
      </c>
      <c r="V5" s="2" t="s">
        <v>6413</v>
      </c>
      <c r="W5" s="2" t="s">
        <v>6403</v>
      </c>
      <c r="X5" s="2" t="s">
        <v>6418</v>
      </c>
      <c r="Y5" s="2" t="s">
        <v>6087</v>
      </c>
      <c r="Z5" s="2" t="s">
        <v>6087</v>
      </c>
      <c r="AA5" s="2" t="s">
        <v>5984</v>
      </c>
      <c r="AB5" s="2"/>
      <c r="AC5" s="2"/>
      <c r="AD5" s="2"/>
      <c r="AE5" s="2"/>
      <c r="AF5" s="2"/>
      <c r="AG5" s="2"/>
      <c r="AH5" s="2"/>
      <c r="AI5" s="2"/>
      <c r="AJ5" s="2"/>
      <c r="AK5" s="2"/>
      <c r="AL5" s="2"/>
      <c r="AM5" s="2"/>
      <c r="AN5" s="2"/>
      <c r="AO5" s="2"/>
      <c r="AP5" s="2"/>
    </row>
    <row r="6" spans="1:42">
      <c r="A6" s="2" t="s">
        <v>2707</v>
      </c>
      <c r="B6" s="2" t="s">
        <v>6419</v>
      </c>
      <c r="C6" s="2" t="s">
        <v>6420</v>
      </c>
      <c r="D6" s="2" t="s">
        <v>6421</v>
      </c>
      <c r="E6" s="2" t="s">
        <v>6422</v>
      </c>
      <c r="F6" s="2" t="s">
        <v>6423</v>
      </c>
      <c r="G6" s="2" t="s">
        <v>6424</v>
      </c>
      <c r="H6" s="2" t="s">
        <v>6087</v>
      </c>
      <c r="I6" s="2"/>
      <c r="J6" s="2"/>
      <c r="K6" s="2"/>
      <c r="L6" s="2"/>
      <c r="M6" s="2"/>
      <c r="N6" s="2" t="s">
        <v>6425</v>
      </c>
      <c r="O6" s="2" t="s">
        <v>6087</v>
      </c>
      <c r="P6" s="2" t="s">
        <v>6413</v>
      </c>
      <c r="Q6" s="2" t="s">
        <v>6426</v>
      </c>
      <c r="R6" s="2" t="s">
        <v>6427</v>
      </c>
      <c r="S6" s="2" t="s">
        <v>6427</v>
      </c>
      <c r="T6" s="2" t="s">
        <v>6428</v>
      </c>
      <c r="U6" s="2" t="s">
        <v>6429</v>
      </c>
      <c r="V6" s="2" t="s">
        <v>6429</v>
      </c>
      <c r="W6" s="2" t="s">
        <v>6430</v>
      </c>
      <c r="X6" s="2" t="s">
        <v>6425</v>
      </c>
      <c r="Y6" s="2" t="s">
        <v>6087</v>
      </c>
      <c r="Z6" s="2" t="s">
        <v>6431</v>
      </c>
      <c r="AA6" s="2" t="s">
        <v>5984</v>
      </c>
      <c r="AB6" s="2"/>
      <c r="AC6" s="2"/>
      <c r="AD6" s="2"/>
      <c r="AE6" s="2"/>
      <c r="AF6" s="2"/>
      <c r="AG6" s="2"/>
      <c r="AH6" s="2"/>
      <c r="AI6" s="2"/>
      <c r="AJ6" s="2"/>
      <c r="AK6" s="2"/>
      <c r="AL6" s="2"/>
      <c r="AM6" s="2"/>
      <c r="AN6" s="2"/>
      <c r="AO6" s="2"/>
      <c r="AP6" s="2"/>
    </row>
    <row r="7" spans="1:42">
      <c r="A7" s="2" t="s">
        <v>6432</v>
      </c>
      <c r="B7" s="2" t="s">
        <v>6433</v>
      </c>
      <c r="C7" s="2" t="s">
        <v>6434</v>
      </c>
      <c r="D7" s="2" t="s">
        <v>6421</v>
      </c>
      <c r="E7" s="2" t="s">
        <v>6422</v>
      </c>
      <c r="F7" s="2" t="s">
        <v>6435</v>
      </c>
      <c r="G7" s="2" t="s">
        <v>6436</v>
      </c>
      <c r="H7" s="2" t="s">
        <v>6087</v>
      </c>
      <c r="I7" s="2"/>
      <c r="J7" s="2"/>
      <c r="K7" s="2"/>
      <c r="L7" s="2"/>
      <c r="M7" s="2"/>
      <c r="N7" s="2" t="s">
        <v>6437</v>
      </c>
      <c r="O7" s="2" t="s">
        <v>6087</v>
      </c>
      <c r="P7" s="2" t="s">
        <v>6413</v>
      </c>
      <c r="Q7" s="2" t="s">
        <v>6438</v>
      </c>
      <c r="R7" s="2" t="s">
        <v>6439</v>
      </c>
      <c r="S7" s="2" t="s">
        <v>6439</v>
      </c>
      <c r="T7" s="2" t="s">
        <v>6440</v>
      </c>
      <c r="U7" s="2" t="s">
        <v>6441</v>
      </c>
      <c r="V7" s="2" t="s">
        <v>6441</v>
      </c>
      <c r="W7" s="2" t="s">
        <v>6430</v>
      </c>
      <c r="X7" s="2" t="s">
        <v>6437</v>
      </c>
      <c r="Y7" s="2" t="s">
        <v>6442</v>
      </c>
      <c r="Z7" s="2" t="s">
        <v>6443</v>
      </c>
      <c r="AA7" s="2" t="s">
        <v>5984</v>
      </c>
      <c r="AB7" s="2"/>
      <c r="AC7" s="2"/>
      <c r="AD7" s="2"/>
      <c r="AE7" s="2"/>
      <c r="AF7" s="2"/>
      <c r="AG7" s="2"/>
      <c r="AH7" s="2"/>
      <c r="AI7" s="2"/>
      <c r="AJ7" s="2"/>
      <c r="AK7" s="2"/>
      <c r="AL7" s="2"/>
      <c r="AM7" s="2"/>
      <c r="AN7" s="2"/>
      <c r="AO7" s="2"/>
      <c r="AP7" s="2"/>
    </row>
    <row r="8" spans="1:42">
      <c r="A8" s="2" t="s">
        <v>6444</v>
      </c>
      <c r="B8" s="2" t="s">
        <v>6433</v>
      </c>
      <c r="C8" s="2" t="s">
        <v>6445</v>
      </c>
      <c r="D8" s="2" t="s">
        <v>6446</v>
      </c>
      <c r="E8" s="2" t="s">
        <v>6447</v>
      </c>
      <c r="F8" s="2" t="s">
        <v>6448</v>
      </c>
      <c r="G8" s="2" t="s">
        <v>6449</v>
      </c>
      <c r="H8" s="2" t="s">
        <v>6087</v>
      </c>
      <c r="I8" s="2"/>
      <c r="J8" s="2"/>
      <c r="K8" s="2"/>
      <c r="L8" s="2"/>
      <c r="M8" s="2"/>
      <c r="N8" s="2" t="s">
        <v>6450</v>
      </c>
      <c r="O8" s="2" t="s">
        <v>6451</v>
      </c>
      <c r="P8" s="2" t="s">
        <v>6413</v>
      </c>
      <c r="Q8" s="2" t="s">
        <v>6452</v>
      </c>
      <c r="R8" s="2" t="s">
        <v>6453</v>
      </c>
      <c r="S8" s="2" t="s">
        <v>6453</v>
      </c>
      <c r="T8" s="2" t="s">
        <v>6454</v>
      </c>
      <c r="U8" s="2" t="s">
        <v>6455</v>
      </c>
      <c r="V8" s="2" t="s">
        <v>6455</v>
      </c>
      <c r="W8" s="2" t="s">
        <v>6430</v>
      </c>
      <c r="X8" s="2" t="s">
        <v>6450</v>
      </c>
      <c r="Y8" s="2" t="s">
        <v>6456</v>
      </c>
      <c r="Z8" s="2" t="s">
        <v>6457</v>
      </c>
      <c r="AA8" s="2" t="s">
        <v>5984</v>
      </c>
      <c r="AB8" s="2"/>
      <c r="AC8" s="2"/>
      <c r="AD8" s="2"/>
      <c r="AE8" s="2"/>
      <c r="AF8" s="2"/>
      <c r="AG8" s="2"/>
      <c r="AH8" s="2"/>
      <c r="AI8" s="2"/>
      <c r="AJ8" s="2"/>
      <c r="AK8" s="2"/>
      <c r="AL8" s="2"/>
      <c r="AM8" s="2"/>
      <c r="AN8" s="2"/>
      <c r="AO8" s="2"/>
      <c r="AP8" s="2"/>
    </row>
    <row r="9" spans="1:42">
      <c r="A9" s="2"/>
      <c r="B9" s="2" t="s">
        <v>6020</v>
      </c>
      <c r="C9" s="2"/>
      <c r="D9" s="2"/>
      <c r="E9" s="2"/>
      <c r="F9" s="2"/>
      <c r="G9" s="2"/>
      <c r="H9" s="2"/>
      <c r="I9" s="2"/>
      <c r="J9" s="2"/>
      <c r="K9" s="2"/>
      <c r="L9" s="2"/>
      <c r="M9" s="2"/>
      <c r="N9" s="2"/>
      <c r="O9" s="2"/>
      <c r="P9" s="2"/>
      <c r="Q9" s="2"/>
      <c r="R9" s="2"/>
      <c r="S9" s="2"/>
      <c r="T9" s="2"/>
      <c r="U9" s="2"/>
      <c r="V9" s="2"/>
      <c r="W9" s="2"/>
      <c r="X9" s="2"/>
      <c r="Y9" s="2"/>
      <c r="Z9" s="2"/>
      <c r="AA9" s="2" t="s">
        <v>5984</v>
      </c>
      <c r="AB9" s="2"/>
      <c r="AC9" s="2"/>
      <c r="AD9" s="2" t="s">
        <v>6444</v>
      </c>
      <c r="AE9" s="2" t="s">
        <v>6445</v>
      </c>
      <c r="AF9" s="2" t="s">
        <v>6450</v>
      </c>
      <c r="AG9" s="2" t="s">
        <v>6452</v>
      </c>
      <c r="AH9" s="2" t="s">
        <v>6454</v>
      </c>
      <c r="AI9" s="2" t="s">
        <v>6413</v>
      </c>
      <c r="AJ9" s="2" t="s">
        <v>6453</v>
      </c>
      <c r="AK9" s="2" t="s">
        <v>6455</v>
      </c>
      <c r="AL9" s="2" t="s">
        <v>6087</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6458</v>
      </c>
    </row>
    <row r="3" spans="1:2">
      <c r="A3" s="2" t="s">
        <v>5647</v>
      </c>
      <c r="B3" s="2" t="s">
        <v>6459</v>
      </c>
    </row>
    <row r="4" spans="1:2">
      <c r="A4" s="2" t="s">
        <v>5649</v>
      </c>
      <c r="B4" s="2" t="s">
        <v>7</v>
      </c>
    </row>
    <row r="5" spans="1:2">
      <c r="A5" s="2" t="s">
        <v>5650</v>
      </c>
      <c r="B5" s="2" t="s">
        <v>6460</v>
      </c>
    </row>
    <row r="6" spans="1:2">
      <c r="A6" s="2" t="s">
        <v>5651</v>
      </c>
      <c r="B6" s="2" t="s">
        <v>6461</v>
      </c>
    </row>
    <row r="7" spans="1:2">
      <c r="A7" s="2" t="s">
        <v>5653</v>
      </c>
      <c r="B7" s="2" t="s">
        <v>6462</v>
      </c>
    </row>
    <row r="8" spans="1:2">
      <c r="A8" s="2" t="s">
        <v>5655</v>
      </c>
      <c r="B8" s="2" t="s">
        <v>6463</v>
      </c>
    </row>
    <row r="9" spans="1:2">
      <c r="A9" s="2" t="s">
        <v>5657</v>
      </c>
      <c r="B9" s="2" t="s">
        <v>6464</v>
      </c>
    </row>
    <row r="10" spans="1:2">
      <c r="A10" s="2" t="s">
        <v>5659</v>
      </c>
      <c r="B10" s="2" t="s">
        <v>5660</v>
      </c>
    </row>
    <row r="11" spans="1:2">
      <c r="A11" s="2" t="s">
        <v>6465</v>
      </c>
      <c r="B11" s="2" t="s">
        <v>6466</v>
      </c>
    </row>
    <row r="12" spans="1:2">
      <c r="A12" s="2" t="s">
        <v>6467</v>
      </c>
      <c r="B12" s="2" t="s">
        <v>6468</v>
      </c>
    </row>
    <row r="13" spans="1:2">
      <c r="A13" s="2" t="s">
        <v>6469</v>
      </c>
      <c r="B13" s="2" t="s">
        <v>6470</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5746</v>
      </c>
      <c r="B1" s="1" t="s">
        <v>5951</v>
      </c>
      <c r="C1" s="1" t="s">
        <v>6363</v>
      </c>
      <c r="D1" s="1" t="s">
        <v>6364</v>
      </c>
      <c r="E1" s="1" t="s">
        <v>6365</v>
      </c>
      <c r="F1" s="1" t="s">
        <v>6366</v>
      </c>
      <c r="G1" s="1" t="s">
        <v>6367</v>
      </c>
      <c r="H1" s="1" t="s">
        <v>6368</v>
      </c>
      <c r="I1" s="1" t="s">
        <v>6369</v>
      </c>
      <c r="J1" s="1" t="s">
        <v>6370</v>
      </c>
      <c r="K1" s="1" t="s">
        <v>6371</v>
      </c>
      <c r="L1" s="1" t="s">
        <v>6372</v>
      </c>
      <c r="M1" s="1" t="s">
        <v>6373</v>
      </c>
      <c r="N1" s="1" t="s">
        <v>6374</v>
      </c>
      <c r="O1" s="1" t="s">
        <v>6375</v>
      </c>
      <c r="P1" s="1" t="s">
        <v>6376</v>
      </c>
      <c r="Q1" s="1" t="s">
        <v>6377</v>
      </c>
      <c r="R1" s="1" t="s">
        <v>6378</v>
      </c>
      <c r="S1" s="1" t="s">
        <v>6379</v>
      </c>
      <c r="T1" s="1" t="s">
        <v>6380</v>
      </c>
      <c r="U1" s="1" t="s">
        <v>6381</v>
      </c>
      <c r="V1" s="1" t="s">
        <v>6382</v>
      </c>
      <c r="W1" s="1" t="s">
        <v>6383</v>
      </c>
      <c r="X1" s="1" t="s">
        <v>6384</v>
      </c>
      <c r="Y1" s="1" t="s">
        <v>6385</v>
      </c>
      <c r="Z1" s="1" t="s">
        <v>6386</v>
      </c>
      <c r="AA1" s="1" t="s">
        <v>5948</v>
      </c>
      <c r="AB1" s="1" t="s">
        <v>6387</v>
      </c>
      <c r="AC1" s="1" t="s">
        <v>6342</v>
      </c>
      <c r="AD1" s="1" t="s">
        <v>6388</v>
      </c>
      <c r="AE1" s="1" t="s">
        <v>6389</v>
      </c>
      <c r="AF1" s="1" t="s">
        <v>6390</v>
      </c>
      <c r="AG1" s="1" t="s">
        <v>6391</v>
      </c>
      <c r="AH1" s="1" t="s">
        <v>6392</v>
      </c>
      <c r="AI1" s="1" t="s">
        <v>6393</v>
      </c>
      <c r="AJ1" s="1" t="s">
        <v>6394</v>
      </c>
      <c r="AK1" s="1" t="s">
        <v>6395</v>
      </c>
      <c r="AL1" s="1" t="s">
        <v>6396</v>
      </c>
      <c r="AM1" s="1" t="s">
        <v>6397</v>
      </c>
      <c r="AN1" s="1" t="s">
        <v>5959</v>
      </c>
      <c r="AO1" s="1" t="s">
        <v>5960</v>
      </c>
      <c r="AP1" s="1" t="s">
        <v>5961</v>
      </c>
    </row>
    <row r="2" spans="1:42">
      <c r="A2" s="2" t="s">
        <v>7</v>
      </c>
      <c r="B2" s="2" t="s">
        <v>6398</v>
      </c>
      <c r="C2" s="2" t="s">
        <v>5981</v>
      </c>
      <c r="D2" s="2" t="s">
        <v>6399</v>
      </c>
      <c r="E2" s="2" t="s">
        <v>6400</v>
      </c>
      <c r="F2" s="2" t="s">
        <v>5972</v>
      </c>
      <c r="G2" s="2" t="s">
        <v>6401</v>
      </c>
      <c r="H2" s="2" t="s">
        <v>6087</v>
      </c>
      <c r="I2" s="2"/>
      <c r="J2" s="2"/>
      <c r="K2" s="2"/>
      <c r="L2" s="2"/>
      <c r="M2" s="2"/>
      <c r="N2" s="2" t="s">
        <v>6402</v>
      </c>
      <c r="O2" s="2" t="s">
        <v>6087</v>
      </c>
      <c r="P2" s="2" t="s">
        <v>6087</v>
      </c>
      <c r="Q2" s="2" t="s">
        <v>6402</v>
      </c>
      <c r="R2" s="2" t="s">
        <v>6087</v>
      </c>
      <c r="S2" s="2" t="s">
        <v>6087</v>
      </c>
      <c r="T2" s="2" t="s">
        <v>6402</v>
      </c>
      <c r="U2" s="2" t="s">
        <v>6087</v>
      </c>
      <c r="V2" s="2" t="s">
        <v>6087</v>
      </c>
      <c r="W2" s="2" t="s">
        <v>6403</v>
      </c>
      <c r="X2" s="2" t="s">
        <v>6402</v>
      </c>
      <c r="Y2" s="2" t="s">
        <v>6087</v>
      </c>
      <c r="Z2" s="2" t="s">
        <v>6087</v>
      </c>
      <c r="AA2" s="2" t="s">
        <v>5984</v>
      </c>
      <c r="AB2" s="2"/>
      <c r="AC2" s="2"/>
      <c r="AD2" s="2"/>
      <c r="AE2" s="2"/>
      <c r="AF2" s="2"/>
      <c r="AG2" s="2"/>
      <c r="AH2" s="2"/>
      <c r="AI2" s="2"/>
      <c r="AJ2" s="2"/>
      <c r="AK2" s="2"/>
      <c r="AL2" s="2"/>
      <c r="AM2" s="2"/>
      <c r="AN2" s="2"/>
      <c r="AO2" s="2"/>
      <c r="AP2" s="2"/>
    </row>
    <row r="3" spans="1:42">
      <c r="A3" s="2" t="s">
        <v>2314</v>
      </c>
      <c r="B3" s="2" t="s">
        <v>6404</v>
      </c>
      <c r="C3" s="2" t="s">
        <v>6471</v>
      </c>
      <c r="D3" s="2" t="s">
        <v>6406</v>
      </c>
      <c r="E3" s="2" t="s">
        <v>6407</v>
      </c>
      <c r="F3" s="2" t="s">
        <v>6472</v>
      </c>
      <c r="G3" s="2" t="s">
        <v>6409</v>
      </c>
      <c r="H3" s="2" t="s">
        <v>6473</v>
      </c>
      <c r="I3" s="2"/>
      <c r="J3" s="2"/>
      <c r="K3" s="2"/>
      <c r="L3" s="2"/>
      <c r="M3" s="2"/>
      <c r="N3" s="2" t="s">
        <v>6474</v>
      </c>
      <c r="O3" s="2" t="s">
        <v>6087</v>
      </c>
      <c r="P3" s="2" t="s">
        <v>6087</v>
      </c>
      <c r="Q3" s="2" t="s">
        <v>6474</v>
      </c>
      <c r="R3" s="2" t="s">
        <v>6087</v>
      </c>
      <c r="S3" s="2" t="s">
        <v>6087</v>
      </c>
      <c r="T3" s="2" t="s">
        <v>6474</v>
      </c>
      <c r="U3" s="2" t="s">
        <v>6087</v>
      </c>
      <c r="V3" s="2" t="s">
        <v>6087</v>
      </c>
      <c r="W3" s="2" t="s">
        <v>6403</v>
      </c>
      <c r="X3" s="2" t="s">
        <v>6474</v>
      </c>
      <c r="Y3" s="2" t="s">
        <v>6087</v>
      </c>
      <c r="Z3" s="2" t="s">
        <v>6087</v>
      </c>
      <c r="AA3" s="2" t="s">
        <v>5984</v>
      </c>
      <c r="AB3" s="2"/>
      <c r="AC3" s="2"/>
      <c r="AD3" s="2"/>
      <c r="AE3" s="2"/>
      <c r="AF3" s="2"/>
      <c r="AG3" s="2"/>
      <c r="AH3" s="2"/>
      <c r="AI3" s="2"/>
      <c r="AJ3" s="2"/>
      <c r="AK3" s="2"/>
      <c r="AL3" s="2"/>
      <c r="AM3" s="2"/>
      <c r="AN3" s="2"/>
      <c r="AO3" s="2"/>
      <c r="AP3" s="2"/>
    </row>
    <row r="4" spans="1:42">
      <c r="A4" s="2" t="s">
        <v>5986</v>
      </c>
      <c r="B4" s="2" t="s">
        <v>6398</v>
      </c>
      <c r="C4" s="2" t="s">
        <v>6475</v>
      </c>
      <c r="D4" s="2" t="s">
        <v>6406</v>
      </c>
      <c r="E4" s="2" t="s">
        <v>6407</v>
      </c>
      <c r="F4" s="2" t="s">
        <v>6476</v>
      </c>
      <c r="G4" s="2" t="s">
        <v>6401</v>
      </c>
      <c r="H4" s="2" t="s">
        <v>6477</v>
      </c>
      <c r="I4" s="2"/>
      <c r="J4" s="2"/>
      <c r="K4" s="2"/>
      <c r="L4" s="2"/>
      <c r="M4" s="2"/>
      <c r="N4" s="2" t="s">
        <v>6478</v>
      </c>
      <c r="O4" s="2" t="s">
        <v>6479</v>
      </c>
      <c r="P4" s="2" t="s">
        <v>6479</v>
      </c>
      <c r="Q4" s="2" t="s">
        <v>6478</v>
      </c>
      <c r="R4" s="2" t="s">
        <v>6479</v>
      </c>
      <c r="S4" s="2" t="s">
        <v>6479</v>
      </c>
      <c r="T4" s="2" t="s">
        <v>6478</v>
      </c>
      <c r="U4" s="2" t="s">
        <v>6479</v>
      </c>
      <c r="V4" s="2" t="s">
        <v>6479</v>
      </c>
      <c r="W4" s="2" t="s">
        <v>6403</v>
      </c>
      <c r="X4" s="2" t="s">
        <v>6478</v>
      </c>
      <c r="Y4" s="2" t="s">
        <v>6087</v>
      </c>
      <c r="Z4" s="2" t="s">
        <v>6480</v>
      </c>
      <c r="AA4" s="2" t="s">
        <v>5984</v>
      </c>
      <c r="AB4" s="2"/>
      <c r="AC4" s="2"/>
      <c r="AD4" s="2"/>
      <c r="AE4" s="2"/>
      <c r="AF4" s="2"/>
      <c r="AG4" s="2"/>
      <c r="AH4" s="2"/>
      <c r="AI4" s="2"/>
      <c r="AJ4" s="2"/>
      <c r="AK4" s="2"/>
      <c r="AL4" s="2"/>
      <c r="AM4" s="2"/>
      <c r="AN4" s="2"/>
      <c r="AO4" s="2"/>
      <c r="AP4" s="2"/>
    </row>
    <row r="5" spans="1:42">
      <c r="A5" s="2" t="s">
        <v>2207</v>
      </c>
      <c r="B5" s="2" t="s">
        <v>6398</v>
      </c>
      <c r="C5" s="2" t="s">
        <v>6481</v>
      </c>
      <c r="D5" s="2" t="s">
        <v>6416</v>
      </c>
      <c r="E5" s="2" t="s">
        <v>6417</v>
      </c>
      <c r="F5" s="2" t="s">
        <v>6482</v>
      </c>
      <c r="G5" s="2" t="s">
        <v>6012</v>
      </c>
      <c r="H5" s="2" t="s">
        <v>6483</v>
      </c>
      <c r="I5" s="2"/>
      <c r="J5" s="2"/>
      <c r="K5" s="2"/>
      <c r="L5" s="2"/>
      <c r="M5" s="2"/>
      <c r="N5" s="2" t="s">
        <v>6484</v>
      </c>
      <c r="O5" s="2" t="s">
        <v>6087</v>
      </c>
      <c r="P5" s="2" t="s">
        <v>6479</v>
      </c>
      <c r="Q5" s="2" t="s">
        <v>6484</v>
      </c>
      <c r="R5" s="2" t="s">
        <v>6087</v>
      </c>
      <c r="S5" s="2" t="s">
        <v>6479</v>
      </c>
      <c r="T5" s="2" t="s">
        <v>6484</v>
      </c>
      <c r="U5" s="2" t="s">
        <v>6087</v>
      </c>
      <c r="V5" s="2" t="s">
        <v>6479</v>
      </c>
      <c r="W5" s="2" t="s">
        <v>6403</v>
      </c>
      <c r="X5" s="2" t="s">
        <v>6484</v>
      </c>
      <c r="Y5" s="2" t="s">
        <v>6087</v>
      </c>
      <c r="Z5" s="2" t="s">
        <v>6087</v>
      </c>
      <c r="AA5" s="2" t="s">
        <v>5984</v>
      </c>
      <c r="AB5" s="2"/>
      <c r="AC5" s="2"/>
      <c r="AD5" s="2"/>
      <c r="AE5" s="2"/>
      <c r="AF5" s="2"/>
      <c r="AG5" s="2"/>
      <c r="AH5" s="2"/>
      <c r="AI5" s="2"/>
      <c r="AJ5" s="2"/>
      <c r="AK5" s="2"/>
      <c r="AL5" s="2"/>
      <c r="AM5" s="2"/>
      <c r="AN5" s="2"/>
      <c r="AO5" s="2"/>
      <c r="AP5" s="2"/>
    </row>
    <row r="6" spans="1:42">
      <c r="A6" s="2" t="s">
        <v>2707</v>
      </c>
      <c r="B6" s="2" t="s">
        <v>6419</v>
      </c>
      <c r="C6" s="2" t="s">
        <v>6485</v>
      </c>
      <c r="D6" s="2" t="s">
        <v>6421</v>
      </c>
      <c r="E6" s="2" t="s">
        <v>6422</v>
      </c>
      <c r="F6" s="2" t="s">
        <v>6486</v>
      </c>
      <c r="G6" s="2" t="s">
        <v>6424</v>
      </c>
      <c r="H6" s="2" t="s">
        <v>6487</v>
      </c>
      <c r="I6" s="2"/>
      <c r="J6" s="2"/>
      <c r="K6" s="2"/>
      <c r="L6" s="2"/>
      <c r="M6" s="2"/>
      <c r="N6" s="2" t="s">
        <v>6488</v>
      </c>
      <c r="O6" s="2" t="s">
        <v>6087</v>
      </c>
      <c r="P6" s="2" t="s">
        <v>6479</v>
      </c>
      <c r="Q6" s="2" t="s">
        <v>6489</v>
      </c>
      <c r="R6" s="2" t="s">
        <v>6490</v>
      </c>
      <c r="S6" s="2" t="s">
        <v>6490</v>
      </c>
      <c r="T6" s="2" t="s">
        <v>6491</v>
      </c>
      <c r="U6" s="2" t="s">
        <v>6492</v>
      </c>
      <c r="V6" s="2" t="s">
        <v>6492</v>
      </c>
      <c r="W6" s="2" t="s">
        <v>6430</v>
      </c>
      <c r="X6" s="2" t="s">
        <v>6488</v>
      </c>
      <c r="Y6" s="2" t="s">
        <v>6493</v>
      </c>
      <c r="Z6" s="2" t="s">
        <v>6494</v>
      </c>
      <c r="AA6" s="2" t="s">
        <v>5984</v>
      </c>
      <c r="AB6" s="2"/>
      <c r="AC6" s="2"/>
      <c r="AD6" s="2"/>
      <c r="AE6" s="2"/>
      <c r="AF6" s="2"/>
      <c r="AG6" s="2"/>
      <c r="AH6" s="2"/>
      <c r="AI6" s="2"/>
      <c r="AJ6" s="2"/>
      <c r="AK6" s="2"/>
      <c r="AL6" s="2"/>
      <c r="AM6" s="2"/>
      <c r="AN6" s="2"/>
      <c r="AO6" s="2"/>
      <c r="AP6" s="2"/>
    </row>
    <row r="7" spans="1:42">
      <c r="A7" s="2" t="s">
        <v>6432</v>
      </c>
      <c r="B7" s="2" t="s">
        <v>6433</v>
      </c>
      <c r="C7" s="2" t="s">
        <v>6495</v>
      </c>
      <c r="D7" s="2" t="s">
        <v>6421</v>
      </c>
      <c r="E7" s="2" t="s">
        <v>6422</v>
      </c>
      <c r="F7" s="2" t="s">
        <v>6496</v>
      </c>
      <c r="G7" s="2" t="s">
        <v>6436</v>
      </c>
      <c r="H7" s="2" t="s">
        <v>6497</v>
      </c>
      <c r="I7" s="2"/>
      <c r="J7" s="2"/>
      <c r="K7" s="2"/>
      <c r="L7" s="2"/>
      <c r="M7" s="2"/>
      <c r="N7" s="2" t="s">
        <v>6498</v>
      </c>
      <c r="O7" s="2" t="s">
        <v>6087</v>
      </c>
      <c r="P7" s="2" t="s">
        <v>6479</v>
      </c>
      <c r="Q7" s="2" t="s">
        <v>6499</v>
      </c>
      <c r="R7" s="2" t="s">
        <v>6500</v>
      </c>
      <c r="S7" s="2" t="s">
        <v>6500</v>
      </c>
      <c r="T7" s="2" t="s">
        <v>6501</v>
      </c>
      <c r="U7" s="2" t="s">
        <v>6502</v>
      </c>
      <c r="V7" s="2" t="s">
        <v>6502</v>
      </c>
      <c r="W7" s="2" t="s">
        <v>6430</v>
      </c>
      <c r="X7" s="2" t="s">
        <v>6498</v>
      </c>
      <c r="Y7" s="2" t="s">
        <v>6503</v>
      </c>
      <c r="Z7" s="2" t="s">
        <v>6504</v>
      </c>
      <c r="AA7" s="2" t="s">
        <v>5984</v>
      </c>
      <c r="AB7" s="2"/>
      <c r="AC7" s="2"/>
      <c r="AD7" s="2"/>
      <c r="AE7" s="2"/>
      <c r="AF7" s="2"/>
      <c r="AG7" s="2"/>
      <c r="AH7" s="2"/>
      <c r="AI7" s="2"/>
      <c r="AJ7" s="2"/>
      <c r="AK7" s="2"/>
      <c r="AL7" s="2"/>
      <c r="AM7" s="2"/>
      <c r="AN7" s="2"/>
      <c r="AO7" s="2"/>
      <c r="AP7" s="2"/>
    </row>
    <row r="8" spans="1:42">
      <c r="A8" s="2" t="s">
        <v>6444</v>
      </c>
      <c r="B8" s="2" t="s">
        <v>6433</v>
      </c>
      <c r="C8" s="2" t="s">
        <v>6505</v>
      </c>
      <c r="D8" s="2" t="s">
        <v>6446</v>
      </c>
      <c r="E8" s="2" t="s">
        <v>6447</v>
      </c>
      <c r="F8" s="2" t="s">
        <v>6506</v>
      </c>
      <c r="G8" s="2" t="s">
        <v>6449</v>
      </c>
      <c r="H8" s="2" t="s">
        <v>6507</v>
      </c>
      <c r="I8" s="2"/>
      <c r="J8" s="2"/>
      <c r="K8" s="2"/>
      <c r="L8" s="2"/>
      <c r="M8" s="2"/>
      <c r="N8" s="2" t="s">
        <v>6508</v>
      </c>
      <c r="O8" s="2" t="s">
        <v>6509</v>
      </c>
      <c r="P8" s="2" t="s">
        <v>6509</v>
      </c>
      <c r="Q8" s="2" t="s">
        <v>6510</v>
      </c>
      <c r="R8" s="2" t="s">
        <v>6511</v>
      </c>
      <c r="S8" s="2" t="s">
        <v>6511</v>
      </c>
      <c r="T8" s="2" t="s">
        <v>6512</v>
      </c>
      <c r="U8" s="2" t="s">
        <v>6513</v>
      </c>
      <c r="V8" s="2" t="s">
        <v>6513</v>
      </c>
      <c r="W8" s="2" t="s">
        <v>6430</v>
      </c>
      <c r="X8" s="2" t="s">
        <v>6508</v>
      </c>
      <c r="Y8" s="2" t="s">
        <v>6514</v>
      </c>
      <c r="Z8" s="2" t="s">
        <v>6515</v>
      </c>
      <c r="AA8" s="2" t="s">
        <v>5984</v>
      </c>
      <c r="AB8" s="2"/>
      <c r="AC8" s="2"/>
      <c r="AD8" s="2"/>
      <c r="AE8" s="2"/>
      <c r="AF8" s="2"/>
      <c r="AG8" s="2"/>
      <c r="AH8" s="2"/>
      <c r="AI8" s="2"/>
      <c r="AJ8" s="2"/>
      <c r="AK8" s="2"/>
      <c r="AL8" s="2"/>
      <c r="AM8" s="2"/>
      <c r="AN8" s="2"/>
      <c r="AO8" s="2"/>
      <c r="AP8" s="2"/>
    </row>
    <row r="9" spans="1:42">
      <c r="A9" s="2"/>
      <c r="B9" s="2" t="s">
        <v>6020</v>
      </c>
      <c r="C9" s="2"/>
      <c r="D9" s="2"/>
      <c r="E9" s="2"/>
      <c r="F9" s="2"/>
      <c r="G9" s="2"/>
      <c r="H9" s="2"/>
      <c r="I9" s="2"/>
      <c r="J9" s="2"/>
      <c r="K9" s="2"/>
      <c r="L9" s="2"/>
      <c r="M9" s="2"/>
      <c r="N9" s="2"/>
      <c r="O9" s="2"/>
      <c r="P9" s="2"/>
      <c r="Q9" s="2"/>
      <c r="R9" s="2"/>
      <c r="S9" s="2"/>
      <c r="T9" s="2"/>
      <c r="U9" s="2"/>
      <c r="V9" s="2"/>
      <c r="W9" s="2"/>
      <c r="X9" s="2"/>
      <c r="Y9" s="2"/>
      <c r="Z9" s="2"/>
      <c r="AA9" s="2" t="s">
        <v>5984</v>
      </c>
      <c r="AB9" s="2"/>
      <c r="AC9" s="2"/>
      <c r="AD9" s="2" t="s">
        <v>6444</v>
      </c>
      <c r="AE9" s="2" t="s">
        <v>6505</v>
      </c>
      <c r="AF9" s="2" t="s">
        <v>6508</v>
      </c>
      <c r="AG9" s="2" t="s">
        <v>6510</v>
      </c>
      <c r="AH9" s="2" t="s">
        <v>6512</v>
      </c>
      <c r="AI9" s="2" t="s">
        <v>6509</v>
      </c>
      <c r="AJ9" s="2" t="s">
        <v>6511</v>
      </c>
      <c r="AK9" s="2" t="s">
        <v>6513</v>
      </c>
      <c r="AL9" s="2" t="s">
        <v>6507</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6516</v>
      </c>
    </row>
    <row r="3" spans="1:2">
      <c r="A3" s="2" t="s">
        <v>5647</v>
      </c>
      <c r="B3" s="2" t="s">
        <v>6459</v>
      </c>
    </row>
    <row r="4" spans="1:2">
      <c r="A4" s="2" t="s">
        <v>5649</v>
      </c>
      <c r="B4" s="2" t="s">
        <v>7</v>
      </c>
    </row>
    <row r="5" spans="1:2">
      <c r="A5" s="2" t="s">
        <v>5650</v>
      </c>
      <c r="B5" s="2" t="s">
        <v>6460</v>
      </c>
    </row>
    <row r="6" spans="1:2">
      <c r="A6" s="2" t="s">
        <v>5651</v>
      </c>
      <c r="B6" s="2" t="s">
        <v>6461</v>
      </c>
    </row>
    <row r="7" spans="1:2">
      <c r="A7" s="2" t="s">
        <v>5653</v>
      </c>
      <c r="B7" s="2" t="s">
        <v>6517</v>
      </c>
    </row>
    <row r="8" spans="1:2">
      <c r="A8" s="2" t="s">
        <v>5655</v>
      </c>
      <c r="B8" s="2" t="s">
        <v>6463</v>
      </c>
    </row>
    <row r="9" spans="1:2">
      <c r="A9" s="2" t="s">
        <v>5657</v>
      </c>
      <c r="B9" s="2" t="s">
        <v>6518</v>
      </c>
    </row>
    <row r="10" spans="1:2">
      <c r="A10" s="2" t="s">
        <v>5659</v>
      </c>
      <c r="B10" s="2" t="s">
        <v>5660</v>
      </c>
    </row>
    <row r="11" spans="1:2">
      <c r="A11" s="2" t="s">
        <v>6519</v>
      </c>
      <c r="B11" s="2" t="s">
        <v>6466</v>
      </c>
    </row>
    <row r="12" spans="1:2">
      <c r="A12" s="2" t="s">
        <v>6520</v>
      </c>
      <c r="B12" s="2" t="s">
        <v>6468</v>
      </c>
    </row>
    <row r="13" spans="1:2">
      <c r="A13" s="2" t="s">
        <v>6521</v>
      </c>
      <c r="B13" s="2" t="s">
        <v>6470</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6522</v>
      </c>
      <c r="B1" s="1" t="s">
        <v>5802</v>
      </c>
      <c r="C1" s="1" t="s">
        <v>6523</v>
      </c>
      <c r="D1" s="1" t="s">
        <v>6524</v>
      </c>
      <c r="E1" s="1" t="s">
        <v>6525</v>
      </c>
      <c r="F1" s="1" t="s">
        <v>6526</v>
      </c>
      <c r="G1" s="1" t="s">
        <v>6527</v>
      </c>
      <c r="H1" s="1" t="s">
        <v>6528</v>
      </c>
      <c r="I1" s="1" t="s">
        <v>6529</v>
      </c>
      <c r="J1" s="1" t="s">
        <v>6530</v>
      </c>
      <c r="K1" s="1" t="s">
        <v>6531</v>
      </c>
      <c r="L1" s="1" t="s">
        <v>6532</v>
      </c>
      <c r="M1" s="1" t="s">
        <v>6533</v>
      </c>
      <c r="N1" s="1" t="s">
        <v>6534</v>
      </c>
      <c r="O1" s="1" t="s">
        <v>6535</v>
      </c>
      <c r="P1" s="1" t="s">
        <v>6536</v>
      </c>
      <c r="Q1" s="1" t="s">
        <v>6537</v>
      </c>
      <c r="R1" s="1" t="s">
        <v>6538</v>
      </c>
      <c r="S1" s="1" t="s">
        <v>5924</v>
      </c>
      <c r="T1" s="1" t="s">
        <v>6539</v>
      </c>
      <c r="U1" s="1" t="s">
        <v>6540</v>
      </c>
    </row>
    <row r="2" spans="1:21">
      <c r="A2" s="2" t="s">
        <v>553</v>
      </c>
      <c r="B2" s="2" t="s">
        <v>53</v>
      </c>
      <c r="C2" s="2" t="s">
        <v>6541</v>
      </c>
      <c r="D2" s="2" t="s">
        <v>2419</v>
      </c>
      <c r="E2" s="2" t="s">
        <v>6542</v>
      </c>
      <c r="F2" s="2" t="s">
        <v>2711</v>
      </c>
      <c r="G2" s="2" t="s">
        <v>6543</v>
      </c>
      <c r="H2" s="2" t="s">
        <v>549</v>
      </c>
      <c r="I2" s="2" t="s">
        <v>6544</v>
      </c>
      <c r="J2" s="2" t="s">
        <v>6545</v>
      </c>
      <c r="K2" s="2"/>
      <c r="L2" s="2"/>
      <c r="M2" s="2" t="s">
        <v>6546</v>
      </c>
      <c r="N2" s="2" t="s">
        <v>6547</v>
      </c>
      <c r="O2" s="2"/>
      <c r="P2" s="2"/>
      <c r="Q2" s="2"/>
      <c r="R2" s="2"/>
      <c r="S2" s="2" t="s">
        <v>6548</v>
      </c>
      <c r="T2" s="2"/>
      <c r="U2" s="2"/>
    </row>
    <row r="3" spans="1:21">
      <c r="A3" s="2" t="s">
        <v>565</v>
      </c>
      <c r="B3" s="2" t="s">
        <v>53</v>
      </c>
      <c r="C3" s="2" t="s">
        <v>6549</v>
      </c>
      <c r="D3" s="2" t="s">
        <v>2454</v>
      </c>
      <c r="E3" s="2" t="s">
        <v>6550</v>
      </c>
      <c r="F3" s="2" t="s">
        <v>2718</v>
      </c>
      <c r="G3" s="2" t="s">
        <v>6551</v>
      </c>
      <c r="H3" s="2" t="s">
        <v>562</v>
      </c>
      <c r="I3" s="2" t="s">
        <v>6552</v>
      </c>
      <c r="J3" s="2" t="s">
        <v>6553</v>
      </c>
      <c r="K3" s="2"/>
      <c r="L3" s="2"/>
      <c r="M3" s="2" t="s">
        <v>6546</v>
      </c>
      <c r="N3" s="2" t="s">
        <v>6547</v>
      </c>
      <c r="O3" s="2"/>
      <c r="P3" s="2"/>
      <c r="Q3" s="2"/>
      <c r="R3" s="2"/>
      <c r="S3" s="2" t="s">
        <v>6548</v>
      </c>
      <c r="T3" s="2"/>
      <c r="U3" s="2"/>
    </row>
    <row r="4" spans="1:21">
      <c r="A4" s="2" t="s">
        <v>577</v>
      </c>
      <c r="B4" s="2" t="s">
        <v>53</v>
      </c>
      <c r="C4" s="2" t="s">
        <v>6554</v>
      </c>
      <c r="D4" s="2" t="s">
        <v>2430</v>
      </c>
      <c r="E4" s="2" t="s">
        <v>6555</v>
      </c>
      <c r="F4" s="2" t="s">
        <v>2721</v>
      </c>
      <c r="G4" s="2" t="s">
        <v>6556</v>
      </c>
      <c r="H4" s="2" t="s">
        <v>574</v>
      </c>
      <c r="I4" s="2" t="s">
        <v>6557</v>
      </c>
      <c r="J4" s="2" t="s">
        <v>6558</v>
      </c>
      <c r="K4" s="2"/>
      <c r="L4" s="2"/>
      <c r="M4" s="2" t="s">
        <v>6546</v>
      </c>
      <c r="N4" s="2" t="s">
        <v>6547</v>
      </c>
      <c r="O4" s="2"/>
      <c r="P4" s="2"/>
      <c r="Q4" s="2"/>
      <c r="R4" s="2"/>
      <c r="S4" s="2" t="s">
        <v>6548</v>
      </c>
      <c r="T4" s="2"/>
      <c r="U4" s="2"/>
    </row>
    <row r="5" spans="1:21">
      <c r="A5" s="2" t="s">
        <v>583</v>
      </c>
      <c r="B5" s="2" t="s">
        <v>53</v>
      </c>
      <c r="C5" s="2" t="s">
        <v>6559</v>
      </c>
      <c r="D5" s="2" t="s">
        <v>2438</v>
      </c>
      <c r="E5" s="2" t="s">
        <v>6560</v>
      </c>
      <c r="F5" s="2" t="s">
        <v>2724</v>
      </c>
      <c r="G5" s="2" t="s">
        <v>6561</v>
      </c>
      <c r="H5" s="2" t="s">
        <v>580</v>
      </c>
      <c r="I5" s="2" t="s">
        <v>6562</v>
      </c>
      <c r="J5" s="2" t="s">
        <v>6563</v>
      </c>
      <c r="K5" s="2"/>
      <c r="L5" s="2"/>
      <c r="M5" s="2" t="s">
        <v>6546</v>
      </c>
      <c r="N5" s="2" t="s">
        <v>6547</v>
      </c>
      <c r="O5" s="2"/>
      <c r="P5" s="2"/>
      <c r="Q5" s="2"/>
      <c r="R5" s="2"/>
      <c r="S5" s="2" t="s">
        <v>6548</v>
      </c>
      <c r="T5" s="2"/>
      <c r="U5" s="2"/>
    </row>
    <row r="6" spans="1:21">
      <c r="A6" s="2" t="s">
        <v>589</v>
      </c>
      <c r="B6" s="2" t="s">
        <v>53</v>
      </c>
      <c r="C6" s="2" t="s">
        <v>6564</v>
      </c>
      <c r="D6" s="2" t="s">
        <v>2446</v>
      </c>
      <c r="E6" s="2" t="s">
        <v>6565</v>
      </c>
      <c r="F6" s="2" t="s">
        <v>2727</v>
      </c>
      <c r="G6" s="2" t="s">
        <v>6566</v>
      </c>
      <c r="H6" s="2" t="s">
        <v>586</v>
      </c>
      <c r="I6" s="2" t="s">
        <v>6567</v>
      </c>
      <c r="J6" s="2" t="s">
        <v>6568</v>
      </c>
      <c r="K6" s="2"/>
      <c r="L6" s="2"/>
      <c r="M6" s="2" t="s">
        <v>6546</v>
      </c>
      <c r="N6" s="2" t="s">
        <v>6547</v>
      </c>
      <c r="O6" s="2"/>
      <c r="P6" s="2"/>
      <c r="Q6" s="2"/>
      <c r="R6" s="2"/>
      <c r="S6" s="2" t="s">
        <v>6548</v>
      </c>
      <c r="T6" s="2"/>
      <c r="U6" s="2"/>
    </row>
    <row r="7" spans="1:21">
      <c r="A7" s="2" t="s">
        <v>595</v>
      </c>
      <c r="B7" s="2" t="s">
        <v>53</v>
      </c>
      <c r="C7" s="2" t="s">
        <v>6569</v>
      </c>
      <c r="D7" s="2" t="s">
        <v>2462</v>
      </c>
      <c r="E7" s="2" t="s">
        <v>6570</v>
      </c>
      <c r="F7" s="2" t="s">
        <v>2730</v>
      </c>
      <c r="G7" s="2" t="s">
        <v>6571</v>
      </c>
      <c r="H7" s="2" t="s">
        <v>592</v>
      </c>
      <c r="I7" s="2" t="s">
        <v>6572</v>
      </c>
      <c r="J7" s="2" t="s">
        <v>6573</v>
      </c>
      <c r="K7" s="2"/>
      <c r="L7" s="2"/>
      <c r="M7" s="2" t="s">
        <v>6546</v>
      </c>
      <c r="N7" s="2" t="s">
        <v>6547</v>
      </c>
      <c r="O7" s="2"/>
      <c r="P7" s="2"/>
      <c r="Q7" s="2"/>
      <c r="R7" s="2"/>
      <c r="S7" s="2" t="s">
        <v>6548</v>
      </c>
      <c r="T7" s="2"/>
      <c r="U7" s="2"/>
    </row>
    <row r="8" spans="1:21">
      <c r="A8" s="2" t="s">
        <v>647</v>
      </c>
      <c r="B8" s="2" t="s">
        <v>53</v>
      </c>
      <c r="C8" s="2" t="s">
        <v>6574</v>
      </c>
      <c r="D8" s="2" t="s">
        <v>2506</v>
      </c>
      <c r="E8" s="2" t="s">
        <v>6575</v>
      </c>
      <c r="F8" s="2" t="s">
        <v>2733</v>
      </c>
      <c r="G8" s="2" t="s">
        <v>6576</v>
      </c>
      <c r="H8" s="2" t="s">
        <v>644</v>
      </c>
      <c r="I8" s="2" t="s">
        <v>6449</v>
      </c>
      <c r="J8" s="2" t="s">
        <v>6577</v>
      </c>
      <c r="K8" s="2"/>
      <c r="L8" s="2"/>
      <c r="M8" s="2" t="s">
        <v>6546</v>
      </c>
      <c r="N8" s="2" t="s">
        <v>6547</v>
      </c>
      <c r="O8" s="2"/>
      <c r="P8" s="2"/>
      <c r="Q8" s="2"/>
      <c r="R8" s="2"/>
      <c r="S8" s="2" t="s">
        <v>6548</v>
      </c>
      <c r="T8" s="2"/>
      <c r="U8" s="2"/>
    </row>
    <row r="9" spans="1:21">
      <c r="A9" s="2" t="s">
        <v>607</v>
      </c>
      <c r="B9" s="2" t="s">
        <v>53</v>
      </c>
      <c r="C9" s="2" t="s">
        <v>6578</v>
      </c>
      <c r="D9" s="2" t="s">
        <v>2510</v>
      </c>
      <c r="E9" s="2" t="s">
        <v>6579</v>
      </c>
      <c r="F9" s="2" t="s">
        <v>2736</v>
      </c>
      <c r="G9" s="2" t="s">
        <v>6580</v>
      </c>
      <c r="H9" s="2" t="s">
        <v>604</v>
      </c>
      <c r="I9" s="2" t="s">
        <v>6581</v>
      </c>
      <c r="J9" s="2" t="s">
        <v>6582</v>
      </c>
      <c r="K9" s="2"/>
      <c r="L9" s="2" t="s">
        <v>6087</v>
      </c>
      <c r="M9" s="2" t="s">
        <v>6546</v>
      </c>
      <c r="N9" s="2" t="s">
        <v>6547</v>
      </c>
      <c r="O9" s="2"/>
      <c r="P9" s="2" t="s">
        <v>6582</v>
      </c>
      <c r="Q9" s="2" t="s">
        <v>6581</v>
      </c>
      <c r="R9" s="2" t="s">
        <v>2524</v>
      </c>
      <c r="S9" s="2" t="s">
        <v>6548</v>
      </c>
      <c r="T9" s="2" t="s">
        <v>6583</v>
      </c>
      <c r="U9" s="2"/>
    </row>
    <row r="10" spans="1:21">
      <c r="A10" s="2" t="s">
        <v>6584</v>
      </c>
      <c r="B10" s="2" t="s">
        <v>53</v>
      </c>
      <c r="C10" s="2" t="s">
        <v>6087</v>
      </c>
      <c r="D10" s="2"/>
      <c r="E10" s="2" t="s">
        <v>6087</v>
      </c>
      <c r="F10" s="2"/>
      <c r="G10" s="2" t="s">
        <v>6585</v>
      </c>
      <c r="H10" s="2" t="s">
        <v>556</v>
      </c>
      <c r="I10" s="2" t="s">
        <v>6087</v>
      </c>
      <c r="J10" s="2" t="s">
        <v>6585</v>
      </c>
      <c r="K10" s="2"/>
      <c r="L10" s="2"/>
      <c r="M10" s="2" t="s">
        <v>6586</v>
      </c>
      <c r="N10" s="2" t="s">
        <v>6587</v>
      </c>
      <c r="O10" s="2"/>
      <c r="P10" s="2"/>
      <c r="Q10" s="2"/>
      <c r="R10" s="2"/>
      <c r="S10" s="2" t="s">
        <v>6588</v>
      </c>
      <c r="T10" s="2"/>
      <c r="U10" s="2" t="s">
        <v>6589</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6590</v>
      </c>
    </row>
    <row r="3" spans="1:2">
      <c r="A3" s="2" t="s">
        <v>5647</v>
      </c>
      <c r="B3" s="2" t="s">
        <v>6591</v>
      </c>
    </row>
    <row r="4" spans="1:2">
      <c r="A4" s="2" t="s">
        <v>5649</v>
      </c>
      <c r="B4" s="2" t="s">
        <v>7</v>
      </c>
    </row>
    <row r="5" spans="1:2">
      <c r="A5" s="2" t="s">
        <v>5650</v>
      </c>
      <c r="B5" s="2" t="s">
        <v>6592</v>
      </c>
    </row>
    <row r="6" spans="1:2">
      <c r="A6" s="2" t="s">
        <v>5651</v>
      </c>
      <c r="B6" s="2" t="s">
        <v>6593</v>
      </c>
    </row>
    <row r="7" spans="1:2">
      <c r="A7" s="2" t="s">
        <v>5653</v>
      </c>
      <c r="B7" s="2" t="s">
        <v>6594</v>
      </c>
    </row>
    <row r="8" spans="1:2">
      <c r="A8" s="2" t="s">
        <v>5655</v>
      </c>
      <c r="B8" s="2" t="s">
        <v>6595</v>
      </c>
    </row>
    <row r="9" spans="1:2">
      <c r="A9" s="2" t="s">
        <v>5657</v>
      </c>
      <c r="B9" s="2" t="s">
        <v>6596</v>
      </c>
    </row>
    <row r="10" spans="1:2">
      <c r="A10" s="2" t="s">
        <v>5659</v>
      </c>
      <c r="B10" s="2" t="s">
        <v>5660</v>
      </c>
    </row>
  </sheetData>
  <autoFilter ref="A1:B10"/>
  <pageMargins left="0.7" right="0.7" top="0.75" bottom="0.75" header="0.3" footer="0.3"/>
</worksheet>
</file>

<file path=xl/worksheets/sheet44.xml><?xml version="1.0" encoding="utf-8"?>
<worksheet xmlns="http://schemas.openxmlformats.org/spreadsheetml/2006/main" xmlns:r="http://schemas.openxmlformats.org/officeDocument/2006/relationships">
  <dimension ref="A1:T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0" width="28.7109375" customWidth="1"/>
  </cols>
  <sheetData>
    <row r="1" spans="1:20" ht="32" customHeight="1">
      <c r="A1" s="1" t="s">
        <v>5614</v>
      </c>
      <c r="B1" s="1" t="s">
        <v>6597</v>
      </c>
      <c r="C1" s="1" t="s">
        <v>395</v>
      </c>
      <c r="D1" s="1" t="s">
        <v>6598</v>
      </c>
      <c r="E1" s="1" t="s">
        <v>6599</v>
      </c>
      <c r="F1" s="1" t="s">
        <v>510</v>
      </c>
      <c r="G1" s="1" t="s">
        <v>6600</v>
      </c>
      <c r="H1" s="1" t="s">
        <v>1149</v>
      </c>
      <c r="I1" s="1" t="s">
        <v>553</v>
      </c>
      <c r="J1" s="1" t="s">
        <v>607</v>
      </c>
      <c r="K1" s="1" t="s">
        <v>6601</v>
      </c>
      <c r="L1" s="1" t="s">
        <v>386</v>
      </c>
      <c r="M1" s="1" t="s">
        <v>1419</v>
      </c>
      <c r="N1" s="1" t="s">
        <v>6602</v>
      </c>
      <c r="O1" s="1" t="s">
        <v>275</v>
      </c>
      <c r="P1" s="1" t="s">
        <v>6603</v>
      </c>
      <c r="Q1" s="1" t="s">
        <v>215</v>
      </c>
      <c r="R1" s="1" t="s">
        <v>6604</v>
      </c>
      <c r="S1" s="1" t="s">
        <v>6605</v>
      </c>
      <c r="T1" s="1" t="s">
        <v>5816</v>
      </c>
    </row>
    <row r="2" spans="1:20">
      <c r="A2" s="2" t="s">
        <v>6606</v>
      </c>
      <c r="B2" s="2" t="s">
        <v>6607</v>
      </c>
      <c r="C2" s="2" t="s">
        <v>6608</v>
      </c>
      <c r="D2" s="2" t="s">
        <v>6609</v>
      </c>
      <c r="E2" s="2" t="s">
        <v>6610</v>
      </c>
      <c r="F2" s="2" t="s">
        <v>6611</v>
      </c>
      <c r="G2" s="2" t="s">
        <v>6612</v>
      </c>
      <c r="H2" s="2" t="s">
        <v>6613</v>
      </c>
      <c r="I2" s="2" t="s">
        <v>6614</v>
      </c>
      <c r="J2" s="2" t="s">
        <v>6615</v>
      </c>
      <c r="K2" s="2" t="s">
        <v>6616</v>
      </c>
      <c r="L2" s="2" t="s">
        <v>6617</v>
      </c>
      <c r="M2" s="2" t="s">
        <v>6618</v>
      </c>
      <c r="N2" s="2" t="s">
        <v>6619</v>
      </c>
      <c r="O2" s="2" t="s">
        <v>6620</v>
      </c>
      <c r="P2" s="2" t="s">
        <v>6621</v>
      </c>
      <c r="Q2" s="2" t="s">
        <v>6622</v>
      </c>
      <c r="R2" s="2" t="s">
        <v>6623</v>
      </c>
      <c r="S2" s="2" t="s">
        <v>6624</v>
      </c>
      <c r="T2" s="2" t="s">
        <v>6216</v>
      </c>
    </row>
    <row r="3" spans="1:20">
      <c r="A3" s="2" t="s">
        <v>6625</v>
      </c>
      <c r="B3" s="2" t="s">
        <v>6626</v>
      </c>
      <c r="C3" s="2" t="s">
        <v>6608</v>
      </c>
      <c r="D3" s="2" t="s">
        <v>6627</v>
      </c>
      <c r="E3" s="2" t="s">
        <v>6628</v>
      </c>
      <c r="F3" s="2" t="s">
        <v>6629</v>
      </c>
      <c r="G3" s="2" t="s">
        <v>6630</v>
      </c>
      <c r="H3" s="2" t="s">
        <v>6631</v>
      </c>
      <c r="I3" s="2" t="s">
        <v>6614</v>
      </c>
      <c r="J3" s="2" t="s">
        <v>6632</v>
      </c>
      <c r="K3" s="2" t="s">
        <v>6633</v>
      </c>
      <c r="L3" s="2" t="s">
        <v>6634</v>
      </c>
      <c r="M3" s="2" t="s">
        <v>6635</v>
      </c>
      <c r="N3" s="2" t="s">
        <v>6619</v>
      </c>
      <c r="O3" s="2" t="s">
        <v>6636</v>
      </c>
      <c r="P3" s="2" t="s">
        <v>6637</v>
      </c>
      <c r="Q3" s="2" t="s">
        <v>6638</v>
      </c>
      <c r="R3" s="2" t="s">
        <v>6639</v>
      </c>
      <c r="S3" s="2" t="s">
        <v>6640</v>
      </c>
      <c r="T3" s="2" t="s">
        <v>5902</v>
      </c>
    </row>
    <row r="4" spans="1:20">
      <c r="A4" s="2" t="s">
        <v>6641</v>
      </c>
      <c r="B4" s="2" t="s">
        <v>6642</v>
      </c>
      <c r="C4" s="2" t="s">
        <v>6608</v>
      </c>
      <c r="D4" s="2" t="s">
        <v>6643</v>
      </c>
      <c r="E4" s="2" t="s">
        <v>6644</v>
      </c>
      <c r="F4" s="2" t="s">
        <v>6645</v>
      </c>
      <c r="G4" s="2" t="s">
        <v>6646</v>
      </c>
      <c r="H4" s="2" t="s">
        <v>6613</v>
      </c>
      <c r="I4" s="2" t="s">
        <v>6614</v>
      </c>
      <c r="J4" s="2" t="s">
        <v>6615</v>
      </c>
      <c r="K4" s="2" t="s">
        <v>6647</v>
      </c>
      <c r="L4" s="2" t="s">
        <v>6648</v>
      </c>
      <c r="M4" s="2" t="s">
        <v>6618</v>
      </c>
      <c r="N4" s="2" t="s">
        <v>6619</v>
      </c>
      <c r="O4" s="2" t="s">
        <v>6620</v>
      </c>
      <c r="P4" s="2" t="s">
        <v>6621</v>
      </c>
      <c r="Q4" s="2" t="s">
        <v>6649</v>
      </c>
      <c r="R4" s="2" t="s">
        <v>6623</v>
      </c>
      <c r="S4" s="2" t="s">
        <v>6650</v>
      </c>
      <c r="T4" s="2" t="s">
        <v>5902</v>
      </c>
    </row>
    <row r="5" spans="1:20">
      <c r="A5" s="2" t="s">
        <v>6651</v>
      </c>
      <c r="B5" s="2" t="s">
        <v>6652</v>
      </c>
      <c r="C5" s="2" t="s">
        <v>6608</v>
      </c>
      <c r="D5" s="2" t="s">
        <v>6653</v>
      </c>
      <c r="E5" s="2" t="s">
        <v>6654</v>
      </c>
      <c r="F5" s="2" t="s">
        <v>6655</v>
      </c>
      <c r="G5" s="2" t="s">
        <v>6656</v>
      </c>
      <c r="H5" s="2" t="s">
        <v>6631</v>
      </c>
      <c r="I5" s="2" t="s">
        <v>6614</v>
      </c>
      <c r="J5" s="2" t="s">
        <v>6632</v>
      </c>
      <c r="K5" s="2" t="s">
        <v>6657</v>
      </c>
      <c r="L5" s="2" t="s">
        <v>6658</v>
      </c>
      <c r="M5" s="2" t="s">
        <v>6635</v>
      </c>
      <c r="N5" s="2" t="s">
        <v>6619</v>
      </c>
      <c r="O5" s="2" t="s">
        <v>6636</v>
      </c>
      <c r="P5" s="2" t="s">
        <v>6637</v>
      </c>
      <c r="Q5" s="2" t="s">
        <v>6659</v>
      </c>
      <c r="R5" s="2" t="s">
        <v>6639</v>
      </c>
      <c r="S5" s="2" t="s">
        <v>6660</v>
      </c>
      <c r="T5" s="2" t="s">
        <v>5902</v>
      </c>
    </row>
    <row r="6" spans="1:20">
      <c r="A6" s="2" t="s">
        <v>6661</v>
      </c>
      <c r="B6" s="2" t="s">
        <v>6662</v>
      </c>
      <c r="C6" s="2" t="s">
        <v>6608</v>
      </c>
      <c r="D6" s="2" t="s">
        <v>6627</v>
      </c>
      <c r="E6" s="2" t="s">
        <v>6628</v>
      </c>
      <c r="F6" s="2" t="s">
        <v>6663</v>
      </c>
      <c r="G6" s="2" t="s">
        <v>6664</v>
      </c>
      <c r="H6" s="2" t="s">
        <v>6665</v>
      </c>
      <c r="I6" s="2" t="s">
        <v>6614</v>
      </c>
      <c r="J6" s="2" t="s">
        <v>6666</v>
      </c>
      <c r="K6" s="2" t="s">
        <v>6667</v>
      </c>
      <c r="L6" s="2" t="s">
        <v>6668</v>
      </c>
      <c r="M6" s="2" t="s">
        <v>6669</v>
      </c>
      <c r="N6" s="2" t="s">
        <v>6619</v>
      </c>
      <c r="O6" s="2" t="s">
        <v>6636</v>
      </c>
      <c r="P6" s="2" t="s">
        <v>6670</v>
      </c>
      <c r="Q6" s="2" t="s">
        <v>6671</v>
      </c>
      <c r="R6" s="2" t="s">
        <v>6672</v>
      </c>
      <c r="S6" s="2" t="s">
        <v>6640</v>
      </c>
      <c r="T6" s="2" t="s">
        <v>5902</v>
      </c>
    </row>
    <row r="7" spans="1:20">
      <c r="A7" s="2" t="s">
        <v>6673</v>
      </c>
      <c r="B7" s="2" t="s">
        <v>6674</v>
      </c>
      <c r="C7" s="2" t="s">
        <v>6608</v>
      </c>
      <c r="D7" s="2" t="s">
        <v>6627</v>
      </c>
      <c r="E7" s="2" t="s">
        <v>6628</v>
      </c>
      <c r="F7" s="2" t="s">
        <v>6675</v>
      </c>
      <c r="G7" s="2" t="s">
        <v>6676</v>
      </c>
      <c r="H7" s="2" t="s">
        <v>6677</v>
      </c>
      <c r="I7" s="2" t="s">
        <v>6614</v>
      </c>
      <c r="J7" s="2" t="s">
        <v>6678</v>
      </c>
      <c r="K7" s="2" t="s">
        <v>6679</v>
      </c>
      <c r="L7" s="2" t="s">
        <v>6680</v>
      </c>
      <c r="M7" s="2" t="s">
        <v>6681</v>
      </c>
      <c r="N7" s="2" t="s">
        <v>6619</v>
      </c>
      <c r="O7" s="2" t="s">
        <v>6682</v>
      </c>
      <c r="P7" s="2" t="s">
        <v>6683</v>
      </c>
      <c r="Q7" s="2" t="s">
        <v>6684</v>
      </c>
      <c r="R7" s="2" t="s">
        <v>6685</v>
      </c>
      <c r="S7" s="2" t="s">
        <v>6640</v>
      </c>
      <c r="T7" s="2" t="s">
        <v>5902</v>
      </c>
    </row>
    <row r="8" spans="1:20">
      <c r="A8" s="2" t="s">
        <v>6686</v>
      </c>
      <c r="B8" s="2" t="s">
        <v>6687</v>
      </c>
      <c r="C8" s="2" t="s">
        <v>6608</v>
      </c>
      <c r="D8" s="2" t="s">
        <v>6627</v>
      </c>
      <c r="E8" s="2" t="s">
        <v>6628</v>
      </c>
      <c r="F8" s="2" t="s">
        <v>6688</v>
      </c>
      <c r="G8" s="2" t="s">
        <v>6689</v>
      </c>
      <c r="H8" s="2" t="s">
        <v>6690</v>
      </c>
      <c r="I8" s="2" t="s">
        <v>6614</v>
      </c>
      <c r="J8" s="2" t="s">
        <v>6691</v>
      </c>
      <c r="K8" s="2" t="s">
        <v>6633</v>
      </c>
      <c r="L8" s="2" t="s">
        <v>6692</v>
      </c>
      <c r="M8" s="2" t="s">
        <v>6693</v>
      </c>
      <c r="N8" s="2" t="s">
        <v>6619</v>
      </c>
      <c r="O8" s="2" t="s">
        <v>6682</v>
      </c>
      <c r="P8" s="2" t="s">
        <v>6637</v>
      </c>
      <c r="Q8" s="2" t="s">
        <v>6638</v>
      </c>
      <c r="R8" s="2" t="s">
        <v>6694</v>
      </c>
      <c r="S8" s="2" t="s">
        <v>6640</v>
      </c>
      <c r="T8" s="2" t="s">
        <v>5902</v>
      </c>
    </row>
    <row r="9" spans="1:20">
      <c r="A9" s="2" t="s">
        <v>6695</v>
      </c>
      <c r="B9" s="2" t="s">
        <v>6696</v>
      </c>
      <c r="C9" s="2" t="s">
        <v>6608</v>
      </c>
      <c r="D9" s="2" t="s">
        <v>6697</v>
      </c>
      <c r="E9" s="2" t="s">
        <v>6698</v>
      </c>
      <c r="F9" s="2" t="s">
        <v>6699</v>
      </c>
      <c r="G9" s="2" t="s">
        <v>6700</v>
      </c>
      <c r="H9" s="2" t="s">
        <v>6701</v>
      </c>
      <c r="I9" s="2" t="s">
        <v>6614</v>
      </c>
      <c r="J9" s="2" t="s">
        <v>6702</v>
      </c>
      <c r="K9" s="2" t="s">
        <v>6633</v>
      </c>
      <c r="L9" s="2" t="s">
        <v>6703</v>
      </c>
      <c r="M9" s="2" t="s">
        <v>6704</v>
      </c>
      <c r="N9" s="2" t="s">
        <v>6619</v>
      </c>
      <c r="O9" s="2" t="s">
        <v>6636</v>
      </c>
      <c r="P9" s="2" t="s">
        <v>6637</v>
      </c>
      <c r="Q9" s="2" t="s">
        <v>6638</v>
      </c>
      <c r="R9" s="2" t="s">
        <v>6705</v>
      </c>
      <c r="S9" s="2" t="s">
        <v>6640</v>
      </c>
      <c r="T9" s="2" t="s">
        <v>5902</v>
      </c>
    </row>
  </sheetData>
  <autoFilter ref="A1:T9"/>
  <pageMargins left="0.7" right="0.7" top="0.75" bottom="0.75" header="0.3" footer="0.3"/>
</worksheet>
</file>

<file path=xl/worksheets/sheet45.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5643</v>
      </c>
      <c r="B1" s="1" t="s">
        <v>5644</v>
      </c>
    </row>
    <row r="2" spans="1:2">
      <c r="A2" s="2" t="s">
        <v>5645</v>
      </c>
      <c r="B2" s="2" t="s">
        <v>6706</v>
      </c>
    </row>
    <row r="3" spans="1:2">
      <c r="A3" s="2" t="s">
        <v>5647</v>
      </c>
      <c r="B3" s="2" t="s">
        <v>6707</v>
      </c>
    </row>
    <row r="4" spans="1:2">
      <c r="A4" s="2" t="s">
        <v>5649</v>
      </c>
      <c r="B4" s="2" t="s">
        <v>7</v>
      </c>
    </row>
    <row r="5" spans="1:2">
      <c r="A5" s="2" t="s">
        <v>5650</v>
      </c>
      <c r="B5" s="2" t="s">
        <v>6708</v>
      </c>
    </row>
    <row r="6" spans="1:2">
      <c r="A6" s="2" t="s">
        <v>5651</v>
      </c>
      <c r="B6" s="2" t="s">
        <v>6709</v>
      </c>
    </row>
    <row r="7" spans="1:2">
      <c r="A7" s="2" t="s">
        <v>5653</v>
      </c>
      <c r="B7" s="2" t="s">
        <v>6710</v>
      </c>
    </row>
    <row r="8" spans="1:2">
      <c r="A8" s="2" t="s">
        <v>5655</v>
      </c>
      <c r="B8" s="2" t="s">
        <v>6711</v>
      </c>
    </row>
    <row r="9" spans="1:2">
      <c r="A9" s="2" t="s">
        <v>5657</v>
      </c>
      <c r="B9" s="2" t="s">
        <v>6712</v>
      </c>
    </row>
    <row r="10" spans="1:2">
      <c r="A10" s="2" t="s">
        <v>5659</v>
      </c>
      <c r="B10" s="2" t="s">
        <v>5660</v>
      </c>
    </row>
    <row r="11" spans="1:2">
      <c r="A11" s="2" t="s">
        <v>6713</v>
      </c>
      <c r="B11" s="2" t="s">
        <v>6714</v>
      </c>
    </row>
    <row r="12" spans="1:2">
      <c r="A12" s="2" t="s">
        <v>6715</v>
      </c>
      <c r="B12" s="2" t="s">
        <v>6716</v>
      </c>
    </row>
    <row r="13" spans="1:2">
      <c r="A13" s="2" t="s">
        <v>6717</v>
      </c>
      <c r="B13" s="2" t="s">
        <v>6718</v>
      </c>
    </row>
    <row r="14" spans="1:2">
      <c r="A14" s="2" t="s">
        <v>6719</v>
      </c>
      <c r="B14" s="2" t="s">
        <v>6720</v>
      </c>
    </row>
    <row r="15" spans="1:2">
      <c r="A15" s="2" t="s">
        <v>6721</v>
      </c>
      <c r="B15" s="2" t="s">
        <v>6722</v>
      </c>
    </row>
    <row r="16" spans="1:2">
      <c r="A16" s="2" t="s">
        <v>6723</v>
      </c>
      <c r="B16" s="2" t="s">
        <v>6724</v>
      </c>
    </row>
  </sheetData>
  <autoFilter ref="A1:B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3</vt:i4>
      </vt:variant>
    </vt:vector>
  </HeadingPairs>
  <TitlesOfParts>
    <vt:vector size="48"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Quant18</vt:lpstr>
      <vt:lpstr>Quant18Notes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2026-10-04T04:18:52Z</dcterms:created>
  <dcterms:modified xsi:type="dcterms:W3CDTF">2026-10-04T04:18:52Z</dcterms:modified>
</cp:coreProperties>
</file>