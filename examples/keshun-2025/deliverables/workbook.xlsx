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Facts" sheetId="2" r:id="rId2"/>
    <sheet name="Calculations" sheetId="3" r:id="rId3"/>
    <sheet name="Reconciliations" sheetId="4" r:id="rId4"/>
    <sheet name="Sources" sheetId="5" r:id="rId5"/>
    <sheet name="Evidence" sheetId="6" r:id="rId6"/>
    <sheet name="Findings" sheetId="7" r:id="rId7"/>
    <sheet name="Procedures" sheetId="8" r:id="rId8"/>
    <sheet name="Requests" sheetId="9" r:id="rId9"/>
    <sheet name="Quant1" sheetId="10" r:id="rId10"/>
    <sheet name="Quant1Notes" sheetId="11" r:id="rId11"/>
    <sheet name="Quant2" sheetId="12" r:id="rId12"/>
    <sheet name="Quant2Notes" sheetId="13" r:id="rId13"/>
    <sheet name="Quant3" sheetId="14" r:id="rId14"/>
    <sheet name="Quant3Notes" sheetId="15" r:id="rId15"/>
    <sheet name="Quant4" sheetId="16" r:id="rId16"/>
    <sheet name="Quant4Notes" sheetId="17" r:id="rId17"/>
    <sheet name="Quant5" sheetId="18" r:id="rId18"/>
    <sheet name="Quant5Notes" sheetId="19" r:id="rId19"/>
    <sheet name="Quant6" sheetId="20" r:id="rId20"/>
    <sheet name="Quant6Notes" sheetId="21" r:id="rId21"/>
    <sheet name="Quant7" sheetId="22" r:id="rId22"/>
    <sheet name="Quant7Notes" sheetId="23" r:id="rId23"/>
    <sheet name="Quant8" sheetId="24" r:id="rId24"/>
    <sheet name="Quant8Notes" sheetId="25" r:id="rId25"/>
    <sheet name="Quant9" sheetId="26" r:id="rId26"/>
    <sheet name="Quant9Notes" sheetId="27" r:id="rId27"/>
    <sheet name="Quant10" sheetId="28" r:id="rId28"/>
    <sheet name="Quant10Notes" sheetId="29" r:id="rId29"/>
    <sheet name="Quant11" sheetId="30" r:id="rId30"/>
    <sheet name="Quant11Notes" sheetId="31" r:id="rId31"/>
    <sheet name="Quant12" sheetId="32" r:id="rId32"/>
    <sheet name="Quant12Notes" sheetId="33" r:id="rId33"/>
    <sheet name="Quant13" sheetId="34" r:id="rId34"/>
    <sheet name="Quant13Notes" sheetId="35" r:id="rId35"/>
  </sheets>
  <definedNames>
    <definedName name="_xlnm._FilterDatabase" localSheetId="2" hidden="1">Calculations!$A$1:$O$249</definedName>
    <definedName name="_xlnm._FilterDatabase" localSheetId="5" hidden="1">Evidence!$A$1:$E$162</definedName>
    <definedName name="_xlnm._FilterDatabase" localSheetId="1" hidden="1">Facts!$A$1:$R$807</definedName>
    <definedName name="_xlnm._FilterDatabase" localSheetId="6" hidden="1">Findings!$A$1:$I$45</definedName>
    <definedName name="_xlnm._FilterDatabase" localSheetId="7" hidden="1">Procedures!$A$1:$J$24</definedName>
    <definedName name="_xlnm._FilterDatabase" localSheetId="9" hidden="1">Quant1!$A$1:$E$7</definedName>
    <definedName name="_xlnm._FilterDatabase" localSheetId="27" hidden="1">Quant10!$A$1:$Z$2</definedName>
    <definedName name="_xlnm._FilterDatabase" localSheetId="28" hidden="1">Quant10Notes!$A$1:$B$12</definedName>
    <definedName name="_xlnm._FilterDatabase" localSheetId="29" hidden="1">Quant11!$A$1:$K$8</definedName>
    <definedName name="_xlnm._FilterDatabase" localSheetId="30" hidden="1">Quant11Notes!$A$1:$B$10</definedName>
    <definedName name="_xlnm._FilterDatabase" localSheetId="31" hidden="1">Quant12!$A$1:$J$4</definedName>
    <definedName name="_xlnm._FilterDatabase" localSheetId="32" hidden="1">Quant12Notes!$A$1:$B$19</definedName>
    <definedName name="_xlnm._FilterDatabase" localSheetId="33" hidden="1">Quant13!$A$1:$E$5</definedName>
    <definedName name="_xlnm._FilterDatabase" localSheetId="34" hidden="1">Quant13Notes!$A$1:$B$12</definedName>
    <definedName name="_xlnm._FilterDatabase" localSheetId="10" hidden="1">Quant1Notes!$A$1:$B$16</definedName>
    <definedName name="_xlnm._FilterDatabase" localSheetId="11" hidden="1">Quant2!$A$1:$J$6</definedName>
    <definedName name="_xlnm._FilterDatabase" localSheetId="12" hidden="1">Quant2Notes!$A$1:$B$18</definedName>
    <definedName name="_xlnm._FilterDatabase" localSheetId="13" hidden="1">Quant3!$A$1:$D$4</definedName>
    <definedName name="_xlnm._FilterDatabase" localSheetId="14" hidden="1">Quant3Notes!$A$1:$B$13</definedName>
    <definedName name="_xlnm._FilterDatabase" localSheetId="15" hidden="1">Quant4!$A$1:$C$2</definedName>
    <definedName name="_xlnm._FilterDatabase" localSheetId="16" hidden="1">Quant4Notes!$A$1:$B$11</definedName>
    <definedName name="_xlnm._FilterDatabase" localSheetId="17" hidden="1">Quant5!$A$1:$G$6</definedName>
    <definedName name="_xlnm._FilterDatabase" localSheetId="18" hidden="1">Quant5Notes!$A$1:$B$13</definedName>
    <definedName name="_xlnm._FilterDatabase" localSheetId="19" hidden="1">Quant6!$A$1:$R$13</definedName>
    <definedName name="_xlnm._FilterDatabase" localSheetId="20" hidden="1">Quant6Notes!$A$1:$B$14</definedName>
    <definedName name="_xlnm._FilterDatabase" localSheetId="21" hidden="1">Quant7!$A$1:$AK$5</definedName>
    <definedName name="_xlnm._FilterDatabase" localSheetId="22" hidden="1">Quant7Notes!$A$1:$B$14</definedName>
    <definedName name="_xlnm._FilterDatabase" localSheetId="23" hidden="1">Quant8!$A$1:$AK$5</definedName>
    <definedName name="_xlnm._FilterDatabase" localSheetId="24" hidden="1">Quant8Notes!$A$1:$B$14</definedName>
    <definedName name="_xlnm._FilterDatabase" localSheetId="25" hidden="1">Quant9!$A$1:$AK$5</definedName>
    <definedName name="_xlnm._FilterDatabase" localSheetId="26" hidden="1">Quant9Notes!$A$1:$B$14</definedName>
    <definedName name="_xlnm._FilterDatabase" localSheetId="0" hidden="1">Readme!$A$1:$B$19</definedName>
    <definedName name="_xlnm._FilterDatabase" localSheetId="3" hidden="1">Reconciliations!$A$1:$J$106</definedName>
    <definedName name="_xlnm._FilterDatabase" localSheetId="8" hidden="1">Requests!$A$1:$F$21</definedName>
    <definedName name="_xlnm._FilterDatabase" localSheetId="4" hidden="1">Sources!$A$1:$F$39</definedName>
    <definedName name="_xlnm.Print_Titles" localSheetId="2">Calculations!$1:$1</definedName>
    <definedName name="_xlnm.Print_Titles" localSheetId="0">Readme!$1:$1</definedName>
    <definedName name="_xlnm.Print_Titles" localSheetId="3">Reconciliations!$1:$1</definedName>
  </definedNames>
  <calcPr calcId="124519" fullCalcOnLoad="1"/>
</workbook>
</file>

<file path=xl/sharedStrings.xml><?xml version="1.0" encoding="utf-8"?>
<sst xmlns="http://schemas.openxmlformats.org/spreadsheetml/2006/main" count="16954" uniqueCount="5257">
  <si>
    <t>字段 / field</t>
  </si>
  <si>
    <t>内容 / value</t>
  </si>
  <si>
    <t>任务</t>
  </si>
  <si>
    <t>科顺股份与科顺转债：年报及信用研究</t>
  </si>
  <si>
    <t>版本</t>
  </si>
  <si>
    <t>keshun-public-research-2026-06-30</t>
  </si>
  <si>
    <t>信息截止</t>
  </si>
  <si>
    <t>2026-06-30</t>
  </si>
  <si>
    <t>范围</t>
  </si>
  <si>
    <t>合并主体为主，母公司偿债资源单列；期后季度和历史原口径分别列示</t>
  </si>
  <si>
    <t>准则</t>
  </si>
  <si>
    <t>中国企业会计准则</t>
  </si>
  <si>
    <t>方法与适用范围</t>
  </si>
  <si>
    <t>联合一般工商V4.1.202606及总论/支持V4.1.202605、债项V3.0.202207；采用公开规则并明示研究适配，不是机构评级复现或发布。</t>
  </si>
  <si>
    <t>四表及附注取证、确定性计算、经营/财务因素与现金条件情景使用同一底稿。</t>
  </si>
  <si>
    <t>单位</t>
  </si>
  <si>
    <t>Facts D=原始值，E=倍数，F=基础单位。Calculations D=基础单位，E=展示值。</t>
  </si>
  <si>
    <t>复算</t>
  </si>
  <si>
    <t>数值公式可编辑；修改主体、期间、币种、规则或资料后须重跑 export.py 复核口径。</t>
  </si>
  <si>
    <t>勾稽精度</t>
  </si>
  <si>
    <t>金额残差按本次Decimal输入/计算保留的小数位ROUND，消除Excel二进制尾差，不改变业务容差；提高输入小数精度后须重跑导出。</t>
  </si>
  <si>
    <t>缺口</t>
  </si>
  <si>
    <t>空值不是零。未执行程序、假设与已披露数据分别标识。</t>
  </si>
  <si>
    <t>限制</t>
  </si>
  <si>
    <t>公开资料分析，不构成审计；未执行函证、盘点、穿行测试、凭证抽查、管理层访谈或合同原件核验。</t>
  </si>
  <si>
    <t>2025年报PDF第1—92、97—245页完成文本阅读；第93—96页未读未用。视觉复核选页另见覆盖证据，不声称全文视觉审阅。</t>
  </si>
  <si>
    <t>2023年同控重述仅有摘要指标；2024原年报的2023明细保留原范围，不能据其补齐同口径指标。</t>
  </si>
  <si>
    <t>2026一季报未经审计；对比季报未统一作横琴同控重述，不按季度数据年度化。</t>
  </si>
  <si>
    <t>没有完整同控重述三年细项；财务两年30/70和最新周期输入是明确研究适配，非短存续例外的当然适用。</t>
  </si>
  <si>
    <t>来源覆盖底稿保留适用章节和未完成项。没有完成内部合同、母公司未来资金、行业总体统计或真实评级委员会，不能据本例宣称生产验收通过。</t>
  </si>
  <si>
    <t>来源 ks_r_issue 的正式公布日期未核验；不得据此证明在信息截止日前已公开。当前披露内容可以继续分析，历史时点结论须补充公告时间证据。</t>
  </si>
  <si>
    <t>ID</t>
  </si>
  <si>
    <t>原始科目</t>
  </si>
  <si>
    <t>证据</t>
  </si>
  <si>
    <t>原始数值</t>
  </si>
  <si>
    <t>倍数</t>
  </si>
  <si>
    <t>基础单位数值</t>
  </si>
  <si>
    <t>量纲</t>
  </si>
  <si>
    <t>币种</t>
  </si>
  <si>
    <t>实体</t>
  </si>
  <si>
    <t>开始</t>
  </si>
  <si>
    <t>结束</t>
  </si>
  <si>
    <t>统计类型</t>
  </si>
  <si>
    <t>状态</t>
  </si>
  <si>
    <t>说明</t>
  </si>
  <si>
    <t>概念</t>
  </si>
  <si>
    <t>实物单位</t>
  </si>
  <si>
    <t>ks_a_cashbook_2025</t>
  </si>
  <si>
    <t>货币资金</t>
  </si>
  <si>
    <t>ks_a_e_bs</t>
  </si>
  <si>
    <t>money</t>
  </si>
  <si>
    <t>CNY</t>
  </si>
  <si>
    <t>科顺防水科技股份有限公司</t>
  </si>
  <si>
    <t>合并</t>
  </si>
  <si>
    <t>2025-12-31</t>
  </si>
  <si>
    <t>instant</t>
  </si>
  <si>
    <t>reported</t>
  </si>
  <si>
    <t>中国企业会计准则；2025年报披露及同控重述口径</t>
  </si>
  <si>
    <t>原表行名：货币资金；列：本期/期末</t>
  </si>
  <si>
    <t>cashbook</t>
  </si>
  <si>
    <t>ks_a_cashbook_2024</t>
  </si>
  <si>
    <t>2024-12-31</t>
  </si>
  <si>
    <t>restated</t>
  </si>
  <si>
    <t>原表行名：货币资金；列：上期/期初；同控比较口径</t>
  </si>
  <si>
    <t>ks_a_trading_2025</t>
  </si>
  <si>
    <t>交易性金融资产</t>
  </si>
  <si>
    <t>原表行名：交易性金融资产；列：本期/期末</t>
  </si>
  <si>
    <t>trading</t>
  </si>
  <si>
    <t>ks_a_trading_2024</t>
  </si>
  <si>
    <t>原表行名：交易性金融资产；列：上期/期初；同控比较口径</t>
  </si>
  <si>
    <t>ks_a_notes_ar_2025</t>
  </si>
  <si>
    <t>应收票据</t>
  </si>
  <si>
    <t>原表行名：应收票据；列：本期/期末</t>
  </si>
  <si>
    <t>notes_ar</t>
  </si>
  <si>
    <t>ks_a_notes_ar_2024</t>
  </si>
  <si>
    <t>原表行名：应收票据；列：上期/期初；同控比较口径</t>
  </si>
  <si>
    <t>ks_a_ar_2025</t>
  </si>
  <si>
    <t>应收账款净额</t>
  </si>
  <si>
    <t>原表行名：应收账款净额；列：本期/期末</t>
  </si>
  <si>
    <t>ar</t>
  </si>
  <si>
    <t>ks_a_ar_2024</t>
  </si>
  <si>
    <t>原表行名：应收账款净额；列：上期/期初；同控比较口径</t>
  </si>
  <si>
    <t>ks_a_arfin_2025</t>
  </si>
  <si>
    <t>应收款项融资</t>
  </si>
  <si>
    <t>原表行名：应收款项融资；列：本期/期末</t>
  </si>
  <si>
    <t>arfin</t>
  </si>
  <si>
    <t>ks_a_arfin_2024</t>
  </si>
  <si>
    <t>原表行名：应收款项融资；列：上期/期初；同控比较口径</t>
  </si>
  <si>
    <t>ks_a_prepay_2025</t>
  </si>
  <si>
    <t>预付款项</t>
  </si>
  <si>
    <t>原表行名：预付款项；列：本期/期末</t>
  </si>
  <si>
    <t>prepay</t>
  </si>
  <si>
    <t>ks_a_prepay_2024</t>
  </si>
  <si>
    <t>原表行名：预付款项；列：上期/期初；同控比较口径</t>
  </si>
  <si>
    <t>ks_a_otherar_2025</t>
  </si>
  <si>
    <t>其他应收款净额</t>
  </si>
  <si>
    <t>原表行名：其他应收款净额；列：本期/期末</t>
  </si>
  <si>
    <t>otherar</t>
  </si>
  <si>
    <t>ks_a_otherar_2024</t>
  </si>
  <si>
    <t>原表行名：其他应收款净额；列：上期/期初；同控比较口径</t>
  </si>
  <si>
    <t>ks_a_inventory_2025</t>
  </si>
  <si>
    <t>存货净额</t>
  </si>
  <si>
    <t>原表行名：存货净额；列：本期/期末</t>
  </si>
  <si>
    <t>inventory</t>
  </si>
  <si>
    <t>ks_a_inventory_2024</t>
  </si>
  <si>
    <t>原表行名：存货净额；列：上期/期初；同控比较口径</t>
  </si>
  <si>
    <t>ks_a_contract_2025</t>
  </si>
  <si>
    <t>流动合同资产净额</t>
  </si>
  <si>
    <t>原表行名：流动合同资产净额；列：本期/期末</t>
  </si>
  <si>
    <t>contract</t>
  </si>
  <si>
    <t>ks_a_contract_2024</t>
  </si>
  <si>
    <t>原表行名：流动合同资产净额；列：上期/期初；同控比较口径</t>
  </si>
  <si>
    <t>ks_a_current_longasset_2024</t>
  </si>
  <si>
    <t>一年内到期的非流动资产</t>
  </si>
  <si>
    <t>原表行名：一年内到期的非流动资产；列：上期/期初；同控比较口径</t>
  </si>
  <si>
    <t>current_longasset</t>
  </si>
  <si>
    <t>ks_a_othercurrentasset_2025</t>
  </si>
  <si>
    <t>其他流动资产</t>
  </si>
  <si>
    <t>原表行名：其他流动资产；列：本期/期末</t>
  </si>
  <si>
    <t>othercurrentasset</t>
  </si>
  <si>
    <t>ks_a_othercurrentasset_2024</t>
  </si>
  <si>
    <t>原表行名：其他流动资产；列：上期/期初；同控比较口径</t>
  </si>
  <si>
    <t>ks_a_currentassets_2025</t>
  </si>
  <si>
    <t>流动资产合计</t>
  </si>
  <si>
    <t>原表行名：流动资产合计；列：本期/期末</t>
  </si>
  <si>
    <t>currentassets</t>
  </si>
  <si>
    <t>ks_a_currentassets_2024</t>
  </si>
  <si>
    <t>原表行名：流动资产合计；列：上期/期初；同控比较口径</t>
  </si>
  <si>
    <t>ks_a_debtinvest_2024</t>
  </si>
  <si>
    <t>债权投资</t>
  </si>
  <si>
    <t>原表行名：债权投资；列：上期/期初；同控比较口径</t>
  </si>
  <si>
    <t>debtinvest</t>
  </si>
  <si>
    <t>ks_a_equityinvest_2025</t>
  </si>
  <si>
    <t>长期股权投资</t>
  </si>
  <si>
    <t>原表行名：长期股权投资；列：本期/期末</t>
  </si>
  <si>
    <t>equityinvest</t>
  </si>
  <si>
    <t>ks_a_equityinvest_2024</t>
  </si>
  <si>
    <t>原表行名：长期股权投资；列：上期/期初；同控比较口径</t>
  </si>
  <si>
    <t>ks_a_otherequityasset_2025</t>
  </si>
  <si>
    <t>其他权益工具投资</t>
  </si>
  <si>
    <t>原表行名：其他权益工具投资；列：本期/期末</t>
  </si>
  <si>
    <t>otherequityasset</t>
  </si>
  <si>
    <t>ks_a_otherequityasset_2024</t>
  </si>
  <si>
    <t>原表行名：其他权益工具投资；列：上期/期初；同控比较口径</t>
  </si>
  <si>
    <t>ks_a_otherfinancial_2025</t>
  </si>
  <si>
    <t>其他非流动金融资产</t>
  </si>
  <si>
    <t>原表行名：其他非流动金融资产；列：本期/期末</t>
  </si>
  <si>
    <t>otherfinancial</t>
  </si>
  <si>
    <t>ks_a_otherfinancial_2024</t>
  </si>
  <si>
    <t>原表行名：其他非流动金融资产；列：上期/期初；同控比较口径</t>
  </si>
  <si>
    <t>ks_a_ip_2025</t>
  </si>
  <si>
    <t>投资性房地产</t>
  </si>
  <si>
    <t>原表行名：投资性房地产；列：本期/期末</t>
  </si>
  <si>
    <t>ip</t>
  </si>
  <si>
    <t>ks_a_ip_2024</t>
  </si>
  <si>
    <t>原表行名：投资性房地产；列：上期/期初；同控比较口径</t>
  </si>
  <si>
    <t>ks_a_ppe_2025</t>
  </si>
  <si>
    <t>固定资产</t>
  </si>
  <si>
    <t>原表行名：固定资产；列：本期/期末</t>
  </si>
  <si>
    <t>ppe</t>
  </si>
  <si>
    <t>ks_a_ppe_2024</t>
  </si>
  <si>
    <t>原表行名：固定资产；列：上期/期初；同控比较口径</t>
  </si>
  <si>
    <t>ks_a_cip_2025</t>
  </si>
  <si>
    <t>在建工程</t>
  </si>
  <si>
    <t>原表行名：在建工程；列：本期/期末</t>
  </si>
  <si>
    <t>cip</t>
  </si>
  <si>
    <t>ks_a_cip_2024</t>
  </si>
  <si>
    <t>原表行名：在建工程；列：上期/期初；同控比较口径</t>
  </si>
  <si>
    <t>ks_a_rou_2025</t>
  </si>
  <si>
    <t>使用权资产</t>
  </si>
  <si>
    <t>原表行名：使用权资产；列：本期/期末</t>
  </si>
  <si>
    <t>rou</t>
  </si>
  <si>
    <t>ks_a_rou_2024</t>
  </si>
  <si>
    <t>原表行名：使用权资产；列：上期/期初；同控比较口径</t>
  </si>
  <si>
    <t>ks_a_intang_2025</t>
  </si>
  <si>
    <t>无形资产</t>
  </si>
  <si>
    <t>原表行名：无形资产；列：本期/期末</t>
  </si>
  <si>
    <t>intang</t>
  </si>
  <si>
    <t>ks_a_intang_2024</t>
  </si>
  <si>
    <t>原表行名：无形资产；列：上期/期初；同控比较口径</t>
  </si>
  <si>
    <t>ks_a_goodwill_2025</t>
  </si>
  <si>
    <t>商誉</t>
  </si>
  <si>
    <t>原表行名：商誉；列：本期/期末</t>
  </si>
  <si>
    <t>goodwill</t>
  </si>
  <si>
    <t>ks_a_goodwill_2024</t>
  </si>
  <si>
    <t>原表行名：商誉；列：上期/期初；同控比较口径</t>
  </si>
  <si>
    <t>ks_a_longprepaid_2025</t>
  </si>
  <si>
    <t>长期待摊费用</t>
  </si>
  <si>
    <t>原表行名：长期待摊费用；列：本期/期末</t>
  </si>
  <si>
    <t>longprepaid</t>
  </si>
  <si>
    <t>ks_a_longprepaid_2024</t>
  </si>
  <si>
    <t>原表行名：长期待摊费用；列：上期/期初；同控比较口径</t>
  </si>
  <si>
    <t>ks_a_dta_2025</t>
  </si>
  <si>
    <t>递延所得税资产净额</t>
  </si>
  <si>
    <t>原表行名：递延所得税资产净额；列：本期/期末</t>
  </si>
  <si>
    <t>dta</t>
  </si>
  <si>
    <t>ks_a_dta_2024</t>
  </si>
  <si>
    <t>原表行名：递延所得税资产净额；列：上期/期初；同控比较口径</t>
  </si>
  <si>
    <t>ks_a_othernoncurrent_2025</t>
  </si>
  <si>
    <t>其他非流动资产</t>
  </si>
  <si>
    <t>原表行名：其他非流动资产；列：本期/期末</t>
  </si>
  <si>
    <t>othernoncurrent</t>
  </si>
  <si>
    <t>ks_a_othernoncurrent_2024</t>
  </si>
  <si>
    <t>原表行名：其他非流动资产；列：上期/期初；同控比较口径</t>
  </si>
  <si>
    <t>ks_a_noncurrentassets_2025</t>
  </si>
  <si>
    <t>非流动资产合计</t>
  </si>
  <si>
    <t>原表行名：非流动资产合计；列：本期/期末</t>
  </si>
  <si>
    <t>noncurrentassets</t>
  </si>
  <si>
    <t>ks_a_noncurrentassets_2024</t>
  </si>
  <si>
    <t>原表行名：非流动资产合计；列：上期/期初；同控比较口径</t>
  </si>
  <si>
    <t>ks_a_assets_2025</t>
  </si>
  <si>
    <t>资产总计</t>
  </si>
  <si>
    <t>原表行名：资产总计；列：本期/期末</t>
  </si>
  <si>
    <t>assets</t>
  </si>
  <si>
    <t>ks_a_assets_2024</t>
  </si>
  <si>
    <t>原表行名：资产总计；列：上期/期初；同控比较口径</t>
  </si>
  <si>
    <t>ks_a_stborrow_2025</t>
  </si>
  <si>
    <t>短期借款</t>
  </si>
  <si>
    <t>原表行名：短期借款；列：本期/期末</t>
  </si>
  <si>
    <t>stborrow</t>
  </si>
  <si>
    <t>ks_a_stborrow_2024</t>
  </si>
  <si>
    <t>原表行名：短期借款；列：上期/期初；同控比较口径</t>
  </si>
  <si>
    <t>ks_a_notes_ap_2025</t>
  </si>
  <si>
    <t>应付票据</t>
  </si>
  <si>
    <t>原表行名：应付票据；列：本期/期末</t>
  </si>
  <si>
    <t>notes_ap</t>
  </si>
  <si>
    <t>ks_a_notes_ap_2024</t>
  </si>
  <si>
    <t>原表行名：应付票据；列：上期/期初；同控比较口径</t>
  </si>
  <si>
    <t>ks_a_ap_2025</t>
  </si>
  <si>
    <t>应付账款</t>
  </si>
  <si>
    <t>原表行名：应付账款；列：本期/期末</t>
  </si>
  <si>
    <t>ap</t>
  </si>
  <si>
    <t>ks_a_ap_2024</t>
  </si>
  <si>
    <t>原表行名：应付账款；列：上期/期初；同控比较口径</t>
  </si>
  <si>
    <t>ks_a_contractliab_2025</t>
  </si>
  <si>
    <t>合同负债</t>
  </si>
  <si>
    <t>原表行名：合同负债；列：本期/期末</t>
  </si>
  <si>
    <t>contractliab</t>
  </si>
  <si>
    <t>ks_a_contractliab_2024</t>
  </si>
  <si>
    <t>原表行名：合同负债；列：上期/期初；同控比较口径</t>
  </si>
  <si>
    <t>ks_a_payroll_2025</t>
  </si>
  <si>
    <t>应付职工薪酬</t>
  </si>
  <si>
    <t>原表行名：应付职工薪酬；列：本期/期末</t>
  </si>
  <si>
    <t>payroll</t>
  </si>
  <si>
    <t>ks_a_payroll_2024</t>
  </si>
  <si>
    <t>原表行名：应付职工薪酬；列：上期/期初；同控比较口径</t>
  </si>
  <si>
    <t>ks_a_taxpay_2025</t>
  </si>
  <si>
    <t>应交税费</t>
  </si>
  <si>
    <t>原表行名：应交税费；列：本期/期末</t>
  </si>
  <si>
    <t>taxpay</t>
  </si>
  <si>
    <t>ks_a_taxpay_2024</t>
  </si>
  <si>
    <t>原表行名：应交税费；列：上期/期初；同控比较口径</t>
  </si>
  <si>
    <t>ks_a_otherap_2025</t>
  </si>
  <si>
    <t>其他应付款</t>
  </si>
  <si>
    <t>原表行名：其他应付款；列：本期/期末</t>
  </si>
  <si>
    <t>otherap</t>
  </si>
  <si>
    <t>ks_a_otherap_2024</t>
  </si>
  <si>
    <t>原表行名：其他应付款；列：上期/期初；同控比较口径</t>
  </si>
  <si>
    <t>ks_a_currentlongliab_2025</t>
  </si>
  <si>
    <t>一年内到期的非流动负债</t>
  </si>
  <si>
    <t>原表行名：一年内到期的非流动负债；列：本期/期末</t>
  </si>
  <si>
    <t>currentlongliab</t>
  </si>
  <si>
    <t>ks_a_currentlongliab_2024</t>
  </si>
  <si>
    <t>原表行名：一年内到期的非流动负债；列：上期/期初；同控比较口径</t>
  </si>
  <si>
    <t>ks_a_othercurrentliab_2025</t>
  </si>
  <si>
    <t>其他流动负债</t>
  </si>
  <si>
    <t>原表行名：其他流动负债；列：本期/期末</t>
  </si>
  <si>
    <t>othercurrentliab</t>
  </si>
  <si>
    <t>ks_a_othercurrentliab_2024</t>
  </si>
  <si>
    <t>原表行名：其他流动负债；列：上期/期初；同控比较口径</t>
  </si>
  <si>
    <t>ks_a_currentliab_2025</t>
  </si>
  <si>
    <t>流动负债合计</t>
  </si>
  <si>
    <t>原表行名：流动负债合计；列：本期/期末</t>
  </si>
  <si>
    <t>currentliab</t>
  </si>
  <si>
    <t>ks_a_currentliab_2024</t>
  </si>
  <si>
    <t>原表行名：流动负债合计；列：上期/期初；同控比较口径</t>
  </si>
  <si>
    <t>ks_a_ltborrow_2025</t>
  </si>
  <si>
    <t>长期借款</t>
  </si>
  <si>
    <t>原表行名：长期借款；列：本期/期末</t>
  </si>
  <si>
    <t>ltborrow</t>
  </si>
  <si>
    <t>ks_a_ltborrow_2024</t>
  </si>
  <si>
    <t>原表行名：长期借款；列：上期/期初；同控比较口径</t>
  </si>
  <si>
    <t>ks_a_bonds_2025</t>
  </si>
  <si>
    <t>应付债券</t>
  </si>
  <si>
    <t>原表行名：应付债券；列：本期/期末</t>
  </si>
  <si>
    <t>bonds</t>
  </si>
  <si>
    <t>ks_a_bonds_2024</t>
  </si>
  <si>
    <t>原表行名：应付债券；列：上期/期初；同控比较口径</t>
  </si>
  <si>
    <t>ks_a_lease_2025</t>
  </si>
  <si>
    <t>长期租赁负债</t>
  </si>
  <si>
    <t>原表行名：长期租赁负债；列：本期/期末</t>
  </si>
  <si>
    <t>lease</t>
  </si>
  <si>
    <t>ks_a_lease_2024</t>
  </si>
  <si>
    <t>原表行名：长期租赁负债；列：上期/期初；同控比较口径</t>
  </si>
  <si>
    <t>ks_a_provisions_2025</t>
  </si>
  <si>
    <t>长期预计负债</t>
  </si>
  <si>
    <t>原表行名：长期预计负债；列：本期/期末</t>
  </si>
  <si>
    <t>provisions</t>
  </si>
  <si>
    <t>ks_a_provisions_2024</t>
  </si>
  <si>
    <t>原表行名：长期预计负债；列：上期/期初；同控比较口径</t>
  </si>
  <si>
    <t>ks_a_deferredincome_2025</t>
  </si>
  <si>
    <t>递延收益</t>
  </si>
  <si>
    <t>原表行名：递延收益；列：本期/期末</t>
  </si>
  <si>
    <t>deferredincome</t>
  </si>
  <si>
    <t>ks_a_deferredincome_2024</t>
  </si>
  <si>
    <t>原表行名：递延收益；列：上期/期初；同控比较口径</t>
  </si>
  <si>
    <t>ks_a_dtl_2025</t>
  </si>
  <si>
    <t>递延所得税负债净额</t>
  </si>
  <si>
    <t>原表行名：递延所得税负债净额；列：本期/期末</t>
  </si>
  <si>
    <t>dtl</t>
  </si>
  <si>
    <t>ks_a_dtl_2024</t>
  </si>
  <si>
    <t>原表行名：递延所得税负债净额；列：上期/期初；同控比较口径</t>
  </si>
  <si>
    <t>ks_a_noncurrentliab_2025</t>
  </si>
  <si>
    <t>非流动负债合计</t>
  </si>
  <si>
    <t>原表行名：非流动负债合计；列：本期/期末</t>
  </si>
  <si>
    <t>noncurrentliab</t>
  </si>
  <si>
    <t>ks_a_noncurrentliab_2024</t>
  </si>
  <si>
    <t>原表行名：非流动负债合计；列：上期/期初；同控比较口径</t>
  </si>
  <si>
    <t>ks_a_liab_2025</t>
  </si>
  <si>
    <t>负债合计</t>
  </si>
  <si>
    <t>原表行名：负债合计；列：本期/期末</t>
  </si>
  <si>
    <t>liab</t>
  </si>
  <si>
    <t>ks_a_liab_2024</t>
  </si>
  <si>
    <t>原表行名：负债合计；列：上期/期初；同控比较口径</t>
  </si>
  <si>
    <t>ks_a_share_2025</t>
  </si>
  <si>
    <t>股本</t>
  </si>
  <si>
    <t>原表行名：股本；列：本期/期末</t>
  </si>
  <si>
    <t>share</t>
  </si>
  <si>
    <t>ks_a_share_2024</t>
  </si>
  <si>
    <t>原表行名：股本；列：上期/期初；同控比较口径</t>
  </si>
  <si>
    <t>ks_a_otherequity_2025</t>
  </si>
  <si>
    <t>其他权益工具</t>
  </si>
  <si>
    <t>原表行名：其他权益工具；列：本期/期末</t>
  </si>
  <si>
    <t>otherequity</t>
  </si>
  <si>
    <t>ks_a_otherequity_2024</t>
  </si>
  <si>
    <t>原表行名：其他权益工具；列：上期/期初；同控比较口径</t>
  </si>
  <si>
    <t>ks_a_capital_2025</t>
  </si>
  <si>
    <t>资本公积</t>
  </si>
  <si>
    <t>原表行名：资本公积；列：本期/期末</t>
  </si>
  <si>
    <t>capital</t>
  </si>
  <si>
    <t>ks_a_capital_2024</t>
  </si>
  <si>
    <t>原表行名：资本公积；列：上期/期初；同控比较口径</t>
  </si>
  <si>
    <t>ks_a_oci_balance_2025</t>
  </si>
  <si>
    <t>其他综合收益</t>
  </si>
  <si>
    <t>原表行名：其他综合收益；列：本期/期末</t>
  </si>
  <si>
    <t>oci_balance</t>
  </si>
  <si>
    <t>ks_a_oci_balance_2024</t>
  </si>
  <si>
    <t>原表行名：其他综合收益；列：上期/期初；同控比较口径</t>
  </si>
  <si>
    <t>ks_a_special_2025</t>
  </si>
  <si>
    <t>专项储备</t>
  </si>
  <si>
    <t>原表行名：专项储备；列：本期/期末</t>
  </si>
  <si>
    <t>special</t>
  </si>
  <si>
    <t>ks_a_special_2024</t>
  </si>
  <si>
    <t>原表行名：专项储备；列：上期/期初；同控比较口径</t>
  </si>
  <si>
    <t>ks_a_earnreserve_2025</t>
  </si>
  <si>
    <t>盈余公积</t>
  </si>
  <si>
    <t>原表行名：盈余公积；列：本期/期末</t>
  </si>
  <si>
    <t>earnreserve</t>
  </si>
  <si>
    <t>ks_a_earnreserve_2024</t>
  </si>
  <si>
    <t>原表行名：盈余公积；列：上期/期初；同控比较口径</t>
  </si>
  <si>
    <t>ks_a_riskreserve_2024</t>
  </si>
  <si>
    <t>一般风险准备</t>
  </si>
  <si>
    <t>原表行名：一般风险准备；列：上期/期初；同控比较口径</t>
  </si>
  <si>
    <t>riskreserve</t>
  </si>
  <si>
    <t>ks_a_retained_2025</t>
  </si>
  <si>
    <t>未分配利润</t>
  </si>
  <si>
    <t>原表行名：未分配利润；列：本期/期末</t>
  </si>
  <si>
    <t>retained</t>
  </si>
  <si>
    <t>ks_a_retained_2024</t>
  </si>
  <si>
    <t>原表行名：未分配利润；列：上期/期初；同控比较口径</t>
  </si>
  <si>
    <t>ks_a_ownerequity_2025</t>
  </si>
  <si>
    <t>归属于母公司所有者权益</t>
  </si>
  <si>
    <t>原表行名：归属于母公司所有者权益；列：本期/期末</t>
  </si>
  <si>
    <t>ownerequity</t>
  </si>
  <si>
    <t>ks_a_ownerequity_2024</t>
  </si>
  <si>
    <t>原表行名：归属于母公司所有者权益；列：上期/期初；同控比较口径</t>
  </si>
  <si>
    <t>ks_a_nci_2025</t>
  </si>
  <si>
    <t>少数股东权益</t>
  </si>
  <si>
    <t>原表行名：少数股东权益；列：本期/期末</t>
  </si>
  <si>
    <t>nci</t>
  </si>
  <si>
    <t>ks_a_nci_2024</t>
  </si>
  <si>
    <t>原表行名：少数股东权益；列：上期/期初；同控比较口径</t>
  </si>
  <si>
    <t>ks_a_equity_2025</t>
  </si>
  <si>
    <t>所有者权益合计</t>
  </si>
  <si>
    <t>原表行名：所有者权益合计；列：本期/期末</t>
  </si>
  <si>
    <t>equity</t>
  </si>
  <si>
    <t>ks_a_equity_2024</t>
  </si>
  <si>
    <t>原表行名：所有者权益合计；列：上期/期初；同控比较口径</t>
  </si>
  <si>
    <t>ks_a_revenue_2025</t>
  </si>
  <si>
    <t>营业收入</t>
  </si>
  <si>
    <t>ks_a_e_is</t>
  </si>
  <si>
    <t>2025-01-01</t>
  </si>
  <si>
    <t>flow</t>
  </si>
  <si>
    <t>原表行名：营业收入；列：本期/期末</t>
  </si>
  <si>
    <t>revenue</t>
  </si>
  <si>
    <t>ks_a_revenue_2024</t>
  </si>
  <si>
    <t>2024-01-01</t>
  </si>
  <si>
    <t>原表行名：营业收入；列：上期/期初；同控比较口径</t>
  </si>
  <si>
    <t>ks_a_cost_2025</t>
  </si>
  <si>
    <t>营业成本</t>
  </si>
  <si>
    <t>原表行名：营业成本；列：本期/期末</t>
  </si>
  <si>
    <t>cost</t>
  </si>
  <si>
    <t>ks_a_cost_2024</t>
  </si>
  <si>
    <t>原表行名：营业成本；列：上期/期初；同控比较口径</t>
  </si>
  <si>
    <t>ks_a_surtax_2025</t>
  </si>
  <si>
    <t>税金及附加</t>
  </si>
  <si>
    <t>原表行名：税金及附加；列：本期/期末</t>
  </si>
  <si>
    <t>surtax</t>
  </si>
  <si>
    <t>ks_a_surtax_2024</t>
  </si>
  <si>
    <t>原表行名：税金及附加；列：上期/期初；同控比较口径</t>
  </si>
  <si>
    <t>ks_a_selling_2025</t>
  </si>
  <si>
    <t>销售费用</t>
  </si>
  <si>
    <t>原表行名：销售费用；列：本期/期末</t>
  </si>
  <si>
    <t>selling</t>
  </si>
  <si>
    <t>ks_a_selling_2024</t>
  </si>
  <si>
    <t>原表行名：销售费用；列：上期/期初；同控比较口径</t>
  </si>
  <si>
    <t>ks_a_admin_2025</t>
  </si>
  <si>
    <t>管理费用</t>
  </si>
  <si>
    <t>原表行名：管理费用；列：本期/期末</t>
  </si>
  <si>
    <t>admin</t>
  </si>
  <si>
    <t>ks_a_admin_2024</t>
  </si>
  <si>
    <t>原表行名：管理费用；列：上期/期初；同控比较口径</t>
  </si>
  <si>
    <t>ks_a_rd_2025</t>
  </si>
  <si>
    <t>研发费用</t>
  </si>
  <si>
    <t>原表行名：研发费用；列：本期/期末</t>
  </si>
  <si>
    <t>rd</t>
  </si>
  <si>
    <t>ks_a_rd_2024</t>
  </si>
  <si>
    <t>原表行名：研发费用；列：上期/期初；同控比较口径</t>
  </si>
  <si>
    <t>ks_a_finance_2025</t>
  </si>
  <si>
    <t>财务费用</t>
  </si>
  <si>
    <t>原表行名：财务费用；列：本期/期末</t>
  </si>
  <si>
    <t>finance</t>
  </si>
  <si>
    <t>ks_a_finance_2024</t>
  </si>
  <si>
    <t>原表行名：财务费用；列：上期/期初；同控比较口径</t>
  </si>
  <si>
    <t>ks_a_interest_exp_2025</t>
  </si>
  <si>
    <t>费用化利息</t>
  </si>
  <si>
    <t>原表行名：费用化利息；列：本期/期末</t>
  </si>
  <si>
    <t>interest_exp</t>
  </si>
  <si>
    <t>ks_a_interest_exp_2024</t>
  </si>
  <si>
    <t>原表行名：费用化利息；列：上期/期初；同控比较口径</t>
  </si>
  <si>
    <t>ks_a_interest_income_2025</t>
  </si>
  <si>
    <t>利息收入</t>
  </si>
  <si>
    <t>原表行名：利息收入；列：本期/期末</t>
  </si>
  <si>
    <t>interest_income</t>
  </si>
  <si>
    <t>ks_a_interest_income_2024</t>
  </si>
  <si>
    <t>原表行名：利息收入；列：上期/期初；同控比较口径</t>
  </si>
  <si>
    <t>ks_a_totalcost_2025</t>
  </si>
  <si>
    <t>营业总成本</t>
  </si>
  <si>
    <t>原表行名：营业总成本；列：本期/期末</t>
  </si>
  <si>
    <t>totalcost</t>
  </si>
  <si>
    <t>ks_a_totalcost_2024</t>
  </si>
  <si>
    <t>原表行名：营业总成本；列：上期/期初；同控比较口径</t>
  </si>
  <si>
    <t>ks_a_otherincome_2025</t>
  </si>
  <si>
    <t>其他收益</t>
  </si>
  <si>
    <t>原表行名：其他收益；列：本期/期末</t>
  </si>
  <si>
    <t>otherincome</t>
  </si>
  <si>
    <t>ks_a_otherincome_2024</t>
  </si>
  <si>
    <t>原表行名：其他收益；列：上期/期初；同控比较口径</t>
  </si>
  <si>
    <t>ks_a_investment_pl_2025</t>
  </si>
  <si>
    <t>投资收益</t>
  </si>
  <si>
    <t>原表行名：投资收益；列：本期/期末</t>
  </si>
  <si>
    <t>investment_pl</t>
  </si>
  <si>
    <t>ks_a_investment_pl_2024</t>
  </si>
  <si>
    <t>原表行名：投资收益；列：上期/期初；同控比较口径</t>
  </si>
  <si>
    <t>ks_a_fairvalue_pl_2025</t>
  </si>
  <si>
    <t>公允价值变动收益</t>
  </si>
  <si>
    <t>原表行名：公允价值变动收益；列：本期/期末</t>
  </si>
  <si>
    <t>fairvalue_pl</t>
  </si>
  <si>
    <t>ks_a_fairvalue_pl_2024</t>
  </si>
  <si>
    <t>原表行名：公允价值变动收益；列：上期/期初；同控比较口径</t>
  </si>
  <si>
    <t>ks_a_creditimp_2025</t>
  </si>
  <si>
    <t>信用减值损失（原负号）</t>
  </si>
  <si>
    <t>原表行名：信用减值损失（原负号）；列：本期/期末</t>
  </si>
  <si>
    <t>creditimp</t>
  </si>
  <si>
    <t>ks_a_creditimp_2024</t>
  </si>
  <si>
    <t>原表行名：信用减值损失（原负号）；列：上期/期初；同控比较口径</t>
  </si>
  <si>
    <t>ks_a_assetimp_2025</t>
  </si>
  <si>
    <t>资产减值损失（原负号）</t>
  </si>
  <si>
    <t>原表行名：资产减值损失（原负号）；列：本期/期末</t>
  </si>
  <si>
    <t>assetimp</t>
  </si>
  <si>
    <t>ks_a_assetimp_2024</t>
  </si>
  <si>
    <t>原表行名：资产减值损失（原负号）；列：上期/期初；同控比较口径</t>
  </si>
  <si>
    <t>ks_a_disposal_pl_2025</t>
  </si>
  <si>
    <t>资产处置收益</t>
  </si>
  <si>
    <t>原表行名：资产处置收益；列：本期/期末</t>
  </si>
  <si>
    <t>disposal_pl</t>
  </si>
  <si>
    <t>ks_a_disposal_pl_2024</t>
  </si>
  <si>
    <t>原表行名：资产处置收益；列：上期/期初；同控比较口径</t>
  </si>
  <si>
    <t>ks_a_opprofit_2025</t>
  </si>
  <si>
    <t>营业利润</t>
  </si>
  <si>
    <t>原表行名：营业利润；列：本期/期末</t>
  </si>
  <si>
    <t>opprofit</t>
  </si>
  <si>
    <t>ks_a_opprofit_2024</t>
  </si>
  <si>
    <t>原表行名：营业利润；列：上期/期初；同控比较口径</t>
  </si>
  <si>
    <t>ks_a_nonopincome_2025</t>
  </si>
  <si>
    <t>营业外收入</t>
  </si>
  <si>
    <t>原表行名：营业外收入；列：本期/期末</t>
  </si>
  <si>
    <t>nonopincome</t>
  </si>
  <si>
    <t>ks_a_nonopincome_2024</t>
  </si>
  <si>
    <t>原表行名：营业外收入；列：上期/期初；同控比较口径</t>
  </si>
  <si>
    <t>ks_a_nonopexp_2025</t>
  </si>
  <si>
    <t>营业外支出</t>
  </si>
  <si>
    <t>原表行名：营业外支出；列：本期/期末</t>
  </si>
  <si>
    <t>nonopexp</t>
  </si>
  <si>
    <t>ks_a_nonopexp_2024</t>
  </si>
  <si>
    <t>原表行名：营业外支出；列：上期/期初；同控比较口径</t>
  </si>
  <si>
    <t>ks_a_pbt_2025</t>
  </si>
  <si>
    <t>利润总额</t>
  </si>
  <si>
    <t>原表行名：利润总额；列：本期/期末</t>
  </si>
  <si>
    <t>pbt</t>
  </si>
  <si>
    <t>ks_a_pbt_2024</t>
  </si>
  <si>
    <t>原表行名：利润总额；列：上期/期初；同控比较口径</t>
  </si>
  <si>
    <t>ks_a_taxexpense_2025</t>
  </si>
  <si>
    <t>所得税费用</t>
  </si>
  <si>
    <t>原表行名：所得税费用；列：本期/期末</t>
  </si>
  <si>
    <t>taxexpense</t>
  </si>
  <si>
    <t>ks_a_taxexpense_2024</t>
  </si>
  <si>
    <t>原表行名：所得税费用；列：上期/期初；同控比较口径</t>
  </si>
  <si>
    <t>ks_a_netincome_2025</t>
  </si>
  <si>
    <t>净利润</t>
  </si>
  <si>
    <t>原表行名：净利润；列：本期/期末</t>
  </si>
  <si>
    <t>netincome</t>
  </si>
  <si>
    <t>ks_a_netincome_2024</t>
  </si>
  <si>
    <t>原表行名：净利润；列：上期/期初；同控比较口径</t>
  </si>
  <si>
    <t>ks_a_parentincome_2025</t>
  </si>
  <si>
    <t>归母净利润</t>
  </si>
  <si>
    <t>原表行名：归母净利润；列：本期/期末</t>
  </si>
  <si>
    <t>parentincome</t>
  </si>
  <si>
    <t>ks_a_parentincome_2024</t>
  </si>
  <si>
    <t>原表行名：归母净利润；列：上期/期初；同控比较口径</t>
  </si>
  <si>
    <t>ks_a_nci_income_2025</t>
  </si>
  <si>
    <t>少数股东损益</t>
  </si>
  <si>
    <t>原表行名：少数股东损益；列：本期/期末</t>
  </si>
  <si>
    <t>nci_income</t>
  </si>
  <si>
    <t>ks_a_nci_income_2024</t>
  </si>
  <si>
    <t>原表行名：少数股东损益；列：上期/期初；同控比较口径</t>
  </si>
  <si>
    <t>ks_a_oci_flow_2025</t>
  </si>
  <si>
    <t>其他综合收益税后净额</t>
  </si>
  <si>
    <t>原表行名：其他综合收益税后净额；列：本期/期末</t>
  </si>
  <si>
    <t>oci_flow</t>
  </si>
  <si>
    <t>ks_a_oci_flow_2024</t>
  </si>
  <si>
    <t>原表行名：其他综合收益税后净额；列：上期/期初；同控比较口径</t>
  </si>
  <si>
    <t>ks_a_ci_2025</t>
  </si>
  <si>
    <t>综合收益总额</t>
  </si>
  <si>
    <t>原表行名：综合收益总额；列：本期/期末</t>
  </si>
  <si>
    <t>ci</t>
  </si>
  <si>
    <t>ks_a_ci_2024</t>
  </si>
  <si>
    <t>原表行名：综合收益总额；列：上期/期初；同控比较口径</t>
  </si>
  <si>
    <t>ks_a_customerscash_2025</t>
  </si>
  <si>
    <t>销售商品提供劳务收到现金</t>
  </si>
  <si>
    <t>ks_a_e_cf</t>
  </si>
  <si>
    <t>原表行名：销售商品提供劳务收到现金；列：本期/期末</t>
  </si>
  <si>
    <t>customerscash</t>
  </si>
  <si>
    <t>ks_a_customerscash_2024</t>
  </si>
  <si>
    <t>原表行名：销售商品提供劳务收到现金；列：上期/期初；同控比较口径</t>
  </si>
  <si>
    <t>ks_a_taxrefund_2025</t>
  </si>
  <si>
    <t>税费返还</t>
  </si>
  <si>
    <t>原表行名：税费返还；列：本期/期末</t>
  </si>
  <si>
    <t>taxrefund</t>
  </si>
  <si>
    <t>ks_a_taxrefund_2024</t>
  </si>
  <si>
    <t>原表行名：税费返还；列：上期/期初；同控比较口径</t>
  </si>
  <si>
    <t>ks_a_otheropcashin_2025</t>
  </si>
  <si>
    <t>经营其他流入</t>
  </si>
  <si>
    <t>原表行名：经营其他流入；列：本期/期末</t>
  </si>
  <si>
    <t>otheropcashin</t>
  </si>
  <si>
    <t>ks_a_otheropcashin_2024</t>
  </si>
  <si>
    <t>原表行名：经营其他流入；列：上期/期初；同控比较口径</t>
  </si>
  <si>
    <t>ks_a_opcashin_2025</t>
  </si>
  <si>
    <t>经营流入合计</t>
  </si>
  <si>
    <t>原表行名：经营流入合计；列：本期/期末</t>
  </si>
  <si>
    <t>opcashin</t>
  </si>
  <si>
    <t>ks_a_opcashin_2024</t>
  </si>
  <si>
    <t>原表行名：经营流入合计；列：上期/期初；同控比较口径</t>
  </si>
  <si>
    <t>ks_a_suppliercash_2025</t>
  </si>
  <si>
    <t>采购支付现金</t>
  </si>
  <si>
    <t>原表行名：采购支付现金；列：本期/期末</t>
  </si>
  <si>
    <t>suppliercash</t>
  </si>
  <si>
    <t>ks_a_suppliercash_2024</t>
  </si>
  <si>
    <t>原表行名：采购支付现金；列：上期/期初；同控比较口径</t>
  </si>
  <si>
    <t>ks_a_employeecash_2025</t>
  </si>
  <si>
    <t>员工支付现金</t>
  </si>
  <si>
    <t>原表行名：员工支付现金；列：本期/期末</t>
  </si>
  <si>
    <t>employeecash</t>
  </si>
  <si>
    <t>ks_a_employeecash_2024</t>
  </si>
  <si>
    <t>原表行名：员工支付现金；列：上期/期初；同控比较口径</t>
  </si>
  <si>
    <t>ks_a_taxcash_2025</t>
  </si>
  <si>
    <t>税费支付现金</t>
  </si>
  <si>
    <t>原表行名：税费支付现金；列：本期/期末</t>
  </si>
  <si>
    <t>taxcash</t>
  </si>
  <si>
    <t>ks_a_taxcash_2024</t>
  </si>
  <si>
    <t>原表行名：税费支付现金；列：上期/期初；同控比较口径</t>
  </si>
  <si>
    <t>ks_a_otheropcashout_2025</t>
  </si>
  <si>
    <t>经营其他流出</t>
  </si>
  <si>
    <t>原表行名：经营其他流出；列：本期/期末</t>
  </si>
  <si>
    <t>otheropcashout</t>
  </si>
  <si>
    <t>ks_a_otheropcashout_2024</t>
  </si>
  <si>
    <t>原表行名：经营其他流出；列：上期/期初；同控比较口径</t>
  </si>
  <si>
    <t>ks_a_opcashout_2025</t>
  </si>
  <si>
    <t>经营流出合计</t>
  </si>
  <si>
    <t>原表行名：经营流出合计；列：本期/期末</t>
  </si>
  <si>
    <t>opcashout</t>
  </si>
  <si>
    <t>ks_a_opcashout_2024</t>
  </si>
  <si>
    <t>原表行名：经营流出合计；列：上期/期初；同控比较口径</t>
  </si>
  <si>
    <t>ks_a_cfo_2025</t>
  </si>
  <si>
    <t>经营现金净额</t>
  </si>
  <si>
    <t>原表行名：经营现金净额；列：本期/期末</t>
  </si>
  <si>
    <t>cfo</t>
  </si>
  <si>
    <t>ks_a_cfo_2024</t>
  </si>
  <si>
    <t>原表行名：经营现金净额；列：上期/期初；同控比较口径</t>
  </si>
  <si>
    <t>ks_a_investrecover_2025</t>
  </si>
  <si>
    <t>投资收回现金</t>
  </si>
  <si>
    <t>原表行名：投资收回现金；列：本期/期末</t>
  </si>
  <si>
    <t>investrecover</t>
  </si>
  <si>
    <t>ks_a_investrecover_2024</t>
  </si>
  <si>
    <t>原表行名：投资收回现金；列：上期/期初；同控比较口径</t>
  </si>
  <si>
    <t>ks_a_investreturn_2025</t>
  </si>
  <si>
    <t>投资收益收现</t>
  </si>
  <si>
    <t>原表行名：投资收益收现；列：本期/期末</t>
  </si>
  <si>
    <t>investreturn</t>
  </si>
  <si>
    <t>ks_a_investreturn_2024</t>
  </si>
  <si>
    <t>原表行名：投资收益收现；列：上期/期初；同控比较口径</t>
  </si>
  <si>
    <t>ks_a_disposal_cash_2025</t>
  </si>
  <si>
    <t>长期资产处置收现</t>
  </si>
  <si>
    <t>原表行名：长期资产处置收现；列：本期/期末</t>
  </si>
  <si>
    <t>disposal_cash</t>
  </si>
  <si>
    <t>ks_a_disposal_cash_2024</t>
  </si>
  <si>
    <t>原表行名：长期资产处置收现；列：上期/期初；同控比较口径</t>
  </si>
  <si>
    <t>ks_a_subs_disposal_in_2024</t>
  </si>
  <si>
    <t>处置子公司收到现金净额</t>
  </si>
  <si>
    <t>原表行名：处置子公司收到现金净额；列：上期/期初；同控比较口径</t>
  </si>
  <si>
    <t>subs_disposal_in</t>
  </si>
  <si>
    <t>ks_a_otherinvestin_2025</t>
  </si>
  <si>
    <t>其他投资流入</t>
  </si>
  <si>
    <t>原表行名：其他投资流入；列：本期/期末</t>
  </si>
  <si>
    <t>otherinvestin</t>
  </si>
  <si>
    <t>ks_a_otherinvestin_2024</t>
  </si>
  <si>
    <t>原表行名：其他投资流入；列：上期/期初；同控比较口径</t>
  </si>
  <si>
    <t>ks_a_investin_2025</t>
  </si>
  <si>
    <t>投资流入合计</t>
  </si>
  <si>
    <t>原表行名：投资流入合计；列：本期/期末</t>
  </si>
  <si>
    <t>investin</t>
  </si>
  <si>
    <t>ks_a_investin_2024</t>
  </si>
  <si>
    <t>原表行名：投资流入合计；列：上期/期初；同控比较口径</t>
  </si>
  <si>
    <t>ks_a_capex_2025</t>
  </si>
  <si>
    <t>购建长期资产现金</t>
  </si>
  <si>
    <t>原表行名：购建长期资产现金；列：本期/期末</t>
  </si>
  <si>
    <t>capex</t>
  </si>
  <si>
    <t>ks_a_capex_2024</t>
  </si>
  <si>
    <t>原表行名：购建长期资产现金；列：上期/期初；同控比较口径</t>
  </si>
  <si>
    <t>ks_a_investpurchase_2025</t>
  </si>
  <si>
    <t>投资支付现金</t>
  </si>
  <si>
    <t>原表行名：投资支付现金；列：本期/期末</t>
  </si>
  <si>
    <t>investpurchase</t>
  </si>
  <si>
    <t>ks_a_investpurchase_2024</t>
  </si>
  <si>
    <t>原表行名：投资支付现金；列：上期/期初；同控比较口径</t>
  </si>
  <si>
    <t>ks_a_acquirecash_2025</t>
  </si>
  <si>
    <t>取得子公司支付现金</t>
  </si>
  <si>
    <t>原表行名：取得子公司支付现金；列：本期/期末</t>
  </si>
  <si>
    <t>acquirecash</t>
  </si>
  <si>
    <t>ks_a_acquirecash_2024</t>
  </si>
  <si>
    <t>原表行名：取得子公司支付现金；列：上期/期初；同控比较口径</t>
  </si>
  <si>
    <t>ks_a_otherinvestout_2025</t>
  </si>
  <si>
    <t>其他投资流出</t>
  </si>
  <si>
    <t>原表行名：其他投资流出；列：本期/期末</t>
  </si>
  <si>
    <t>otherinvestout</t>
  </si>
  <si>
    <t>ks_a_otherinvestout_2024</t>
  </si>
  <si>
    <t>原表行名：其他投资流出；列：上期/期初；同控比较口径</t>
  </si>
  <si>
    <t>ks_a_investout_2025</t>
  </si>
  <si>
    <t>投资流出合计</t>
  </si>
  <si>
    <t>原表行名：投资流出合计；列：本期/期末</t>
  </si>
  <si>
    <t>investout</t>
  </si>
  <si>
    <t>ks_a_investout_2024</t>
  </si>
  <si>
    <t>原表行名：投资流出合计；列：上期/期初；同控比较口径</t>
  </si>
  <si>
    <t>ks_a_cfi_2025</t>
  </si>
  <si>
    <t>投资现金净额</t>
  </si>
  <si>
    <t>原表行名：投资现金净额；列：本期/期末</t>
  </si>
  <si>
    <t>cfi</t>
  </si>
  <si>
    <t>ks_a_cfi_2024</t>
  </si>
  <si>
    <t>原表行名：投资现金净额；列：上期/期初；同控比较口径</t>
  </si>
  <si>
    <t>ks_a_equitycash_2025</t>
  </si>
  <si>
    <t>吸收投资现金</t>
  </si>
  <si>
    <t>原表行名：吸收投资现金；列：本期/期末</t>
  </si>
  <si>
    <t>equitycash</t>
  </si>
  <si>
    <t>ks_a_equitycash_2024</t>
  </si>
  <si>
    <t>原表行名：吸收投资现金；列：上期/期初；同控比较口径</t>
  </si>
  <si>
    <t>ks_a_borrowcash_2025</t>
  </si>
  <si>
    <t>取得借款现金</t>
  </si>
  <si>
    <t>原表行名：取得借款现金；列：本期/期末</t>
  </si>
  <si>
    <t>borrowcash</t>
  </si>
  <si>
    <t>ks_a_borrowcash_2024</t>
  </si>
  <si>
    <t>原表行名：取得借款现金；列：上期/期初；同控比较口径</t>
  </si>
  <si>
    <t>ks_a_otherfinin_2025</t>
  </si>
  <si>
    <t>其他融资流入</t>
  </si>
  <si>
    <t>原表行名：其他融资流入；列：本期/期末</t>
  </si>
  <si>
    <t>otherfinin</t>
  </si>
  <si>
    <t>ks_a_otherfinin_2024</t>
  </si>
  <si>
    <t>原表行名：其他融资流入；列：上期/期初；同控比较口径</t>
  </si>
  <si>
    <t>ks_a_finin_2025</t>
  </si>
  <si>
    <t>融资流入合计</t>
  </si>
  <si>
    <t>原表行名：融资流入合计；列：本期/期末</t>
  </si>
  <si>
    <t>finin</t>
  </si>
  <si>
    <t>ks_a_finin_2024</t>
  </si>
  <si>
    <t>原表行名：融资流入合计；列：上期/期初；同控比较口径</t>
  </si>
  <si>
    <t>ks_a_repaycash_2025</t>
  </si>
  <si>
    <t>偿还债务现金</t>
  </si>
  <si>
    <t>原表行名：偿还债务现金；列：本期/期末</t>
  </si>
  <si>
    <t>repaycash</t>
  </si>
  <si>
    <t>ks_a_repaycash_2024</t>
  </si>
  <si>
    <t>原表行名：偿还债务现金；列：上期/期初；同控比较口径</t>
  </si>
  <si>
    <t>ks_a_divinterestcash_2025</t>
  </si>
  <si>
    <t>股利利润利息支付现金</t>
  </si>
  <si>
    <t>原表行名：股利利润利息支付现金；列：本期/期末</t>
  </si>
  <si>
    <t>divinterestcash</t>
  </si>
  <si>
    <t>ks_a_divinterestcash_2024</t>
  </si>
  <si>
    <t>原表行名：股利利润利息支付现金；列：上期/期初；同控比较口径</t>
  </si>
  <si>
    <t>ks_a_otherfinout_2025</t>
  </si>
  <si>
    <t>其他融资流出</t>
  </si>
  <si>
    <t>原表行名：其他融资流出；列：本期/期末</t>
  </si>
  <si>
    <t>otherfinout</t>
  </si>
  <si>
    <t>ks_a_otherfinout_2024</t>
  </si>
  <si>
    <t>原表行名：其他融资流出；列：上期/期初；同控比较口径</t>
  </si>
  <si>
    <t>ks_a_finout_2025</t>
  </si>
  <si>
    <t>融资流出合计</t>
  </si>
  <si>
    <t>原表行名：融资流出合计；列：本期/期末</t>
  </si>
  <si>
    <t>finout</t>
  </si>
  <si>
    <t>ks_a_finout_2024</t>
  </si>
  <si>
    <t>原表行名：融资流出合计；列：上期/期初；同控比较口径</t>
  </si>
  <si>
    <t>ks_a_cff_2025</t>
  </si>
  <si>
    <t>融资现金净额</t>
  </si>
  <si>
    <t>原表行名：融资现金净额；列：本期/期末</t>
  </si>
  <si>
    <t>cff</t>
  </si>
  <si>
    <t>ks_a_cff_2024</t>
  </si>
  <si>
    <t>原表行名：融资现金净额；列：上期/期初；同控比较口径</t>
  </si>
  <si>
    <t>ks_a_fxcash_2025</t>
  </si>
  <si>
    <t>汇率对现金影响</t>
  </si>
  <si>
    <t>原表行名：汇率对现金影响；列：本期/期末</t>
  </si>
  <si>
    <t>fxcash</t>
  </si>
  <si>
    <t>ks_a_fxcash_2024</t>
  </si>
  <si>
    <t>原表行名：汇率对现金影响；列：上期/期初；同控比较口径</t>
  </si>
  <si>
    <t>ks_a_cashdelta_2025</t>
  </si>
  <si>
    <t>现金等价物增减</t>
  </si>
  <si>
    <t>原表行名：现金等价物增减；列：本期/期末</t>
  </si>
  <si>
    <t>cashdelta</t>
  </si>
  <si>
    <t>ks_a_cashdelta_2024</t>
  </si>
  <si>
    <t>原表行名：现金等价物增减；列：上期/期初；同控比较口径</t>
  </si>
  <si>
    <t>ks_a_cash_2025</t>
  </si>
  <si>
    <t>期末现金及等价物</t>
  </si>
  <si>
    <t>ks_a_e_cash</t>
  </si>
  <si>
    <t>原表行名：期末现金及等价物；列：本期/期末</t>
  </si>
  <si>
    <t>cash</t>
  </si>
  <si>
    <t>ks_a_cash_2024</t>
  </si>
  <si>
    <t>原表行名：期末现金及等价物；列：上期/期初；同控比较口径</t>
  </si>
  <si>
    <t>ks_a_restrictedcash_2025</t>
  </si>
  <si>
    <t>受限货币资金</t>
  </si>
  <si>
    <t>原表行名：受限货币资金；列：本期/期末</t>
  </si>
  <si>
    <t>restrictedcash</t>
  </si>
  <si>
    <t>ks_a_restrictedcash_2024</t>
  </si>
  <si>
    <t>原表行名：受限货币资金；列：上期/期初；同控比较口径</t>
  </si>
  <si>
    <t>ks_a_frozen_2025</t>
  </si>
  <si>
    <t>冻结资金</t>
  </si>
  <si>
    <t>原表行名：冻结资金；列：本期/期末</t>
  </si>
  <si>
    <t>frozen</t>
  </si>
  <si>
    <t>ks_a_frozen_2024</t>
  </si>
  <si>
    <t>原表行名：冻结资金；列：上期/期初；同控比较口径</t>
  </si>
  <si>
    <t>ks_a_pledgedtd_2025</t>
  </si>
  <si>
    <t>定期存款质押</t>
  </si>
  <si>
    <t>原表行名：定期存款质押；列：本期/期末</t>
  </si>
  <si>
    <t>pledgedtd</t>
  </si>
  <si>
    <t>ks_a_pledgedtd_2024</t>
  </si>
  <si>
    <t>原表行名：定期存款质押；列：上期/期初；同控比较口径</t>
  </si>
  <si>
    <t>ks_a_specialcash_2025</t>
  </si>
  <si>
    <t>专项账户受限金额</t>
  </si>
  <si>
    <t>原表行名：专项账户受限金额；列：本期/期末</t>
  </si>
  <si>
    <t>specialcash</t>
  </si>
  <si>
    <t>ks_a_specialcash_2024</t>
  </si>
  <si>
    <t>原表行名：专项账户受限金额；列：上期/期初；同控比较口径</t>
  </si>
  <si>
    <t>ks_a_notesmargin_2025</t>
  </si>
  <si>
    <t>银行承兑汇票保证金</t>
  </si>
  <si>
    <t>原表行名：银行承兑汇票保证金；列：本期/期末</t>
  </si>
  <si>
    <t>notesmargin</t>
  </si>
  <si>
    <t>ks_a_notesmargin_2024</t>
  </si>
  <si>
    <t>原表行名：银行承兑汇票保证金；列：上期/期初；同控比较口径</t>
  </si>
  <si>
    <t>ks_a_guaranteemargin_2025</t>
  </si>
  <si>
    <t>保函保证金</t>
  </si>
  <si>
    <t>原表行名：保函保证金；列：本期/期末</t>
  </si>
  <si>
    <t>guaranteemargin</t>
  </si>
  <si>
    <t>ks_a_guaranteemargin_2024</t>
  </si>
  <si>
    <t>原表行名：保函保证金；列：上期/期初；同控比较口径</t>
  </si>
  <si>
    <t>ks_a_wagemargin_2025</t>
  </si>
  <si>
    <t>建筑劳务工资保证金</t>
  </si>
  <si>
    <t>原表行名：建筑劳务工资保证金；列：本期/期末</t>
  </si>
  <si>
    <t>wagemargin</t>
  </si>
  <si>
    <t>ks_a_wagemargin_2024</t>
  </si>
  <si>
    <t>原表行名：建筑劳务工资保证金；列：上期/期初；同控比较口径</t>
  </si>
  <si>
    <t>ks_a_platformmargin_2025</t>
  </si>
  <si>
    <t>电商平台保证金</t>
  </si>
  <si>
    <t>原表行名：电商平台保证金；列：本期/期末</t>
  </si>
  <si>
    <t>platformmargin</t>
  </si>
  <si>
    <t>ks_a_platformmargin_2024</t>
  </si>
  <si>
    <t>原表行名：电商平台保证金；列：上期/期初；同控比较口径</t>
  </si>
  <si>
    <t>ks_a_overseascash_2025</t>
  </si>
  <si>
    <t>存放境外货币资金</t>
  </si>
  <si>
    <t>原表行名：存放境外货币资金；列：本期/期末</t>
  </si>
  <si>
    <t>overseascash</t>
  </si>
  <si>
    <t>ks_a_overseascash_2024</t>
  </si>
  <si>
    <t>原表行名：存放境外货币资金；列：上期/期初；同控比较口径</t>
  </si>
  <si>
    <t>ks_a_restrictedassets_2025</t>
  </si>
  <si>
    <t>受限资产账面净额</t>
  </si>
  <si>
    <t>原表行名：受限资产账面净额；列：本期/期末</t>
  </si>
  <si>
    <t>restrictedassets</t>
  </si>
  <si>
    <t>ks_a_restrictedassets_2024</t>
  </si>
  <si>
    <t>原表行名：受限资产账面净额；列：上期/期初；同控比较口径</t>
  </si>
  <si>
    <t>ks_a_cash_2023</t>
  </si>
  <si>
    <t>同控重述2024年初现金及等价物</t>
  </si>
  <si>
    <t>2023-12-31</t>
  </si>
  <si>
    <t>ks_a_currentbank_2025</t>
  </si>
  <si>
    <t>一年内到期长期借款</t>
  </si>
  <si>
    <t>ks_a_e_liabs</t>
  </si>
  <si>
    <t>原表行名：一年内到期长期借款；列：本期/期末</t>
  </si>
  <si>
    <t>currentbank</t>
  </si>
  <si>
    <t>ks_a_currentbank_2024</t>
  </si>
  <si>
    <t>原表行名：一年内到期长期借款；列：上期/期初；同控比较口径</t>
  </si>
  <si>
    <t>ks_a_currentlease_2025</t>
  </si>
  <si>
    <t>一年内到期租赁负债</t>
  </si>
  <si>
    <t>原表行名：一年内到期租赁负债；列：本期/期末</t>
  </si>
  <si>
    <t>currentlease</t>
  </si>
  <si>
    <t>ks_a_currentlease_2024</t>
  </si>
  <si>
    <t>原表行名：一年内到期租赁负债；列：上期/期初；同控比较口径</t>
  </si>
  <si>
    <t>ks_a_currentfinancelease_2024</t>
  </si>
  <si>
    <t>一年内到期融资租赁长期应付款</t>
  </si>
  <si>
    <t>原表行名：一年内到期融资租赁长期应付款；列：上期/期初；同控比较口径</t>
  </si>
  <si>
    <t>currentfinancelease</t>
  </si>
  <si>
    <t>ks_a_currentprovision_2025</t>
  </si>
  <si>
    <t>一年内到期预计负债</t>
  </si>
  <si>
    <t>原表行名：一年内到期预计负债；列：本期/期末</t>
  </si>
  <si>
    <t>currentprovision</t>
  </si>
  <si>
    <t>ks_a_currentprovision_2024</t>
  </si>
  <si>
    <t>原表行名：一年内到期预计负债；列：上期/期初；同控比较口径</t>
  </si>
  <si>
    <t>ks_a_otherborrow_2025</t>
  </si>
  <si>
    <t>其他应付款中借款</t>
  </si>
  <si>
    <t>原表行名：其他应付款中借款；列：本期/期末</t>
  </si>
  <si>
    <t>otherborrow</t>
  </si>
  <si>
    <t>ks_a_otherborrow_2024</t>
  </si>
  <si>
    <t>原表行名：其他应付款中借款；列：上期/期初；同控比较口径</t>
  </si>
  <si>
    <t>ks_a_advance_2025</t>
  </si>
  <si>
    <t>预收货款及工程款</t>
  </si>
  <si>
    <t>原表行名：预收货款及工程款；列：本期/期末</t>
  </si>
  <si>
    <t>advance</t>
  </si>
  <si>
    <t>ks_a_advance_2024</t>
  </si>
  <si>
    <t>原表行名：预收货款及工程款；列：上期/期初；同控比较口径</t>
  </si>
  <si>
    <t>ks_a_rebate_2025</t>
  </si>
  <si>
    <t>预提返利</t>
  </si>
  <si>
    <t>原表行名：预提返利；列：本期/期末</t>
  </si>
  <si>
    <t>rebate</t>
  </si>
  <si>
    <t>ks_a_rebate_2024</t>
  </si>
  <si>
    <t>原表行名：预提返利；列：上期/期初；同控比较口径</t>
  </si>
  <si>
    <t>ks_a_argross_2025</t>
  </si>
  <si>
    <t>应收账款原值</t>
  </si>
  <si>
    <t>ks_a_e_ar</t>
  </si>
  <si>
    <t>原表行名：应收账款原值；列：本期/期末</t>
  </si>
  <si>
    <t>argross</t>
  </si>
  <si>
    <t>ks_a_argross_2024</t>
  </si>
  <si>
    <t>原表行名：应收账款原值；列：上期/期初；同控比较口径</t>
  </si>
  <si>
    <t>ks_a_arreserve_2025</t>
  </si>
  <si>
    <t>应收账款准备</t>
  </si>
  <si>
    <t>原表行名：应收账款准备；列：本期/期末</t>
  </si>
  <si>
    <t>arreserve</t>
  </si>
  <si>
    <t>ks_a_arreserve_2024</t>
  </si>
  <si>
    <t>原表行名：应收账款准备；列：上期/期初；同控比较口径</t>
  </si>
  <si>
    <t>ks_a_ar_lt1_2025</t>
  </si>
  <si>
    <t>应收账款1年内</t>
  </si>
  <si>
    <t>原表行名：应收账款1年内；列：本期/期末</t>
  </si>
  <si>
    <t>ar_lt1</t>
  </si>
  <si>
    <t>ks_a_ar_lt1_2024</t>
  </si>
  <si>
    <t>原表行名：应收账款1年内；列：上期/期初；同控比较口径</t>
  </si>
  <si>
    <t>ks_a_ar_1to2_2025</t>
  </si>
  <si>
    <t>应收账款1至2年</t>
  </si>
  <si>
    <t>原表行名：应收账款1至2年；列：本期/期末</t>
  </si>
  <si>
    <t>ar_1to2</t>
  </si>
  <si>
    <t>ks_a_ar_1to2_2024</t>
  </si>
  <si>
    <t>原表行名：应收账款1至2年；列：上期/期初；同控比较口径</t>
  </si>
  <si>
    <t>ks_a_ar_2to3_2025</t>
  </si>
  <si>
    <t>应收账款2至3年</t>
  </si>
  <si>
    <t>原表行名：应收账款2至3年；列：本期/期末</t>
  </si>
  <si>
    <t>ar_2to3</t>
  </si>
  <si>
    <t>ks_a_ar_2to3_2024</t>
  </si>
  <si>
    <t>原表行名：应收账款2至3年；列：上期/期初；同控比较口径</t>
  </si>
  <si>
    <t>ks_a_ar_gt3_2025</t>
  </si>
  <si>
    <t>应收账款3年以上</t>
  </si>
  <si>
    <t>原表行名：应收账款3年以上；列：本期/期末</t>
  </si>
  <si>
    <t>ar_gt3</t>
  </si>
  <si>
    <t>ks_a_ar_gt3_2024</t>
  </si>
  <si>
    <t>原表行名：应收账款3年以上；列：上期/期初；同控比较口径</t>
  </si>
  <si>
    <t>ks_a_ar_3to4_2025</t>
  </si>
  <si>
    <t>应收账款3至4年</t>
  </si>
  <si>
    <t>原表行名：应收账款3至4年；列：本期/期末</t>
  </si>
  <si>
    <t>ar_3to4</t>
  </si>
  <si>
    <t>ks_a_ar_3to4_2024</t>
  </si>
  <si>
    <t>原表行名：应收账款3至4年；列：上期/期初；同控比较口径</t>
  </si>
  <si>
    <t>ks_a_ar_4to5_2025</t>
  </si>
  <si>
    <t>应收账款4至5年</t>
  </si>
  <si>
    <t>原表行名：应收账款4至5年；列：本期/期末</t>
  </si>
  <si>
    <t>ar_4to5</t>
  </si>
  <si>
    <t>ks_a_ar_4to5_2024</t>
  </si>
  <si>
    <t>原表行名：应收账款4至5年；列：上期/期初；同控比较口径</t>
  </si>
  <si>
    <t>ks_a_ar_gt5_2025</t>
  </si>
  <si>
    <t>应收账款5年以上</t>
  </si>
  <si>
    <t>原表行名：应收账款5年以上；列：本期/期末</t>
  </si>
  <si>
    <t>ar_gt5</t>
  </si>
  <si>
    <t>ks_a_ar_gt5_2024</t>
  </si>
  <si>
    <t>原表行名：应收账款5年以上；列：上期/期初；同控比较口径</t>
  </si>
  <si>
    <t>ks_a_ar_single_2025</t>
  </si>
  <si>
    <t>单项计提应收原值</t>
  </si>
  <si>
    <t>原表行名：单项计提应收原值；列：本期/期末</t>
  </si>
  <si>
    <t>ar_single</t>
  </si>
  <si>
    <t>ks_a_ar_single_2024</t>
  </si>
  <si>
    <t>原表行名：单项计提应收原值；列：上期/期初；同控比较口径</t>
  </si>
  <si>
    <t>ks_a_ar_single_res_2025</t>
  </si>
  <si>
    <t>单项应收准备</t>
  </si>
  <si>
    <t>原表行名：单项应收准备；列：本期/期末</t>
  </si>
  <si>
    <t>ar_single_res</t>
  </si>
  <si>
    <t>ks_a_ar_single_res_2024</t>
  </si>
  <si>
    <t>原表行名：单项应收准备；列：上期/期初；同控比较口径</t>
  </si>
  <si>
    <t>ks_a_ar_combo_2025</t>
  </si>
  <si>
    <t>组合应收原值</t>
  </si>
  <si>
    <t>原表行名：组合应收原值；列：本期/期末</t>
  </si>
  <si>
    <t>ar_combo</t>
  </si>
  <si>
    <t>ks_a_ar_combo_2024</t>
  </si>
  <si>
    <t>原表行名：组合应收原值；列：上期/期初；同控比较口径</t>
  </si>
  <si>
    <t>ks_a_ar_combo_res_2025</t>
  </si>
  <si>
    <t>组合应收准备</t>
  </si>
  <si>
    <t>原表行名：组合应收准备；列：本期/期末</t>
  </si>
  <si>
    <t>ar_combo_res</t>
  </si>
  <si>
    <t>ks_a_ar_combo_res_2024</t>
  </si>
  <si>
    <t>原表行名：组合应收准备；列：上期/期初；同控比较口径</t>
  </si>
  <si>
    <t>ks_a_contractgross_2025</t>
  </si>
  <si>
    <t>流动合同资产原值</t>
  </si>
  <si>
    <t>ks_a_e_contract</t>
  </si>
  <si>
    <t>原表行名：流动合同资产原值；列：本期/期末</t>
  </si>
  <si>
    <t>contractgross</t>
  </si>
  <si>
    <t>ks_a_contractgross_2024</t>
  </si>
  <si>
    <t>原表行名：流动合同资产原值；列：上期/期初；同控比较口径</t>
  </si>
  <si>
    <t>ks_a_contractres_2025</t>
  </si>
  <si>
    <t>流动合同资产准备</t>
  </si>
  <si>
    <t>原表行名：流动合同资产准备；列：本期/期末</t>
  </si>
  <si>
    <t>contractres</t>
  </si>
  <si>
    <t>ks_a_contractres_2024</t>
  </si>
  <si>
    <t>原表行名：流动合同资产准备；列：上期/期初；同控比较口径</t>
  </si>
  <si>
    <t>ks_a_longcontractgross_2025</t>
  </si>
  <si>
    <t>非流动合同资产原值</t>
  </si>
  <si>
    <t>原表行名：非流动合同资产原值；列：本期/期末</t>
  </si>
  <si>
    <t>longcontractgross</t>
  </si>
  <si>
    <t>ks_a_longcontractgross_2024</t>
  </si>
  <si>
    <t>原表行名：非流动合同资产原值；列：上期/期初；同控比较口径</t>
  </si>
  <si>
    <t>ks_a_longcontractres_2025</t>
  </si>
  <si>
    <t>非流动合同资产准备</t>
  </si>
  <si>
    <t>原表行名：非流动合同资产准备；列：本期/期末</t>
  </si>
  <si>
    <t>longcontractres</t>
  </si>
  <si>
    <t>ks_a_longcontractres_2024</t>
  </si>
  <si>
    <t>原表行名：非流动合同资产准备；列：上期/期初；同控比较口径</t>
  </si>
  <si>
    <t>ks_a_longcontract_2025</t>
  </si>
  <si>
    <t>非流动合同资产净额</t>
  </si>
  <si>
    <t>原表行名：非流动合同资产净额；列：本期/期末</t>
  </si>
  <si>
    <t>longcontract</t>
  </si>
  <si>
    <t>ks_a_longcontract_2024</t>
  </si>
  <si>
    <t>原表行名：非流动合同资产净额；列：上期/期初；同控比较口径</t>
  </si>
  <si>
    <t>ks_a_allcontractgross_2025</t>
  </si>
  <si>
    <t>合同资产含长期原值</t>
  </si>
  <si>
    <t>原表行名：合同资产含长期原值；列：本期/期末</t>
  </si>
  <si>
    <t>allcontractgross</t>
  </si>
  <si>
    <t>ks_a_allcontractgross_2024</t>
  </si>
  <si>
    <t>原表行名：合同资产含长期原值；列：上期/期初；同控比较口径</t>
  </si>
  <si>
    <t>ks_a_allcontractres_2025</t>
  </si>
  <si>
    <t>合同资产含长期准备</t>
  </si>
  <si>
    <t>原表行名：合同资产含长期准备；列：本期/期末</t>
  </si>
  <si>
    <t>allcontractres</t>
  </si>
  <si>
    <t>ks_a_allcontractres_2024</t>
  </si>
  <si>
    <t>原表行名：合同资产含长期准备；列：上期/期初；同控比较口径</t>
  </si>
  <si>
    <t>ks_a_otherargross_2025</t>
  </si>
  <si>
    <t>其他应收原值</t>
  </si>
  <si>
    <t>ks_a_e_otherar</t>
  </si>
  <si>
    <t>原表行名：其他应收原值；列：本期/期末</t>
  </si>
  <si>
    <t>otherargross</t>
  </si>
  <si>
    <t>ks_a_otherargross_2024</t>
  </si>
  <si>
    <t>原表行名：其他应收原值；列：上期/期初；同控比较口径</t>
  </si>
  <si>
    <t>ks_a_otherarres_2025</t>
  </si>
  <si>
    <t>其他应收准备</t>
  </si>
  <si>
    <t>原表行名：其他应收准备；列：本期/期末</t>
  </si>
  <si>
    <t>otherarres</t>
  </si>
  <si>
    <t>ks_a_otherarres_2024</t>
  </si>
  <si>
    <t>原表行名：其他应收准备；列：上期/期初；同控比较口径</t>
  </si>
  <si>
    <t>ks_a_zhongtian_2025</t>
  </si>
  <si>
    <t>中天盈债务重组应收</t>
  </si>
  <si>
    <t>原表行名：中天盈债务重组应收；列：本期/期末</t>
  </si>
  <si>
    <t>zhongtian</t>
  </si>
  <si>
    <t>ks_a_zhongtian_2024</t>
  </si>
  <si>
    <t>原表行名：中天盈债务重组应收；列：上期/期初；同控比较口径</t>
  </si>
  <si>
    <t>ks_a_zhongtianres_2025</t>
  </si>
  <si>
    <t>中天盈应收准备</t>
  </si>
  <si>
    <t>原表行名：中天盈应收准备；列：本期/期末</t>
  </si>
  <si>
    <t>zhongtianres</t>
  </si>
  <si>
    <t>ks_a_zhongtianres_2024</t>
  </si>
  <si>
    <t>原表行名：中天盈应收准备；列：上期/期初；同控比较口径</t>
  </si>
  <si>
    <t>ks_a_inventorygross_2025</t>
  </si>
  <si>
    <t>存货原值</t>
  </si>
  <si>
    <t>ks_a_e_inventory</t>
  </si>
  <si>
    <t>原表行名：存货原值；列：本期/期末</t>
  </si>
  <si>
    <t>inventorygross</t>
  </si>
  <si>
    <t>ks_a_inventorygross_2024</t>
  </si>
  <si>
    <t>原表行名：存货原值；列：上期/期初；同控比较口径</t>
  </si>
  <si>
    <t>ks_a_inventoryres_2025</t>
  </si>
  <si>
    <t>存货准备</t>
  </si>
  <si>
    <t>原表行名：存货准备；列：本期/期末</t>
  </si>
  <si>
    <t>inventoryres</t>
  </si>
  <si>
    <t>ks_a_inventoryres_2024</t>
  </si>
  <si>
    <t>原表行名：存货准备；列：上期/期初；同控比较口径</t>
  </si>
  <si>
    <t>ks_a_propertygross_2025</t>
  </si>
  <si>
    <t>抵债房产原值</t>
  </si>
  <si>
    <t>ks_a_e_fixed</t>
  </si>
  <si>
    <t>原表行名：抵债房产原值；列：本期/期末</t>
  </si>
  <si>
    <t>propertygross</t>
  </si>
  <si>
    <t>ks_a_propertygross_2024</t>
  </si>
  <si>
    <t>原表行名：抵债房产原值；列：上期/期初；同控比较口径</t>
  </si>
  <si>
    <t>ks_a_propertyres_2025</t>
  </si>
  <si>
    <t>抵债房产准备</t>
  </si>
  <si>
    <t>原表行名：抵债房产准备；列：本期/期末</t>
  </si>
  <si>
    <t>propertyres</t>
  </si>
  <si>
    <t>ks_a_propertyres_2024</t>
  </si>
  <si>
    <t>原表行名：抵债房产准备；列：上期/期初；同控比较口径</t>
  </si>
  <si>
    <t>ks_a_propertynet_2025</t>
  </si>
  <si>
    <t>抵债房产等其他非流动资产净额</t>
  </si>
  <si>
    <t>原表行名：抵债房产等其他非流动资产净额；列：本期/期末</t>
  </si>
  <si>
    <t>propertynet</t>
  </si>
  <si>
    <t>ks_a_propertynet_2024</t>
  </si>
  <si>
    <t>原表行名：抵债房产等其他非流动资产净额；列：上期/期初；同控比较口径</t>
  </si>
  <si>
    <t>ks_a_ppegross_2025</t>
  </si>
  <si>
    <t>固定资产原值</t>
  </si>
  <si>
    <t>原表行名：固定资产原值；列：本期/期末</t>
  </si>
  <si>
    <t>ppegross</t>
  </si>
  <si>
    <t>ks_a_ppegross_2024</t>
  </si>
  <si>
    <t>原表行名：固定资产原值；列：上期/期初；同控比较口径</t>
  </si>
  <si>
    <t>ks_a_ppeaccdep_2025</t>
  </si>
  <si>
    <t>固定资产累计折旧</t>
  </si>
  <si>
    <t>原表行名：固定资产累计折旧；列：本期/期末</t>
  </si>
  <si>
    <t>ppeaccdep</t>
  </si>
  <si>
    <t>ks_a_ppeaccdep_2024</t>
  </si>
  <si>
    <t>原表行名：固定资产累计折旧；列：上期/期初；同控比较口径</t>
  </si>
  <si>
    <t>ks_a_pperes_2025</t>
  </si>
  <si>
    <t>固定资产减值准备</t>
  </si>
  <si>
    <t>原表行名：固定资产减值准备；列：本期/期末</t>
  </si>
  <si>
    <t>pperes</t>
  </si>
  <si>
    <t>ks_a_pperes_2024</t>
  </si>
  <si>
    <t>原表行名：固定资产减值准备；列：上期/期初；同控比较口径</t>
  </si>
  <si>
    <t>ks_a_dtacross_2025</t>
  </si>
  <si>
    <t>递延所得税资产抵销前</t>
  </si>
  <si>
    <t>原表行名：递延所得税资产抵销前；列：本期/期末</t>
  </si>
  <si>
    <t>dtacross</t>
  </si>
  <si>
    <t>ks_a_dtacross_2024</t>
  </si>
  <si>
    <t>原表行名：递延所得税资产抵销前；列：上期/期初；同控比较口径</t>
  </si>
  <si>
    <t>ks_a_membrane_rev_2025</t>
  </si>
  <si>
    <t>防水卷材收入</t>
  </si>
  <si>
    <t>ks_a_e_revenue</t>
  </si>
  <si>
    <t>原表行名：防水卷材收入；列：本期/期末</t>
  </si>
  <si>
    <t>membrane_rev</t>
  </si>
  <si>
    <t>ks_a_membrane_rev_2024</t>
  </si>
  <si>
    <t>原表行名：防水卷材收入；列：上期/期初；同控比较口径</t>
  </si>
  <si>
    <t>ks_a_membrane_cost_2025</t>
  </si>
  <si>
    <t>防水卷材成本</t>
  </si>
  <si>
    <t>原表行名：防水卷材成本；列：本期/期末</t>
  </si>
  <si>
    <t>membrane_cost</t>
  </si>
  <si>
    <t>ks_a_membrane_cost_2024</t>
  </si>
  <si>
    <t>原表行名：防水卷材成本；列：上期/期初；同控比较口径</t>
  </si>
  <si>
    <t>ks_a_coating_rev_2025</t>
  </si>
  <si>
    <t>防水涂料收入</t>
  </si>
  <si>
    <t>原表行名：防水涂料收入；列：本期/期末</t>
  </si>
  <si>
    <t>coating_rev</t>
  </si>
  <si>
    <t>ks_a_coating_rev_2024</t>
  </si>
  <si>
    <t>原表行名：防水涂料收入；列：上期/期初；同控比较口径</t>
  </si>
  <si>
    <t>ks_a_coating_cost_2025</t>
  </si>
  <si>
    <t>防水涂料成本</t>
  </si>
  <si>
    <t>原表行名：防水涂料成本；列：本期/期末</t>
  </si>
  <si>
    <t>coating_cost</t>
  </si>
  <si>
    <t>ks_a_coating_cost_2024</t>
  </si>
  <si>
    <t>原表行名：防水涂料成本；列：上期/期初；同控比较口径</t>
  </si>
  <si>
    <t>ks_a_construction_rev_2025</t>
  </si>
  <si>
    <t>防水工程施工收入</t>
  </si>
  <si>
    <t>原表行名：防水工程施工收入；列：本期/期末</t>
  </si>
  <si>
    <t>construction_rev</t>
  </si>
  <si>
    <t>ks_a_construction_rev_2024</t>
  </si>
  <si>
    <t>原表行名：防水工程施工收入；列：上期/期初；同控比较口径</t>
  </si>
  <si>
    <t>ks_a_construction_cost_2025</t>
  </si>
  <si>
    <t>防水工程施工成本</t>
  </si>
  <si>
    <t>原表行名：防水工程施工成本；列：本期/期末</t>
  </si>
  <si>
    <t>construction_cost</t>
  </si>
  <si>
    <t>ks_a_construction_cost_2024</t>
  </si>
  <si>
    <t>原表行名：防水工程施工成本；列：上期/期初；同控比较口径</t>
  </si>
  <si>
    <t>ks_a_damping_rev_2025</t>
  </si>
  <si>
    <t>减隔震收入</t>
  </si>
  <si>
    <t>原表行名：减隔震收入；列：本期/期末</t>
  </si>
  <si>
    <t>damping_rev</t>
  </si>
  <si>
    <t>ks_a_damping_rev_2024</t>
  </si>
  <si>
    <t>原表行名：减隔震收入；列：上期/期初；同控比较口径</t>
  </si>
  <si>
    <t>ks_a_damping_cost_2025</t>
  </si>
  <si>
    <t>减隔震成本</t>
  </si>
  <si>
    <t>原表行名：减隔震成本；列：本期/期末</t>
  </si>
  <si>
    <t>damping_cost</t>
  </si>
  <si>
    <t>ks_a_damping_cost_2024</t>
  </si>
  <si>
    <t>原表行名：减隔震成本；列：上期/期初；同控比较口径</t>
  </si>
  <si>
    <t>ks_a_otherproduct_rev_2025</t>
  </si>
  <si>
    <t>其他产品收入</t>
  </si>
  <si>
    <t>原表行名：其他产品收入；列：本期/期末</t>
  </si>
  <si>
    <t>otherproduct_rev</t>
  </si>
  <si>
    <t>ks_a_otherproduct_rev_2024</t>
  </si>
  <si>
    <t>原表行名：其他产品收入；列：上期/期初；同控比较口径</t>
  </si>
  <si>
    <t>ks_a_otherproduct_cost_2025</t>
  </si>
  <si>
    <t>其他产品成本</t>
  </si>
  <si>
    <t>原表行名：其他产品成本；列：本期/期末</t>
  </si>
  <si>
    <t>otherproduct_cost</t>
  </si>
  <si>
    <t>ks_a_otherproduct_cost_2024</t>
  </si>
  <si>
    <t>原表行名：其他产品成本；列：上期/期初；同控比较口径</t>
  </si>
  <si>
    <t>ks_a_otherbiz_rev_2025</t>
  </si>
  <si>
    <t>其他业务收入</t>
  </si>
  <si>
    <t>原表行名：其他业务收入；列：本期/期末</t>
  </si>
  <si>
    <t>otherbiz_rev</t>
  </si>
  <si>
    <t>ks_a_otherbiz_rev_2024</t>
  </si>
  <si>
    <t>原表行名：其他业务收入；列：上期/期初；同控比较口径</t>
  </si>
  <si>
    <t>ks_a_otherbiz_cost_2025</t>
  </si>
  <si>
    <t>其他业务成本</t>
  </si>
  <si>
    <t>原表行名：其他业务成本；列：本期/期末</t>
  </si>
  <si>
    <t>otherbiz_cost</t>
  </si>
  <si>
    <t>ks_a_otherbiz_cost_2024</t>
  </si>
  <si>
    <t>原表行名：其他业务成本；列：上期/期初；同控比较口径</t>
  </si>
  <si>
    <t>ks_a_overseas_rev_2025</t>
  </si>
  <si>
    <t>海外收入</t>
  </si>
  <si>
    <t>原表行名：海外收入；列：本期/期末</t>
  </si>
  <si>
    <t>overseas_rev</t>
  </si>
  <si>
    <t>ks_a_overseas_rev_2024</t>
  </si>
  <si>
    <t>原表行名：海外收入；列：上期/期初；同控比较口径</t>
  </si>
  <si>
    <t>ks_a_overseas_cost_2025</t>
  </si>
  <si>
    <t>海外成本</t>
  </si>
  <si>
    <t>原表行名：海外成本；列：本期/期末</t>
  </si>
  <si>
    <t>overseas_cost</t>
  </si>
  <si>
    <t>ks_a_overseas_cost_2024</t>
  </si>
  <si>
    <t>原表行名：海外成本；列：上期/期初；同控比较口径</t>
  </si>
  <si>
    <t>ks_a_interest_total_2025</t>
  </si>
  <si>
    <t>含资本化利息支出</t>
  </si>
  <si>
    <t>原表行名：含资本化利息支出；列：本期/期末</t>
  </si>
  <si>
    <t>interest_total</t>
  </si>
  <si>
    <t>ks_a_interest_total_2024</t>
  </si>
  <si>
    <t>原表行名：含资本化利息支出；列：上期/期初；同控比较口径</t>
  </si>
  <si>
    <t>ks_a_interest_cap_2025</t>
  </si>
  <si>
    <t>资本化利息</t>
  </si>
  <si>
    <t>原表行名：资本化利息；列：本期/期末</t>
  </si>
  <si>
    <t>interest_cap</t>
  </si>
  <si>
    <t>ks_a_interest_cap_2024</t>
  </si>
  <si>
    <t>原表行名：资本化利息；列：上期/期初；同控比较口径</t>
  </si>
  <si>
    <t>ks_a_perf_fv_2025</t>
  </si>
  <si>
    <t>原表第二个衍生金融工具公允价值收益行</t>
  </si>
  <si>
    <t>原表行名：原表第二个衍生金融工具公允价值收益行；列：本期/期末</t>
  </si>
  <si>
    <t>perf_fv</t>
  </si>
  <si>
    <t>ks_a_perf_fv_2024</t>
  </si>
  <si>
    <t>原表行名：原表第二个衍生金融工具公允价值收益行；列：上期/期初；同控比较口径</t>
  </si>
  <si>
    <t>ks_a_cf_imp_2025</t>
  </si>
  <si>
    <t>间接法资产及信用减值准备</t>
  </si>
  <si>
    <t>ks_a_e_indirect</t>
  </si>
  <si>
    <t>原表行名：间接法资产及信用减值准备；列：本期/期末</t>
  </si>
  <si>
    <t>cf_imp</t>
  </si>
  <si>
    <t>ks_a_cf_imp_2024</t>
  </si>
  <si>
    <t>原表行名：间接法资产及信用减值准备；列：上期/期初；同控比较口径</t>
  </si>
  <si>
    <t>ks_a_dep_2025</t>
  </si>
  <si>
    <t>固定资产及投资性房地产折旧</t>
  </si>
  <si>
    <t>原表行名：固定资产及投资性房地产折旧；列：本期/期末</t>
  </si>
  <si>
    <t>dep</t>
  </si>
  <si>
    <t>ks_a_dep_2024</t>
  </si>
  <si>
    <t>原表行名：固定资产及投资性房地产折旧；列：上期/期初；同控比较口径</t>
  </si>
  <si>
    <t>ks_a_dep_rou_2025</t>
  </si>
  <si>
    <t>使用权资产折旧</t>
  </si>
  <si>
    <t>原表行名：使用权资产折旧；列：本期/期末</t>
  </si>
  <si>
    <t>dep_rou</t>
  </si>
  <si>
    <t>ks_a_dep_rou_2024</t>
  </si>
  <si>
    <t>原表行名：使用权资产折旧；列：上期/期初；同控比较口径</t>
  </si>
  <si>
    <t>ks_a_amort_2025</t>
  </si>
  <si>
    <t>无形资产摊销</t>
  </si>
  <si>
    <t>原表行名：无形资产摊销；列：本期/期末</t>
  </si>
  <si>
    <t>amort</t>
  </si>
  <si>
    <t>ks_a_amort_2024</t>
  </si>
  <si>
    <t>原表行名：无形资产摊销；列：上期/期初；同控比较口径</t>
  </si>
  <si>
    <t>ks_a_amort_long_2025</t>
  </si>
  <si>
    <t>长期待摊摊销</t>
  </si>
  <si>
    <t>原表行名：长期待摊摊销；列：本期/期末</t>
  </si>
  <si>
    <t>amort_long</t>
  </si>
  <si>
    <t>ks_a_amort_long_2024</t>
  </si>
  <si>
    <t>原表行名：长期待摊摊销；列：上期/期初；同控比较口径</t>
  </si>
  <si>
    <t>ks_a_cf_disposal_2025</t>
  </si>
  <si>
    <t>间接法处置损失</t>
  </si>
  <si>
    <t>原表行名：间接法处置损失；列：本期/期末</t>
  </si>
  <si>
    <t>cf_disposal</t>
  </si>
  <si>
    <t>ks_a_cf_disposal_2024</t>
  </si>
  <si>
    <t>原表行名：间接法处置损失；列：上期/期初；同控比较口径</t>
  </si>
  <si>
    <t>ks_a_cf_scrap_2025</t>
  </si>
  <si>
    <t>报废损失</t>
  </si>
  <si>
    <t>原表行名：报废损失；列：本期/期末</t>
  </si>
  <si>
    <t>cf_scrap</t>
  </si>
  <si>
    <t>ks_a_cf_scrap_2024</t>
  </si>
  <si>
    <t>原表行名：报废损失；列：上期/期初；同控比较口径</t>
  </si>
  <si>
    <t>ks_a_cf_fv_2025</t>
  </si>
  <si>
    <t>间接法公允价值损失</t>
  </si>
  <si>
    <t>原表行名：间接法公允价值损失；列：本期/期末</t>
  </si>
  <si>
    <t>cf_fv</t>
  </si>
  <si>
    <t>ks_a_cf_fv_2024</t>
  </si>
  <si>
    <t>原表行名：间接法公允价值损失；列：上期/期初；同控比较口径</t>
  </si>
  <si>
    <t>ks_a_cf_finance_2025</t>
  </si>
  <si>
    <t>间接法财务费用</t>
  </si>
  <si>
    <t>原表行名：间接法财务费用；列：本期/期末</t>
  </si>
  <si>
    <t>cf_finance</t>
  </si>
  <si>
    <t>ks_a_cf_finance_2024</t>
  </si>
  <si>
    <t>原表行名：间接法财务费用；列：上期/期初；同控比较口径</t>
  </si>
  <si>
    <t>ks_a_cf_invest_2025</t>
  </si>
  <si>
    <t>间接法投资损失</t>
  </si>
  <si>
    <t>原表行名：间接法投资损失；列：本期/期末</t>
  </si>
  <si>
    <t>cf_invest</t>
  </si>
  <si>
    <t>ks_a_cf_invest_2024</t>
  </si>
  <si>
    <t>原表行名：间接法投资损失；列：上期/期初；同控比较口径</t>
  </si>
  <si>
    <t>ks_a_cf_dta_2025</t>
  </si>
  <si>
    <t>递延税资产减少</t>
  </si>
  <si>
    <t>原表行名：递延税资产减少；列：本期/期末</t>
  </si>
  <si>
    <t>cf_dta</t>
  </si>
  <si>
    <t>ks_a_cf_dta_2024</t>
  </si>
  <si>
    <t>原表行名：递延税资产减少；列：上期/期初；同控比较口径</t>
  </si>
  <si>
    <t>ks_a_cf_dtl_2025</t>
  </si>
  <si>
    <t>递延税负债增加</t>
  </si>
  <si>
    <t>原表行名：递延税负债增加；列：本期/期末</t>
  </si>
  <si>
    <t>cf_dtl</t>
  </si>
  <si>
    <t>ks_a_cf_dtl_2024</t>
  </si>
  <si>
    <t>原表行名：递延税负债增加；列：上期/期初；同控比较口径</t>
  </si>
  <si>
    <t>ks_a_cf_inventory_2025</t>
  </si>
  <si>
    <t>存货减少</t>
  </si>
  <si>
    <t>原表行名：存货减少；列：本期/期末</t>
  </si>
  <si>
    <t>cf_inventory</t>
  </si>
  <si>
    <t>ks_a_cf_inventory_2024</t>
  </si>
  <si>
    <t>原表行名：存货减少；列：上期/期初；同控比较口径</t>
  </si>
  <si>
    <t>ks_a_cf_receivables_2025</t>
  </si>
  <si>
    <t>经营性应收减少</t>
  </si>
  <si>
    <t>原表行名：经营性应收减少；列：本期/期末</t>
  </si>
  <si>
    <t>cf_receivables</t>
  </si>
  <si>
    <t>ks_a_cf_receivables_2024</t>
  </si>
  <si>
    <t>原表行名：经营性应收减少；列：上期/期初；同控比较口径</t>
  </si>
  <si>
    <t>ks_a_cf_payables_2025</t>
  </si>
  <si>
    <t>经营性应付增加</t>
  </si>
  <si>
    <t>原表行名：经营性应付增加；列：本期/期末</t>
  </si>
  <si>
    <t>cf_payables</t>
  </si>
  <si>
    <t>ks_a_cf_payables_2024</t>
  </si>
  <si>
    <t>原表行名：经营性应付增加；列：上期/期初；同控比较口径</t>
  </si>
  <si>
    <t>ks_a_cf_other_2025</t>
  </si>
  <si>
    <t>间接法其他</t>
  </si>
  <si>
    <t>原表行名：间接法其他；列：本期/期末</t>
  </si>
  <si>
    <t>cf_other</t>
  </si>
  <si>
    <t>ks_a_cf_other_2024</t>
  </si>
  <si>
    <t>原表行名：间接法其他；列：上期/期初；同控比较口径</t>
  </si>
  <si>
    <t>ks_a_supplierfinance_2025</t>
  </si>
  <si>
    <t>供应商融资安排账面余额</t>
  </si>
  <si>
    <t>ks_a_e_supplier</t>
  </si>
  <si>
    <t>原表行名：供应商融资安排账面余额；列：本期/期末</t>
  </si>
  <si>
    <t>supplierfinance</t>
  </si>
  <si>
    <t>ks_a_supplierfinance_2024</t>
  </si>
  <si>
    <t>原表行名：供应商融资安排账面余额；列：上期/期初；同控比较口径</t>
  </si>
  <si>
    <t>ks_a_supplier_ap_2025</t>
  </si>
  <si>
    <t>供应商融资在应付账款</t>
  </si>
  <si>
    <t>原表行名：供应商融资在应付账款；列：本期/期末</t>
  </si>
  <si>
    <t>supplier_ap</t>
  </si>
  <si>
    <t>ks_a_supplier_ap_2024</t>
  </si>
  <si>
    <t>原表行名：供应商融资在应付账款；列：上期/期初；同控比较口径</t>
  </si>
  <si>
    <t>ks_a_supplier_loan_2025</t>
  </si>
  <si>
    <t>供应商融资在短期借款</t>
  </si>
  <si>
    <t>原表行名：供应商融资在短期借款；列：本期/期末</t>
  </si>
  <si>
    <t>supplier_loan</t>
  </si>
  <si>
    <t>ks_a_supplier_loan_2024</t>
  </si>
  <si>
    <t>原表行名：供应商融资在短期借款；列：上期/期初；同控比较口径</t>
  </si>
  <si>
    <t>ks_a_supplier_paid_2025</t>
  </si>
  <si>
    <t>供应商已收款的融资余额</t>
  </si>
  <si>
    <t>原表行名：供应商已收款的融资余额；列：本期/期末</t>
  </si>
  <si>
    <t>supplier_paid</t>
  </si>
  <si>
    <t>ks_a_supplier_paid_2024</t>
  </si>
  <si>
    <t>原表行名：供应商已收款的融资余额；列：上期/期初；同控比较口径</t>
  </si>
  <si>
    <t>ks_a_debt_roll_2025</t>
  </si>
  <si>
    <t>筹资相关负债期末小计</t>
  </si>
  <si>
    <t>ks_a_e_debtorroll</t>
  </si>
  <si>
    <t>原表行名：筹资相关负债期末小计；列：本期/期末</t>
  </si>
  <si>
    <t>debt_roll</t>
  </si>
  <si>
    <t>ks_a_debt_roll_2024</t>
  </si>
  <si>
    <t>原表行名：筹资相关负债期末小计；列：上期/期初；同控比较口径</t>
  </si>
  <si>
    <t>ks_a_p_assets_2025</t>
  </si>
  <si>
    <t>母公司总资产</t>
  </si>
  <si>
    <t>ks_a_e_parent</t>
  </si>
  <si>
    <t>母公司</t>
  </si>
  <si>
    <t>原表行名：母公司总资产；列：本期/期末</t>
  </si>
  <si>
    <t>p_assets</t>
  </si>
  <si>
    <t>ks_a_p_assets_2024</t>
  </si>
  <si>
    <t>原表行名：母公司总资产；列：上期/期初</t>
  </si>
  <si>
    <t>ks_a_p_liab_2025</t>
  </si>
  <si>
    <t>母公司总负债</t>
  </si>
  <si>
    <t>原表行名：母公司总负债；列：本期/期末</t>
  </si>
  <si>
    <t>p_liab</t>
  </si>
  <si>
    <t>ks_a_p_liab_2024</t>
  </si>
  <si>
    <t>原表行名：母公司总负债；列：上期/期初</t>
  </si>
  <si>
    <t>ks_a_p_equity_2025</t>
  </si>
  <si>
    <t>母公司权益</t>
  </si>
  <si>
    <t>原表行名：母公司权益；列：本期/期末</t>
  </si>
  <si>
    <t>p_equity</t>
  </si>
  <si>
    <t>ks_a_p_equity_2024</t>
  </si>
  <si>
    <t>原表行名：母公司权益；列：上期/期初</t>
  </si>
  <si>
    <t>ks_a_p_otherar_2025</t>
  </si>
  <si>
    <t>母公司其他应收</t>
  </si>
  <si>
    <t>原表行名：母公司其他应收；列：本期/期末</t>
  </si>
  <si>
    <t>p_otherar</t>
  </si>
  <si>
    <t>ks_a_p_otherar_2024</t>
  </si>
  <si>
    <t>原表行名：母公司其他应收；列：上期/期初</t>
  </si>
  <si>
    <t>ks_a_p_otherap_2025</t>
  </si>
  <si>
    <t>母公司其他应付</t>
  </si>
  <si>
    <t>原表行名：母公司其他应付；列：本期/期末</t>
  </si>
  <si>
    <t>p_otherap</t>
  </si>
  <si>
    <t>ks_a_p_otherap_2024</t>
  </si>
  <si>
    <t>原表行名：母公司其他应付；列：上期/期初</t>
  </si>
  <si>
    <t>ks_a_p_cash_2025</t>
  </si>
  <si>
    <t>母公司现金等价物</t>
  </si>
  <si>
    <t>原表行名：母公司现金等价物；列：本期/期末</t>
  </si>
  <si>
    <t>p_cash</t>
  </si>
  <si>
    <t>ks_a_p_cash_2024</t>
  </si>
  <si>
    <t>原表行名：母公司现金等价物；列：上期/期初</t>
  </si>
  <si>
    <t>ks_a_p_ni_2025</t>
  </si>
  <si>
    <t>母公司净利润</t>
  </si>
  <si>
    <t>原表行名：母公司净利润；列：本期/期末</t>
  </si>
  <si>
    <t>p_ni</t>
  </si>
  <si>
    <t>ks_a_p_ni_2024</t>
  </si>
  <si>
    <t>原表行名：母公司净利润；列：上期/期初</t>
  </si>
  <si>
    <t>ks_a_p_investpl_2025</t>
  </si>
  <si>
    <t>母公司投资收益</t>
  </si>
  <si>
    <t>原表行名：母公司投资收益；列：本期/期末</t>
  </si>
  <si>
    <t>p_investpl</t>
  </si>
  <si>
    <t>ks_a_p_investpl_2024</t>
  </si>
  <si>
    <t>原表行名：母公司投资收益；列：上期/期初</t>
  </si>
  <si>
    <t>ks_a_p_cfo_2025</t>
  </si>
  <si>
    <t>母公司CFO</t>
  </si>
  <si>
    <t>原表行名：母公司CFO；列：本期/期末</t>
  </si>
  <si>
    <t>p_cfo</t>
  </si>
  <si>
    <t>ks_a_p_cfo_2024</t>
  </si>
  <si>
    <t>原表行名：母公司CFO；列：上期/期初</t>
  </si>
  <si>
    <t>ks_a_p_cfi_2025</t>
  </si>
  <si>
    <t>母公司CFI</t>
  </si>
  <si>
    <t>原表行名：母公司CFI；列：本期/期末</t>
  </si>
  <si>
    <t>p_cfi</t>
  </si>
  <si>
    <t>ks_a_p_cfi_2024</t>
  </si>
  <si>
    <t>原表行名：母公司CFI；列：上期/期初</t>
  </si>
  <si>
    <t>ks_a_p_cff_2025</t>
  </si>
  <si>
    <t>母公司CFF</t>
  </si>
  <si>
    <t>原表行名：母公司CFF；列：本期/期末</t>
  </si>
  <si>
    <t>p_cff</t>
  </si>
  <si>
    <t>ks_a_p_cff_2024</t>
  </si>
  <si>
    <t>原表行名：母公司CFF；列：上期/期初</t>
  </si>
  <si>
    <t>ks_a_p_fx_2025</t>
  </si>
  <si>
    <t>母公司汇率影响</t>
  </si>
  <si>
    <t>原表行名：母公司汇率影响；列：本期/期末</t>
  </si>
  <si>
    <t>p_fx</t>
  </si>
  <si>
    <t>ks_a_p_fx_2024</t>
  </si>
  <si>
    <t>原表行名：母公司汇率影响；列：上期/期初</t>
  </si>
  <si>
    <t>ks_a_p_cashdelta_2025</t>
  </si>
  <si>
    <t>母公司现金增减</t>
  </si>
  <si>
    <t>原表行名：母公司现金增减；列：本期/期末</t>
  </si>
  <si>
    <t>p_cashdelta</t>
  </si>
  <si>
    <t>ks_a_p_cashdelta_2024</t>
  </si>
  <si>
    <t>原表行名：母公司现金增减；列：上期/期初</t>
  </si>
  <si>
    <t>ks_a_ar_add</t>
  </si>
  <si>
    <t>应收准备本年计提</t>
  </si>
  <si>
    <t>ks_a_ar_reverse</t>
  </si>
  <si>
    <t>应收准备收回或转回</t>
  </si>
  <si>
    <t>ks_a_ar_writeoff</t>
  </si>
  <si>
    <t>应收准备核销</t>
  </si>
  <si>
    <t>ks_a_ar_other</t>
  </si>
  <si>
    <t>应收准备其他（原负号）</t>
  </si>
  <si>
    <t>ks_a_otherar_add</t>
  </si>
  <si>
    <t>其他应收准备计提</t>
  </si>
  <si>
    <t>ks_a_otherar_reverse</t>
  </si>
  <si>
    <t>其他应收准备转回</t>
  </si>
  <si>
    <t>ks_a_otherar_writeoff</t>
  </si>
  <si>
    <t>其他应收准备核销</t>
  </si>
  <si>
    <t>ks_a_inventory_add</t>
  </si>
  <si>
    <t>存货准备计提</t>
  </si>
  <si>
    <t>ks_a_inventory_release</t>
  </si>
  <si>
    <t>存货准备转回或转销</t>
  </si>
  <si>
    <t>ks_a_inventory_pl</t>
  </si>
  <si>
    <t>存货跌价损失（原报表损益负号）</t>
  </si>
  <si>
    <t>保留损益表或债务重组表原负号，不将亏损转换为正额事实。</t>
  </si>
  <si>
    <t>ks_a_ar_top5</t>
  </si>
  <si>
    <t>应收及合同资产前五名原值</t>
  </si>
  <si>
    <t>ks_a_ar_top1</t>
  </si>
  <si>
    <t>应收及合同资产第一名原值</t>
  </si>
  <si>
    <t>ks_a_ar_top1_res</t>
  </si>
  <si>
    <t>第一名应收及合同准备</t>
  </si>
  <si>
    <t>ar_top1</t>
  </si>
  <si>
    <t>ks_a_arf_derecognized</t>
  </si>
  <si>
    <t>年末已终止确认背书贴现</t>
  </si>
  <si>
    <t>ks_a_e_arf</t>
  </si>
  <si>
    <t>arf</t>
  </si>
  <si>
    <t>ks_a_property_take</t>
  </si>
  <si>
    <t>作为债权人抵债取得资产相关债权</t>
  </si>
  <si>
    <t>ks_a_e_post</t>
  </si>
  <si>
    <t>property</t>
  </si>
  <si>
    <t>ks_a_debt_equity_book</t>
  </si>
  <si>
    <t>融创债转股前相关债权账面价值</t>
  </si>
  <si>
    <t>ks_a_e_debtassets</t>
  </si>
  <si>
    <t>debt_equity</t>
  </si>
  <si>
    <t>ks_a_debt_equity_loss</t>
  </si>
  <si>
    <t>融创债转股重组损失（原报表损益负号）</t>
  </si>
  <si>
    <t>ks_a_debt_equity_fv</t>
  </si>
  <si>
    <t>融创债转股取得权益价值</t>
  </si>
  <si>
    <t>ks_a_debt_creditloss</t>
  </si>
  <si>
    <t>融创债券信用减值损失（原报表损益负号）</t>
  </si>
  <si>
    <t>debt</t>
  </si>
  <si>
    <t>ks_a_propertyloss</t>
  </si>
  <si>
    <t>其他非流动资产减值损失（损失额）（原报表损益负号）</t>
  </si>
  <si>
    <t>propertyloss</t>
  </si>
  <si>
    <t>ks_a_idle_ppe</t>
  </si>
  <si>
    <t>暂时闲置固定资产净额</t>
  </si>
  <si>
    <t>idle</t>
  </si>
  <si>
    <t>ks_a_idle_res</t>
  </si>
  <si>
    <t>暂时闲置固定资产准备</t>
  </si>
  <si>
    <t>ks_a_ppe_add</t>
  </si>
  <si>
    <t>固定资产原值增加</t>
  </si>
  <si>
    <t>ks_a_ppe_reduce</t>
  </si>
  <si>
    <t>固定资产原值减少</t>
  </si>
  <si>
    <t>ks_a_ppe_depreciation</t>
  </si>
  <si>
    <t>固定资产本期折旧</t>
  </si>
  <si>
    <t>ks_a_ppe_dep_reduce</t>
  </si>
  <si>
    <t>固定资产处置及转出折旧</t>
  </si>
  <si>
    <t>ppe_dep</t>
  </si>
  <si>
    <t>ks_a_ppe_imp_add</t>
  </si>
  <si>
    <t>固定资产计提准备</t>
  </si>
  <si>
    <t>ppe_imp</t>
  </si>
  <si>
    <t>ks_a_ppe_imp_cip</t>
  </si>
  <si>
    <t>CIP转入固定资产准备</t>
  </si>
  <si>
    <t>ks_a_ppe_imp_reduce</t>
  </si>
  <si>
    <t>固定资产准备减少</t>
  </si>
  <si>
    <t>ks_a_chuzhou_begin</t>
  </si>
  <si>
    <t>滁州一期CIP期初</t>
  </si>
  <si>
    <t>chuzhou</t>
  </si>
  <si>
    <t>ks_a_chuzhou_add</t>
  </si>
  <si>
    <t>滁州一期CIP增加</t>
  </si>
  <si>
    <t>ks_a_chuzhou_otherreduce</t>
  </si>
  <si>
    <t>滁州一期CIP其他减少</t>
  </si>
  <si>
    <t>ks_a_chuzhou_end</t>
  </si>
  <si>
    <t>滁州一期CIP期末原表</t>
  </si>
  <si>
    <t>ks_a_chuzhou_capinterest</t>
  </si>
  <si>
    <t>滁州一期本年资本化利息</t>
  </si>
  <si>
    <t>ks_a_dtaloss</t>
  </si>
  <si>
    <t>亏损相关递延所得税资产</t>
  </si>
  <si>
    <t>ks_a_e_tax</t>
  </si>
  <si>
    <t>dtaloss</t>
  </si>
  <si>
    <t>ks_a_taxlossbasis</t>
  </si>
  <si>
    <t>已确认DTA的可弥补亏损</t>
  </si>
  <si>
    <t>taxlossbasis</t>
  </si>
  <si>
    <t>ks_a_unrecognizeddta</t>
  </si>
  <si>
    <t>未确认DTA的差异和亏损</t>
  </si>
  <si>
    <t>unrecognizeddta</t>
  </si>
  <si>
    <t>ks_a_taxcurrent</t>
  </si>
  <si>
    <t>当期所得税费用</t>
  </si>
  <si>
    <t>taxcurrent</t>
  </si>
  <si>
    <t>ks_a_taxdeferred</t>
  </si>
  <si>
    <t>递延所得税费用</t>
  </si>
  <si>
    <t>taxdeferred</t>
  </si>
  <si>
    <t>ks_a_qualityprovision</t>
  </si>
  <si>
    <t>长期产品质量预计负债</t>
  </si>
  <si>
    <t>qualityprovision</t>
  </si>
  <si>
    <t>ks_a_bond_coupon</t>
  </si>
  <si>
    <t>债券按面值计提利息</t>
  </si>
  <si>
    <t>bond</t>
  </si>
  <si>
    <t>ks_a_bond_amort</t>
  </si>
  <si>
    <t>债券溢折价摊销</t>
  </si>
  <si>
    <t>ks_a_bond_paid</t>
  </si>
  <si>
    <t>债券利息兑付</t>
  </si>
  <si>
    <t>ks_a_bond_converted</t>
  </si>
  <si>
    <t>债券转股</t>
  </si>
  <si>
    <t>ks_a_fin_debt_in</t>
  </si>
  <si>
    <t>筹资相关负债现金增加</t>
  </si>
  <si>
    <t>fin_debt</t>
  </si>
  <si>
    <t>ks_a_fin_debt_out</t>
  </si>
  <si>
    <t>筹资相关负债现金减少</t>
  </si>
  <si>
    <t>ks_a_fin_debt_noncash</t>
  </si>
  <si>
    <t>筹资相关负债非现金净增加</t>
  </si>
  <si>
    <t>ks_a_supplier_noncash</t>
  </si>
  <si>
    <t>应付账款转借款非现金变动</t>
  </si>
  <si>
    <t>supplier</t>
  </si>
  <si>
    <t>ks_a_commercial_endorse</t>
  </si>
  <si>
    <t>商业汇票背书非现金支付</t>
  </si>
  <si>
    <t>commercial</t>
  </si>
  <si>
    <t>ks_a_dividends</t>
  </si>
  <si>
    <t>本年分配现金股利</t>
  </si>
  <si>
    <t>ks_a_e_equity</t>
  </si>
  <si>
    <t>dividends</t>
  </si>
  <si>
    <t>ks_a_equity_input</t>
  </si>
  <si>
    <t>所有者投入及减少资本净额</t>
  </si>
  <si>
    <t>ks_a_equity_special</t>
  </si>
  <si>
    <t>专项储备净变动</t>
  </si>
  <si>
    <t>ks_a_equity_other</t>
  </si>
  <si>
    <t>权益其他变动</t>
  </si>
  <si>
    <t>ks_a_samecontrol_paid</t>
  </si>
  <si>
    <t>同控收购横琴对价</t>
  </si>
  <si>
    <t>ks_a_e_invest</t>
  </si>
  <si>
    <t>samecontrol</t>
  </si>
  <si>
    <t>ks_a_samecontrol_priorliab</t>
  </si>
  <si>
    <t>横琴2024年末负债</t>
  </si>
  <si>
    <t>ks_a_samecontrol_priorcash</t>
  </si>
  <si>
    <t>横琴2024年末现金</t>
  </si>
  <si>
    <t>ks_a_samecontrol_priornet</t>
  </si>
  <si>
    <t>横琴2024年末净资产</t>
  </si>
  <si>
    <t>ks_a_decontrol_cash</t>
  </si>
  <si>
    <t>处置顺控保理带出净现金</t>
  </si>
  <si>
    <t>decontrol</t>
  </si>
  <si>
    <t>ks_a_decontrol_retained</t>
  </si>
  <si>
    <t>顺控保理剩余权益公允价值</t>
  </si>
  <si>
    <t>ks_a_fund_invested</t>
  </si>
  <si>
    <t>产业基金本年实缴</t>
  </si>
  <si>
    <t>fund</t>
  </si>
  <si>
    <t>ks_a_fund_commitment</t>
  </si>
  <si>
    <t>产业基金约定出资总额</t>
  </si>
  <si>
    <t>原文第36页出资2.4亿元；实缴与认缴分开。</t>
  </si>
  <si>
    <t>ks_a_guarantees_external</t>
  </si>
  <si>
    <t>经销商对外担保余额</t>
  </si>
  <si>
    <t>ks_a_e_related</t>
  </si>
  <si>
    <t>guarantees</t>
  </si>
  <si>
    <t>ks_a_guaranteeletters</t>
  </si>
  <si>
    <t>已开保函余额</t>
  </si>
  <si>
    <t>guaranteeletters</t>
  </si>
  <si>
    <t>ks_a_undrawn</t>
  </si>
  <si>
    <t>未使用银行授信</t>
  </si>
  <si>
    <t>ks_a_e_maturity</t>
  </si>
  <si>
    <t>原文单位万元；保留原单位值，以scale=10000换算，不将万元当元。</t>
  </si>
  <si>
    <t>undrawn</t>
  </si>
  <si>
    <t>ks_a_maturity_1y</t>
  </si>
  <si>
    <t>一年内未折现合同金融负债现金流</t>
  </si>
  <si>
    <t>maturity</t>
  </si>
  <si>
    <t>ks_a_proceeds_temp</t>
  </si>
  <si>
    <t>年末临时补流募集金</t>
  </si>
  <si>
    <t>ks_a_e_proceeds2</t>
  </si>
  <si>
    <t>proceeds</t>
  </si>
  <si>
    <t>ks_a_proceeds_acct</t>
  </si>
  <si>
    <t>募集金专户余额</t>
  </si>
  <si>
    <t>ks_a_proposed_dividend</t>
  </si>
  <si>
    <t>拟分配2025年度股利</t>
  </si>
  <si>
    <t>proposed</t>
  </si>
  <si>
    <t>ks_a_quarter4_cfo</t>
  </si>
  <si>
    <t>2025第四季度CFO</t>
  </si>
  <si>
    <t>ks_a_e_summary</t>
  </si>
  <si>
    <t>2025-10-01</t>
  </si>
  <si>
    <t>quarter4</t>
  </si>
  <si>
    <t>ks_a_quarter4_ni</t>
  </si>
  <si>
    <t>2025第四季度归母净利润</t>
  </si>
  <si>
    <t>ks_a_adjustedni</t>
  </si>
  <si>
    <t>归母扣非净利润</t>
  </si>
  <si>
    <t>adjustedni</t>
  </si>
  <si>
    <t>ks_a_adjustedni_2024</t>
  </si>
  <si>
    <t>ks_a_revenue_2023_restate</t>
  </si>
  <si>
    <t>营业收入（2025年报摘要重述）</t>
  </si>
  <si>
    <t>2023-01-01</t>
  </si>
  <si>
    <t>revenue_2023</t>
  </si>
  <si>
    <t>ks_a_parentincome_2023_restate</t>
  </si>
  <si>
    <t>归母净利润（2025年报摘要重述）</t>
  </si>
  <si>
    <t>parentincome_2023</t>
  </si>
  <si>
    <t>ks_a_adjustedni_2023_restate</t>
  </si>
  <si>
    <t>归母扣非净利润（2025年报摘要重述）</t>
  </si>
  <si>
    <t>adjustedni_2023</t>
  </si>
  <si>
    <t>ks_a_cfo_2023_restate</t>
  </si>
  <si>
    <t>CFO（2025年报摘要重述）</t>
  </si>
  <si>
    <t>cfo_2023</t>
  </si>
  <si>
    <t>ks_a_assets_2023_restate</t>
  </si>
  <si>
    <t>资产总额（2025年报摘要重述）</t>
  </si>
  <si>
    <t>ks_a_ownerequity_2023_restate</t>
  </si>
  <si>
    <t>归母权益（2025年报摘要重述）</t>
  </si>
  <si>
    <t>ownerequity_2023</t>
  </si>
  <si>
    <t>ks_a_old_assets_2023</t>
  </si>
  <si>
    <t>资产总额（原口径2023）</t>
  </si>
  <si>
    <t>ks_a_e_old</t>
  </si>
  <si>
    <t>中国企业会计准则；2024年报原披露口径，未纳入2025横琴同控追溯调整</t>
  </si>
  <si>
    <t>old_assets</t>
  </si>
  <si>
    <t>ks_a_old_liab_2023</t>
  </si>
  <si>
    <t>总负债（原口径2023）</t>
  </si>
  <si>
    <t>old_liab</t>
  </si>
  <si>
    <t>ks_a_old_equity_2023</t>
  </si>
  <si>
    <t>总权益（原口径2023）</t>
  </si>
  <si>
    <t>old_equity</t>
  </si>
  <si>
    <t>ks_a_old_ownerequity_2023</t>
  </si>
  <si>
    <t>归母权益（原口径2023）</t>
  </si>
  <si>
    <t>old_ownerequity</t>
  </si>
  <si>
    <t>ks_a_old_cashbook_2023</t>
  </si>
  <si>
    <t>货币资金（原口径2023）</t>
  </si>
  <si>
    <t>old_cashbook</t>
  </si>
  <si>
    <t>ks_a_old_cash_2023</t>
  </si>
  <si>
    <t>现金等价物（原口径2023）</t>
  </si>
  <si>
    <t>old_cash</t>
  </si>
  <si>
    <t>ks_a_old_restrictedcash_2023</t>
  </si>
  <si>
    <t>受限货币资金（原口径2023）</t>
  </si>
  <si>
    <t>old_restrictedcash</t>
  </si>
  <si>
    <t>ks_a_old_currentassets_2023</t>
  </si>
  <si>
    <t>流动资产（原口径2023）</t>
  </si>
  <si>
    <t>old_currentassets</t>
  </si>
  <si>
    <t>ks_a_old_currentliab_2023</t>
  </si>
  <si>
    <t>流动负债（原口径2023）</t>
  </si>
  <si>
    <t>old_currentliab</t>
  </si>
  <si>
    <t>ks_a_old_ar_2023</t>
  </si>
  <si>
    <t>应收账款净额（原口径2023）</t>
  </si>
  <si>
    <t>old_ar</t>
  </si>
  <si>
    <t>ks_a_old_inventory_2023</t>
  </si>
  <si>
    <t>存货净额（原口径2023）</t>
  </si>
  <si>
    <t>old_inventory</t>
  </si>
  <si>
    <t>ks_a_old_debt_roll_2023</t>
  </si>
  <si>
    <t>筹资相关负债（原口径2023）</t>
  </si>
  <si>
    <t>old_debt_roll</t>
  </si>
  <si>
    <t>ks_a_old_notes_ap_2023</t>
  </si>
  <si>
    <t>应付票据（原口径2023）</t>
  </si>
  <si>
    <t>old_notes_ap</t>
  </si>
  <si>
    <t>ks_a_old_stborrow_2023</t>
  </si>
  <si>
    <t>短期借款（原口径2023）</t>
  </si>
  <si>
    <t>old_stborrow</t>
  </si>
  <si>
    <t>ks_a_old_currentbank_2023</t>
  </si>
  <si>
    <t>一年内到期银行借款（原口径2023）</t>
  </si>
  <si>
    <t>old_currentbank</t>
  </si>
  <si>
    <t>ks_a_old_currentlease_2023</t>
  </si>
  <si>
    <t>一年内到期租赁（原口径2023）</t>
  </si>
  <si>
    <t>old_currentlease</t>
  </si>
  <si>
    <t>ks_a_old_revenue_2023</t>
  </si>
  <si>
    <t>营业收入（原口径2023）</t>
  </si>
  <si>
    <t>old_revenue</t>
  </si>
  <si>
    <t>ks_a_old_cost_2023</t>
  </si>
  <si>
    <t>营业成本（原口径2023）</t>
  </si>
  <si>
    <t>old_cost</t>
  </si>
  <si>
    <t>ks_a_old_pbt_2023</t>
  </si>
  <si>
    <t>税前利润（原口径2023）</t>
  </si>
  <si>
    <t>old_pbt</t>
  </si>
  <si>
    <t>ks_a_old_netincome_2023</t>
  </si>
  <si>
    <t>净利润（原口径2023）</t>
  </si>
  <si>
    <t>old_netincome</t>
  </si>
  <si>
    <t>ks_a_old_parentincome_2023</t>
  </si>
  <si>
    <t>归母利润（原口径2023）</t>
  </si>
  <si>
    <t>old_parentincome</t>
  </si>
  <si>
    <t>ks_a_old_creditimp_2023</t>
  </si>
  <si>
    <t>信用减值损失（原口径2023）</t>
  </si>
  <si>
    <t>old_creditimp</t>
  </si>
  <si>
    <t>ks_a_old_assetimp_2023</t>
  </si>
  <si>
    <t>资产减值损失（原口径2023）</t>
  </si>
  <si>
    <t>old_assetimp</t>
  </si>
  <si>
    <t>ks_a_old_interest_exp_2023</t>
  </si>
  <si>
    <t>费用化利息（原口径2023）</t>
  </si>
  <si>
    <t>old_interest_exp</t>
  </si>
  <si>
    <t>ks_a_old_dep_total_2023</t>
  </si>
  <si>
    <t>固定及使用权折旧（原口径2023）</t>
  </si>
  <si>
    <t>old_dep_total</t>
  </si>
  <si>
    <t>ks_a_old_amort_2023</t>
  </si>
  <si>
    <t>无形摊销（原口径2023）</t>
  </si>
  <si>
    <t>old_amort</t>
  </si>
  <si>
    <t>ks_a_old_amort_long_2023</t>
  </si>
  <si>
    <t>长期待摊摊销（原口径2023）</t>
  </si>
  <si>
    <t>old_amort_long</t>
  </si>
  <si>
    <t>ks_a_old_cfo_2023</t>
  </si>
  <si>
    <t>CFO（原口径2023）</t>
  </si>
  <si>
    <t>old_cfo</t>
  </si>
  <si>
    <t>ks_a_old_cfi_2023</t>
  </si>
  <si>
    <t>CFI（原口径2023）</t>
  </si>
  <si>
    <t>old_cfi</t>
  </si>
  <si>
    <t>ks_a_old_cff_2023</t>
  </si>
  <si>
    <t>CFF（原口径2023）</t>
  </si>
  <si>
    <t>old_cff</t>
  </si>
  <si>
    <t>ks_a_old_fxcash_2023</t>
  </si>
  <si>
    <t>现金汇率影响（原口径2023）</t>
  </si>
  <si>
    <t>old_fxcash</t>
  </si>
  <si>
    <t>ks_a_old_cashdelta_2023</t>
  </si>
  <si>
    <t>现金增减（原口径2023）</t>
  </si>
  <si>
    <t>old_cashdelta</t>
  </si>
  <si>
    <t>ks_a_old_capex_2023</t>
  </si>
  <si>
    <t>长期资产购建现金（原口径2023）</t>
  </si>
  <si>
    <t>old_capex</t>
  </si>
  <si>
    <t>ks_a_missing_totaldebt_2023</t>
  </si>
  <si>
    <t>完整重述总债务</t>
  </si>
  <si>
    <t>ks_a_e_summary, ks_a_e_old</t>
  </si>
  <si>
    <t>missing</t>
  </si>
  <si>
    <t>2025摘要未列该重述明细；2024年报原范围数据不能直接替代。</t>
  </si>
  <si>
    <t>missing_totaldebt</t>
  </si>
  <si>
    <t>ks_a_missing_pbt_2023</t>
  </si>
  <si>
    <t>重述税前利润</t>
  </si>
  <si>
    <t>missing_pbt</t>
  </si>
  <si>
    <t>ks_a_missing_interest_total_2023</t>
  </si>
  <si>
    <t>重述全部利息</t>
  </si>
  <si>
    <t>missing_interest_total</t>
  </si>
  <si>
    <t>ks_a_missing_depreciation_2023</t>
  </si>
  <si>
    <t>重述折旧摊销</t>
  </si>
  <si>
    <t>missing_depreciation</t>
  </si>
  <si>
    <t>ks_a_missing_ar_2023</t>
  </si>
  <si>
    <t>重述应收净额</t>
  </si>
  <si>
    <t>ks_a_missing_interest_total_old2023</t>
  </si>
  <si>
    <t>原范围2023含资本化全部利息</t>
  </si>
  <si>
    <t>2024年报财务费用披露费用化利息，未取得足够资料还原2023全部资本化利息。</t>
  </si>
  <si>
    <t>ks_a_q1_assets</t>
  </si>
  <si>
    <t>总资产（2026Q1）</t>
  </si>
  <si>
    <t>ks_a_e_q1</t>
  </si>
  <si>
    <t>2026-03-31</t>
  </si>
  <si>
    <t>q1</t>
  </si>
  <si>
    <t>ks_a_q1_liab</t>
  </si>
  <si>
    <t>总负债（2026Q1）</t>
  </si>
  <si>
    <t>ks_a_q1_equity</t>
  </si>
  <si>
    <t>总权益（2026Q1）</t>
  </si>
  <si>
    <t>ks_a_q1_cashbook</t>
  </si>
  <si>
    <t>货币资金（2026Q1）</t>
  </si>
  <si>
    <t>ks_a_q1_cash</t>
  </si>
  <si>
    <t>现金等价物（2026Q1）</t>
  </si>
  <si>
    <t>ks_a_q1_ar</t>
  </si>
  <si>
    <t>应收净额（2026Q1）</t>
  </si>
  <si>
    <t>ks_a_q1_prepay</t>
  </si>
  <si>
    <t>预付款（2026Q1）</t>
  </si>
  <si>
    <t>ks_a_q1_stborrow</t>
  </si>
  <si>
    <t>短期借款（2026Q1）</t>
  </si>
  <si>
    <t>ks_a_q1_notes_ap</t>
  </si>
  <si>
    <t>应付票据（2026Q1）</t>
  </si>
  <si>
    <t>q1_notes</t>
  </si>
  <si>
    <t>ks_a_q1_currentlongliab</t>
  </si>
  <si>
    <t>一年内到期非流动负债（2026Q1）</t>
  </si>
  <si>
    <t>ks_a_q1_ltborrow</t>
  </si>
  <si>
    <t>长期借款（2026Q1）</t>
  </si>
  <si>
    <t>ks_a_q1_bonds</t>
  </si>
  <si>
    <t>应付债券（2026Q1）</t>
  </si>
  <si>
    <t>ks_a_q1_lease</t>
  </si>
  <si>
    <t>长期租赁负债（2026Q1）</t>
  </si>
  <si>
    <t>ks_a_q1_revenue</t>
  </si>
  <si>
    <t>收入（2026Q1）</t>
  </si>
  <si>
    <t>2026-01-01</t>
  </si>
  <si>
    <t>ks_a_q1_cost</t>
  </si>
  <si>
    <t>成本（2026Q1）</t>
  </si>
  <si>
    <t>ks_a_q1_parentincome</t>
  </si>
  <si>
    <t>归母净利（2026Q1）</t>
  </si>
  <si>
    <t>ks_a_q1_netincome</t>
  </si>
  <si>
    <t>净利润（2026Q1）</t>
  </si>
  <si>
    <t>ks_a_q1_creditimp</t>
  </si>
  <si>
    <t>信用减值损失（2026Q1）</t>
  </si>
  <si>
    <t>ks_a_q1_assetimp</t>
  </si>
  <si>
    <t>资产减值损失（2026Q1）</t>
  </si>
  <si>
    <t>ks_a_q1_cfo</t>
  </si>
  <si>
    <t>CFO（2026Q1）</t>
  </si>
  <si>
    <t>ks_a_q1_cfi</t>
  </si>
  <si>
    <t>CFI（2026Q1）</t>
  </si>
  <si>
    <t>ks_a_q1_cff</t>
  </si>
  <si>
    <t>CFF（2026Q1）</t>
  </si>
  <si>
    <t>ks_a_q1_fxcash</t>
  </si>
  <si>
    <t>现金汇率影响（2026Q1）</t>
  </si>
  <si>
    <t>ks_a_q1_cashdelta</t>
  </si>
  <si>
    <t>现金增减（2026Q1）</t>
  </si>
  <si>
    <t>ks_a_q1_capex</t>
  </si>
  <si>
    <t>资本开支现金（2026Q1）</t>
  </si>
  <si>
    <t>ks_a_missing_q1_debt</t>
  </si>
  <si>
    <t>2026Q1完整利息债</t>
  </si>
  <si>
    <t>一年内到期非流动负债中借款、租赁和预计负债未分拆；其他应付款借款及供应商融资亦无完整附注，不能把全额一年内到期项目当有息债。</t>
  </si>
  <si>
    <t>missing_q1</t>
  </si>
  <si>
    <t>ks_a_missing_q1_freecash</t>
  </si>
  <si>
    <t>2026Q1扣除所有用途约束可支配现金</t>
  </si>
  <si>
    <t>现金流量表现金余额可核，但募集金用途、担保等附注未完整提供，不能将其无条件作为全部偿债现金。</t>
  </si>
  <si>
    <t>ks_a_p_open_restate</t>
  </si>
  <si>
    <t>母公司权益表追溯后期初</t>
  </si>
  <si>
    <t>p_open</t>
  </si>
  <si>
    <t>ks_a_p_restate_adjust</t>
  </si>
  <si>
    <t>母公司顺控保理权益法追溯调整</t>
  </si>
  <si>
    <t>p_restate</t>
  </si>
  <si>
    <t>ks_a_p_owner_input</t>
  </si>
  <si>
    <t>母公司所有者投入及减少资本</t>
  </si>
  <si>
    <t>p_owner</t>
  </si>
  <si>
    <t>ks_a_p_dividends</t>
  </si>
  <si>
    <t>母公司利润分配</t>
  </si>
  <si>
    <t>p</t>
  </si>
  <si>
    <t>ks_a_p_other_equity</t>
  </si>
  <si>
    <t>母公司其他权益变动</t>
  </si>
  <si>
    <t>p_other</t>
  </si>
  <si>
    <t>ks_a_equity_2023</t>
  </si>
  <si>
    <t>2024权益变动表重述期初合并权益</t>
  </si>
  <si>
    <t>2025年报第120页2024本年期初权益，补足摘要未列的总权益；非由归母权益假定少数股东为零。</t>
  </si>
  <si>
    <t>ks_a_orig_cashbook_2024</t>
  </si>
  <si>
    <t>原2024货币资金</t>
  </si>
  <si>
    <t>ks_a_e_old, ks_a_e_cash2024bridge</t>
  </si>
  <si>
    <t>orig_cashbook</t>
  </si>
  <si>
    <t>ks_a_orig_cash_2024</t>
  </si>
  <si>
    <t>原2024现金等价物</t>
  </si>
  <si>
    <t>orig_cash</t>
  </si>
  <si>
    <t>ks_a_orig_restricted_2024</t>
  </si>
  <si>
    <t>原2024受限资产附注现金</t>
  </si>
  <si>
    <t>orig_restricted</t>
  </si>
  <si>
    <t>ks_a_orig_noncce_partial_2024</t>
  </si>
  <si>
    <t>原2024现金补充表保证金合计</t>
  </si>
  <si>
    <t>orig_noncce_partial</t>
  </si>
  <si>
    <t>ks_a_original_cash_base_bridge</t>
  </si>
  <si>
    <t>2024原货币资金作为同控桥基数</t>
  </si>
  <si>
    <t>仅为明确重述桥重新列示原数；调整项仅采用横琴附注实际现金，不把原范围数据直接与新范围计算比率。</t>
  </si>
  <si>
    <t>original_cash_base</t>
  </si>
  <si>
    <t>ks_a_original_cce_base_bridge</t>
  </si>
  <si>
    <t>2024原CCE作为同控桥基数</t>
  </si>
  <si>
    <t>仅用于同控现金重述桥，非已重述余额。</t>
  </si>
  <si>
    <t>original_cce_base</t>
  </si>
  <si>
    <t>ks_a_arfin_notes_2025</t>
  </si>
  <si>
    <t>应收款项融资中的应收票据</t>
  </si>
  <si>
    <t>ks_a_e_arf, ks_a_e_cash</t>
  </si>
  <si>
    <t>原表行名：应收款项融资中的应收票据；列：本期/期末</t>
  </si>
  <si>
    <t>arfin_notes</t>
  </si>
  <si>
    <t>ks_a_arfin_notes_2024</t>
  </si>
  <si>
    <t>原表行名：应收款项融资中的应收票据；列：上期/期初；同控比较口径</t>
  </si>
  <si>
    <t>ks_a_arfin_accounts_2025</t>
  </si>
  <si>
    <t>应收款项融资中的应收账款</t>
  </si>
  <si>
    <t>原表行名：应收款项融资中的应收账款；列：本期/期末</t>
  </si>
  <si>
    <t>arfin_accounts</t>
  </si>
  <si>
    <t>ks_a_arfin_accounts_2024</t>
  </si>
  <si>
    <t>原表行名：应收款项融资中的应收账款；列：上期/期初；同控比较口径</t>
  </si>
  <si>
    <t>ks_a_arfin_fv_2025</t>
  </si>
  <si>
    <t>应收款项融资公允价值减项</t>
  </si>
  <si>
    <t>原表行名：应收款项融资公允价值减项；列：本期/期末</t>
  </si>
  <si>
    <t>arfin_fv</t>
  </si>
  <si>
    <t>ks_a_arfin_fv_2024</t>
  </si>
  <si>
    <t>原表行名：应收款项融资公允价值减项；列：上期/期初；同控比较口径</t>
  </si>
  <si>
    <t>ks_a_restricted_note_2025</t>
  </si>
  <si>
    <t>背书未终止确认受限票据净额</t>
  </si>
  <si>
    <t>原表行名：背书未终止确认受限票据净额；列：本期/期末</t>
  </si>
  <si>
    <t>restricted_note</t>
  </si>
  <si>
    <t>ks_a_restricted_note_2024</t>
  </si>
  <si>
    <t>原表行名：背书未终止确认受限票据净额；列：上期/期初；同控比较口径</t>
  </si>
  <si>
    <t>ks_a_performance_asset_2025</t>
  </si>
  <si>
    <t>交易性金融资产中业绩承诺补偿</t>
  </si>
  <si>
    <t>原表行名：交易性金融资产中业绩承诺补偿；列：本期/期末</t>
  </si>
  <si>
    <t>performance_asset</t>
  </si>
  <si>
    <t>ks_a_performance_asset_2024</t>
  </si>
  <si>
    <t>原表行名：交易性金融资产中业绩承诺补偿；列：上期/期初；同控比较口径</t>
  </si>
  <si>
    <t>ks_a_missing_inventory_2023</t>
  </si>
  <si>
    <t>同控重述2023存货净额</t>
  </si>
  <si>
    <t>未取得重述的期初营运项目明细，不将原年报余额假充同口径。</t>
  </si>
  <si>
    <t>ks_a_missing_ap_2023</t>
  </si>
  <si>
    <t>同控重述2023应付账款</t>
  </si>
  <si>
    <t>ks_a_missing_cost_2023</t>
  </si>
  <si>
    <t>营业成本（重述口径）</t>
  </si>
  <si>
    <t>2025年度报告未提供完整同控重述2023明细，不以2024原报同年值填充。</t>
  </si>
  <si>
    <t>missing_cost</t>
  </si>
  <si>
    <t>ks_a_missing_surtax_2023</t>
  </si>
  <si>
    <t>税金及附加（重述口径）</t>
  </si>
  <si>
    <t>missing_surtax</t>
  </si>
  <si>
    <t>ks_a_missing_interest_exp_2023</t>
  </si>
  <si>
    <t>费用化利息（重述口径）</t>
  </si>
  <si>
    <t>missing_interest_exp</t>
  </si>
  <si>
    <t>ks_a_missing_dep_2023</t>
  </si>
  <si>
    <t>折旧与摊销（重述口径）</t>
  </si>
  <si>
    <t>missing_dep</t>
  </si>
  <si>
    <t>ks_a_old_surtax_2023</t>
  </si>
  <si>
    <t>原2023税金及附加</t>
  </si>
  <si>
    <t>old_surtax</t>
  </si>
  <si>
    <t>ks_a_proceeds_return26</t>
  </si>
  <si>
    <t>公告旧轮补流实际归还</t>
  </si>
  <si>
    <t>ks_a_e_return26</t>
  </si>
  <si>
    <t>2026-01-06</t>
  </si>
  <si>
    <t>ks_a_proceeds_authorized26</t>
  </si>
  <si>
    <t>新一轮补流授权上限</t>
  </si>
  <si>
    <t>ks_a_e_renew26</t>
  </si>
  <si>
    <t>2026-01-09</t>
  </si>
  <si>
    <t>ks_a_equity_input_2024</t>
  </si>
  <si>
    <t>2024所有者投入净额</t>
  </si>
  <si>
    <t>equity_input</t>
  </si>
  <si>
    <t>ks_a_dividends_2024</t>
  </si>
  <si>
    <t>2024权益表利润分配</t>
  </si>
  <si>
    <t>ks_a_equity_special_2024</t>
  </si>
  <si>
    <t>2024专项储备净变动</t>
  </si>
  <si>
    <t>equity_special</t>
  </si>
  <si>
    <t>ks_a_equity_other_2024</t>
  </si>
  <si>
    <t>2024其他权益变动</t>
  </si>
  <si>
    <t>equity_other</t>
  </si>
  <si>
    <t>ks_a_old_equity_2022</t>
  </si>
  <si>
    <t>原2023权益表期初总权益</t>
  </si>
  <si>
    <t>2022-12-31</t>
  </si>
  <si>
    <t>ks_a_old_ci_2023</t>
  </si>
  <si>
    <t>原2023综合收益</t>
  </si>
  <si>
    <t>old_ci</t>
  </si>
  <si>
    <t>ks_a_old_equity_input_2023</t>
  </si>
  <si>
    <t>原2023所有者投入净额</t>
  </si>
  <si>
    <t>old_equity_input</t>
  </si>
  <si>
    <t>ks_a_old_dividends_2023</t>
  </si>
  <si>
    <t>原2023利润分配</t>
  </si>
  <si>
    <t>old_dividends</t>
  </si>
  <si>
    <t>ks_a_old_equity_special_2023</t>
  </si>
  <si>
    <t>原2023专项储备增加</t>
  </si>
  <si>
    <t>old_equity_special</t>
  </si>
  <si>
    <t>ks_a_old_equity_other_2023</t>
  </si>
  <si>
    <t>原2023其他权益变动</t>
  </si>
  <si>
    <t>old_equity_other</t>
  </si>
  <si>
    <t>ks_a_old_customerscash_2023</t>
  </si>
  <si>
    <t>原2023销售收现</t>
  </si>
  <si>
    <t>old_customerscash</t>
  </si>
  <si>
    <t>ks_a_unrecognizedbill_liab_2025</t>
  </si>
  <si>
    <t>其他流动负债未到期已背书商业承兑汇票</t>
  </si>
  <si>
    <t>ks_a_e_liabs, ks_a_e_arf</t>
  </si>
  <si>
    <t>原表行名：其他流动负债未到期已背书商业承兑汇票；列：本期/期末</t>
  </si>
  <si>
    <t>unrecognizedbill_liab</t>
  </si>
  <si>
    <t>ks_a_unrecognizedbill_liab_2024</t>
  </si>
  <si>
    <t>原表行名：其他流动负债未到期已背书商业承兑汇票；列：上期/期初；同控比较口径</t>
  </si>
  <si>
    <t>ks_b_revenue25</t>
  </si>
  <si>
    <t>2025营业收入</t>
  </si>
  <si>
    <t>ks_b_e_structure</t>
  </si>
  <si>
    <t>科顺股份</t>
  </si>
  <si>
    <t>consolidated</t>
  </si>
  <si>
    <t>CAS</t>
  </si>
  <si>
    <t>revenue25</t>
  </si>
  <si>
    <t>ks_b_materials25</t>
  </si>
  <si>
    <t>2025防水材料收入</t>
  </si>
  <si>
    <t>materials25</t>
  </si>
  <si>
    <t>ks_b_engineering25</t>
  </si>
  <si>
    <t>2025防水工程收入</t>
  </si>
  <si>
    <t>engineering25</t>
  </si>
  <si>
    <t>ks_b_domestic25</t>
  </si>
  <si>
    <t>2025境内收入</t>
  </si>
  <si>
    <t>domestic25</t>
  </si>
  <si>
    <t>ks_b_overseas25</t>
  </si>
  <si>
    <t>2025境外收入</t>
  </si>
  <si>
    <t>overseas25</t>
  </si>
  <si>
    <t>ks_b_rd25</t>
  </si>
  <si>
    <t>2025研发投入</t>
  </si>
  <si>
    <t>ks_b_e_operations</t>
  </si>
  <si>
    <t>rd25</t>
  </si>
  <si>
    <t>ks_b_cfo25</t>
  </si>
  <si>
    <t>2025经营净现金流</t>
  </si>
  <si>
    <t>ks_b_e_cash</t>
  </si>
  <si>
    <t>cfo25</t>
  </si>
  <si>
    <t>ks_b_dividend_prior25</t>
  </si>
  <si>
    <t>2025支付上年年度股息</t>
  </si>
  <si>
    <t>ks_b_e_distribution</t>
  </si>
  <si>
    <t>dividend_prior25</t>
  </si>
  <si>
    <t>ks_b_dividend_interim25</t>
  </si>
  <si>
    <t>2025支付当年中期股息</t>
  </si>
  <si>
    <t>dividend_interim25</t>
  </si>
  <si>
    <t>ks_b_materials_share</t>
  </si>
  <si>
    <t>防水材料收入占比</t>
  </si>
  <si>
    <t>ratio</t>
  </si>
  <si>
    <t>materials_share</t>
  </si>
  <si>
    <t>ks_b_engineering_share</t>
  </si>
  <si>
    <t>防水工程收入占比</t>
  </si>
  <si>
    <t>engineering_share</t>
  </si>
  <si>
    <t>ks_b_domestic_share</t>
  </si>
  <si>
    <t>境内收入占比</t>
  </si>
  <si>
    <t>domestic_share</t>
  </si>
  <si>
    <t>ks_b_overseas_share</t>
  </si>
  <si>
    <t>境外收入占比</t>
  </si>
  <si>
    <t>overseas_share</t>
  </si>
  <si>
    <t>ks_b_materials_margin</t>
  </si>
  <si>
    <t>防水材料毛利率</t>
  </si>
  <si>
    <t>materials_margin</t>
  </si>
  <si>
    <t>ks_b_engineering_margin</t>
  </si>
  <si>
    <t>防水工程毛利率</t>
  </si>
  <si>
    <t>engineering_margin</t>
  </si>
  <si>
    <t>ks_b_sheet_margin</t>
  </si>
  <si>
    <t>防水卷材毛利率</t>
  </si>
  <si>
    <t>sheet_margin</t>
  </si>
  <si>
    <t>ks_b_materials_cost_share</t>
  </si>
  <si>
    <t>直接材料占材料业务成本</t>
  </si>
  <si>
    <t>materials_cost_share</t>
  </si>
  <si>
    <t>ks_b_topfive_clients_share</t>
  </si>
  <si>
    <t>前五客户占销售比例</t>
  </si>
  <si>
    <t>topfive_clients_share</t>
  </si>
  <si>
    <t>ks_b_top_client_share</t>
  </si>
  <si>
    <t>最大客户占销售比例</t>
  </si>
  <si>
    <t>top_client_share</t>
  </si>
  <si>
    <t>ks_b_rd_share</t>
  </si>
  <si>
    <t>研发投入占收入</t>
  </si>
  <si>
    <t>rd_share</t>
  </si>
  <si>
    <t>ks_b_reported_cash_collection</t>
  </si>
  <si>
    <t>发行人报告收现比</t>
  </si>
  <si>
    <t>reported_cash_collection</t>
  </si>
  <si>
    <t>ks_b_rd_people</t>
  </si>
  <si>
    <t>研发人员</t>
  </si>
  <si>
    <t>count</t>
  </si>
  <si>
    <t>rd_people</t>
  </si>
  <si>
    <t>人</t>
  </si>
  <si>
    <t>ks_b_patents</t>
  </si>
  <si>
    <t>有效专利</t>
  </si>
  <si>
    <t>patents</t>
  </si>
  <si>
    <t>项</t>
  </si>
  <si>
    <t>ks_b_directors</t>
  </si>
  <si>
    <t>董事人数</t>
  </si>
  <si>
    <t>ks_b_e_governance</t>
  </si>
  <si>
    <t>directors</t>
  </si>
  <si>
    <t>ks_b_independent_directors</t>
  </si>
  <si>
    <t>独立董事人数</t>
  </si>
  <si>
    <t>independent_directors</t>
  </si>
  <si>
    <t>ks_b_revenue_q1</t>
  </si>
  <si>
    <t>2026Q1营业收入</t>
  </si>
  <si>
    <t>ks_b_e_q1</t>
  </si>
  <si>
    <t>未经审计</t>
  </si>
  <si>
    <t>revenue_q1</t>
  </si>
  <si>
    <t>ks_b_core_profit_q1</t>
  </si>
  <si>
    <t>2026Q1扣非归母净利润</t>
  </si>
  <si>
    <t>core_profit_q1</t>
  </si>
  <si>
    <t>ks_b_cfo_q1</t>
  </si>
  <si>
    <t>2026Q1经营净现金流</t>
  </si>
  <si>
    <t>cfo_q1</t>
  </si>
  <si>
    <t>ks_b_prepaid_q1</t>
  </si>
  <si>
    <t>2026Q1末预付款</t>
  </si>
  <si>
    <t>prepaid_q1</t>
  </si>
  <si>
    <t>ks_b_q1_revenue_growth</t>
  </si>
  <si>
    <t>2026Q1收入同比</t>
  </si>
  <si>
    <t>q1_revenue_growth</t>
  </si>
  <si>
    <t>ks_b_yh_revenue</t>
  </si>
  <si>
    <t>合并营业收入</t>
  </si>
  <si>
    <t>ks_b_e_yuhong</t>
  </si>
  <si>
    <t>东方雨虹</t>
  </si>
  <si>
    <t>yh_revenue</t>
  </si>
  <si>
    <t>ks_b_yh_materials</t>
  </si>
  <si>
    <t>防水材料收入</t>
  </si>
  <si>
    <t>yh_materials</t>
  </si>
  <si>
    <t>ks_b_yh_sheet</t>
  </si>
  <si>
    <t>yh_sheet</t>
  </si>
  <si>
    <t>ks_b_bn_revenue</t>
  </si>
  <si>
    <t>ks_b_e_bnbm</t>
  </si>
  <si>
    <t>北新建材</t>
  </si>
  <si>
    <t>bn_revenue</t>
  </si>
  <si>
    <t>ks_b_bn_materials</t>
  </si>
  <si>
    <t>防水建材收入</t>
  </si>
  <si>
    <t>bn_materials</t>
  </si>
  <si>
    <t>ks_b_bn_sheet</t>
  </si>
  <si>
    <t>bn_sheet</t>
  </si>
  <si>
    <t>ks_b_bn_utilization</t>
  </si>
  <si>
    <t>北新防水卷材产能利用率</t>
  </si>
  <si>
    <t>bn_utilization</t>
  </si>
  <si>
    <t>ks_b_chen_held</t>
  </si>
  <si>
    <t>陈伟忠持有科顺股份数</t>
  </si>
  <si>
    <t>ks_b_e_ownership</t>
  </si>
  <si>
    <t>陈伟忠</t>
  </si>
  <si>
    <t>individual_shareholder</t>
  </si>
  <si>
    <t>披露持股统计</t>
  </si>
  <si>
    <t>chen_held</t>
  </si>
  <si>
    <t>股</t>
  </si>
  <si>
    <t>ks_b_chen_pledged</t>
  </si>
  <si>
    <t>陈伟忠所持科顺股份质押数</t>
  </si>
  <si>
    <t>chen_pledged</t>
  </si>
  <si>
    <t>ks_b_ruan_held</t>
  </si>
  <si>
    <t>阮宜宝持有科顺股份数</t>
  </si>
  <si>
    <t>阮宜宝</t>
  </si>
  <si>
    <t>ruan_held</t>
  </si>
  <si>
    <t>ks_b_ruan_pledged</t>
  </si>
  <si>
    <t>阮宜宝所持科顺股份质押数</t>
  </si>
  <si>
    <t>ruan_pledged</t>
  </si>
  <si>
    <t>ks_b_external_guarantee</t>
  </si>
  <si>
    <t>对外担保余额不含子公司</t>
  </si>
  <si>
    <t>ks_b_e_guarantees</t>
  </si>
  <si>
    <t>external_guarantee</t>
  </si>
  <si>
    <t>ks_b_fund_commitment</t>
  </si>
  <si>
    <t>科顺子公司基金认缴</t>
  </si>
  <si>
    <t>ks_b_e_fund</t>
  </si>
  <si>
    <t>investment_commitment</t>
  </si>
  <si>
    <t>2025-07-23</t>
  </si>
  <si>
    <t>已披露合同认缴安排</t>
  </si>
  <si>
    <t>承诺额，不是当年实缴现金</t>
  </si>
  <si>
    <t>fund_commitment</t>
  </si>
  <si>
    <t>ks_b_fund_duration</t>
  </si>
  <si>
    <t>基金拟存续期</t>
  </si>
  <si>
    <t>已披露基金合同安排</t>
  </si>
  <si>
    <t>fund_duration</t>
  </si>
  <si>
    <t>年</t>
  </si>
  <si>
    <t>ks_b_renewed_temp_limit</t>
  </si>
  <si>
    <t>新批准临时补流上限</t>
  </si>
  <si>
    <t>ks_b_e_fund_renew</t>
  </si>
  <si>
    <t>approved_financing_limit</t>
  </si>
  <si>
    <t>董事会审批</t>
  </si>
  <si>
    <t>不是截止日实际用款余额</t>
  </si>
  <si>
    <t>renewed_temp_limit</t>
  </si>
  <si>
    <t>ks_b_gdp_q1_growth</t>
  </si>
  <si>
    <t>全国2026Q1 GDP实际同比</t>
  </si>
  <si>
    <t>ks_b_e_gdp26</t>
  </si>
  <si>
    <t>中国</t>
  </si>
  <si>
    <t>national_statistics</t>
  </si>
  <si>
    <t>国家统计局公布口径</t>
  </si>
  <si>
    <t>gdp_q1_growth</t>
  </si>
  <si>
    <t>ks_b_property25_investment_growth</t>
  </si>
  <si>
    <t>全国2025房地产投资同比</t>
  </si>
  <si>
    <t>ks_b_e_property25</t>
  </si>
  <si>
    <t>property25_investment_growth</t>
  </si>
  <si>
    <t>ks_b_property26_investment_growth</t>
  </si>
  <si>
    <t>全国2026年1至5月房地产投资同比</t>
  </si>
  <si>
    <t>ks_b_e_property26</t>
  </si>
  <si>
    <t>2026-05-31</t>
  </si>
  <si>
    <t>property26_investment_growth</t>
  </si>
  <si>
    <t>ks_b_property26_starts_growth</t>
  </si>
  <si>
    <t>全国2026年1至5月房屋新开工同比</t>
  </si>
  <si>
    <t>property26_starts_growth</t>
  </si>
  <si>
    <t>ks_b_property26_funds_growth</t>
  </si>
  <si>
    <t>全国2026年1至5月开发企业到位资金同比</t>
  </si>
  <si>
    <t>property26_funds_growth</t>
  </si>
  <si>
    <t>ks_b_investment26_growth</t>
  </si>
  <si>
    <t>全国2026年1至5月固定资产投资同比</t>
  </si>
  <si>
    <t>ks_b_e_investment26</t>
  </si>
  <si>
    <t>investment26_growth</t>
  </si>
  <si>
    <t>ks_b_infrastructure26_growth</t>
  </si>
  <si>
    <t>全国2026年1至5月基础设施投资同比</t>
  </si>
  <si>
    <t>infrastructure26_growth</t>
  </si>
  <si>
    <t>ks_b_score_macro_center</t>
  </si>
  <si>
    <t>宏观经济研究分档中心</t>
  </si>
  <si>
    <t>ks_b_e_gdp26, ks_b_e_investment26</t>
  </si>
  <si>
    <t>assumption</t>
  </si>
  <si>
    <t>独立分析者判断，按公开方法因素组织</t>
  </si>
  <si>
    <t>本稿独立工作刻度，较高分代表较强；非机构实际因素得分、非公开方法机械阈值、非概率置信区间；中心与相邻范围须共同披露。</t>
  </si>
  <si>
    <t>score_macro_center</t>
  </si>
  <si>
    <t>分（六分制研究刻度）</t>
  </si>
  <si>
    <t>ks_b_score_macro_low</t>
  </si>
  <si>
    <t>宏观经济研究分档相邻下界</t>
  </si>
  <si>
    <t>score_macro_low</t>
  </si>
  <si>
    <t>ks_b_score_macro_high</t>
  </si>
  <si>
    <t>宏观经济研究分档相邻上界</t>
  </si>
  <si>
    <t>score_macro_high</t>
  </si>
  <si>
    <t>ks_b_score_industry_center</t>
  </si>
  <si>
    <t>行业风险研究分档中心</t>
  </si>
  <si>
    <t>ks_b_e_property26, ks_b_e_standard_sheet, ks_b_e_renewal</t>
  </si>
  <si>
    <t>score_industry_center</t>
  </si>
  <si>
    <t>ks_b_score_industry_low</t>
  </si>
  <si>
    <t>行业风险研究分档相邻下界</t>
  </si>
  <si>
    <t>score_industry_low</t>
  </si>
  <si>
    <t>ks_b_score_industry_high</t>
  </si>
  <si>
    <t>行业风险研究分档相邻上界</t>
  </si>
  <si>
    <t>score_industry_high</t>
  </si>
  <si>
    <t>ks_b_score_market_center</t>
  </si>
  <si>
    <t>细分市场地位研究分档中心</t>
  </si>
  <si>
    <t>ks_b_e_operations, ks_b_e_yuhong, ks_b_e_bnbm</t>
  </si>
  <si>
    <t>score_market_center</t>
  </si>
  <si>
    <t>ks_b_score_market_low</t>
  </si>
  <si>
    <t>细分市场地位研究分档相邻下界</t>
  </si>
  <si>
    <t>score_market_low</t>
  </si>
  <si>
    <t>ks_b_score_market_high</t>
  </si>
  <si>
    <t>细分市场地位研究分档相邻上界</t>
  </si>
  <si>
    <t>score_market_high</t>
  </si>
  <si>
    <t>ks_b_score_resources_center</t>
  </si>
  <si>
    <t>核心运营禀赋研究分档中心</t>
  </si>
  <si>
    <t>ks_b_e_operations, ks_b_e_cost_risk</t>
  </si>
  <si>
    <t>score_resources_center</t>
  </si>
  <si>
    <t>ks_b_score_resources_low</t>
  </si>
  <si>
    <t>核心运营禀赋研究分档相邻下界</t>
  </si>
  <si>
    <t>score_resources_low</t>
  </si>
  <si>
    <t>ks_b_score_resources_high</t>
  </si>
  <si>
    <t>核心运营禀赋研究分档相邻上界</t>
  </si>
  <si>
    <t>score_resources_high</t>
  </si>
  <si>
    <t>ks_b_score_diversity_center</t>
  </si>
  <si>
    <t>业务多元与协同研究分档中心</t>
  </si>
  <si>
    <t>ks_b_e_structure, ks_b_e_operations</t>
  </si>
  <si>
    <t>score_diversity_center</t>
  </si>
  <si>
    <t>ks_b_score_diversity_low</t>
  </si>
  <si>
    <t>业务多元与协同研究分档相邻下界</t>
  </si>
  <si>
    <t>score_diversity_low</t>
  </si>
  <si>
    <t>ks_b_score_diversity_high</t>
  </si>
  <si>
    <t>业务多元与协同研究分档相邻上界</t>
  </si>
  <si>
    <t>score_diversity_high</t>
  </si>
  <si>
    <t>ks_b_score_governance_center</t>
  </si>
  <si>
    <t>法人治理结构研究分档中心</t>
  </si>
  <si>
    <t>ks_b_e_governance, ks_b_e_ownership</t>
  </si>
  <si>
    <t>score_governance_center</t>
  </si>
  <si>
    <t>ks_b_score_governance_low</t>
  </si>
  <si>
    <t>法人治理结构研究分档相邻下界</t>
  </si>
  <si>
    <t>score_governance_low</t>
  </si>
  <si>
    <t>ks_b_score_governance_high</t>
  </si>
  <si>
    <t>法人治理结构研究分档相邻上界</t>
  </si>
  <si>
    <t>score_governance_high</t>
  </si>
  <si>
    <t>ks_b_score_management_center</t>
  </si>
  <si>
    <t>管理执行研究分档中心</t>
  </si>
  <si>
    <t>ks_b_e_cash, ks_b_e_fund_control, ks_b_e_distribution</t>
  </si>
  <si>
    <t>score_management_center</t>
  </si>
  <si>
    <t>ks_b_score_management_low</t>
  </si>
  <si>
    <t>管理执行研究分档相邻下界</t>
  </si>
  <si>
    <t>score_management_low</t>
  </si>
  <si>
    <t>ks_b_score_management_high</t>
  </si>
  <si>
    <t>管理执行研究分档相邻上界</t>
  </si>
  <si>
    <t>score_management_high</t>
  </si>
  <si>
    <t>ks_b_score_chain_center</t>
  </si>
  <si>
    <t>产业链控制研究分档中心</t>
  </si>
  <si>
    <t>ks_b_e_structure, ks_b_e_cost_risk</t>
  </si>
  <si>
    <t>score_chain_center</t>
  </si>
  <si>
    <t>ks_b_score_chain_low</t>
  </si>
  <si>
    <t>产业链控制研究分档相邻下界</t>
  </si>
  <si>
    <t>score_chain_low</t>
  </si>
  <si>
    <t>ks_b_score_chain_high</t>
  </si>
  <si>
    <t>产业链控制研究分档相邻上界</t>
  </si>
  <si>
    <t>score_chain_high</t>
  </si>
  <si>
    <t>ks_b_sheet25</t>
  </si>
  <si>
    <t>科顺2025防水卷材收入</t>
  </si>
  <si>
    <t>与同行规格/产品组合并非完全一致</t>
  </si>
  <si>
    <t>waterproof_sheet_revenue</t>
  </si>
  <si>
    <t>ks_b_control_share_chen</t>
  </si>
  <si>
    <t>控制人持科顺股份比例陈伟忠</t>
  </si>
  <si>
    <t>issuer_ownership</t>
  </si>
  <si>
    <t>年报持股披露</t>
  </si>
  <si>
    <t>披露百分比有舍入；另有一致行动人</t>
  </si>
  <si>
    <t>controller_share_ratio_chen</t>
  </si>
  <si>
    <t>ks_b_control_share_ruan</t>
  </si>
  <si>
    <t>控制人持科顺股份比例阮宜宝</t>
  </si>
  <si>
    <t>controller_share_ratio_ruan</t>
  </si>
  <si>
    <t>ks_b_assumed_stress_low_domestic</t>
  </si>
  <si>
    <t>压力下界境内收入同比假设</t>
  </si>
  <si>
    <t>ks_b_e_structure, ks_b_e_q1, ks_b_e_property26, ks_b_e_investment26</t>
  </si>
  <si>
    <t>2026-12-31</t>
  </si>
  <si>
    <t>截至2026-06-30独立研究情景</t>
  </si>
  <si>
    <t>研究者选择的压力/基准/改善范围；并非订单指导、发行人承诺、机构预测或概率置信区间。境内考虑季度改善及建设需求疲软，境外考虑低基数增长但不假定持续上年增速。</t>
  </si>
  <si>
    <t>revenue_growth_assumption_domestic</t>
  </si>
  <si>
    <t>ks_b_assumed_stress_low_overseas</t>
  </si>
  <si>
    <t>压力下界境外收入同比假设</t>
  </si>
  <si>
    <t>revenue_growth_assumption_overseas</t>
  </si>
  <si>
    <t>ks_b_assumed_stress_high_domestic</t>
  </si>
  <si>
    <t>压力上界境内收入同比假设</t>
  </si>
  <si>
    <t>ks_b_assumed_stress_high_overseas</t>
  </si>
  <si>
    <t>压力上界境外收入同比假设</t>
  </si>
  <si>
    <t>ks_b_assumed_base_low_domestic</t>
  </si>
  <si>
    <t>基准下界境内收入同比假设</t>
  </si>
  <si>
    <t>ks_b_assumed_base_low_overseas</t>
  </si>
  <si>
    <t>基准下界境外收入同比假设</t>
  </si>
  <si>
    <t>ks_b_assumed_base_high_domestic</t>
  </si>
  <si>
    <t>基准上界境内收入同比假设</t>
  </si>
  <si>
    <t>ks_b_assumed_base_high_overseas</t>
  </si>
  <si>
    <t>基准上界境外收入同比假设</t>
  </si>
  <si>
    <t>ks_b_assumed_improve_low_domestic</t>
  </si>
  <si>
    <t>改善下界境内收入同比假设</t>
  </si>
  <si>
    <t>ks_b_assumed_improve_low_overseas</t>
  </si>
  <si>
    <t>改善下界境外收入同比假设</t>
  </si>
  <si>
    <t>ks_b_assumed_improve_high_domestic</t>
  </si>
  <si>
    <t>改善上界境内收入同比假设</t>
  </si>
  <si>
    <t>ks_b_assumed_improve_high_overseas</t>
  </si>
  <si>
    <t>改善上界境外收入同比假设</t>
  </si>
  <si>
    <t>ks_d_f_bond_book_2025</t>
  </si>
  <si>
    <t>年末应付债券账面余额</t>
  </si>
  <si>
    <t>ks_d_e_bond_accounting</t>
  </si>
  <si>
    <t>本片段引用：根底稿可与相同年报、相同页行、相同口径的事实合并；不得因此改为归母口径。</t>
  </si>
  <si>
    <t>bonds_payable_carrying_amount</t>
  </si>
  <si>
    <t>ks_d_f_equity_total_2025</t>
  </si>
  <si>
    <t>年末合并所有者权益合计</t>
  </si>
  <si>
    <t>ks_d_e_equity</t>
  </si>
  <si>
    <t>total_equity</t>
  </si>
  <si>
    <t>ks_d_f_equity_parent_2025</t>
  </si>
  <si>
    <t>年末归母权益（口径对照）</t>
  </si>
  <si>
    <t>本片段引用；不是累计债券余额筛查采用的合并总权益分母。</t>
  </si>
  <si>
    <t>equity_attributable_to_parent</t>
  </si>
  <si>
    <t>ks_d_f_equity_minor_2025</t>
  </si>
  <si>
    <t>年末少数股东权益（口径对照）</t>
  </si>
  <si>
    <t>本片段引用。</t>
  </si>
  <si>
    <t>noncontrolling_interests</t>
  </si>
  <si>
    <t>ks_d_f_bond_book_2024</t>
  </si>
  <si>
    <t>年初应付债券账面余额</t>
  </si>
  <si>
    <t>年报债券变动表原始期初；不改写为本年流量。</t>
  </si>
  <si>
    <t>ks_d_f_book_accrual</t>
  </si>
  <si>
    <t>本年按面值计提利息</t>
  </si>
  <si>
    <t>本片段引用；按年报债券变动表披露列取值。</t>
  </si>
  <si>
    <t>bond_coupon_accrual</t>
  </si>
  <si>
    <t>ks_d_f_book_amort</t>
  </si>
  <si>
    <t>本年债券溢折价摊销</t>
  </si>
  <si>
    <t>bond_discount_amortization</t>
  </si>
  <si>
    <t>ks_d_f_book_interest_paid</t>
  </si>
  <si>
    <t>本年债券支付利息</t>
  </si>
  <si>
    <t>bond_interest_paid</t>
  </si>
  <si>
    <t>ks_d_f_book_conversion</t>
  </si>
  <si>
    <t>本年债券账面表转股扣减</t>
  </si>
  <si>
    <t>bond_conversion_carrying_movement</t>
  </si>
  <si>
    <t>ks_d_f_covenant_limit</t>
  </si>
  <si>
    <t>持续财务承诺比例上限</t>
  </si>
  <si>
    <t>ks_d_e_commitment, ks_d_e_commitment_origin</t>
  </si>
  <si>
    <t>issuer_convertible</t>
  </si>
  <si>
    <t>2023-08-02</t>
  </si>
  <si>
    <t>科顺转债合同面值及条款</t>
  </si>
  <si>
    <t>承诺订立时的原始条件，持续期间解释尚未闭合；不是2025年已验证履约结果。</t>
  </si>
  <si>
    <t>stated_covenant_limit</t>
  </si>
  <si>
    <t>ks_d_f_face_issued</t>
  </si>
  <si>
    <t>实际发行总面值</t>
  </si>
  <si>
    <t>ks_d_e_face_2025, ks_d_e_issue_coupon</t>
  </si>
  <si>
    <t>2023-08-04</t>
  </si>
  <si>
    <t>原币种单位人民币元；实际发行金额取年报累计转股表，发行起日取募集书；不以募集书发行额度上限代替已完成发行。</t>
  </si>
  <si>
    <t>convertible_nominal_principal</t>
  </si>
  <si>
    <t>ks_d_f_face_2024</t>
  </si>
  <si>
    <t>期初未转股面值</t>
  </si>
  <si>
    <t>ks_d_e_face_2025</t>
  </si>
  <si>
    <t>ks_d_f_face_2025</t>
  </si>
  <si>
    <t>年末未转股面值</t>
  </si>
  <si>
    <t>ks_d_f_face_conversion_2025</t>
  </si>
  <si>
    <t>本年已转股面值</t>
  </si>
  <si>
    <t>converted_nominal_principal</t>
  </si>
  <si>
    <t>ks_d_f_face_q1</t>
  </si>
  <si>
    <t>一季度末未转股面值</t>
  </si>
  <si>
    <t>ks_d_e_face_q1</t>
  </si>
  <si>
    <t>截止日前最新已取得季度转股余额；保留原始季度末日期，不声称为六月末实际余额。</t>
  </si>
  <si>
    <t>ks_d_f_face_conversion_q1</t>
  </si>
  <si>
    <t>一季度已转股面值</t>
  </si>
  <si>
    <t>ks_d_f_face_cutoff</t>
  </si>
  <si>
    <t>截止日实际未转股面值</t>
  </si>
  <si>
    <t>已取得的季度余额截止三月末；不得以截止日以后披露的二季度公告倒灌，也不把三月末余额改写成六月末。</t>
  </si>
  <si>
    <t>ks_d_f_coupon_1</t>
  </si>
  <si>
    <t>第1计息年度票面利率</t>
  </si>
  <si>
    <t>ks_d_e_issue_coupon</t>
  </si>
  <si>
    <t>2024-08-03</t>
  </si>
  <si>
    <t>发行时已约定的适用计息期间和利率，不代表该未来期间已付息。</t>
  </si>
  <si>
    <t>contractual_coupon_rate</t>
  </si>
  <si>
    <t>ks_d_f_coupon_2</t>
  </si>
  <si>
    <t>第2计息年度票面利率</t>
  </si>
  <si>
    <t>2024-08-04</t>
  </si>
  <si>
    <t>2025-08-03</t>
  </si>
  <si>
    <t>ks_d_f_coupon_3</t>
  </si>
  <si>
    <t>第3计息年度票面利率</t>
  </si>
  <si>
    <t>2025-08-04</t>
  </si>
  <si>
    <t>2026-08-03</t>
  </si>
  <si>
    <t>ks_d_f_coupon_4</t>
  </si>
  <si>
    <t>第4计息年度票面利率</t>
  </si>
  <si>
    <t>2026-08-04</t>
  </si>
  <si>
    <t>2027-08-03</t>
  </si>
  <si>
    <t>ks_d_f_coupon_5</t>
  </si>
  <si>
    <t>第5计息年度票面利率</t>
  </si>
  <si>
    <t>2027-08-04</t>
  </si>
  <si>
    <t>2028-08-03</t>
  </si>
  <si>
    <t>ks_d_f_coupon_6</t>
  </si>
  <si>
    <t>第6计息年度票面利率</t>
  </si>
  <si>
    <t>2028-08-04</t>
  </si>
  <si>
    <t>2029-08-03</t>
  </si>
  <si>
    <t>ks_d_f_maturity_multiple</t>
  </si>
  <si>
    <t>到期兑付面值比例（含末息）</t>
  </si>
  <si>
    <t>ks_d_e_maturity_call</t>
  </si>
  <si>
    <t>到期赎回条款；末期票息已包含，不另加。</t>
  </si>
  <si>
    <t>maturity_redemption_multiple</t>
  </si>
  <si>
    <t>ks_d_f_put_threshold</t>
  </si>
  <si>
    <t>普通回售股价比例条件</t>
  </si>
  <si>
    <t>ks_d_e_put</t>
  </si>
  <si>
    <t>与当期转股价格联动，其他时间、程序及行权条件须同时判断。</t>
  </si>
  <si>
    <t>contractual_share_price_trigger_ratio</t>
  </si>
  <si>
    <t>ks_d_f_revision_threshold</t>
  </si>
  <si>
    <t>下修股价比例条件</t>
  </si>
  <si>
    <t>ks_d_e_revision</t>
  </si>
  <si>
    <t>ks_d_f_call_threshold</t>
  </si>
  <si>
    <t>有条件赎回股价比例条件</t>
  </si>
  <si>
    <t>ks_d_f_call_small_balance</t>
  </si>
  <si>
    <t>有条件赎回余额阈值</t>
  </si>
  <si>
    <t>原文为余额不足该金额，发行人有选择权；不是必定赎回。</t>
  </si>
  <si>
    <t>conditional_call_small_balance</t>
  </si>
  <si>
    <t>ks_d_f_price_2025_jun</t>
  </si>
  <si>
    <t>六月调整后转股价</t>
  </si>
  <si>
    <t>ks_d_e_price_history</t>
  </si>
  <si>
    <t>科顺转债转股权</t>
  </si>
  <si>
    <t>2025-06-04</t>
  </si>
  <si>
    <t>已执行转股条款</t>
  </si>
  <si>
    <t>原币种单位人民币元/股；后续已调整。</t>
  </si>
  <si>
    <t>conversion_price</t>
  </si>
  <si>
    <t>每股</t>
  </si>
  <si>
    <t>ks_d_f_price_2025_sep</t>
  </si>
  <si>
    <t>九月调整后转股价</t>
  </si>
  <si>
    <t>ks_d_e_price_history, ks_d_e_price_latest</t>
  </si>
  <si>
    <t>2025-09-24</t>
  </si>
  <si>
    <t>ks_d_f_price_latest</t>
  </si>
  <si>
    <t>五月实施后转股价</t>
  </si>
  <si>
    <t>ks_d_e_price_latest, ks_d_e_distribution</t>
  </si>
  <si>
    <t>2026-05-26</t>
  </si>
  <si>
    <t>原币种单位人民币元/股；按截止日前已取得的后续执行公告选取。</t>
  </si>
  <si>
    <t>ks_d_f_dividend_per_share</t>
  </si>
  <si>
    <t>本次每股现金分红</t>
  </si>
  <si>
    <t>ks_d_e_price_latest</t>
  </si>
  <si>
    <t>原币种单位人民币元/股，来自价格调整公告；分派公告等价披露每十股现金金额。</t>
  </si>
  <si>
    <t>cash_dividend_per_share</t>
  </si>
  <si>
    <t>ks_d_f_fund_net</t>
  </si>
  <si>
    <t>截至年末累计净募集资金（对照表万元口径）</t>
  </si>
  <si>
    <t>ks_d_e_fund_balance</t>
  </si>
  <si>
    <t>募集资金账户及暂时补流</t>
  </si>
  <si>
    <t>募集资金现金收支披露</t>
  </si>
  <si>
    <t>原币种单位人民币万元，取年度对照表p9；这里记录截至年末累计收支表的存量输入，实际募集到账在发行年度，不作为2025年收款。</t>
  </si>
  <si>
    <t>cumulative_net_proceeds_in_use_table</t>
  </si>
  <si>
    <t>ks_d_f_fund_used</t>
  </si>
  <si>
    <t>累计已使用募集资金</t>
  </si>
  <si>
    <t>原币种单位人民币万元；累计收支为截至年末累计数，不能作为单年现金流。</t>
  </si>
  <si>
    <t>cumulative_proceeds_used</t>
  </si>
  <si>
    <t>ks_d_f_fund_interest</t>
  </si>
  <si>
    <t>募集资金累计净利息</t>
  </si>
  <si>
    <t>cumulative_proceeds_interest</t>
  </si>
  <si>
    <t>ks_d_f_fund_total</t>
  </si>
  <si>
    <t>期末尚未使用募集资金总额</t>
  </si>
  <si>
    <t>remaining_proceeds</t>
  </si>
  <si>
    <t>ks_d_f_fund_temp_2025</t>
  </si>
  <si>
    <t>期末暂时补流资金余额</t>
  </si>
  <si>
    <t>temporary_liquidity_use</t>
  </si>
  <si>
    <t>ks_d_f_fund_special_2025</t>
  </si>
  <si>
    <t>期末募集专户余额</t>
  </si>
  <si>
    <t>proceeds_special_account_balance</t>
  </si>
  <si>
    <t>ks_d_f_fund_returned</t>
  </si>
  <si>
    <t>旧一期实际归还专户总额</t>
  </si>
  <si>
    <t>ks_d_e_fund_return</t>
  </si>
  <si>
    <t>2025-01-10</t>
  </si>
  <si>
    <t>原币种单位人民币万元；累计截至公告日已归还，公告没有逐日支付明细。恢复专款用途，不是另行外部债务偿还。</t>
  </si>
  <si>
    <t>proceeds_restored_to_special_account</t>
  </si>
  <si>
    <t>ks_d_f_fund_new_cap</t>
  </si>
  <si>
    <t>新一期批准临时补流额度上限</t>
  </si>
  <si>
    <t>ks_d_e_fund_new</t>
  </si>
  <si>
    <t>人民币万元；仅为批准额度，不填为实际支用。</t>
  </si>
  <si>
    <t>temporary_liquidity_authorization_cap</t>
  </si>
  <si>
    <t>ks_d_f_fund_temp_cutoff</t>
  </si>
  <si>
    <t>截止日新一期实际临时补流占用</t>
  </si>
  <si>
    <t>现有批准公告不足以确定截止日实际转出、已归还及净占用；需要专户和一般户对账及占用流水。</t>
  </si>
  <si>
    <t>ks_d_f_observation_days</t>
  </si>
  <si>
    <t>价格条件滚动观察期</t>
  </si>
  <si>
    <t>ks_d_e_put, ks_d_e_revision, ks_d_e_maturity_call</t>
  </si>
  <si>
    <t>发行时已约定的交易日计数；普通回售要求整个观察期连续每日低于门槛，下修和有条件赎回为窗口内最低达标日数。</t>
  </si>
  <si>
    <t>contractual_price_observation_days</t>
  </si>
  <si>
    <t>交易日</t>
  </si>
  <si>
    <t>ks_d_f_trigger_days</t>
  </si>
  <si>
    <t>下修或有条件赎回的窗口内最低达标交易日</t>
  </si>
  <si>
    <t>ks_d_e_revision, ks_d_e_maturity_call</t>
  </si>
  <si>
    <t>contractual_price_qualifying_days</t>
  </si>
  <si>
    <t>ks_d_l_f_q1_2026_customerscash</t>
  </si>
  <si>
    <t>销售商品提供劳务收到现金（原季报2026Q1列）</t>
  </si>
  <si>
    <t>ks_d_l_f_q1_2026_customerscash_e</t>
  </si>
  <si>
    <t>中国企业会计准则；原报告列示口径</t>
  </si>
  <si>
    <t>本期未经审计；上期比较列未据此假定已对所有同控范围项目重述。</t>
  </si>
  <si>
    <t>q1_2026_customerscash</t>
  </si>
  <si>
    <t>ks_d_l_f_q1_2025_customerscash</t>
  </si>
  <si>
    <t>销售商品提供劳务收到现金（原季报2025Q1列）</t>
  </si>
  <si>
    <t>ks_d_l_f_q1_2025_customerscash_e</t>
  </si>
  <si>
    <t>2025-03-31</t>
  </si>
  <si>
    <t>q1_2025_customerscash</t>
  </si>
  <si>
    <t>ks_d_l_f_q1_2026_suppliercash</t>
  </si>
  <si>
    <t>购买商品接受劳务支付现金（原季报2026Q1列）</t>
  </si>
  <si>
    <t>ks_d_l_f_q1_2026_suppliercash_e</t>
  </si>
  <si>
    <t>q1_2026_suppliercash</t>
  </si>
  <si>
    <t>ks_d_l_f_q1_2025_suppliercash</t>
  </si>
  <si>
    <t>购买商品接受劳务支付现金（原季报2025Q1列）</t>
  </si>
  <si>
    <t>ks_d_l_f_q1_2025_suppliercash_e</t>
  </si>
  <si>
    <t>q1_2025_suppliercash</t>
  </si>
  <si>
    <t>ks_d_l_f_q1_2026_employeecash</t>
  </si>
  <si>
    <t>职工支付现金（原季报2026Q1列）</t>
  </si>
  <si>
    <t>ks_d_l_f_q1_2026_employeecash_e</t>
  </si>
  <si>
    <t>q1_2026_employeecash</t>
  </si>
  <si>
    <t>ks_d_l_f_q1_2025_employeecash</t>
  </si>
  <si>
    <t>职工支付现金（原季报2025Q1列）</t>
  </si>
  <si>
    <t>ks_d_l_f_q1_2025_employeecash_e</t>
  </si>
  <si>
    <t>q1_2025_employeecash</t>
  </si>
  <si>
    <t>ks_d_l_f_q1_2026_taxcash</t>
  </si>
  <si>
    <t>支付税费（原季报2026Q1列）</t>
  </si>
  <si>
    <t>ks_d_l_f_q1_2026_taxcash_e</t>
  </si>
  <si>
    <t>q1_2026_taxcash</t>
  </si>
  <si>
    <t>ks_d_l_f_q1_2025_taxcash</t>
  </si>
  <si>
    <t>支付税费（原季报2025Q1列）</t>
  </si>
  <si>
    <t>ks_d_l_f_q1_2025_taxcash_e</t>
  </si>
  <si>
    <t>q1_2025_taxcash</t>
  </si>
  <si>
    <t>ks_d_l_f_q1_2026_otheropcashin</t>
  </si>
  <si>
    <t>其他经营流入（原季报2026Q1列）</t>
  </si>
  <si>
    <t>ks_d_l_f_q1_2026_otheropcashin_e</t>
  </si>
  <si>
    <t>q1_2026_otheropcashin</t>
  </si>
  <si>
    <t>ks_d_l_f_q1_2025_otheropcashin</t>
  </si>
  <si>
    <t>其他经营流入（原季报2025Q1列）</t>
  </si>
  <si>
    <t>ks_d_l_f_q1_2025_otheropcashin_e</t>
  </si>
  <si>
    <t>q1_2025_otheropcashin</t>
  </si>
  <si>
    <t>ks_d_l_f_q1_2026_otheropcashout</t>
  </si>
  <si>
    <t>其他经营流出（原季报2026Q1列）</t>
  </si>
  <si>
    <t>ks_d_l_f_q1_2026_otheropcashout_e</t>
  </si>
  <si>
    <t>q1_2026_otheropcashout</t>
  </si>
  <si>
    <t>ks_d_l_f_q1_2025_otheropcashout</t>
  </si>
  <si>
    <t>其他经营流出（原季报2025Q1列）</t>
  </si>
  <si>
    <t>ks_d_l_f_q1_2025_otheropcashout_e</t>
  </si>
  <si>
    <t>q1_2025_otheropcashout</t>
  </si>
  <si>
    <t>ks_d_l_f_q1_2026_borrowcash</t>
  </si>
  <si>
    <t>取得借款现金（原季报2026Q1列）</t>
  </si>
  <si>
    <t>ks_d_l_f_q1_2026_borrowcash_e</t>
  </si>
  <si>
    <t>q1_2026_borrowcash</t>
  </si>
  <si>
    <t>ks_d_l_f_q1_2025_borrowcash</t>
  </si>
  <si>
    <t>取得借款现金（原季报2025Q1列）</t>
  </si>
  <si>
    <t>ks_d_l_f_q1_2025_borrowcash_e</t>
  </si>
  <si>
    <t>q1_2025_borrowcash</t>
  </si>
  <si>
    <t>ks_d_l_f_q1_2026_repaycash</t>
  </si>
  <si>
    <t>偿还债务现金（原季报2026Q1列）</t>
  </si>
  <si>
    <t>ks_d_l_f_q1_2026_repaycash_e</t>
  </si>
  <si>
    <t>q1_2026_repaycash</t>
  </si>
  <si>
    <t>ks_d_l_f_q1_2025_repaycash</t>
  </si>
  <si>
    <t>偿还债务现金（原季报2025Q1列）</t>
  </si>
  <si>
    <t>ks_d_l_f_q1_2025_repaycash_e</t>
  </si>
  <si>
    <t>q1_2025_repaycash</t>
  </si>
  <si>
    <t>ks_d_l_f_q1_2026_otherfinin</t>
  </si>
  <si>
    <t>其他筹资现金流入（原季报2026Q1列）</t>
  </si>
  <si>
    <t>ks_d_l_f_q1_2026_otherfinin_e</t>
  </si>
  <si>
    <t>q1_2026_otherfinin</t>
  </si>
  <si>
    <t>ks_d_l_f_q1_2025_otherfinin</t>
  </si>
  <si>
    <t>其他筹资现金流入（原季报2025Q1列）</t>
  </si>
  <si>
    <t>ks_d_l_f_q1_2025_otherfinin_e</t>
  </si>
  <si>
    <t>q1_2025_otherfinin</t>
  </si>
  <si>
    <t>ks_d_l_f_q1_2026_divinterestcash</t>
  </si>
  <si>
    <t>股利利润或利息现金（原季报2026Q1列）</t>
  </si>
  <si>
    <t>ks_d_l_f_q1_2026_divinterestcash_e</t>
  </si>
  <si>
    <t>q1_2026_divinterestcash</t>
  </si>
  <si>
    <t>ks_d_l_f_q1_2025_divinterestcash</t>
  </si>
  <si>
    <t>股利利润或利息现金（原季报2025Q1列）</t>
  </si>
  <si>
    <t>ks_d_l_f_q1_2025_divinterestcash_e</t>
  </si>
  <si>
    <t>q1_2025_divinterestcash</t>
  </si>
  <si>
    <t>ks_d_l_f_q1_2026_otherfinout</t>
  </si>
  <si>
    <t>其他筹资现金流出（原季报2026Q1列）</t>
  </si>
  <si>
    <t>ks_d_l_f_q1_2026_otherfinout_e</t>
  </si>
  <si>
    <t>q1_2026_otherfinout</t>
  </si>
  <si>
    <t>ks_d_l_f_q1_2025_otherfinout</t>
  </si>
  <si>
    <t>其他筹资现金流出（原季报2025Q1列）</t>
  </si>
  <si>
    <t>ks_d_l_f_q1_2025_otherfinout_e</t>
  </si>
  <si>
    <t>q1_2025_otherfinout</t>
  </si>
  <si>
    <t>ks_d_l_f_q1_2025_capex</t>
  </si>
  <si>
    <t>资本开支（原季报上年同期）</t>
  </si>
  <si>
    <t>ks_d_l_f_q1_2025_capex_e</t>
  </si>
  <si>
    <t>q1_2025_capex</t>
  </si>
  <si>
    <t>ks_d_l_f_q1_2025_cfo</t>
  </si>
  <si>
    <t>上年一季度经营现金净额</t>
  </si>
  <si>
    <t>ks_d_l_f_q1_2025_cfo_e</t>
  </si>
  <si>
    <t>2025年报季度指标；与季报原上期CFO相符</t>
  </si>
  <si>
    <t>q1_2025_cfo</t>
  </si>
  <si>
    <t>ks_d_l_f_q1_2025_revenue</t>
  </si>
  <si>
    <t>上年一季度收入</t>
  </si>
  <si>
    <t>ks_d_l_f_q1_2025_revenue_e</t>
  </si>
  <si>
    <t>q1_2025_revenue</t>
  </si>
  <si>
    <t>ks_d_l_f_2025_q2_revenue</t>
  </si>
  <si>
    <t>季度收入</t>
  </si>
  <si>
    <t>ks_d_l_f_2025_q2_revenue_e</t>
  </si>
  <si>
    <t>2025-04-01</t>
  </si>
  <si>
    <t>2025-06-30</t>
  </si>
  <si>
    <t>2025_q2_revenue</t>
  </si>
  <si>
    <t>ks_d_l_f_2025_q2_cfo</t>
  </si>
  <si>
    <t>季度经营现金净额</t>
  </si>
  <si>
    <t>ks_d_l_f_2025_q2_cfo_e</t>
  </si>
  <si>
    <t>2025_q2_cfo</t>
  </si>
  <si>
    <t>ks_d_l_f_2025_q3_revenue</t>
  </si>
  <si>
    <t>ks_d_l_f_2025_q3_revenue_e</t>
  </si>
  <si>
    <t>2025-07-01</t>
  </si>
  <si>
    <t>2025-09-30</t>
  </si>
  <si>
    <t>2025_q3_revenue</t>
  </si>
  <si>
    <t>ks_d_l_f_2025_q3_cfo</t>
  </si>
  <si>
    <t>ks_d_l_f_2025_q3_cfo_e</t>
  </si>
  <si>
    <t>2025_q3_cfo</t>
  </si>
  <si>
    <t>ks_d_l_f_2025_q4_revenue</t>
  </si>
  <si>
    <t>ks_d_l_f_2025_q4_revenue_e</t>
  </si>
  <si>
    <t>2025_q4_revenue</t>
  </si>
  <si>
    <t>ks_d_l_f_2025_q4_cfo</t>
  </si>
  <si>
    <t>ks_d_l_f_2025_q4_cfo_e</t>
  </si>
  <si>
    <t>2025_q4_cfo</t>
  </si>
  <si>
    <t>ks_d_l_f_taxrefund_2025</t>
  </si>
  <si>
    <t>全年税费返还</t>
  </si>
  <si>
    <t>ks_d_l_f_taxrefund_2025_e</t>
  </si>
  <si>
    <t>taxrefund_2025</t>
  </si>
  <si>
    <t>ks_d_l_f_q1_ap</t>
  </si>
  <si>
    <t>一季度末应付账款</t>
  </si>
  <si>
    <t>ks_d_l_f_q1_ap_e</t>
  </si>
  <si>
    <t>q1_ap</t>
  </si>
  <si>
    <t>ks_d_l_f_q1_trading</t>
  </si>
  <si>
    <t>一季度末交易性金融资产</t>
  </si>
  <si>
    <t>ks_d_l_f_q1_trading_e</t>
  </si>
  <si>
    <t>不自动当现金来源；赎回时间、损失和用途约束未核验。</t>
  </si>
  <si>
    <t>q1_trading</t>
  </si>
  <si>
    <t>ks_d_l_f_st_accrued_2025</t>
  </si>
  <si>
    <t>短期借款内含应付利息</t>
  </si>
  <si>
    <t>ks_d_l_f_st_accrued_2025_e</t>
  </si>
  <si>
    <t>st_accrued_2025</t>
  </si>
  <si>
    <t>ks_d_l_f_current_lt_principal_2025</t>
  </si>
  <si>
    <t>一年内到期长期借款本金（保证）</t>
  </si>
  <si>
    <t>ks_d_l_f_current_lt_principal_2025_e</t>
  </si>
  <si>
    <t>另有抵押本金，不能仅凭本项滚动预测2026年末。</t>
  </si>
  <si>
    <t>current_lt_principal_2025</t>
  </si>
  <si>
    <t>ks_d_l_f_current_lt_mortgage_2025</t>
  </si>
  <si>
    <t>一年内到期长期借款本金（抵押）</t>
  </si>
  <si>
    <t>ks_d_l_f_current_lt_mortgage_2025_e</t>
  </si>
  <si>
    <t>current_lt_mortgage_2025</t>
  </si>
  <si>
    <t>ks_d_l_f_current_lt_interest_2025</t>
  </si>
  <si>
    <t>一年内到期长期借款利息</t>
  </si>
  <si>
    <t>ks_d_l_f_current_lt_interest_2025_e</t>
  </si>
  <si>
    <t>current_lt_interest_2025</t>
  </si>
  <si>
    <t>ks_d_l_f_current_lease_2025</t>
  </si>
  <si>
    <t>ks_d_l_f_current_lease_2025_e</t>
  </si>
  <si>
    <t>current_lease_2025</t>
  </si>
  <si>
    <t>ks_d_l_f_current_provision_2025</t>
  </si>
  <si>
    <t>ks_d_l_f_current_provision_2025_e</t>
  </si>
  <si>
    <t>current_provision_2025</t>
  </si>
  <si>
    <t>ks_d_l_f_unused_facility_2025</t>
  </si>
  <si>
    <t>年末尚未使用银行借款额度</t>
  </si>
  <si>
    <t>ks_d_l_f_unused_facility_2025_e</t>
  </si>
  <si>
    <t>此金额换算成元仅供模型展示；原单位万元保存在后述原文锚。管理层称取得备用承诺，但合同可提条件、有效期限和截至六月可用性未核验，不计入模型已落实融资。</t>
  </si>
  <si>
    <t>unused_facility_2025</t>
  </si>
  <si>
    <t>ks_d_l_f_dividend_shares</t>
  </si>
  <si>
    <t>分红实施公告所用股本基数</t>
  </si>
  <si>
    <t>ks_d_l_f_dividend_shares_e</t>
  </si>
  <si>
    <t>母公司普通股</t>
  </si>
  <si>
    <t>2026-05-18</t>
  </si>
  <si>
    <t>权益分派实施公告</t>
  </si>
  <si>
    <t>登记日股本可因转股变化；此基数不是已核验最终实付股利。</t>
  </si>
  <si>
    <t>dividend_distribution_share_base</t>
  </si>
  <si>
    <t>ks_d_l_f_parent_cashbook</t>
  </si>
  <si>
    <t>母公司货币资金</t>
  </si>
  <si>
    <t>ks_d_l_f_parent_cashbook_e</t>
  </si>
  <si>
    <t>中国企业会计准则；2025年报母公司原表</t>
  </si>
  <si>
    <t>母公司单独口径；不得替换为2026Q1合并数，集团内外关系未逐笔拆分。</t>
  </si>
  <si>
    <t>parent_cashbook</t>
  </si>
  <si>
    <t>ks_d_l_f_parent_stborrow</t>
  </si>
  <si>
    <t>母公司短期借款</t>
  </si>
  <si>
    <t>ks_d_l_f_parent_stborrow_e</t>
  </si>
  <si>
    <t>parent_stborrow</t>
  </si>
  <si>
    <t>ks_d_l_f_parent_notes</t>
  </si>
  <si>
    <t>母公司应付票据</t>
  </si>
  <si>
    <t>ks_d_l_f_parent_notes_e</t>
  </si>
  <si>
    <t>parent_notes</t>
  </si>
  <si>
    <t>ks_d_l_f_parent_ap</t>
  </si>
  <si>
    <t>母公司应付账款</t>
  </si>
  <si>
    <t>ks_d_l_f_parent_ap_e</t>
  </si>
  <si>
    <t>parent_ap</t>
  </si>
  <si>
    <t>ks_d_l_f_parent_currentlong</t>
  </si>
  <si>
    <t>母公司一年内到期非流动负债</t>
  </si>
  <si>
    <t>ks_d_l_f_parent_currentlong_e</t>
  </si>
  <si>
    <t>parent_currentlong</t>
  </si>
  <si>
    <t>ks_d_l_f_parent_currentliab</t>
  </si>
  <si>
    <t>母公司流动负债</t>
  </si>
  <si>
    <t>ks_d_l_f_parent_currentliab_e</t>
  </si>
  <si>
    <t>parent_currentliab</t>
  </si>
  <si>
    <t>ks_d_l_f_parent_bonds</t>
  </si>
  <si>
    <t>母公司应付债券账面</t>
  </si>
  <si>
    <t>ks_d_l_f_parent_bonds_e</t>
  </si>
  <si>
    <t>parent_bonds</t>
  </si>
  <si>
    <t>ks_d_l_f_parent_investment_cash</t>
  </si>
  <si>
    <t>母公司取得投资收益现金</t>
  </si>
  <si>
    <t>ks_d_l_f_parent_investment_cash_e</t>
  </si>
  <si>
    <t>parent_investment_cash</t>
  </si>
  <si>
    <t>ks_r_bucket_within_one_year</t>
  </si>
  <si>
    <t>年报应付债券未折现现金流：within_one_year</t>
  </si>
  <si>
    <t>ks_r_e_bond_buckets</t>
  </si>
  <si>
    <t>合并未折现合同现金流期限表</t>
  </si>
  <si>
    <t>2025年报原表</t>
  </si>
  <si>
    <t>原表万元；期末存量对应剩余合同期限，不等于未来实际转股后金额。</t>
  </si>
  <si>
    <t>disclosed_bond_cashflow_within_one_year</t>
  </si>
  <si>
    <t>ks_r_bucket_one_to_three_years</t>
  </si>
  <si>
    <t>年报应付债券未折现现金流：one_to_three_years</t>
  </si>
  <si>
    <t>disclosed_bond_cashflow_one_to_three_years</t>
  </si>
  <si>
    <t>ks_r_bucket_over_three_years</t>
  </si>
  <si>
    <t>年报应付债券未折现现金流：over_three_years</t>
  </si>
  <si>
    <t>disclosed_bond_cashflow_over_three_years</t>
  </si>
  <si>
    <t>ks_r_bucket_total</t>
  </si>
  <si>
    <t>年报应付债券未折现现金流：total</t>
  </si>
  <si>
    <t>disclosed_bond_cashflow_total</t>
  </si>
  <si>
    <t>指标或桥</t>
  </si>
  <si>
    <t>基础单位公式</t>
  </si>
  <si>
    <t>基础单位结果</t>
  </si>
  <si>
    <t>展示结果</t>
  </si>
  <si>
    <t>不计算原因</t>
  </si>
  <si>
    <t>定义</t>
  </si>
  <si>
    <t>解释边界</t>
  </si>
  <si>
    <t>展示单位</t>
  </si>
  <si>
    <t>ks_a_sum_currentassets_2025</t>
  </si>
  <si>
    <t>流动资产加总</t>
  </si>
  <si>
    <t>calculated</t>
  </si>
  <si>
    <t>仅按列明财务口径运算；不单独决定信用等级。</t>
  </si>
  <si>
    <t>ks_a_sum_noncurrentassets_2025</t>
  </si>
  <si>
    <t>非流动资产加总</t>
  </si>
  <si>
    <t>ks_a_sum_currentliab_2025</t>
  </si>
  <si>
    <t>流动负债加总</t>
  </si>
  <si>
    <t>ks_a_sum_noncurrentliab_2025</t>
  </si>
  <si>
    <t>非流动负债加总</t>
  </si>
  <si>
    <t>ks_a_sum_ownerequity_2025</t>
  </si>
  <si>
    <t>归母权益分项加总</t>
  </si>
  <si>
    <t>ks_a_sum_equity_2025</t>
  </si>
  <si>
    <t>权益归属加总</t>
  </si>
  <si>
    <t>ks_a_sum_assets_2025</t>
  </si>
  <si>
    <t>资产总额加总</t>
  </si>
  <si>
    <t>ks_a_sum_liab_2025</t>
  </si>
  <si>
    <t>负债总额加总</t>
  </si>
  <si>
    <t>ks_a_le_sum_2025</t>
  </si>
  <si>
    <t>负债加权益</t>
  </si>
  <si>
    <t>ks_a_recalc_totalcost_2025</t>
  </si>
  <si>
    <t>营业总成本重算</t>
  </si>
  <si>
    <t>ks_a_recalc_pbt_2025</t>
  </si>
  <si>
    <t>营业利润加营业外净额</t>
  </si>
  <si>
    <t>ks_a_recalc_netincome_2025</t>
  </si>
  <si>
    <t>税前减所得税</t>
  </si>
  <si>
    <t>ks_a_recalc_ci_2025</t>
  </si>
  <si>
    <t>综合收益重算</t>
  </si>
  <si>
    <t>ks_a_recalc_opcashin_2025</t>
  </si>
  <si>
    <t>经营现金流入重算</t>
  </si>
  <si>
    <t>ks_a_recalc_opcashout_2025</t>
  </si>
  <si>
    <t>经营现金流出重算</t>
  </si>
  <si>
    <t>ks_a_recalc_cfo_2025</t>
  </si>
  <si>
    <t>直接法经营净现金</t>
  </si>
  <si>
    <t>ks_a_recalc_cfi_2025</t>
  </si>
  <si>
    <t>投资净现金</t>
  </si>
  <si>
    <t>ks_a_recalc_cff_2025</t>
  </si>
  <si>
    <t>筹资净现金</t>
  </si>
  <si>
    <t>ks_a_recalc_cashdelta_2025</t>
  </si>
  <si>
    <t>现金三类活动加汇率</t>
  </si>
  <si>
    <t>ks_a_plattrib_2025</t>
  </si>
  <si>
    <t>净利归属重算</t>
  </si>
  <si>
    <t>ks_a_calc_opprofit_2025</t>
  </si>
  <si>
    <t>营业利润全项目重算</t>
  </si>
  <si>
    <t>ks_a_cashbridge_2025</t>
  </si>
  <si>
    <t>现金期初加净变动</t>
  </si>
  <si>
    <t>ks_a_cashrestrict_2025</t>
  </si>
  <si>
    <t>现金等价物加受限资金</t>
  </si>
  <si>
    <t>ks_a_restrictdetail_2025</t>
  </si>
  <si>
    <t>受限现金明细加总</t>
  </si>
  <si>
    <t>ks_a_indirect_cfo_2025</t>
  </si>
  <si>
    <t>净利润间接法现金桥</t>
  </si>
  <si>
    <t>ks_a_ar_netcalc_2025</t>
  </si>
  <si>
    <t>ar原值减准备</t>
  </si>
  <si>
    <t>ks_a_otherar_netcalc_2025</t>
  </si>
  <si>
    <t>otherar原值减准备</t>
  </si>
  <si>
    <t>ks_a_inventory_netcalc_2025</t>
  </si>
  <si>
    <t>inventory原值减准备</t>
  </si>
  <si>
    <t>ks_a_contract_netcalc_2025</t>
  </si>
  <si>
    <t>contract原值减准备</t>
  </si>
  <si>
    <t>ks_a_longcontract_netcalc_2025</t>
  </si>
  <si>
    <t>longcontract原值减准备</t>
  </si>
  <si>
    <t>ks_a_propertynet_netcalc_2025</t>
  </si>
  <si>
    <t>propertynet原值减准备</t>
  </si>
  <si>
    <t>ks_a_arge_sum_2025</t>
  </si>
  <si>
    <t>应收账龄原值合计</t>
  </si>
  <si>
    <t>ks_a_supplier_sum_2025</t>
  </si>
  <si>
    <t>供应商融资列报加总</t>
  </si>
  <si>
    <t>ks_a_interest_check_2025</t>
  </si>
  <si>
    <t>全部利息减资本化</t>
  </si>
  <si>
    <t>ks_a_grossprofit_2025</t>
  </si>
  <si>
    <t>毛利润</t>
  </si>
  <si>
    <t>ks_a_grossmargin_2025</t>
  </si>
  <si>
    <t>毛利率</t>
  </si>
  <si>
    <t>%</t>
  </si>
  <si>
    <t>ks_a_ebit_2025</t>
  </si>
  <si>
    <t>税前利润加费用化利息</t>
  </si>
  <si>
    <t>ks_a_ebitda_2025</t>
  </si>
  <si>
    <t>会计EBITDA（含减值影响）</t>
  </si>
  <si>
    <t>利润总额+费用化利息+固定/IP折旧+使用权折旧+无形和长期待摊摊销；保留经常信用成本及资产减值，不等同经营现金。</t>
  </si>
  <si>
    <t>ks_a_debt_2025</t>
  </si>
  <si>
    <t>广义利息债（含全部应付票据）</t>
  </si>
  <si>
    <t>附注筹资相关负债+全部应付票据+其他应付款借款；租赁和转债账面负债已在筹资小计中；供应商借款已在短借中，AP部分未加入基准债务；不含质量预计负债。</t>
  </si>
  <si>
    <t>ks_a_stdebt_2025</t>
  </si>
  <si>
    <t>一年内广义利息债</t>
  </si>
  <si>
    <t>ks_a_debtpluscap_2025</t>
  </si>
  <si>
    <t>债务加总权益</t>
  </si>
  <si>
    <t>ks_a_netdebt_2025</t>
  </si>
  <si>
    <t>债务减报表现金等价物</t>
  </si>
  <si>
    <t>仅扣除现金流量表现金余额，未扣理财与抵债资产；该现金仍可能有用途约束，经济净债可能更高。</t>
  </si>
  <si>
    <t>ks_a_lev_2025</t>
  </si>
  <si>
    <t>资产负债率</t>
  </si>
  <si>
    <t>ks_a_debtcap_2025</t>
  </si>
  <si>
    <t>全部债务资本化比率</t>
  </si>
  <si>
    <t>ks_a_currentratio_2025</t>
  </si>
  <si>
    <t>流动比率</t>
  </si>
  <si>
    <t>倍</t>
  </si>
  <si>
    <t>ks_a_cashst_2025</t>
  </si>
  <si>
    <t>现金等价物/短期债务</t>
  </si>
  <si>
    <t>ks_a_cashbookst_2025</t>
  </si>
  <si>
    <t>账面货币资金/短期债务</t>
  </si>
  <si>
    <t>ks_a_cfo_debt_2025</t>
  </si>
  <si>
    <t>CFO/全部债务</t>
  </si>
  <si>
    <t>ks_a_ebitda_interest_2025</t>
  </si>
  <si>
    <t>会计EBITDA/全部利息</t>
  </si>
  <si>
    <t>ks_a_arcoverage_2025</t>
  </si>
  <si>
    <t>应收准备率</t>
  </si>
  <si>
    <t>ks_a_aged3_2025</t>
  </si>
  <si>
    <t>三年以上应收占比</t>
  </si>
  <si>
    <t>ks_a_capinterest_rate_2025</t>
  </si>
  <si>
    <t>资本化利息占全部利息</t>
  </si>
  <si>
    <t>ks_a_overseas_share_2025</t>
  </si>
  <si>
    <t>海外收入占比</t>
  </si>
  <si>
    <t>ks_a_fcf_2025</t>
  </si>
  <si>
    <t>CFO减长期资产购建现金</t>
  </si>
  <si>
    <t>经营现金流减现金资本开支，未扣收购、金融投资、融资偿还和分红，不称为可全部分配现金。</t>
  </si>
  <si>
    <t>ks_a_membrane_gp_2025</t>
  </si>
  <si>
    <t>membrane毛利</t>
  </si>
  <si>
    <t>ks_a_membrane_margin_2025</t>
  </si>
  <si>
    <t>membrane毛利率</t>
  </si>
  <si>
    <t>ks_a_coating_gp_2025</t>
  </si>
  <si>
    <t>coating毛利</t>
  </si>
  <si>
    <t>ks_a_coating_margin_2025</t>
  </si>
  <si>
    <t>coating毛利率</t>
  </si>
  <si>
    <t>ks_a_construction_gp_2025</t>
  </si>
  <si>
    <t>construction毛利</t>
  </si>
  <si>
    <t>ks_a_construction_margin_2025</t>
  </si>
  <si>
    <t>construction毛利率</t>
  </si>
  <si>
    <t>ks_a_damping_gp_2025</t>
  </si>
  <si>
    <t>damping毛利</t>
  </si>
  <si>
    <t>ks_a_damping_margin_2025</t>
  </si>
  <si>
    <t>damping毛利率</t>
  </si>
  <si>
    <t>ks_a_otherproduct_gp_2025</t>
  </si>
  <si>
    <t>otherproduct毛利</t>
  </si>
  <si>
    <t>ks_a_otherproduct_margin_2025</t>
  </si>
  <si>
    <t>otherproduct毛利率</t>
  </si>
  <si>
    <t>ks_a_otherbiz_gp_2025</t>
  </si>
  <si>
    <t>otherbiz毛利</t>
  </si>
  <si>
    <t>ks_a_otherbiz_margin_2025</t>
  </si>
  <si>
    <t>otherbiz毛利率</t>
  </si>
  <si>
    <t>ks_a_product_rev_2025</t>
  </si>
  <si>
    <t>产品收入加总</t>
  </si>
  <si>
    <t>ks_a_product_cost_2025</t>
  </si>
  <si>
    <t>产品成本加总</t>
  </si>
  <si>
    <t>ks_a_sum_currentassets_2024</t>
  </si>
  <si>
    <t>ks_a_sum_noncurrentassets_2024</t>
  </si>
  <si>
    <t>ks_a_sum_currentliab_2024</t>
  </si>
  <si>
    <t>ks_a_sum_noncurrentliab_2024</t>
  </si>
  <si>
    <t>ks_a_sum_ownerequity_2024</t>
  </si>
  <si>
    <t>ks_a_sum_equity_2024</t>
  </si>
  <si>
    <t>ks_a_sum_assets_2024</t>
  </si>
  <si>
    <t>ks_a_sum_liab_2024</t>
  </si>
  <si>
    <t>ks_a_le_sum_2024</t>
  </si>
  <si>
    <t>ks_a_recalc_totalcost_2024</t>
  </si>
  <si>
    <t>ks_a_recalc_pbt_2024</t>
  </si>
  <si>
    <t>ks_a_recalc_netincome_2024</t>
  </si>
  <si>
    <t>ks_a_recalc_ci_2024</t>
  </si>
  <si>
    <t>ks_a_recalc_opcashin_2024</t>
  </si>
  <si>
    <t>ks_a_recalc_opcashout_2024</t>
  </si>
  <si>
    <t>ks_a_recalc_cfo_2024</t>
  </si>
  <si>
    <t>ks_a_recalc_cfi_2024</t>
  </si>
  <si>
    <t>ks_a_recalc_cff_2024</t>
  </si>
  <si>
    <t>ks_a_recalc_cashdelta_2024</t>
  </si>
  <si>
    <t>ks_a_plattrib_2024</t>
  </si>
  <si>
    <t>ks_a_calc_opprofit_2024</t>
  </si>
  <si>
    <t>ks_a_cashbridge_2024</t>
  </si>
  <si>
    <t>ks_a_cashrestrict_2024</t>
  </si>
  <si>
    <t>ks_a_restrictdetail_2024</t>
  </si>
  <si>
    <t>ks_a_indirect_cfo_2024</t>
  </si>
  <si>
    <t>ks_a_ar_netcalc_2024</t>
  </si>
  <si>
    <t>ks_a_otherar_netcalc_2024</t>
  </si>
  <si>
    <t>ks_a_inventory_netcalc_2024</t>
  </si>
  <si>
    <t>ks_a_contract_netcalc_2024</t>
  </si>
  <si>
    <t>ks_a_longcontract_netcalc_2024</t>
  </si>
  <si>
    <t>ks_a_propertynet_netcalc_2024</t>
  </si>
  <si>
    <t>ks_a_arge_sum_2024</t>
  </si>
  <si>
    <t>ks_a_supplier_sum_2024</t>
  </si>
  <si>
    <t>ks_a_interest_check_2024</t>
  </si>
  <si>
    <t>ks_a_grossprofit_2024</t>
  </si>
  <si>
    <t>ks_a_grossmargin_2024</t>
  </si>
  <si>
    <t>ks_a_ebit_2024</t>
  </si>
  <si>
    <t>ks_a_ebitda_2024</t>
  </si>
  <si>
    <t>ks_a_debt_2024</t>
  </si>
  <si>
    <t>ks_a_stdebt_2024</t>
  </si>
  <si>
    <t>ks_a_debtpluscap_2024</t>
  </si>
  <si>
    <t>ks_a_netdebt_2024</t>
  </si>
  <si>
    <t>ks_a_lev_2024</t>
  </si>
  <si>
    <t>ks_a_debtcap_2024</t>
  </si>
  <si>
    <t>ks_a_currentratio_2024</t>
  </si>
  <si>
    <t>ks_a_cashst_2024</t>
  </si>
  <si>
    <t>ks_a_cashbookst_2024</t>
  </si>
  <si>
    <t>ks_a_cfo_debt_2024</t>
  </si>
  <si>
    <t>ks_a_ebitda_interest_2024</t>
  </si>
  <si>
    <t>ks_a_arcoverage_2024</t>
  </si>
  <si>
    <t>ks_a_aged3_2024</t>
  </si>
  <si>
    <t>ks_a_capinterest_rate_2024</t>
  </si>
  <si>
    <t>ks_a_overseas_share_2024</t>
  </si>
  <si>
    <t>ks_a_fcf_2024</t>
  </si>
  <si>
    <t>ks_a_membrane_gp_2024</t>
  </si>
  <si>
    <t>ks_a_membrane_margin_2024</t>
  </si>
  <si>
    <t>ks_a_coating_gp_2024</t>
  </si>
  <si>
    <t>ks_a_coating_margin_2024</t>
  </si>
  <si>
    <t>ks_a_construction_gp_2024</t>
  </si>
  <si>
    <t>ks_a_construction_margin_2024</t>
  </si>
  <si>
    <t>ks_a_damping_gp_2024</t>
  </si>
  <si>
    <t>ks_a_damping_margin_2024</t>
  </si>
  <si>
    <t>ks_a_otherproduct_gp_2024</t>
  </si>
  <si>
    <t>ks_a_otherproduct_margin_2024</t>
  </si>
  <si>
    <t>ks_a_otherbiz_gp_2024</t>
  </si>
  <si>
    <t>ks_a_otherbiz_margin_2024</t>
  </si>
  <si>
    <t>ks_a_product_rev_2024</t>
  </si>
  <si>
    <t>ks_a_product_cost_2024</t>
  </si>
  <si>
    <t>ks_a_revenue_growth_2025</t>
  </si>
  <si>
    <t>收入同比增长</t>
  </si>
  <si>
    <t>ks_a_ar_balance_change</t>
  </si>
  <si>
    <t>应收净额绝对变化</t>
  </si>
  <si>
    <t>ks_a_ar_res_roll</t>
  </si>
  <si>
    <t>应收准备滚动</t>
  </si>
  <si>
    <t>ks_a_otherar_res_roll</t>
  </si>
  <si>
    <t>其他应收准备滚动</t>
  </si>
  <si>
    <t>ks_a_inventory_res_roll</t>
  </si>
  <si>
    <t>存货准备滚动</t>
  </si>
  <si>
    <t>ks_a_ppe_grossroll</t>
  </si>
  <si>
    <t>固定资产原值滚动</t>
  </si>
  <si>
    <t>ks_a_ppe_deproll</t>
  </si>
  <si>
    <t>固定资产累计折旧滚动</t>
  </si>
  <si>
    <t>ks_a_ppe_resroll</t>
  </si>
  <si>
    <t>固定资产准备滚动</t>
  </si>
  <si>
    <t>ks_a_chuzhou_roll</t>
  </si>
  <si>
    <t>滁州一期按原表重算</t>
  </si>
  <si>
    <t>原表转固列为空，仅按有值列期初+增加-其他减少；保留未闭合结果并请发行人解释，未替原件调平。</t>
  </si>
  <si>
    <t>ks_a_bondroll</t>
  </si>
  <si>
    <t>转债账面负债滚动</t>
  </si>
  <si>
    <t>ks_a_debtorrollcalc</t>
  </si>
  <si>
    <t>筹资相关负债滚动</t>
  </si>
  <si>
    <t>ks_a_equityroll</t>
  </si>
  <si>
    <t>合并权益滚动</t>
  </si>
  <si>
    <t>ks_a_taxroll</t>
  </si>
  <si>
    <t>当期加递延所得税</t>
  </si>
  <si>
    <t>ks_a_div_cfo</t>
  </si>
  <si>
    <t>已付分红/CFO</t>
  </si>
  <si>
    <t>ks_a_fcf_after_div</t>
  </si>
  <si>
    <t>CFO扣资本开支和已分红</t>
  </si>
  <si>
    <t>ks_a_supplier_debt_scenario</t>
  </si>
  <si>
    <t>AP供应商融资全按债务的敏感性</t>
  </si>
  <si>
    <t>有条件分析重分类，并非报表事实或准则认定；仅增AP部分，已在短借中的金额不重复加。</t>
  </si>
  <si>
    <t>ks_a_supplier_capden</t>
  </si>
  <si>
    <t>敏感性债务加权益</t>
  </si>
  <si>
    <t>ks_a_supplier_debtcap</t>
  </si>
  <si>
    <t>供应商AP全按债务后债务资本化率</t>
  </si>
  <si>
    <t>ks_a_asset_risk_pool</t>
  </si>
  <si>
    <t>净应收、合同、抵债房产及其他应收合计</t>
  </si>
  <si>
    <t>追踪营运及债务重组占用；不假定全部损失，也不作为等价现金。</t>
  </si>
  <si>
    <t>ks_a_asset_risk_share</t>
  </si>
  <si>
    <t>上述资产占总资产比</t>
  </si>
  <si>
    <t>ks_a_dta_equity</t>
  </si>
  <si>
    <t>净DTA/权益</t>
  </si>
  <si>
    <t>ks_a_p_balance_2025</t>
  </si>
  <si>
    <t>母公司资产负债权益</t>
  </si>
  <si>
    <t>ks_a_p_cfs_2025</t>
  </si>
  <si>
    <t>母公司现金活动合计</t>
  </si>
  <si>
    <t>ks_a_p_balance_2024</t>
  </si>
  <si>
    <t>ks_a_p_cfs_2024</t>
  </si>
  <si>
    <t>ks_a_p_openbridge</t>
  </si>
  <si>
    <t>母公司期初追溯桥</t>
  </si>
  <si>
    <t>ks_a_p_equityroll</t>
  </si>
  <si>
    <t>母公司权益滚动</t>
  </si>
  <si>
    <t>ks_a_old_balance_2023</t>
  </si>
  <si>
    <t>原2023资产负债</t>
  </si>
  <si>
    <t>ks_a_old_gp_2023</t>
  </si>
  <si>
    <t>原2023毛利</t>
  </si>
  <si>
    <t>ks_a_old_debt_2023</t>
  </si>
  <si>
    <t>原2023广义债务</t>
  </si>
  <si>
    <t>ks_a_old_ebitda_2023</t>
  </si>
  <si>
    <t>原2023会计EBITDA</t>
  </si>
  <si>
    <t>ks_a_old_cashdelta_calc_2023</t>
  </si>
  <si>
    <t>原2023现金活动合计</t>
  </si>
  <si>
    <t>ks_a_old_lev_2023</t>
  </si>
  <si>
    <t>原2023资产负债率</t>
  </si>
  <si>
    <t>ks_a_old_gm_2023</t>
  </si>
  <si>
    <t>原2023毛利率</t>
  </si>
  <si>
    <t>ks_a_old_cfo_debt_2023</t>
  </si>
  <si>
    <t>原2023CFO/债务</t>
  </si>
  <si>
    <t>ks_a_q1_balance</t>
  </si>
  <si>
    <t>Q1资产负债重算</t>
  </si>
  <si>
    <t>ks_a_q1_cfs</t>
  </si>
  <si>
    <t>Q1三类活动和汇率</t>
  </si>
  <si>
    <t>ks_a_q1_cashbridge</t>
  </si>
  <si>
    <t>Q1期初到期末现金桥</t>
  </si>
  <si>
    <t>ks_a_q1_gp</t>
  </si>
  <si>
    <t>Q1毛利</t>
  </si>
  <si>
    <t>ks_a_q1_gm</t>
  </si>
  <si>
    <t>Q1毛利率</t>
  </si>
  <si>
    <t>ks_a_q1_lev</t>
  </si>
  <si>
    <t>Q1负债率</t>
  </si>
  <si>
    <t>ks_a_q1_fcf</t>
  </si>
  <si>
    <t>Q1经营现金扣资本开支</t>
  </si>
  <si>
    <t>ks_a_liab_2023_restate_derived</t>
  </si>
  <si>
    <t>重述2023总负债推算</t>
  </si>
  <si>
    <t>以已披露同口径总资产减重述权益期初推算总负债；是报表等式推导，并不提供债务/营运负债组成。</t>
  </si>
  <si>
    <t>ks_a_orig_cash_gap_2024</t>
  </si>
  <si>
    <t>原2024货币资金减CCE</t>
  </si>
  <si>
    <t>ks_a_orig_partial_gap_2024</t>
  </si>
  <si>
    <t>原现金附注未列项目差额</t>
  </si>
  <si>
    <t>ks_a_newly_itemized_2024</t>
  </si>
  <si>
    <t>2025比较列质押定存冻结和专用资金合计</t>
  </si>
  <si>
    <t>ks_a_cashbook_restate_bridge</t>
  </si>
  <si>
    <t>原货币资金加横琴现金</t>
  </si>
  <si>
    <t>ks_a_cce_restate_bridge</t>
  </si>
  <si>
    <t>原CCE加横琴现金</t>
  </si>
  <si>
    <t>ks_a_average_assets_2024</t>
  </si>
  <si>
    <t>年初年末平均总资产</t>
  </si>
  <si>
    <t>ks_a_asset_turnover_2024</t>
  </si>
  <si>
    <t>营业收入/平均总资产</t>
  </si>
  <si>
    <t>ks_a_roa_ebit_2024</t>
  </si>
  <si>
    <t>EBIT/平均总资产</t>
  </si>
  <si>
    <t>ks_a_operating_margin_num_2024</t>
  </si>
  <si>
    <t>收入减成本及税金附加</t>
  </si>
  <si>
    <t>ks_a_operating_margin_2024</t>
  </si>
  <si>
    <t>营业利润率（收入减成本及税附加口径）</t>
  </si>
  <si>
    <t>(营业总收入−营业成本−税金及附加)÷营业总收入；与报表营业利润/收入不同。</t>
  </si>
  <si>
    <t>ks_a_cashlike_gross_2024</t>
  </si>
  <si>
    <t>方法现金类资产扣限前</t>
  </si>
  <si>
    <t>货币资金+交易性金融资产+应收票据+应收款项融资中的票据；未将融资中的应收账款计入；票据分项公允价值分配未充分披露。</t>
  </si>
  <si>
    <t>ks_a_cashlike_2024</t>
  </si>
  <si>
    <t>方法现金类资产扣除已披露受限部分</t>
  </si>
  <si>
    <t>广义方法口径；扣受限货币资金和未终止确认已背书票据净额。含理财和业绩补偿资产，非可立即偿债现金；专用募集金可能仍需按实际限制调整。</t>
  </si>
  <si>
    <t>ks_a_cashlike_st_2024</t>
  </si>
  <si>
    <t>方法现金类资产/短债</t>
  </si>
  <si>
    <t>ks_a_cashlike_without_performance_2024</t>
  </si>
  <si>
    <t>方法现金类资产另剔业绩补偿敏感性</t>
  </si>
  <si>
    <t>仅条件性流动性质量敏感性；不覆盖原方法结果，不预设补偿无法收回。</t>
  </si>
  <si>
    <t>ks_a_cashlike_quality_st_2024</t>
  </si>
  <si>
    <t>剔补偿后广义现金类/短债</t>
  </si>
  <si>
    <t>ks_a_salescash_currentliab_2024</t>
  </si>
  <si>
    <t>销售收现/期末流动负债</t>
  </si>
  <si>
    <t>ks_a_average_ar_2024</t>
  </si>
  <si>
    <t>平均应收账款净额</t>
  </si>
  <si>
    <t>not_calculated</t>
  </si>
  <si>
    <t>missing input; not replaced with zero</t>
  </si>
  <si>
    <t>ks_a_ar_days_2024</t>
  </si>
  <si>
    <t>应收账款净额周转天数（360天）</t>
  </si>
  <si>
    <t>days</t>
  </si>
  <si>
    <t>ks_a_average_inventory_2024</t>
  </si>
  <si>
    <t>平均存货净额</t>
  </si>
  <si>
    <t>ks_a_inventory_days_2024</t>
  </si>
  <si>
    <t>存货净额周转天数（360天）</t>
  </si>
  <si>
    <t>ks_a_average_ap_2024</t>
  </si>
  <si>
    <t>平均应付账款</t>
  </si>
  <si>
    <t>ks_a_ap_days_2024</t>
  </si>
  <si>
    <t>应付账款周转天数（360天）</t>
  </si>
  <si>
    <t>ks_a_noc360_2024</t>
  </si>
  <si>
    <t>净营业周期（净额，360天）</t>
  </si>
  <si>
    <t>平均应收账款净额/收入×360+平均存货净额/成本×360−平均应付账款/成本×360；未纳入票据、合同资产和预付款；原值敏感性另列。</t>
  </si>
  <si>
    <t>ks_a_average_assets_2025</t>
  </si>
  <si>
    <t>ks_a_asset_turnover_2025</t>
  </si>
  <si>
    <t>ks_a_roa_ebit_2025</t>
  </si>
  <si>
    <t>ks_a_operating_margin_num_2025</t>
  </si>
  <si>
    <t>ks_a_operating_margin_2025</t>
  </si>
  <si>
    <t>ks_a_cashlike_gross_2025</t>
  </si>
  <si>
    <t>ks_a_cashlike_2025</t>
  </si>
  <si>
    <t>ks_a_cashlike_st_2025</t>
  </si>
  <si>
    <t>ks_a_cashlike_without_performance_2025</t>
  </si>
  <si>
    <t>ks_a_cashlike_quality_st_2025</t>
  </si>
  <si>
    <t>ks_a_salescash_currentliab_2025</t>
  </si>
  <si>
    <t>ks_a_average_ar_2025</t>
  </si>
  <si>
    <t>ks_a_ar_days_2025</t>
  </si>
  <si>
    <t>ks_a_average_inventory_2025</t>
  </si>
  <si>
    <t>ks_a_inventory_days_2025</t>
  </si>
  <si>
    <t>ks_a_average_ap_2025</t>
  </si>
  <si>
    <t>ks_a_ap_days_2025</t>
  </si>
  <si>
    <t>ks_a_noc360_2025</t>
  </si>
  <si>
    <t>ks_a_average_argross_2025</t>
  </si>
  <si>
    <t>平均应收原值</t>
  </si>
  <si>
    <t>ks_a_argross_days_2025</t>
  </si>
  <si>
    <t>应收原值周转天数360</t>
  </si>
  <si>
    <t>ks_a_noc360_gross_2025</t>
  </si>
  <si>
    <t>净营业周期（应收原值敏感性，360天）</t>
  </si>
  <si>
    <t>仅将应收净值换为原值，展示减值使净额周转天数偏短的影响，非替换主方法。</t>
  </si>
  <si>
    <t>ks_a_ebitda_2023_restate</t>
  </si>
  <si>
    <t>重述2023会计EBITDA待补</t>
  </si>
  <si>
    <t>ks_a_operating_margin_num_2023_restate</t>
  </si>
  <si>
    <t>重述2023收入减成本税附加待补</t>
  </si>
  <si>
    <t>ks_a_operating_margin_2023_restate</t>
  </si>
  <si>
    <t>重述2023营业利润率待补</t>
  </si>
  <si>
    <t>ks_a_old_operating_margin_num_2023</t>
  </si>
  <si>
    <t>原2023收入减成本税附加</t>
  </si>
  <si>
    <t>ks_a_old_operating_margin_2023</t>
  </si>
  <si>
    <t>原2023营业利润率对照</t>
  </si>
  <si>
    <t>ks_a_equityroll_2024</t>
  </si>
  <si>
    <t>2024重述合并权益滚动</t>
  </si>
  <si>
    <t>ks_a_old_equity_roll_2023</t>
  </si>
  <si>
    <t>原2023合并权益滚动</t>
  </si>
  <si>
    <t>ks_a_debt_with_endorsedbill_2024</t>
  </si>
  <si>
    <t>广义债务另含未终止确认背书票据负债</t>
  </si>
  <si>
    <t>债务边界敏感性；若方法将未终止确认背书票据对应负债视为融资义务，则增该额。该负债不在筹资小计或应付票据项目中，避免遗漏和重复。</t>
  </si>
  <si>
    <t>ks_a_debt_with_endorsedbill_2025</t>
  </si>
  <si>
    <t>ks_b_water_share</t>
  </si>
  <si>
    <t>防水材料及工程收入合计占比</t>
  </si>
  <si>
    <t>同期间两项互斥业务收入占比之和</t>
  </si>
  <si>
    <t>公开占比有舍入；体现业务集中，不证明客户完全相同</t>
  </si>
  <si>
    <t>ks_b_dividends25</t>
  </si>
  <si>
    <t>2025实际现金分红合计</t>
  </si>
  <si>
    <t>相加本年度实际实施的年度及中期普通股股息</t>
  </si>
  <si>
    <t>这是资金留存决策，不是归母利润分红率</t>
  </si>
  <si>
    <t>ks_b_dividend_cfo_ratio</t>
  </si>
  <si>
    <t>2025现金分红与经营净现金之比</t>
  </si>
  <si>
    <t>实际现金分红合计除以同期经营净现金流</t>
  </si>
  <si>
    <t>不等于违法判断，不包括资本开支或债务本金</t>
  </si>
  <si>
    <t>ks_b_chen_pledge_ratio</t>
  </si>
  <si>
    <t>陈伟忠所持股份质押比例</t>
  </si>
  <si>
    <t>质押股数除以个人持股数</t>
  </si>
  <si>
    <t>并非上市公司负债或质押处置概率</t>
  </si>
  <si>
    <t>ks_b_ruan_pledge_ratio</t>
  </si>
  <si>
    <t>阮宜宝所持股份质押比例</t>
  </si>
  <si>
    <t>ks_b_control_pair_share</t>
  </si>
  <si>
    <t>两名控制人合计持股比例</t>
  </si>
  <si>
    <t>相加两位控制人的披露持股百分比</t>
  </si>
  <si>
    <t>不是全部一致行动人的总持股比例；不能替代控制权图示</t>
  </si>
  <si>
    <t>ks_d_c_equity_total_check</t>
  </si>
  <si>
    <t>归母加少数股东权益</t>
  </si>
  <si>
    <t>同一合并资产负债表两类权益相加。</t>
  </si>
  <si>
    <t>仅核对分母范围，不证明承诺适用。</t>
  </si>
  <si>
    <t>ks_d_c_book_ratio</t>
  </si>
  <si>
    <t>债券账面余额占合并总权益</t>
  </si>
  <si>
    <t>同日应付债券账面余额 / 合并所有者权益合计。</t>
  </si>
  <si>
    <t>采用发行时监管解释所指合并账面口径作研究筛查；不是存续承诺违约认定。</t>
  </si>
  <si>
    <t>ks_d_c_equity_half</t>
  </si>
  <si>
    <t>承诺比例对应的合并权益金额</t>
  </si>
  <si>
    <t>合并权益乘以已取证承诺比例的一半；仅在该承诺适用于该期和同一口径的前提下构成测试限额。</t>
  </si>
  <si>
    <t>算术金额不是已经确认的契约可用额度。</t>
  </si>
  <si>
    <t>ks_d_c_book_excess</t>
  </si>
  <si>
    <t>账面筛查金额超出比例限额</t>
  </si>
  <si>
    <t>应付债券账面余额减按承诺比例计算的合并权益金额。</t>
  </si>
  <si>
    <t>正值表示需要解释的账面差额；不能直接转为到期债务、损失或补救现金需求。</t>
  </si>
  <si>
    <t>ks_d_c_book_rollforward</t>
  </si>
  <si>
    <t>债券账面余额变动重建</t>
  </si>
  <si>
    <t>期初账面余额 + 按面值计息 + 溢折价摊销 - 已付息 - 转股扣减。</t>
  </si>
  <si>
    <t>揭示账面金额与合同面值因计量及利息不同而分离，不把摊销额当新增融资现金流。</t>
  </si>
  <si>
    <t>ks_d_c_face_2025_rollforward</t>
  </si>
  <si>
    <t>本年末转债面值重建</t>
  </si>
  <si>
    <t>期初实际面值减本年转股面值。</t>
  </si>
  <si>
    <t>按公告披露变动进行精确勾稽。</t>
  </si>
  <si>
    <t>ks_d_c_face_q1_rollforward</t>
  </si>
  <si>
    <t>一季度末转债面值重建</t>
  </si>
  <si>
    <t>上年末实际面值减一季度实际转股面值。</t>
  </si>
  <si>
    <t>不包含之后尚未取得的季度变动。</t>
  </si>
  <si>
    <t>ks_d_c_face_remaining</t>
  </si>
  <si>
    <t>一季度末未转股面值占发行额</t>
  </si>
  <si>
    <t>一季度末实际未转股面值 / 实际发行面值。</t>
  </si>
  <si>
    <t>不同实际时点的同一债项面值存量比较；说明转股累计消减有限，不预测以后转股。</t>
  </si>
  <si>
    <t>ks_d_c_fund_balance_parts</t>
  </si>
  <si>
    <t>补流占用加专户余额</t>
  </si>
  <si>
    <t>年末临时补流余额 + 年末募集专户余额。</t>
  </si>
  <si>
    <t>“尚未使用募集资金”不等于全部存放专户或可自由动用。</t>
  </si>
  <si>
    <t>CNY × 10000</t>
  </si>
  <si>
    <t>ks_d_c_fund_balance_receipts</t>
  </si>
  <si>
    <t>募集资金累计收支重建</t>
  </si>
  <si>
    <t>截至同一日的净募集资金 - 累计使用 + 累计净利息。</t>
  </si>
  <si>
    <t>累计存量勾稽，不作为单年现金流。</t>
  </si>
  <si>
    <t>=(('Facts'!F2*1)+('Facts'!F4*1)+('Facts'!F6*1)+('Facts'!F8*1)+('Facts'!F10*1)+('Facts'!F12*1)+('Facts'!F14*1)+('Facts'!F16*1)+('Facts'!F18*1)+('Facts'!F21*1))*1</t>
  </si>
  <si>
    <t>=(('Facts'!F26*1)+('Facts'!F28*1)+('Facts'!F30*1)+('Facts'!F32*1)+('Facts'!F34*1)+('Facts'!F36*1)+('Facts'!F38*1)+('Facts'!F40*1)+('Facts'!F42*1)+('Facts'!F44*1)+('Facts'!F46*1)+('Facts'!F48*1))*1</t>
  </si>
  <si>
    <t>=(('Facts'!F54*1)+('Facts'!F56*1)+('Facts'!F58*1)+('Facts'!F60*1)+('Facts'!F62*1)+('Facts'!F64*1)+('Facts'!F66*1)+('Facts'!F68*1)+('Facts'!F70*1))*1</t>
  </si>
  <si>
    <t>=(('Facts'!F74*1)+('Facts'!F76*1)+('Facts'!F78*1)+('Facts'!F80*1)+('Facts'!F82*1)+('Facts'!F84*1))*1</t>
  </si>
  <si>
    <t>=(('Facts'!F90*1)+('Facts'!F92*1)+('Facts'!F94*1)+('Facts'!F96*1)+('Facts'!F98*1)+('Facts'!F100*1)+('Facts'!F103*1))*1</t>
  </si>
  <si>
    <t>=(('Facts'!F105*1)+('Facts'!F107*1))*1</t>
  </si>
  <si>
    <t>=(('Facts'!F23*1)+('Facts'!F50*1))*1</t>
  </si>
  <si>
    <t>=(('Facts'!F72*1)+('Facts'!F86*1))*1</t>
  </si>
  <si>
    <t>=(('Facts'!F88*1)+('Facts'!F109*1))*1</t>
  </si>
  <si>
    <t>=(('Facts'!F113*1)+('Facts'!F115*1)+('Facts'!F117*1)+('Facts'!F119*1)+('Facts'!F121*1)+('Facts'!F123*1))*1</t>
  </si>
  <si>
    <t>=(('Facts'!F143*1)+('Facts'!F145*1)+('Facts'!F147*-1))*1</t>
  </si>
  <si>
    <t>=(('Facts'!F149-'Facts'!F151))*1</t>
  </si>
  <si>
    <t>=(('Facts'!F153*1)+('Facts'!F159*1))*1</t>
  </si>
  <si>
    <t>=(('Facts'!F163*1)+('Facts'!F165*1)+('Facts'!F167*1))*1</t>
  </si>
  <si>
    <t>=(('Facts'!F171*1)+('Facts'!F173*1)+('Facts'!F175*1)+('Facts'!F177*1))*1</t>
  </si>
  <si>
    <t>=(('Facts'!F169-'Facts'!F179))*1</t>
  </si>
  <si>
    <t>=(('Facts'!F192-'Facts'!F202))*1</t>
  </si>
  <si>
    <t>=(('Facts'!F212-'Facts'!F220))*1</t>
  </si>
  <si>
    <t>=(('Facts'!F181*1)+('Facts'!F204*1)+('Facts'!F222*1)+('Facts'!F224*1))*1</t>
  </si>
  <si>
    <t>=(('Facts'!F155*1)+('Facts'!F157*1))*1</t>
  </si>
  <si>
    <t>=(('Facts'!F111*1)+('Facts'!F129*-1)+('Facts'!F131*1)+('Facts'!F133*1)+('Facts'!F135*1)+('Facts'!F137*1)+('Facts'!F139*1)+('Facts'!F141*1))*1</t>
  </si>
  <si>
    <t>=(('Facts'!F229*1)+('Facts'!F226*1))*1</t>
  </si>
  <si>
    <t>=(('Facts'!F228*1)+('Facts'!F230*1))*1</t>
  </si>
  <si>
    <t>=(('Facts'!F232*1)+('Facts'!F234*1)+('Facts'!F236*1)+('Facts'!F238*1)+('Facts'!F240*1)+('Facts'!F242*1)+('Facts'!F244*1))*1</t>
  </si>
  <si>
    <t>=(('Facts'!F153*1)+('Facts'!F364*1)+('Facts'!F366*1)+('Facts'!F368*1)+('Facts'!F370*1)+('Facts'!F372*1)+('Facts'!F374*1)+('Facts'!F376*1)+('Facts'!F378*1)+('Facts'!F380*1)+('Facts'!F382*1)+('Facts'!F384*1)+('Facts'!F386*1)+('Facts'!F388*1)+('Facts'!F390*1)+('Facts'!F392*1)+('Facts'!F394*1))*1</t>
  </si>
  <si>
    <t>=(('Facts'!F264-'Facts'!F266))*1</t>
  </si>
  <si>
    <t>=(('Facts'!F304-'Facts'!F306))*1</t>
  </si>
  <si>
    <t>=(('Facts'!F312-'Facts'!F314))*1</t>
  </si>
  <si>
    <t>=(('Facts'!F290-'Facts'!F292))*1</t>
  </si>
  <si>
    <t>=(('Facts'!F294-'Facts'!F296))*1</t>
  </si>
  <si>
    <t>=(('Facts'!F316-'Facts'!F318))*1</t>
  </si>
  <si>
    <t>=(('Facts'!F268*1)+('Facts'!F270*1)+('Facts'!F272*1)+('Facts'!F274*1))*1</t>
  </si>
  <si>
    <t>=(('Facts'!F398*1)+('Facts'!F400*1))*1</t>
  </si>
  <si>
    <t>=(('Facts'!F358-'Facts'!F360))*1</t>
  </si>
  <si>
    <t>=(('Facts'!F111-'Facts'!F113))*1</t>
  </si>
  <si>
    <t>=IF('Facts'!F111&lt;=0,NA(),(('Calculations'!D36/'Facts'!F111))*1)</t>
  </si>
  <si>
    <t>=(('Facts'!F149*1)+('Facts'!F125*1))*1</t>
  </si>
  <si>
    <t>=(('Calculations'!D38*1)+('Facts'!F366*1)+('Facts'!F368*1)+('Facts'!F370*1)+('Facts'!F372*1))*1</t>
  </si>
  <si>
    <t>=(('Facts'!F404*1)+('Facts'!F56*1)+('Facts'!F258*1))*1</t>
  </si>
  <si>
    <t>=(('Facts'!F54*1)+('Facts'!F56*1)+('Facts'!F251*1)+('Facts'!F253*1)+('Facts'!F258*1))*1</t>
  </si>
  <si>
    <t>=(('Calculations'!D40*1)+('Facts'!F109*1))*1</t>
  </si>
  <si>
    <t>=(('Calculations'!D40-'Facts'!F228))*1</t>
  </si>
  <si>
    <t>=IF('Facts'!F52&lt;=0,NA(),(('Facts'!F88/'Facts'!F52))*1)</t>
  </si>
  <si>
    <t>=IF('Calculations'!D42&lt;=0,NA(),(('Calculations'!D40/'Calculations'!D42))*1)</t>
  </si>
  <si>
    <t>=IF('Facts'!F72&lt;=0,NA(),(('Facts'!F23/'Facts'!F72))*1)</t>
  </si>
  <si>
    <t>=IF('Calculations'!D41&lt;=0,NA(),(('Facts'!F228/'Calculations'!D41))*1)</t>
  </si>
  <si>
    <t>=IF('Calculations'!D41&lt;=0,NA(),(('Facts'!F2/'Calculations'!D41))*1)</t>
  </si>
  <si>
    <t>=IF('Calculations'!D40&lt;=0,NA(),(('Facts'!F181/'Calculations'!D40))*1)</t>
  </si>
  <si>
    <t>=IF('Facts'!F358&lt;=0,NA(),(('Calculations'!D39/'Facts'!F358))*1)</t>
  </si>
  <si>
    <t>=IF('Facts'!F264&lt;=0,NA(),(('Facts'!F266/'Facts'!F264))*1)</t>
  </si>
  <si>
    <t>=IF('Facts'!F264&lt;=0,NA(),(('Facts'!F274/'Facts'!F264))*1)</t>
  </si>
  <si>
    <t>=IF('Facts'!F358&lt;=0,NA(),(('Facts'!F360/'Facts'!F358))*1)</t>
  </si>
  <si>
    <t>=IF('Facts'!F111&lt;=0,NA(),(('Facts'!F354/'Facts'!F111))*1)</t>
  </si>
  <si>
    <t>=(('Facts'!F181-'Facts'!F194))*1</t>
  </si>
  <si>
    <t>=(('Facts'!F330-'Facts'!F332))*1</t>
  </si>
  <si>
    <t>=IF('Facts'!F330&lt;=0,NA(),(('Calculations'!D56/'Facts'!F330))*1)</t>
  </si>
  <si>
    <t>=(('Facts'!F334-'Facts'!F336))*1</t>
  </si>
  <si>
    <t>=IF('Facts'!F334&lt;=0,NA(),(('Calculations'!D58/'Facts'!F334))*1)</t>
  </si>
  <si>
    <t>=(('Facts'!F338-'Facts'!F340))*1</t>
  </si>
  <si>
    <t>=IF('Facts'!F338&lt;=0,NA(),(('Calculations'!D60/'Facts'!F338))*1)</t>
  </si>
  <si>
    <t>=(('Facts'!F342-'Facts'!F344))*1</t>
  </si>
  <si>
    <t>=IF('Facts'!F342&lt;=0,NA(),(('Calculations'!D62/'Facts'!F342))*1)</t>
  </si>
  <si>
    <t>=(('Facts'!F346-'Facts'!F348))*1</t>
  </si>
  <si>
    <t>=IF('Facts'!F346&lt;=0,NA(),(('Calculations'!D64/'Facts'!F346))*1)</t>
  </si>
  <si>
    <t>=(('Facts'!F350-'Facts'!F352))*1</t>
  </si>
  <si>
    <t>=IF('Facts'!F350&lt;=0,NA(),(('Calculations'!D66/'Facts'!F350))*1)</t>
  </si>
  <si>
    <t>=(('Facts'!F330*1)+('Facts'!F334*1)+('Facts'!F338*1)+('Facts'!F342*1)+('Facts'!F346*1)+('Facts'!F350*1))*1</t>
  </si>
  <si>
    <t>=(('Facts'!F332*1)+('Facts'!F336*1)+('Facts'!F340*1)+('Facts'!F344*1)+('Facts'!F348*1)+('Facts'!F352*1))*1</t>
  </si>
  <si>
    <t>=(('Facts'!F3*1)+('Facts'!F5*1)+('Facts'!F7*1)+('Facts'!F9*1)+('Facts'!F11*1)+('Facts'!F13*1)+('Facts'!F15*1)+('Facts'!F17*1)+('Facts'!F19*1)+('Facts'!F22*1)+('Facts'!F20*1))*1</t>
  </si>
  <si>
    <t>=(('Facts'!F27*1)+('Facts'!F29*1)+('Facts'!F31*1)+('Facts'!F33*1)+('Facts'!F35*1)+('Facts'!F37*1)+('Facts'!F39*1)+('Facts'!F41*1)+('Facts'!F43*1)+('Facts'!F45*1)+('Facts'!F47*1)+('Facts'!F49*1)+('Facts'!F25*1))*1</t>
  </si>
  <si>
    <t>=(('Facts'!F55*1)+('Facts'!F57*1)+('Facts'!F59*1)+('Facts'!F61*1)+('Facts'!F63*1)+('Facts'!F65*1)+('Facts'!F67*1)+('Facts'!F69*1)+('Facts'!F71*1))*1</t>
  </si>
  <si>
    <t>=(('Facts'!F75*1)+('Facts'!F77*1)+('Facts'!F79*1)+('Facts'!F81*1)+('Facts'!F83*1)+('Facts'!F85*1))*1</t>
  </si>
  <si>
    <t>=(('Facts'!F91*1)+('Facts'!F93*1)+('Facts'!F95*1)+('Facts'!F97*1)+('Facts'!F99*1)+('Facts'!F101*1)+('Facts'!F104*1)+('Facts'!F102*1))*1</t>
  </si>
  <si>
    <t>=(('Facts'!F106*1)+('Facts'!F108*1))*1</t>
  </si>
  <si>
    <t>=(('Facts'!F24*1)+('Facts'!F51*1))*1</t>
  </si>
  <si>
    <t>=(('Facts'!F73*1)+('Facts'!F87*1))*1</t>
  </si>
  <si>
    <t>=(('Facts'!F89*1)+('Facts'!F110*1))*1</t>
  </si>
  <si>
    <t>=(('Facts'!F114*1)+('Facts'!F116*1)+('Facts'!F118*1)+('Facts'!F120*1)+('Facts'!F122*1)+('Facts'!F124*1))*1</t>
  </si>
  <si>
    <t>=(('Facts'!F144*1)+('Facts'!F146*1)+('Facts'!F148*-1))*1</t>
  </si>
  <si>
    <t>=(('Facts'!F150-'Facts'!F152))*1</t>
  </si>
  <si>
    <t>=(('Facts'!F154*1)+('Facts'!F160*1))*1</t>
  </si>
  <si>
    <t>=(('Facts'!F164*1)+('Facts'!F166*1)+('Facts'!F168*1))*1</t>
  </si>
  <si>
    <t>=(('Facts'!F172*1)+('Facts'!F174*1)+('Facts'!F176*1)+('Facts'!F178*1))*1</t>
  </si>
  <si>
    <t>=(('Facts'!F170-'Facts'!F180))*1</t>
  </si>
  <si>
    <t>=(('Facts'!F193-'Facts'!F203))*1</t>
  </si>
  <si>
    <t>=(('Facts'!F213-'Facts'!F221))*1</t>
  </si>
  <si>
    <t>=(('Facts'!F182*1)+('Facts'!F205*1)+('Facts'!F223*1)+('Facts'!F225*1))*1</t>
  </si>
  <si>
    <t>=(('Facts'!F156*1)+('Facts'!F158*1))*1</t>
  </si>
  <si>
    <t>=(('Facts'!F112*1)+('Facts'!F130*-1)+('Facts'!F132*1)+('Facts'!F134*1)+('Facts'!F136*1)+('Facts'!F138*1)+('Facts'!F140*1)+('Facts'!F142*1))*1</t>
  </si>
  <si>
    <t>=(('Facts'!F250*1)+('Facts'!F227*1))*1</t>
  </si>
  <si>
    <t>=(('Facts'!F229*1)+('Facts'!F231*1))*1</t>
  </si>
  <si>
    <t>=(('Facts'!F233*1)+('Facts'!F235*1)+('Facts'!F237*1)+('Facts'!F239*1)+('Facts'!F241*1)+('Facts'!F243*1)+('Facts'!F245*1))*1</t>
  </si>
  <si>
    <t>=(('Facts'!F154*1)+('Facts'!F365*1)+('Facts'!F367*1)+('Facts'!F369*1)+('Facts'!F371*1)+('Facts'!F373*1)+('Facts'!F375*1)+('Facts'!F377*1)+('Facts'!F379*1)+('Facts'!F381*1)+('Facts'!F383*1)+('Facts'!F385*1)+('Facts'!F387*1)+('Facts'!F389*1)+('Facts'!F391*1)+('Facts'!F393*1)+('Facts'!F395*1))*1</t>
  </si>
  <si>
    <t>=(('Facts'!F265-'Facts'!F267))*1</t>
  </si>
  <si>
    <t>=(('Facts'!F305-'Facts'!F307))*1</t>
  </si>
  <si>
    <t>=(('Facts'!F313-'Facts'!F315))*1</t>
  </si>
  <si>
    <t>=(('Facts'!F291-'Facts'!F293))*1</t>
  </si>
  <si>
    <t>=(('Facts'!F295-'Facts'!F297))*1</t>
  </si>
  <si>
    <t>=(('Facts'!F317-'Facts'!F319))*1</t>
  </si>
  <si>
    <t>=(('Facts'!F269*1)+('Facts'!F271*1)+('Facts'!F273*1)+('Facts'!F275*1))*1</t>
  </si>
  <si>
    <t>=(('Facts'!F399*1)+('Facts'!F401*1))*1</t>
  </si>
  <si>
    <t>=(('Facts'!F359-'Facts'!F361))*1</t>
  </si>
  <si>
    <t>=(('Facts'!F112-'Facts'!F114))*1</t>
  </si>
  <si>
    <t>=IF('Facts'!F112&lt;=0,NA(),(('Calculations'!D104/'Facts'!F112))*1)</t>
  </si>
  <si>
    <t>=(('Facts'!F150*1)+('Facts'!F126*1))*1</t>
  </si>
  <si>
    <t>=(('Calculations'!D106*1)+('Facts'!F367*1)+('Facts'!F369*1)+('Facts'!F371*1)+('Facts'!F373*1))*1</t>
  </si>
  <si>
    <t>=(('Facts'!F405*1)+('Facts'!F57*1)+('Facts'!F259*1))*1</t>
  </si>
  <si>
    <t>=(('Facts'!F55*1)+('Facts'!F57*1)+('Facts'!F252*1)+('Facts'!F254*1)+('Facts'!F259*1)+('Facts'!F255*1))*1</t>
  </si>
  <si>
    <t>=(('Calculations'!D108*1)+('Facts'!F110*1))*1</t>
  </si>
  <si>
    <t>=(('Calculations'!D108-'Facts'!F229))*1</t>
  </si>
  <si>
    <t>=IF('Facts'!F53&lt;=0,NA(),(('Facts'!F89/'Facts'!F53))*1)</t>
  </si>
  <si>
    <t>=IF('Calculations'!D110&lt;=0,NA(),(('Calculations'!D108/'Calculations'!D110))*1)</t>
  </si>
  <si>
    <t>=IF('Facts'!F73&lt;=0,NA(),(('Facts'!F24/'Facts'!F73))*1)</t>
  </si>
  <si>
    <t>=IF('Calculations'!D109&lt;=0,NA(),(('Facts'!F229/'Calculations'!D109))*1)</t>
  </si>
  <si>
    <t>=IF('Calculations'!D109&lt;=0,NA(),(('Facts'!F3/'Calculations'!D109))*1)</t>
  </si>
  <si>
    <t>=IF('Calculations'!D108&lt;=0,NA(),(('Facts'!F182/'Calculations'!D108))*1)</t>
  </si>
  <si>
    <t>=IF('Facts'!F359&lt;=0,NA(),(('Calculations'!D107/'Facts'!F359))*1)</t>
  </si>
  <si>
    <t>=IF('Facts'!F265&lt;=0,NA(),(('Facts'!F267/'Facts'!F265))*1)</t>
  </si>
  <si>
    <t>=IF('Facts'!F265&lt;=0,NA(),(('Facts'!F275/'Facts'!F265))*1)</t>
  </si>
  <si>
    <t>=IF('Facts'!F359&lt;=0,NA(),(('Facts'!F361/'Facts'!F359))*1)</t>
  </si>
  <si>
    <t>=IF('Facts'!F112&lt;=0,NA(),(('Facts'!F355/'Facts'!F112))*1)</t>
  </si>
  <si>
    <t>=(('Facts'!F182-'Facts'!F195))*1</t>
  </si>
  <si>
    <t>=(('Facts'!F331-'Facts'!F333))*1</t>
  </si>
  <si>
    <t>=IF('Facts'!F331&lt;=0,NA(),(('Calculations'!D124/'Facts'!F331))*1)</t>
  </si>
  <si>
    <t>=(('Facts'!F335-'Facts'!F337))*1</t>
  </si>
  <si>
    <t>=IF('Facts'!F335&lt;=0,NA(),(('Calculations'!D126/'Facts'!F335))*1)</t>
  </si>
  <si>
    <t>=(('Facts'!F339-'Facts'!F341))*1</t>
  </si>
  <si>
    <t>=IF('Facts'!F339&lt;=0,NA(),(('Calculations'!D128/'Facts'!F339))*1)</t>
  </si>
  <si>
    <t>=(('Facts'!F343-'Facts'!F345))*1</t>
  </si>
  <si>
    <t>=IF('Facts'!F343&lt;=0,NA(),(('Calculations'!D130/'Facts'!F343))*1)</t>
  </si>
  <si>
    <t>=(('Facts'!F347-'Facts'!F349))*1</t>
  </si>
  <si>
    <t>=IF('Facts'!F347&lt;=0,NA(),(('Calculations'!D132/'Facts'!F347))*1)</t>
  </si>
  <si>
    <t>=(('Facts'!F351-'Facts'!F353))*1</t>
  </si>
  <si>
    <t>=IF('Facts'!F351&lt;=0,NA(),(('Calculations'!D134/'Facts'!F351))*1)</t>
  </si>
  <si>
    <t>=(('Facts'!F331*1)+('Facts'!F335*1)+('Facts'!F339*1)+('Facts'!F343*1)+('Facts'!F347*1)+('Facts'!F351*1))*1</t>
  </si>
  <si>
    <t>=(('Facts'!F333*1)+('Facts'!F337*1)+('Facts'!F341*1)+('Facts'!F345*1)+('Facts'!F349*1)+('Facts'!F353*1))*1</t>
  </si>
  <si>
    <t>=IF(OR('Facts'!F112&lt;=0,'Facts'!F111&lt;0),NA(),((('Facts'!F111-'Facts'!F112)/'Facts'!F112))*1)</t>
  </si>
  <si>
    <t>=(('Facts'!F8-'Facts'!F9))*1</t>
  </si>
  <si>
    <t>=(('Facts'!F267*1)+('Facts'!F432*1)+('Facts'!F433*-1)+('Facts'!F434*-1)+('Facts'!F435*1))*1</t>
  </si>
  <si>
    <t>=(('Facts'!F307*1)+('Facts'!F436*1)+('Facts'!F437*-1)+('Facts'!F438*-1))*1</t>
  </si>
  <si>
    <t>=(('Facts'!F315*1)+('Facts'!F439*1)+('Facts'!F440*-1))*1</t>
  </si>
  <si>
    <t>=(('Facts'!F323*1)+('Facts'!F454*1)+('Facts'!F455*-1))*1</t>
  </si>
  <si>
    <t>=(('Facts'!F325*1)+('Facts'!F456*1)+('Facts'!F457*-1))*1</t>
  </si>
  <si>
    <t>=(('Facts'!F327*1)+('Facts'!F458*1)+('Facts'!F459*1)+('Facts'!F460*-1))*1</t>
  </si>
  <si>
    <t>=(('Facts'!F461*1)+('Facts'!F462*1)+('Facts'!F463*-1))*1</t>
  </si>
  <si>
    <t>=(('Facts'!F77*1)+('Facts'!F472*1)+('Facts'!F473*1)+('Facts'!F474*-1)+('Facts'!F475*-1))*1</t>
  </si>
  <si>
    <t>=(('Facts'!F405*1)+('Facts'!F476*1)+('Facts'!F477*-1)+('Facts'!F478*1))*1</t>
  </si>
  <si>
    <t>=(('Facts'!F110*1)+('Facts'!F161*1)+('Facts'!F482*1)+('Facts'!F481*-1)+('Facts'!F483*1)+('Facts'!F484*1))*1</t>
  </si>
  <si>
    <t>=(('Facts'!F469*1)+('Facts'!F470*1))*1</t>
  </si>
  <si>
    <t>=IF('Facts'!F181&lt;=0,NA(),(('Facts'!F481/'Facts'!F181))*1)</t>
  </si>
  <si>
    <t>=(('Calculations'!D55-'Facts'!F481))*1</t>
  </si>
  <si>
    <t>=(('Calculations'!D40*1)+('Facts'!F398*1))*1</t>
  </si>
  <si>
    <t>=(('Calculations'!D153*1)+('Facts'!F109*1))*1</t>
  </si>
  <si>
    <t>=IF('Calculations'!D154&lt;=0,NA(),(('Calculations'!D153/'Calculations'!D154))*1)</t>
  </si>
  <si>
    <t>=(('Facts'!F8*1)+('Facts'!F18*1)+('Facts'!F298*1)+('Facts'!F320*1)+('Facts'!F14*1))*1</t>
  </si>
  <si>
    <t>=IF('Facts'!F52&lt;=0,NA(),(('Calculations'!D156/'Facts'!F52))*1)</t>
  </si>
  <si>
    <t>=IF('Facts'!F109&lt;=0,NA(),(('Facts'!F46/'Facts'!F109))*1)</t>
  </si>
  <si>
    <t>=(('Facts'!F408*1)+('Facts'!F410*1))*1</t>
  </si>
  <si>
    <t>=(('Facts'!F422*1)+('Facts'!F424*1)+('Facts'!F426*1)+('Facts'!F428*1))*1</t>
  </si>
  <si>
    <t>=(('Facts'!F409*1)+('Facts'!F411*1))*1</t>
  </si>
  <si>
    <t>=(('Facts'!F423*1)+('Facts'!F425*1)+('Facts'!F427*1)+('Facts'!F429*1))*1</t>
  </si>
  <si>
    <t>=(('Facts'!F411*1)+('Facts'!F577*1))*1</t>
  </si>
  <si>
    <t>=(('Facts'!F576*1)+('Facts'!F418*1)+('Facts'!F578*1)+('Facts'!F579*-1)+('Facts'!F580*1))*1</t>
  </si>
  <si>
    <t>=(('Facts'!F511*1)+('Facts'!F512*1))*1</t>
  </si>
  <si>
    <t>=(('Facts'!F526-'Facts'!F527))*1</t>
  </si>
  <si>
    <t>=(('Facts'!F521*1)+('Facts'!F522*1))*1</t>
  </si>
  <si>
    <t>=(('Facts'!F528*1)+('Facts'!F533*1)+('Facts'!F534*1)+('Facts'!F535*1)+('Facts'!F536*1))*1</t>
  </si>
  <si>
    <t>=(('Facts'!F537*1)+('Facts'!F538*1)+('Facts'!F539*1)+('Facts'!F540*1))*1</t>
  </si>
  <si>
    <t>=IF('Facts'!F510&lt;=0,NA(),(('Facts'!F511/'Facts'!F510))*1)</t>
  </si>
  <si>
    <t>=IF('Facts'!F526&lt;=0,NA(),(('Calculations'!D166/'Facts'!F526))*1)</t>
  </si>
  <si>
    <t>=IF('Calculations'!D167&lt;=0,NA(),(('Facts'!F537/'Calculations'!D167))*1)</t>
  </si>
  <si>
    <t>=(('Facts'!F550*1)+('Facts'!F551*1))*1</t>
  </si>
  <si>
    <t>=(('Facts'!F568*1)+('Facts'!F569*1)+('Facts'!F570*1)+('Facts'!F571*1))*1</t>
  </si>
  <si>
    <t>=(('Facts'!F228*1)+('Facts'!F572*1))*1</t>
  </si>
  <si>
    <t>=(('Facts'!F562-'Facts'!F563))*1</t>
  </si>
  <si>
    <t>=IF('Facts'!F562&lt;=0,NA(),(('Calculations'!D176/'Facts'!F562))*1)</t>
  </si>
  <si>
    <t>=IF('Facts'!F549&lt;=0,NA(),(('Facts'!F550/'Facts'!F549))*1)</t>
  </si>
  <si>
    <t>=(('Facts'!F568-'Facts'!F573))*1</t>
  </si>
  <si>
    <t>=(('Facts'!F508-'Facts'!F581))*1</t>
  </si>
  <si>
    <t>=(('Facts'!F582-'Facts'!F583))*1</t>
  </si>
  <si>
    <t>=(('Facts'!F584-'Facts'!F585))*1</t>
  </si>
  <si>
    <t>=(('Facts'!F235*1)+('Facts'!F233*1)+('Facts'!F237*1))*1</t>
  </si>
  <si>
    <t>=(('Facts'!F586*1)+('Facts'!F487*1))*1</t>
  </si>
  <si>
    <t>=(('Facts'!F587*1)+('Facts'!F487*1))*1</t>
  </si>
  <si>
    <t>=(AVERAGE('Facts'!F53,'Facts'!F508))*1</t>
  </si>
  <si>
    <t>=IF('Calculations'!D186&lt;=0,NA(),(('Facts'!F112/'Calculations'!D186))*1)</t>
  </si>
  <si>
    <t>=IF('Calculations'!D186&lt;=0,NA(),(('Calculations'!D106/'Calculations'!D186))*1)</t>
  </si>
  <si>
    <t>=(('Facts'!F112*1)+('Facts'!F114*-1)+('Facts'!F116*-1))*1</t>
  </si>
  <si>
    <t>=IF('Facts'!F112&lt;=0,NA(),(('Calculations'!D189/'Facts'!F112))*1)</t>
  </si>
  <si>
    <t>=(('Facts'!F3*1)+('Facts'!F5*1)+('Facts'!F7*1)+('Facts'!F589*1))*1</t>
  </si>
  <si>
    <t>=(('Calculations'!D191*1)+('Facts'!F231*-1)+('Facts'!F595*-1))*1</t>
  </si>
  <si>
    <t>=IF('Calculations'!D109&lt;=0,NA(),(('Calculations'!D192/'Calculations'!D109))*1)</t>
  </si>
  <si>
    <t>=(('Calculations'!D192-'Facts'!F597))*1</t>
  </si>
  <si>
    <t>=IF('Calculations'!D109&lt;=0,NA(),(('Calculations'!D194/'Calculations'!D109))*1)</t>
  </si>
  <si>
    <t>=IF('Facts'!F73&lt;=0,NA(),(('Facts'!F164/'Facts'!F73))*1)</t>
  </si>
  <si>
    <t>=(AVERAGE('Facts'!F9,'Facts'!F547))*1</t>
  </si>
  <si>
    <t>=IF('Facts'!F112&lt;=0,NA(),(('Calculations'!D197/'Facts'!F112))*360)</t>
  </si>
  <si>
    <t>=(AVERAGE('Facts'!F17,'Facts'!F598))*1</t>
  </si>
  <si>
    <t>=IF('Facts'!F114&lt;=0,NA(),(('Calculations'!D199/'Facts'!F114))*360)</t>
  </si>
  <si>
    <t>=(AVERAGE('Facts'!F59,'Facts'!F599))*1</t>
  </si>
  <si>
    <t>=IF('Facts'!F114&lt;=0,NA(),(('Calculations'!D201/'Facts'!F114))*360)</t>
  </si>
  <si>
    <t>=(('Calculations'!D198*1)+('Calculations'!D200*1)+('Calculations'!D202*-1))*1</t>
  </si>
  <si>
    <t>=(AVERAGE('Facts'!F52,'Facts'!F53))*1</t>
  </si>
  <si>
    <t>=IF('Calculations'!D204&lt;=0,NA(),(('Facts'!F111/'Calculations'!D204))*1)</t>
  </si>
  <si>
    <t>=IF('Calculations'!D204&lt;=0,NA(),(('Calculations'!D38/'Calculations'!D204))*1)</t>
  </si>
  <si>
    <t>=(('Facts'!F111*1)+('Facts'!F113*-1)+('Facts'!F115*-1))*1</t>
  </si>
  <si>
    <t>=IF('Facts'!F111&lt;=0,NA(),(('Calculations'!D207/'Facts'!F111))*1)</t>
  </si>
  <si>
    <t>=(('Facts'!F2*1)+('Facts'!F4*1)+('Facts'!F6*1)+('Facts'!F588*1))*1</t>
  </si>
  <si>
    <t>=(('Calculations'!D209*1)+('Facts'!F230*-1)+('Facts'!F594*-1))*1</t>
  </si>
  <si>
    <t>=IF('Calculations'!D41&lt;=0,NA(),(('Calculations'!D210/'Calculations'!D41))*1)</t>
  </si>
  <si>
    <t>=(('Calculations'!D210-'Facts'!F596))*1</t>
  </si>
  <si>
    <t>=IF('Calculations'!D41&lt;=0,NA(),(('Calculations'!D212/'Calculations'!D41))*1)</t>
  </si>
  <si>
    <t>=IF('Facts'!F72&lt;=0,NA(),(('Facts'!F163/'Facts'!F72))*1)</t>
  </si>
  <si>
    <t>=(AVERAGE('Facts'!F8,'Facts'!F9))*1</t>
  </si>
  <si>
    <t>=IF('Facts'!F111&lt;=0,NA(),(('Calculations'!D215/'Facts'!F111))*360)</t>
  </si>
  <si>
    <t>=(AVERAGE('Facts'!F16,'Facts'!F17))*1</t>
  </si>
  <si>
    <t>=IF('Facts'!F113&lt;=0,NA(),(('Calculations'!D217/'Facts'!F113))*360)</t>
  </si>
  <si>
    <t>=(AVERAGE('Facts'!F58,'Facts'!F59))*1</t>
  </si>
  <si>
    <t>=IF('Facts'!F113&lt;=0,NA(),(('Calculations'!D219/'Facts'!F113))*360)</t>
  </si>
  <si>
    <t>=(('Calculations'!D216*1)+('Calculations'!D218*1)+('Calculations'!D220*-1))*1</t>
  </si>
  <si>
    <t>=(AVERAGE('Facts'!F264,'Facts'!F265))*1</t>
  </si>
  <si>
    <t>=IF('Facts'!F111&lt;=0,NA(),(('Calculations'!D222/'Facts'!F111))*360)</t>
  </si>
  <si>
    <t>=(('Calculations'!D223*1)+('Calculations'!D218*1)+('Calculations'!D220*-1))*1</t>
  </si>
  <si>
    <t>=(('Facts'!F544*1)+('Facts'!F602*1)+('Facts'!F603*1))*1</t>
  </si>
  <si>
    <t>=(('Facts'!F504*1)+('Facts'!F600*-1)+('Facts'!F601*-1))*1</t>
  </si>
  <si>
    <t>=IF('Facts'!F504&lt;=0,NA(),(('Calculations'!D226/'Facts'!F504))*1)</t>
  </si>
  <si>
    <t>=(('Facts'!F526*1)+('Facts'!F527*-1)+('Facts'!F604*-1))*1</t>
  </si>
  <si>
    <t>=IF('Facts'!F526&lt;=0,NA(),(('Calculations'!D228/'Facts'!F526))*1)</t>
  </si>
  <si>
    <t>=(('Facts'!F581*1)+('Facts'!F162*1)+('Facts'!F607*1)+('Facts'!F608*-1)+('Facts'!F609*1)+('Facts'!F610*1))*1</t>
  </si>
  <si>
    <t>=(('Facts'!F611*1)+('Facts'!F612*1)+('Facts'!F613*1)+('Facts'!F614*-1)+('Facts'!F615*1)+('Facts'!F616*1))*1</t>
  </si>
  <si>
    <t>=(('Calculations'!D108*1)+('Facts'!F619*1))*1</t>
  </si>
  <si>
    <t>=(('Calculations'!D40*1)+('Facts'!F618*1))*1</t>
  </si>
  <si>
    <t>=(('Facts'!F629*1)+('Facts'!F630*1))*1</t>
  </si>
  <si>
    <t>=(('Facts'!F627*1)+('Facts'!F628*1))*1</t>
  </si>
  <si>
    <t>=IF('Facts'!F626&lt;=0,NA(),(('Calculations'!D235/'Facts'!F626))*1)</t>
  </si>
  <si>
    <t>=IF('Facts'!F657&lt;=0,NA(),(('Facts'!F658/'Facts'!F657))*1)</t>
  </si>
  <si>
    <t>=IF('Facts'!F659&lt;=0,NA(),(('Facts'!F660/'Facts'!F659))*1)</t>
  </si>
  <si>
    <t>=(('Facts'!F697*1)+('Facts'!F698*1))*1</t>
  </si>
  <si>
    <t>=(('Facts'!F713*1)+('Facts'!F714*1))*1</t>
  </si>
  <si>
    <t>=IF('Facts'!F712&lt;=0,NA(),(('Facts'!F711/'Facts'!F712))*1)</t>
  </si>
  <si>
    <t>=(('Facts'!F712*0.5))*1</t>
  </si>
  <si>
    <t>=(('Facts'!F711-'Calculations'!D242))*1</t>
  </si>
  <si>
    <t>=(('Facts'!F715*1)+('Facts'!F716*1)+('Facts'!F717*1)+('Facts'!F718*-1)+('Facts'!F719*-1))*1</t>
  </si>
  <si>
    <t>=(('Facts'!F722*1)+('Facts'!F724*-1))*1</t>
  </si>
  <si>
    <t>=(('Facts'!F723*1)+('Facts'!F726*-1))*1</t>
  </si>
  <si>
    <t>=IF('Facts'!F721&lt;=0,NA(),(('Facts'!F725/'Facts'!F721))*1)</t>
  </si>
  <si>
    <t>=(('Facts'!F747*1)+('Facts'!F748*1))*1</t>
  </si>
  <si>
    <t>=(('Facts'!F743*1)+('Facts'!F744*-1)+('Facts'!F745*1))*1</t>
  </si>
  <si>
    <t>勾稽</t>
  </si>
  <si>
    <t>实际</t>
  </si>
  <si>
    <t>目标</t>
  </si>
  <si>
    <t>残差 基础单位</t>
  </si>
  <si>
    <t>容差 基础单位</t>
  </si>
  <si>
    <t>容差依据</t>
  </si>
  <si>
    <t>未测试原因</t>
  </si>
  <si>
    <t>金额残差小数位</t>
  </si>
  <si>
    <t>ks_a_r_currentassets_2025</t>
  </si>
  <si>
    <t>within_input_tolerance</t>
  </si>
  <si>
    <t>原件元单位数值重算；差额保留，不设评级准入门槛</t>
  </si>
  <si>
    <t>ks_a_r_noncurrentassets_2025</t>
  </si>
  <si>
    <t>ks_a_r_currentliab_2025</t>
  </si>
  <si>
    <t>ks_a_r_noncurrentliab_2025</t>
  </si>
  <si>
    <t>ks_a_r_ownerequity_2025</t>
  </si>
  <si>
    <t>ks_a_r_equity_2025</t>
  </si>
  <si>
    <t>ks_a_r_assets_2025</t>
  </si>
  <si>
    <t>ks_a_r_liab_2025</t>
  </si>
  <si>
    <t>ks_a_r_balance_2025</t>
  </si>
  <si>
    <t>资产等于负债加权益</t>
  </si>
  <si>
    <t>ks_a_r_totalcost_2025</t>
  </si>
  <si>
    <t>ks_a_r_pbt_2025</t>
  </si>
  <si>
    <t>ks_a_r_netincome_2025</t>
  </si>
  <si>
    <t>ks_a_r_ci_2025</t>
  </si>
  <si>
    <t>ks_a_r_opcashin_2025</t>
  </si>
  <si>
    <t>ks_a_r_opcashout_2025</t>
  </si>
  <si>
    <t>ks_a_r_cfo_2025</t>
  </si>
  <si>
    <t>ks_a_r_cfi_2025</t>
  </si>
  <si>
    <t>ks_a_r_cff_2025</t>
  </si>
  <si>
    <t>ks_a_r_cashdelta_2025</t>
  </si>
  <si>
    <t>ks_a_r_plattrib_2025</t>
  </si>
  <si>
    <t>净利归属</t>
  </si>
  <si>
    <t>ks_a_r_opprofit_2025</t>
  </si>
  <si>
    <t>ks_a_r_cash_2025</t>
  </si>
  <si>
    <t>现金滚动</t>
  </si>
  <si>
    <t>ks_a_r_cashbook_2025</t>
  </si>
  <si>
    <t>现金与账面资金</t>
  </si>
  <si>
    <t>ks_a_r_restrictdetail_2025</t>
  </si>
  <si>
    <t>受限资金明细</t>
  </si>
  <si>
    <t>ks_a_r_indirect_cfo_2025</t>
  </si>
  <si>
    <t>间接法经营现金</t>
  </si>
  <si>
    <t>ks_a_r_ar_netcalc_2025</t>
  </si>
  <si>
    <t>ar净额</t>
  </si>
  <si>
    <t>ks_a_r_otherar_netcalc_2025</t>
  </si>
  <si>
    <t>otherar净额</t>
  </si>
  <si>
    <t>ks_a_r_inventory_netcalc_2025</t>
  </si>
  <si>
    <t>inventory净额</t>
  </si>
  <si>
    <t>ks_a_r_contract_netcalc_2025</t>
  </si>
  <si>
    <t>contract净额</t>
  </si>
  <si>
    <t>ks_a_r_longcontract_netcalc_2025</t>
  </si>
  <si>
    <t>longcontract净额</t>
  </si>
  <si>
    <t>ks_a_r_propertynet_netcalc_2025</t>
  </si>
  <si>
    <t>propertynet净额</t>
  </si>
  <si>
    <t>ks_a_r_arge_2025</t>
  </si>
  <si>
    <t>应收账龄</t>
  </si>
  <si>
    <t>ks_a_r_supplier_sum_2025</t>
  </si>
  <si>
    <t>供应商融资分类</t>
  </si>
  <si>
    <t>ks_a_r_interest_2025</t>
  </si>
  <si>
    <t>利息费用勾稽</t>
  </si>
  <si>
    <t>ks_a_r_productrev_2025</t>
  </si>
  <si>
    <t>产品收入勾稽</t>
  </si>
  <si>
    <t>ks_a_r_productcost_2025</t>
  </si>
  <si>
    <t>产品成本勾稽</t>
  </si>
  <si>
    <t>ks_a_r_currentassets_2024</t>
  </si>
  <si>
    <t>ks_a_r_noncurrentassets_2024</t>
  </si>
  <si>
    <t>ks_a_r_currentliab_2024</t>
  </si>
  <si>
    <t>ks_a_r_noncurrentliab_2024</t>
  </si>
  <si>
    <t>ks_a_r_ownerequity_2024</t>
  </si>
  <si>
    <t>ks_a_r_equity_2024</t>
  </si>
  <si>
    <t>ks_a_r_assets_2024</t>
  </si>
  <si>
    <t>ks_a_r_liab_2024</t>
  </si>
  <si>
    <t>ks_a_r_balance_2024</t>
  </si>
  <si>
    <t>ks_a_r_totalcost_2024</t>
  </si>
  <si>
    <t>ks_a_r_pbt_2024</t>
  </si>
  <si>
    <t>ks_a_r_netincome_2024</t>
  </si>
  <si>
    <t>ks_a_r_ci_2024</t>
  </si>
  <si>
    <t>ks_a_r_opcashin_2024</t>
  </si>
  <si>
    <t>ks_a_r_opcashout_2024</t>
  </si>
  <si>
    <t>ks_a_r_cfo_2024</t>
  </si>
  <si>
    <t>ks_a_r_cfi_2024</t>
  </si>
  <si>
    <t>ks_a_r_cff_2024</t>
  </si>
  <si>
    <t>ks_a_r_cashdelta_2024</t>
  </si>
  <si>
    <t>ks_a_r_plattrib_2024</t>
  </si>
  <si>
    <t>ks_a_r_opprofit_2024</t>
  </si>
  <si>
    <t>ks_a_r_cash_2024</t>
  </si>
  <si>
    <t>ks_a_r_cashbook_2024</t>
  </si>
  <si>
    <t>ks_a_r_restrictdetail_2024</t>
  </si>
  <si>
    <t>ks_a_r_indirect_cfo_2024</t>
  </si>
  <si>
    <t>ks_a_r_ar_netcalc_2024</t>
  </si>
  <si>
    <t>ks_a_r_otherar_netcalc_2024</t>
  </si>
  <si>
    <t>ks_a_r_inventory_netcalc_2024</t>
  </si>
  <si>
    <t>ks_a_r_contract_netcalc_2024</t>
  </si>
  <si>
    <t>ks_a_r_longcontract_netcalc_2024</t>
  </si>
  <si>
    <t>ks_a_r_propertynet_netcalc_2024</t>
  </si>
  <si>
    <t>ks_a_r_arge_2024</t>
  </si>
  <si>
    <t>ks_a_r_supplier_sum_2024</t>
  </si>
  <si>
    <t>ks_a_r_interest_2024</t>
  </si>
  <si>
    <t>ks_a_r_productrev_2024</t>
  </si>
  <si>
    <t>ks_a_r_productcost_2024</t>
  </si>
  <si>
    <t>ks_a_r_arres</t>
  </si>
  <si>
    <t>unexplained_difference</t>
  </si>
  <si>
    <t>第168页原负号经独立图像重读确认；其他按有符号相加差62,431.64，若负号表示减少项冲回可以闭合。未改变原披露负号，等待符号语义说明。</t>
  </si>
  <si>
    <t>ks_a_r_otherarres</t>
  </si>
  <si>
    <t>ks_a_r_inventoryres</t>
  </si>
  <si>
    <t>ks_a_r_ppegross</t>
  </si>
  <si>
    <t>PPE原值滚动</t>
  </si>
  <si>
    <t>ks_a_r_ppedep</t>
  </si>
  <si>
    <t>PPE折旧滚动</t>
  </si>
  <si>
    <t>ks_a_r_pperes</t>
  </si>
  <si>
    <t>PPE准备滚动</t>
  </si>
  <si>
    <t>ks_a_r_chuzhou</t>
  </si>
  <si>
    <t>滁州CIP原表未闭合</t>
  </si>
  <si>
    <t>第185页原图独立二次阅读仍见其他减少12,852,572.76，末余额未扣该列；属未解释披露差异，不自动推定财报错报。</t>
  </si>
  <si>
    <t>ks_a_r_bonds</t>
  </si>
  <si>
    <t>转债滚动</t>
  </si>
  <si>
    <t>ks_a_r_debtorroll</t>
  </si>
  <si>
    <t>筹资负债滚动</t>
  </si>
  <si>
    <t>ks_a_r_equityroll</t>
  </si>
  <si>
    <t>合并所有者权益滚动</t>
  </si>
  <si>
    <t>ks_a_r_taxroll</t>
  </si>
  <si>
    <t>所得税附注桥</t>
  </si>
  <si>
    <t>ks_a_r_p_balance_2025</t>
  </si>
  <si>
    <t>母公司BS</t>
  </si>
  <si>
    <t>ks_a_r_p_cfs_2025</t>
  </si>
  <si>
    <t>母公司现金流</t>
  </si>
  <si>
    <t>ks_a_r_p_balance_2024</t>
  </si>
  <si>
    <t>ks_a_r_p_cfs_2024</t>
  </si>
  <si>
    <t>ks_a_r_p_open</t>
  </si>
  <si>
    <t>母公司期初追溯</t>
  </si>
  <si>
    <t>ks_a_r_p_equityroll</t>
  </si>
  <si>
    <t>ks_a_r_old_balance</t>
  </si>
  <si>
    <t>ks_a_r_old_cfs</t>
  </si>
  <si>
    <t>原2023现金流</t>
  </si>
  <si>
    <t>ks_a_r_q1_balance</t>
  </si>
  <si>
    <t>Q1资产负债</t>
  </si>
  <si>
    <t>ks_a_r_q1_cfs</t>
  </si>
  <si>
    <t>Q1现金流</t>
  </si>
  <si>
    <t>ks_a_r_q1_cashbridge</t>
  </si>
  <si>
    <t>Q1年初现金衔接</t>
  </si>
  <si>
    <t>ks_a_r_orig_cash_gap</t>
  </si>
  <si>
    <t>原现金差额与完整受限余额</t>
  </si>
  <si>
    <t>ks_a_r_cashbook_restatement</t>
  </si>
  <si>
    <t>货币资金重述桥</t>
  </si>
  <si>
    <t>ks_a_r_cce_restatement</t>
  </si>
  <si>
    <t>现金等价物重述桥</t>
  </si>
  <si>
    <t>ks_a_r_equityroll_2024</t>
  </si>
  <si>
    <t>2024合并权益变动</t>
  </si>
  <si>
    <t>ks_a_r_old_equity_roll_2023</t>
  </si>
  <si>
    <t>原2023权益变动</t>
  </si>
  <si>
    <t>ks_d_r_equity</t>
  </si>
  <si>
    <t>合并权益分项核对</t>
  </si>
  <si>
    <t>以已披露十进制数精确相加减；本项未以容差掩盖差额，零残差不证明所有账户无遗漏。</t>
  </si>
  <si>
    <t>ks_d_r_book</t>
  </si>
  <si>
    <t>债券账面余额核对</t>
  </si>
  <si>
    <t>ks_d_r_face_2025</t>
  </si>
  <si>
    <t>本年面值核对</t>
  </si>
  <si>
    <t>ks_d_r_face_q1</t>
  </si>
  <si>
    <t>一季度面值核对</t>
  </si>
  <si>
    <t>ks_d_r_fund_parts</t>
  </si>
  <si>
    <t>募集资金分布核对</t>
  </si>
  <si>
    <t>ks_d_r_fund_receipts</t>
  </si>
  <si>
    <t>募集资金收支核对</t>
  </si>
  <si>
    <t>文件</t>
  </si>
  <si>
    <t>链接</t>
  </si>
  <si>
    <t>公布日期</t>
  </si>
  <si>
    <t>SHA256</t>
  </si>
  <si>
    <t>时间证据与限制</t>
  </si>
  <si>
    <t>ks_a_s_25</t>
  </si>
  <si>
    <t>科顺防水科技股份有限公司2025年年度报告</t>
  </si>
  <si>
    <t>https://disc.static.szse.cn/disc/disk03/finalpage/2026-04-24/8d1711bc-c88b-410a-8b72-7bae6b960a12.PDF</t>
  </si>
  <si>
    <t>2026-04-24</t>
  </si>
  <si>
    <t>a28e4d8699b586369812b69cd2aa8f027369b7b916c6477d67646f7ecd7fb66d</t>
  </si>
  <si>
    <t>公开披露日不晚于研究截止日；原件按本来源URL和SHA256定位</t>
  </si>
  <si>
    <t>ks_a_s_24</t>
  </si>
  <si>
    <t>科顺防水科技股份有限公司2024年年度报告</t>
  </si>
  <si>
    <t>https://static.cninfo.com.cn/finalpage/2025-04-25/1223275058.PDF</t>
  </si>
  <si>
    <t>2025-04-25</t>
  </si>
  <si>
    <t>81f75b4c75f7ea2f474099b81ae59671bc94101fe1c314def82c888b77eaa31e</t>
  </si>
  <si>
    <t>ks_a_s_q1</t>
  </si>
  <si>
    <t>科顺防水科技股份有限公司2026年第一季度报告</t>
  </si>
  <si>
    <t>https://static.cninfo.com.cn/finalpage/2026-04-24/1225172706.PDF</t>
  </si>
  <si>
    <t>ec88c2b30e216c8ebeff8eba54c49391a16aab6b5bbcecd6260fa8b817f804ba</t>
  </si>
  <si>
    <t>ks_a_s_control_audit</t>
  </si>
  <si>
    <t>科顺防水科技股份有限公司2025年度内部控制审计报告</t>
  </si>
  <si>
    <t>https://static.cninfo.com.cn/finalpage/2026-04-24/1225172719.PDF</t>
  </si>
  <si>
    <t>0ddd1290e9f1b417cd7bb6b1b136ef3cd3b7abbfb2b921202b9a9a207d80ac03</t>
  </si>
  <si>
    <t>ks_a_s_control_self</t>
  </si>
  <si>
    <t>科顺防水科技股份有限公司2025年度内部控制自我评价报告</t>
  </si>
  <si>
    <t>https://static.cninfo.com.cn/finalpage/2026-04-24/1225172718.PDF</t>
  </si>
  <si>
    <t>36597e1cf4286729b58b0e3d8492762b56f58af0e34c191b7e622810630cc260</t>
  </si>
  <si>
    <t>ks_a_s_policy</t>
  </si>
  <si>
    <t>科顺防水科技股份有限公司关于会计政策变更的公告</t>
  </si>
  <si>
    <t>https://static.cninfo.com.cn/finalpage/2026-04-24/1225172716.PDF</t>
  </si>
  <si>
    <t>9ca4890618d7cfcd6a1c434a534e3571d2a404fcd10941abb53f0de3bd7f8bc1</t>
  </si>
  <si>
    <t>ks_a_s_proceeds</t>
  </si>
  <si>
    <t>科顺防水科技股份有限公司募集资金2025年度存放、管理与使用情况鉴证报告</t>
  </si>
  <si>
    <t>https://static.cninfo.com.cn/finalpage/2026-04-24/1225172703.PDF</t>
  </si>
  <si>
    <t>6a7ec3339b37ee7b814ebee09922d2a685373c2a1902bbd2bd62e058ca655c4f</t>
  </si>
  <si>
    <t>ks_a_s_return26</t>
  </si>
  <si>
    <t>关于归还暂时用于补充流动资金的闲置募集资金的公告（2026-002）</t>
  </si>
  <si>
    <t>https://static.cninfo.com.cn/finalpage/2026-01-06/1224921562.PDF</t>
  </si>
  <si>
    <t>68b6fc95fc64d13f76cbdaa7ce1c7ca34bcf7f45180fe28c341154c4addd6828</t>
  </si>
  <si>
    <t>ks_a_s_renew26</t>
  </si>
  <si>
    <t>关于使用部分闲置募集资金暂时补充流动资金的公告（2026-006）</t>
  </si>
  <si>
    <t>https://static.cninfo.com.cn/finalpage/2026-01-09/1224927241.PDF</t>
  </si>
  <si>
    <t>9e482f617a1097007b92a876ead8af540221bf03c15ba94db0955d795cc815cf</t>
  </si>
  <si>
    <t>ks_b_s03</t>
  </si>
  <si>
    <t>联合资信一般工商企业信用评级方法与模型V4.1.202606</t>
  </si>
  <si>
    <t>https://www.lhratings.com/file/8622bc88-5377-4572-8c93-afc6d796339d.pdf</t>
  </si>
  <si>
    <t>2026-06-09</t>
  </si>
  <si>
    <t>958d18f68933123770332153692406ceca1e111e76edacce16043c9d5489cb43</t>
  </si>
  <si>
    <t>公开/可得时间依据：2026-06-09；已读：PDF27–29原图（印刷26–28）；限制：最终已按同原件及公开目录核实日期，见ks_r_method；仅因素定义、营业收入区间及净营业周期公式，非发行人既有评级/因素值</t>
  </si>
  <si>
    <t>ks_b_s04</t>
  </si>
  <si>
    <t>东方雨虹2025年年度报告</t>
  </si>
  <si>
    <t>https://static.cninfo.com.cn/finalpage/2026-04-17/1225114217.PDF</t>
  </si>
  <si>
    <t>2026-04-17</t>
  </si>
  <si>
    <t>2acc7211e677a62512a68bda6687e2cb5d5cf79cc5ff3652848c108740c9244d</t>
  </si>
  <si>
    <t>公开/可得时间依据：2026-04-17；已读：PDF10–12、27–31；图像复核29；限制：材料/施工/砂浆和多元业务并存；不以合并收入推防水份额，不采用机构评价；同行财务比较另已核读PDF页：7, 142, 143, 144, 146, 147, 148, 150, 151, 152, 199, 217, 218, 219, 220, 231, 232, 233, 234, 235, 236, 237, 238, 239, 242, 247, 248, 249, 250, 253, 254, 255</t>
  </si>
  <si>
    <t>ks_b_s05</t>
  </si>
  <si>
    <t>北新建材2025年年度报告</t>
  </si>
  <si>
    <t>https://static.cninfo.com.cn/finalpage/2026-03-26/1225031937.PDF</t>
  </si>
  <si>
    <t>2026-03-26</t>
  </si>
  <si>
    <t>bfdec8ba36c7543b3d85f9e25858e97416ce5ac948519ce0307719b71b4249ea</t>
  </si>
  <si>
    <t>公开/可得时间依据：2026-03-26；已读：PDF13、15–17；图像复核16；限制：石膏板为重要主营；防水板块含施工且有并购；集团经销率不代替防水经销率；同行财务比较另已核读PDF页：7, 88, 89, 90, 92, 93, 96, 97, 101, 160, 161, 195, 196, 208, 209, 211, 212, 214, 215, 216, 217, 219, 220, 225, 226, 231, 232, 233</t>
  </si>
  <si>
    <t>ks_b_s06</t>
  </si>
  <si>
    <t>2025年全国房地产市场基本情况</t>
  </si>
  <si>
    <t>https://www.stats.gov.cn/zwfwck/sjfb/202601/t20260119_1962324.html</t>
  </si>
  <si>
    <t>2026-01-19</t>
  </si>
  <si>
    <t>e7d101ba74bff2d05353518ebf69a50f4cae816147cbbb3408aec45ce00b4a64</t>
  </si>
  <si>
    <t>公开/可得时间依据：2026-01-19；已读：正文一至三、表1、指标/统计范围附注；限制：同比按官方可比口径；不自行以两年名义总量复算增速；施工总面积未用于结论</t>
  </si>
  <si>
    <t>ks_b_s07</t>
  </si>
  <si>
    <t>2026年1—5月份全国房地产市场基本情况</t>
  </si>
  <si>
    <t>https://www.stats.gov.cn/sj/zxfb/202606/t20260616_1963950.html</t>
  </si>
  <si>
    <t>2026-06-16</t>
  </si>
  <si>
    <t>05dff2e5a8f965a81b9560a30b18057bf9c7261ee928b7294b2b1de051d7dfe6</t>
  </si>
  <si>
    <t>公开/可得时间依据：2026-06-16；已读：正文一至三及表1；限制：只使用截止日前已公布1–5月数据；房地产指标不是发行人收入同比预测</t>
  </si>
  <si>
    <t>ks_b_s08</t>
  </si>
  <si>
    <t>2026年1—5月份全国固定资产投资基本情况</t>
  </si>
  <si>
    <t>https://www.stats.gov.cn/sj/zxfb/202606/t20260616_1963951.html</t>
  </si>
  <si>
    <t>c07270f9b8ed8453b2329d8f53abb3fd5f3a6feb5a37e4ae7f5ae273e1021577</t>
  </si>
  <si>
    <t>公开/可得时间依据：2026-06-16；已读：正文、主要数据表、附注1/2/7；限制：基建按本次发布含电力等口径，不与旧口径混接；同比未扣价格因素</t>
  </si>
  <si>
    <t>ks_b_s09</t>
  </si>
  <si>
    <t>2026年一季度国内生产总值初步核算结果</t>
  </si>
  <si>
    <t>https://www.stats.gov.cn/sj/zxfbhjd/202604/t20260417_1963336.html</t>
  </si>
  <si>
    <t>8e9b109e9f68fbb36c6effb34da9a6cbc475fbed9f0aa3eb739d2ad75d5fccbd</t>
  </si>
  <si>
    <t>公开/可得时间依据：2026-04-17；已读：GDP初步核算表；限制：季度初步核算而非最终核实；增长按不变价、总量现价</t>
  </si>
  <si>
    <t>ks_b_s10</t>
  </si>
  <si>
    <t>关于持续推进城市更新行动的意见（生态环境部官方刊载）</t>
  </si>
  <si>
    <t>https://www.mee.gov.cn/zcwj/zyygwj/202505/t20250516_1119546.shtml</t>
  </si>
  <si>
    <t>2025-05-16</t>
  </si>
  <si>
    <t>d44f35cad1861dfb5aaf2ae32cf6c9d5094d24f5b6aba3d2e093cf072c0d9f36</t>
  </si>
  <si>
    <t>公开/可得时间依据：2025-05-16；已读：主要任务（一）（二）（四）（六）及支撑保障（四）；限制：成文2025-05-02、官方刊载2025-05-16；政策不等于公司订单或财政无条件支持</t>
  </si>
  <si>
    <t>ks_b_s11</t>
  </si>
  <si>
    <t>GB45320-2025 建筑防水卷材安全和通用技术规范官方题录</t>
  </si>
  <si>
    <t>https://openstd.samr.gov.cn/bzgk/std/newGbInfo?hcno=BB05482DBB00627FEA316361F0D31EA3&amp;refer=outter</t>
  </si>
  <si>
    <t>2025-03-28</t>
  </si>
  <si>
    <t>a308adf017bc125b4c122913e8d52b117868bc031e8e44a41835f51ea926f539</t>
  </si>
  <si>
    <t>公开/可得时间依据：2025-03-28；已读：标准题录的标准名称、发布/实施日、主管部门；限制：未以当前网页状态证明截止日修改单状态；未把全文条款当已完整审阅</t>
  </si>
  <si>
    <t>ks_b_s12</t>
  </si>
  <si>
    <t>GB45671-2025 建筑防水涂料安全技术规范官方题录</t>
  </si>
  <si>
    <t>https://std.samr.gov.cn/search/stdPage?q=45671</t>
  </si>
  <si>
    <t>07f878bee1cc4863c97a2296eb4b0fdfc35714dbb1ff1d5bd2d6ee77254abc5a</t>
  </si>
  <si>
    <t>公开/可得时间依据：2025-04-25；已读：原标准条目名称、发布/实施日；限制：当前页包含修改单信息，研究只取原标准日期；全文未完整审阅</t>
  </si>
  <si>
    <t>ks_b_s13</t>
  </si>
  <si>
    <t>关于与专业投资机构共同投资设立产业并购基金暨关联交易的公告</t>
  </si>
  <si>
    <t>https://static.cninfo.com.cn/finalpage/2025-07-23/1224269220.PDF</t>
  </si>
  <si>
    <t>5907b553d485c6c1aa279764ee19c17a4e46ebf601b289166749f912425fa2b5</t>
  </si>
  <si>
    <t>公开/可得时间依据：2025-07-23；已读：PDF1–12；限制：认缴和筹设公告，不证明实际出资或最终存续；6%为分配门槛非保证收益</t>
  </si>
  <si>
    <t>ks_b_s14</t>
  </si>
  <si>
    <t>科顺转债受托管理事务报告（2025年度）</t>
  </si>
  <si>
    <t>https://static.cninfo.com.cn/finalpage/2026-06-26/1225389523.PDF</t>
  </si>
  <si>
    <t>2026-06-26</t>
  </si>
  <si>
    <t>e91fa28c77a2afe669b48737750ac2dcfdc1f8cdeb7fd376062d38c1a56e5507</t>
  </si>
  <si>
    <t>公开/可得时间依据：2026-06-26；已读：仅PDF20募集资金核查段；限制：仅采用账户混用/整改原文事实，不读取使用发行人评级章节</t>
  </si>
  <si>
    <t>ks_b_s17</t>
  </si>
  <si>
    <t>2025年年度权益分派实施公告</t>
  </si>
  <si>
    <t>https://disc.static.szse.cn/disc/disk03/finalpage/2026-05-19/a22ddf62-bedc-4698-bc94-9852ced27e84.PDF</t>
  </si>
  <si>
    <t>2026-05-19</t>
  </si>
  <si>
    <t>88ef35829b11d506f9dc81d476f605a76c71d0cb0fd5f69ddf5b526da0f8b5b0</t>
  </si>
  <si>
    <t>公开/可得时间依据：2026-05-19；已读：PDF1–4；限制：签署2026-05-18、公开2026-05-19；实施安排非独立银行到账凭证</t>
  </si>
  <si>
    <t>ks_d_s_m1</t>
  </si>
  <si>
    <t>科顺股份创业板向不特定对象发行可转换公司债券募集说明书（最终发行稿）</t>
  </si>
  <si>
    <t>https://disc.static.szse.cn/disc/disk03/finalpage/2023-08-02/664c558c-7896-414d-8e36-b7cd8129fa03.PDF</t>
  </si>
  <si>
    <t>8434bafc1e188aa603c0edb228e586d365cd00c7d20efa8a490ff6a6673f5cae</t>
  </si>
  <si>
    <t>正文已取得并实读；页码均为 PDF 物理页，从 1 开始。 原件按本来源URL和SHA256定位。</t>
  </si>
  <si>
    <t>ks_d_s_r1</t>
  </si>
  <si>
    <t>科顺股份可转换公司债券持有人会议规则</t>
  </si>
  <si>
    <t>https://disc.static.szse.cn/disc/disk03/finalpage/2022-04-28/c761750c-ed98-488d-856f-913c0906a565.PDF</t>
  </si>
  <si>
    <t>2022-04-28</t>
  </si>
  <si>
    <t>a3bee99eb012479d7bb449019739803d4ad8d7f581ba1983303336951fea1ca2</t>
  </si>
  <si>
    <t>ks_d_s_t0</t>
  </si>
  <si>
    <t>科顺股份2026年第一次临时受托管理事务报告</t>
  </si>
  <si>
    <t>https://disc.static.szse.cn/disc/disk03/finalpage/2026-04-29/808bd56f-b2a4-418f-a330-2b4f6cc8911f.PDF</t>
  </si>
  <si>
    <t>2026-04-29</t>
  </si>
  <si>
    <t>f409c905f8fa003916e66ab825547fd3d19b078cf555568e2c0ec80885781ec8</t>
  </si>
  <si>
    <t>ks_d_s_c1</t>
  </si>
  <si>
    <t>关于2026年第一季度可转换公司债券转股情况的公告（2026-008）</t>
  </si>
  <si>
    <t>https://static.cninfo.com.cn/finalpage/2026-04-01/1225070237.PDF</t>
  </si>
  <si>
    <t>2026-04-01</t>
  </si>
  <si>
    <t>345c7eb2dd4c018954f085e1f2b9ba818f2d80c7dc20242627b4eef4930a29bd</t>
  </si>
  <si>
    <t>ks_d_s_c2</t>
  </si>
  <si>
    <t>关于科顺转债转股价格调整的公告（2026-027）</t>
  </si>
  <si>
    <t>https://static.cninfo.com.cn/finalpage/2026-05-19/1225313108.PDF</t>
  </si>
  <si>
    <t>d46e178e912aa28aedc6ec43e0903bab7d0e3d7c96bdc2455343dd79a8aee3ab</t>
  </si>
  <si>
    <t>ks_d_s_f3</t>
  </si>
  <si>
    <t>国泰海通关于科顺股份募集资金2025年度存放、管理与使用情况的核查意见</t>
  </si>
  <si>
    <t>https://static.cninfo.com.cn/finalpage/2026-04-24/1225172704.PDF</t>
  </si>
  <si>
    <t>ec2229cb123c0e373a7fbece25faf2ae819b0ff6744fc6d8fd32f0edb2eff6e3</t>
  </si>
  <si>
    <t>ks_d_s_s1</t>
  </si>
  <si>
    <t>国泰海通关于科顺股份2025年度持续督导跟踪报告</t>
  </si>
  <si>
    <t>https://static.cninfo.com.cn/finalpage/2026-05-12/1225301174.PDF</t>
  </si>
  <si>
    <t>2026-05-12</t>
  </si>
  <si>
    <t>e4c51bfc8414ef2ac05250abd97c270e1f7631bea4a3f207d42691068efd26d3</t>
  </si>
  <si>
    <t>ks_d_s_l2</t>
  </si>
  <si>
    <t>中华人民共和国民法典（最高人民法院发布全文）</t>
  </si>
  <si>
    <t>https://www.court.gov.cn/zixun/xiangqing/233181.html</t>
  </si>
  <si>
    <t>2020-06-01</t>
  </si>
  <si>
    <t>16fb30a132114600f32059367dae0d6dd274519aa154126eae0ef9600cf4074e</t>
  </si>
  <si>
    <t>正文已取得并实读；页码均为 PDF 物理页，从 1 开始。 原件按本来源URL和SHA256定位。 公布日期取网页发布时间，未以法律通过日期代替。</t>
  </si>
  <si>
    <t>ks_d_s_l3</t>
  </si>
  <si>
    <t>最高人民法院关于破产分配中本金与利息清偿顺序疑问的回复</t>
  </si>
  <si>
    <t>https://www.court.gov.cn/hudong/xiangqing/320171.html</t>
  </si>
  <si>
    <t>2021-09-02</t>
  </si>
  <si>
    <t>629e28db9864c1665eabfa6c9d7642d22fb4f3727ec76bdcf9dffe8e09998cee</t>
  </si>
  <si>
    <t>ks_d_s_l4</t>
  </si>
  <si>
    <t>中国证监会决定修改的规范性文件（2025年汇编，含修订后的上市公司监管指引第4号）</t>
  </si>
  <si>
    <t>https://www.csrc.gov.cn/csrc/c101954/c7547906/7547906/files/%E9%99%84%E4%BB%B61-1%EF%BC%9A%E4%B8%AD%E5%9B%BD%E8%AF%81%E7%9B%91%E4%BC%9A%E5%86%B3%E5%AE%9A%E4%BF%AE%E6%94%B9%E7%9A%84%E8%A7%84%E8%8C%83%E6%80%A7%E6%96%87%E4%BB%B6.pdf</t>
  </si>
  <si>
    <t>2025-03-27</t>
  </si>
  <si>
    <t>2ceadc064ff390d8b53cbf5f24cdf7757ec0794c77639d09f46a7b243bd9e540</t>
  </si>
  <si>
    <t>ks_d_s_l1</t>
  </si>
  <si>
    <t>证券期货法律适用意见第18号（2023年发行时原文）</t>
  </si>
  <si>
    <t>https://www.csrc.gov.cn/csrc/c101954/c7122002/7122002/files/%E9%99%84%E4%BB%B61%EF%BC%9A%EF%BC%88%E5%86%8D%E8%9E%8D%E8%B5%84%EF%BC%89%E8%AF%81%E5%88%B8%E6%9C%9F%E8%B4%A7%E6%B3%95%E5%BE%8B%E9%80%82%E7%94%A8%E6%84%8F%E8%A7%81%E7%AC%AC18%E5%8F%B7.pdf</t>
  </si>
  <si>
    <t>2023-02-17</t>
  </si>
  <si>
    <t>官方原文已在线阅读，仅使用已实读的第六至七页；本地原件未保存，未编造 SHA256。 仅用于发行时适用的发行条件口径背景，不视为对存续承诺的专门解释；后续修订附件未取得。</t>
  </si>
  <si>
    <t>ks_r_method</t>
  </si>
  <si>
    <t>公开目录及正文确认发布即生效。原件PDF2–33已有逐页视觉研究；原文参数与本案研究选择分别记录。</t>
  </si>
  <si>
    <t>ks_r_principles</t>
  </si>
  <si>
    <t>联合资信企业信用评级方法总论V4.1.202605</t>
  </si>
  <si>
    <t>https://www.lhratings.com/file/57da1b35-2001-44e0-9505-8f33baebef39.pdf</t>
  </si>
  <si>
    <t>2026-05-29</t>
  </si>
  <si>
    <t>fd1ddb7792082570d7b97936c70449d5c14809b34f0d6325cb385a5ced339ad7</t>
  </si>
  <si>
    <t>全文16页已作视觉研究，专业判断许可不等于本案取得该机构批准。</t>
  </si>
  <si>
    <t>ks_r_support</t>
  </si>
  <si>
    <t>联合资信外部支持评估方法V4.1.202605</t>
  </si>
  <si>
    <t>https://www.lhratings.com/file/2c5877a1-7aca-42c5-b0b9-6cfd0fc0e9bd.pdf</t>
  </si>
  <si>
    <t>ddcffdf8a749d30f710ae746cad109a7835ec4dec4c8c19883cd689fd4378095</t>
  </si>
  <si>
    <t>全文10页已作视觉研究；政府路径与企业法人股东路径分别判断。</t>
  </si>
  <si>
    <t>ks_r_issue</t>
  </si>
  <si>
    <t>联合资信债项评级基本方法V3.0.202207</t>
  </si>
  <si>
    <t>https://www.lhratings.com/file/461ba035-33a2-4901-a0da-72c52a66766a.pdf</t>
  </si>
  <si>
    <t>未核验</t>
  </si>
  <si>
    <t>59610c3278c76fe471adcdc0fca8292cf9f5cddf032830145d1e56dbc5ca5fe4</t>
  </si>
  <si>
    <t>封面2022年7月，正文明确2022-08-01起施行；精确首次公布日未另证，适用时间早于本案截止日。全文10页文本已读。</t>
  </si>
  <si>
    <t>ks_r_application</t>
  </si>
  <si>
    <t>2026科顺跟踪报告的方法适用性与通用等级定义页</t>
  </si>
  <si>
    <t>https://www.lhratings.com/reports/B010330-P61284-2021-GZ2026.pdf</t>
  </si>
  <si>
    <t>2026-06-23</t>
  </si>
  <si>
    <t>846ba87096506c375195e9d1fe772781316c30a5f3e54239d54b31faea4fec41</t>
  </si>
  <si>
    <t>仅使用PDF6、8的方法适用性及23的通用等级/展望定义。发行人既有等级、机构因素得分和预测未作本案输入或校准目标。</t>
  </si>
  <si>
    <t>来源</t>
  </si>
  <si>
    <t>定位</t>
  </si>
  <si>
    <t>观察</t>
  </si>
  <si>
    <t>可靠性与限制</t>
  </si>
  <si>
    <t>ks_a_e_coverage</t>
  </si>
  <si>
    <t>PDF页码与印刷页码一致</t>
  </si>
  <si>
    <t>文本实际覆盖第1—92、97—245页；不使用第93—96页。选定表格46页提取矩阵；视觉读第114、119、125、128、185、208、209、210页；其余为文本及矩阵核读。2024补充只读第10、116—124、127—130、164、184、191、192、194、195、203、208—210页，未声称阅读全文。2026Q1全部12页文本已读。内控审计4页、自评11页、政策变更2页全部文本已读；募集资金鉴证11页，其中第10、11页为扫描图视觉阅读。 追加独立视觉复读2025第168页、2024第210页；补流归还及续作公告全部2页和6页已读。 2024年报第126、131—134页后续补读，含原2023合并权益变动表。</t>
  </si>
  <si>
    <t>覆盖记录，阅读范围可由抽取文件及实际源页追溯；非审计保证</t>
  </si>
  <si>
    <t>第10—12页，主要会计数据（元），2025/2024调整前后/2023调整前后及分季度指标</t>
  </si>
  <si>
    <t>摘要因同一控制下收购横琴逸东公司调整往年；列示2023重述后收入、归母净利、扣非净利、CFO、资产及归母权益，不列全部四表。</t>
  </si>
  <si>
    <t>发行人正式披露；财务报表经审计，但本分析未复做审计程序</t>
  </si>
  <si>
    <t>第102—105页，合并资产负债表，单位元，列2025-12-31及2025-01-01</t>
  </si>
  <si>
    <t>主表资产、负债、权益及流动/非流动项目；期初为同控重述。空白项目未机械当零。</t>
  </si>
  <si>
    <t>第105—107、109—113、125—131及242页，母公司四表与追溯权益说明，单位元</t>
  </si>
  <si>
    <t>母公司利润及现金含子公司分红和集团往来；母公司2025权益表期初另有权益法追溯调整，和资产负债表期初需分开。</t>
  </si>
  <si>
    <t>第107—109页，合并利润表，单位元，2025年度/2024年度</t>
  </si>
  <si>
    <t>成本费用、减值、投资及公允价值、税项和损益归属均按原符号保留。</t>
  </si>
  <si>
    <t>第111—113页，合并现金流量表，单位元，2025年度/2024年度</t>
  </si>
  <si>
    <t>直接法经营、投资、筹资、汇率影响及现金期初期末；不是资产负债表货币资金总额。</t>
  </si>
  <si>
    <t>第114—124页，合并所有者权益变动表，单位元</t>
  </si>
  <si>
    <t>本年期初、综合收益、所有者投入、分配、专项储备及其他滚动；同控对期初比较及资本公积的影响需分栏。</t>
  </si>
  <si>
    <t>ks_a_e_policies</t>
  </si>
  <si>
    <t>第132—162页，编制基础、合并及各项会计政策/重要估计、税项</t>
  </si>
  <si>
    <t>持续经营基础；收入按交付验收/交承运人/报关/客户确认工程量等具体业务确认；应收及合同资产预期信用损失；存货成本与可变现净值孰低；固定资产和投资性房地产折旧、长期资产减值；研发全部费用化；租赁表内确认；安全生产专项储备；所得税分主体适用优惠。2025无重要会计政策或估计变更。</t>
  </si>
  <si>
    <t>ks_a_e_audit</t>
  </si>
  <si>
    <t>第97—101页，审计报告</t>
  </si>
  <si>
    <t>致同出具无保留意见；收入确认，以及应收账款、合同资产和其他非流动资产中的合同资产减值这两项关键审计事项的审计程序由审计师实施，不作为本分析已实施程序。审计意见不保证无任何错报或未来偿债。</t>
  </si>
  <si>
    <t>第162—164、190—191、209—210页，货币资金/受限资产/现金等价物</t>
  </si>
  <si>
    <t>现金等价物排除定存质押、票据及保函保证金、冻结、专户等；需区分账面货币资金、报表可随时支付现金及经济上无用途约束现金。</t>
  </si>
  <si>
    <t>第165—168页，应收账款，单位元；账龄、单项与组合及准备滚动</t>
  </si>
  <si>
    <t>应收账款账龄延长，单项信用减值与组合按不同方法；本年坏账核销与非现金抵债影响净额变化，净额下降不能直接视为现金回收。</t>
  </si>
  <si>
    <t>第163—165、170—171、221—222页，应收票据/应收款项融资/金融资产转移</t>
  </si>
  <si>
    <t>承兑、背书贴现及终止确认分类；未终止确认留存风险，已终止确认仍披露票据法追索责任。票据融资与供应商融资不得重复加债。</t>
  </si>
  <si>
    <t>第169—170、190、200—201页，合同资产/其他非流动资产/收入</t>
  </si>
  <si>
    <t>合同资产流动及非流动部分与质保金分开；工程收入依客户确认工程量，合同资产不等同已到期无条件债权；剩余履约义务金额表述未充分量化，不据空值或零值推断无订单。</t>
  </si>
  <si>
    <t>第171—174、226页，其他应收款及关联余额</t>
  </si>
  <si>
    <t>债务重组款、中天盈房地产关联款及保证金/暂付款占用；单项第三阶段风险明显，坏账准备不能作为实际收现。</t>
  </si>
  <si>
    <t>第175—176页，存货明细及跌价准备滚动</t>
  </si>
  <si>
    <t>原材料/产品/工程施工等存货类型；本期计提与转回或转销不可混同经营现金，库存减少需要区分消耗、减值和范围变化。</t>
  </si>
  <si>
    <t>第176—178、204、229页及第48页证券投资</t>
  </si>
  <si>
    <t>融创债券本年转换为股权等非现金债务重组并确认信用和重组损失；不视为现金变现，期末债权投资为空不代表全额收回。</t>
  </si>
  <si>
    <t>第36、179—182、214—216、223、242页，长期股权投资、基金承诺及范围变化</t>
  </si>
  <si>
    <t>新增基金、顺控保理丧失控制、横琴同控收购、科安顺少数股权；历史丰泽失控/恢复控制导致历史可比性限制。</t>
  </si>
  <si>
    <t>第182—190、204页，投资性房地产、固定资产、在建、使用权、无形、商誉、抵债房产及资产减值</t>
  </si>
  <si>
    <t>闲置固定资产、抵债房产、部分无证房屋、减值及建设进度；滁州一期重要CIP滚动原表列位已图像复读仍不能闭合，不能擅自改值。</t>
  </si>
  <si>
    <t>第160—162、188—190、205—206页，税收优惠、递延税、所得税桥</t>
  </si>
  <si>
    <t>递延所得税资产依赖各主体未来应税利润；合并税率及会计利润不足以证明可收回。亏损年度有效税率不宜与正常盈利期机械比较。</t>
  </si>
  <si>
    <t>第191—199页，借款、应付/合同/职工/税费/预计负债、权益附注</t>
  </si>
  <si>
    <t>含保证、质押和抵押融资，财务费用含资本化利息；一年内到期非流动负债中预计负债不属于利息债。质保预计负债分流动与长期。</t>
  </si>
  <si>
    <t>第38—43、199—205页，产品/地区、成本费用和非经常收益</t>
  </si>
  <si>
    <t>材料毛利率改善与工程毛利承压并存；销售规模与销量下降，海外较小；2024业绩补偿公允价值收益较大，2025减值与税额对损益影响突出。</t>
  </si>
  <si>
    <t>第208—209页，净利润调节为CFO，单位元</t>
  </si>
  <si>
    <t>净利加减非现金损益、递延税、营运资本及其他；经营性应收项目调整为现金流流出，不可由BS净应收下降反推相反符号。</t>
  </si>
  <si>
    <t>第208页，筹资活动相关负债变动，单位元</t>
  </si>
  <si>
    <t>账面筹资相关债务变动分现金增加/减少及非现金；不包括全部应付票据和其他应付款借款，需依定义扩展。</t>
  </si>
  <si>
    <t>第210页，供应商融资安排，单位元；已收到款项及付款期</t>
  </si>
  <si>
    <t>供应链平台安排计入AP及短期借款；已付供应商部分和AP转借款非现金变动不能重复计入债务或现金。付款期限长于同类普通应付。</t>
  </si>
  <si>
    <t>第217—221页，金融工具风险与未折现合同现金流表，万元</t>
  </si>
  <si>
    <t>未使用授信、短期偿付期限及风险敞口；未折现现金流含经营性负债，与会计账面有息债不等额。授信可提条件未核验。</t>
  </si>
  <si>
    <t>第222—228页及第79—84页，关联方、保证、募集金及承诺</t>
  </si>
  <si>
    <t>关联方提供保证不等于已承诺注资；经销商保证与对子公司保证区分；2025同控收购向控制人付款。正文无重大关联交易不等于无任何关联交易。</t>
  </si>
  <si>
    <t>ks_a_e_governance</t>
  </si>
  <si>
    <t>第58—67、70—92页，薪酬分红、内控、重要事项、控制人持股</t>
  </si>
  <si>
    <t>审计师由天健改致同；利润分配、募投资金临时补流与整改；股权激励未达考核注销；诉讼、控制人质押及公司自述环境事项未逐案独立核验。</t>
  </si>
  <si>
    <t>第228—229页，期后事项、债务重组及分部</t>
  </si>
  <si>
    <t>拟分配现金股利为期后计划；单一经营分部并不表示不同产品/区域现金风险一致；抵债资产后续变现需外部证据。</t>
  </si>
  <si>
    <t>2024年报第116—124、126—134、191—195、203、208—210页（单位元，2024/2023列）</t>
  </si>
  <si>
    <t>取得原2023完整主要财务报表与现金、利息、融资负债附注；未把原2023当作横琴追溯后的口径。筹资负债第210页视觉校验，长期应付款35,729,594.91在本期非现金增加列，不是2023年初余额。</t>
  </si>
  <si>
    <t>2026Q1第1—12页，主要财务数据与三张报表</t>
  </si>
  <si>
    <t>未经审计；Q1同比收入、盈利及经营现金改善，但CFO仍负、信用损失增加；长短借款结构变化；缺完整附注及权益变动表。</t>
  </si>
  <si>
    <t>发行人正式季报，未经审计；原表部分上期列未重述</t>
  </si>
  <si>
    <t>ks_a_e_control</t>
  </si>
  <si>
    <t>内控审计PDF第3—4页；致同审字(2026)第332A016048号</t>
  </si>
  <si>
    <t>审计师认为2025-12-31所有重大方面财务报告内部控制有效，签发2026-04-23；强调内控固有限制，不覆盖未来控制效果。</t>
  </si>
  <si>
    <t>外部审计师公开正式意见；本研究未复做控制测试</t>
  </si>
  <si>
    <t>ks_a_e_self</t>
  </si>
  <si>
    <t>自评第1—2、9—11页，评价范围及缺陷标准</t>
  </si>
  <si>
    <t>自评覆盖资产/收入100%，无重大及重要财务和非财务缺陷；定量标准营业收入/资产5%、净利润10%为重大，自评未解释亏损情况下净利润标准如何应用。</t>
  </si>
  <si>
    <t>发行人自评；与外部内控意见区分</t>
  </si>
  <si>
    <t>ks_a_e_policy26</t>
  </si>
  <si>
    <t>2026政策变更公告第1—2页</t>
  </si>
  <si>
    <t>自2026-01-01执行解释19号，涵盖补偿性资产、同控来源子公司处置、金融负债电子支付终止确认等，公司称无重大影响；季报列无年初调整。</t>
  </si>
  <si>
    <t>募集资金鉴证第3—10页，尤其第7—10页及扫描第10页</t>
  </si>
  <si>
    <t>合理保证鉴证认为专项报告重大方面如实反映；同时专项报告称临时补流转一般账户后混用，保荐督促专户管理并称已归还专户；年末仍列临时补流未归还余额，需澄清时点、专户性质及续作，不能自行消除差异。</t>
  </si>
  <si>
    <t>正式鉴证及管理层专项报告；限制用途为年度披露，本研究只引述公开结论和事实</t>
  </si>
  <si>
    <t>ks_a_e_cash2024bridge</t>
  </si>
  <si>
    <t>2024年报第116、191、209—210页；2025年报第209—210及214页</t>
  </si>
  <si>
    <t>2024原货币资金减原现金等价物等于原第191页受限现金1,086,517,625.11；原现金补充表仅列463,208,782.08保证金。其差额与2025比较列新增列示的定存质押、冻结和专用资金合计一致。横琴同控现金增加833,421.24与货币资金及CCE同增一致；因此没有证据认定发生相同金额的现金重分类。</t>
  </si>
  <si>
    <t>ks_a_e_ar_sign</t>
  </si>
  <si>
    <t>2025年报第168页，应收账款坏账准备滚动</t>
  </si>
  <si>
    <t>其他行原数为-31,215.82；按有符号增加计算，滚动与末额相差62,431.64。若负号表示冲减减少项目，则反向计算恰闭合，但需发行人确认该符号语义，原值不改。</t>
  </si>
  <si>
    <t>归还公告PDF第1—2页，公告2026-002</t>
  </si>
  <si>
    <t>截至2026-01-06旧轮临时补流13亿元全部归还，未超过12个月；公告归还额不是2025年末未归还余额，不倒填年末。</t>
  </si>
  <si>
    <t>重新补流公告PDF第1—6页，公告2026-006</t>
  </si>
  <si>
    <t>2026-01-09董事会批准不超过13亿元新补流，期限不超过12个月，募投需要即归还；用途限主营生产经营；授权上限不是截至六月的实际占用额。</t>
  </si>
  <si>
    <t>PDF39–42；图像核对PDF40</t>
  </si>
  <si>
    <t>2025年营业收入6044124793.41元；防水材料收入4659529919.68元，占77.09%；防水工程1084199413.32元，占17.94%；境内5848735840.97元、境外195388952.44元。防水材料/施工毛利率28.67%/6.25%；材料成本直接材料占84.12%；前五/最大客户占19.14%/11.63%。</t>
  </si>
  <si>
    <t>经审计年度披露；地区和产品收入不同维度，不能相加；毛利及收入不证明收款质量。</t>
  </si>
  <si>
    <t>PDF25–27、34–36、42–43</t>
  </si>
  <si>
    <t>公司列示全国生产基地，31个省市3200多家经销商；2025研发人员378人，研发投入252838924.63元，占收入4.18%，研发资本化为零；有效专利908项。</t>
  </si>
  <si>
    <t>经销商、专利及技术能力主要为发行人陈述；数量不等于活跃渠道、不可替代技术或满负荷产能。</t>
  </si>
  <si>
    <t>PDF37、43–44</t>
  </si>
  <si>
    <t>2025年经营净现金流319628020.65元；报告收现比116.91%；防水实物销量同比下降14.63%。</t>
  </si>
  <si>
    <t>收现比不是当年全部新销售回款率；实物量为建筑防水汇总口径，不与同行总产量直接比。</t>
  </si>
  <si>
    <t>ks_b_e_cost_risk</t>
  </si>
  <si>
    <t>PDF25、48–49、51</t>
  </si>
  <si>
    <t>主要原料包括沥青、膜、聚酯胎基、SBS、聚醚等石化原料；公司明确对沥青等大宗原料议价能力相对弱；通过集采、储备及套保缓释价格风险。</t>
  </si>
  <si>
    <t>风险与措施为发行人披露，不能假设套保完全有效或没有保证金流动性需求。</t>
  </si>
  <si>
    <t>PDF1–5</t>
  </si>
  <si>
    <t>2026Q1未经审计收入1455542440.54元，同比4.34%；扣非归母净利润51105059.49元；经营现金流-55182890.65元，上年同期-382352272.09元；预付款304863921.94元，上年末182790599.40元；信用减值损失5068.35万元，解释为部分应收账龄延长。</t>
  </si>
  <si>
    <t>季度未经审计；预付增加既是锁价策略也占用现金；Q1不能机械年化。</t>
  </si>
  <si>
    <t>PDF10–12、27–31；图像核对29</t>
  </si>
  <si>
    <t>东方雨虹2025年合并收入27578652775.30元；防水材料19171975964.82元，同比-6.97%；卷材11361297695.00元，毛利22.15%；零售渠道收入占36.06%，工程渠道48.15%。</t>
  </si>
  <si>
    <t>集团包括砂粉等业务，不能与纯防水总市场直接相除；渠道分类不能用来填补科顺缺项。</t>
  </si>
  <si>
    <t>PDF13、15–17；图像核对16</t>
  </si>
  <si>
    <t>北新2025年合并收入25280261918.22元；防水建材4785663502.02元，同比3.33%；防水卷材3313717663.38元，毛利17.26%；卷材产能4.85亿平方米，利用率53.17%；防水涂料产能142.84万吨，利用率59.92%；披露重组远大洪雨。</t>
  </si>
  <si>
    <t>防水建材含施工，集团业务以石膏板等为主，并购影响增长；利用率仅适用于北新，不套入科顺。</t>
  </si>
  <si>
    <t>PDF53–57、66–67、77–79</t>
  </si>
  <si>
    <t>董事会7名董事、3名独立董事；有审计等委员会；年报披露内控重大及重要缺陷为零，财报内控标准无保留；报告无非经营性占用及违规对外担保。</t>
  </si>
  <si>
    <t>管理层自评和内控审计有基准日及重要性范围，不代表所有操作无缺陷；仍须结合募资混用事实。</t>
  </si>
  <si>
    <t>PDF88–91；图像核对88</t>
  </si>
  <si>
    <t>陈伟忠持273260362股、24.62%，质押136500000股；阮宜宝持75806702股、6.83%，质押43000000股；两人为自然人控制人，另有一致行动人。</t>
  </si>
  <si>
    <t>控制人质押不是上市公司负债；未获质押处置触发证据。</t>
  </si>
  <si>
    <t>PDF63–64</t>
  </si>
  <si>
    <t>2025年实际实施2024年度现金分红332990507.70元及2025中期分红55498500.30元。</t>
  </si>
  <si>
    <t>是现金分配决策证据；不由分配规模自动推定违法、侵占或违约。</t>
  </si>
  <si>
    <t>PDF1–2、6–11</t>
  </si>
  <si>
    <t>子公司认缴2.4亿元参与总认缴4.81亿元基金；存续8年，可延长2年；私募股权投资回收期较长；当时管理人因监事任职构成关联方，独董及董事会已审批；公告时尚筹划、协议未签完。</t>
  </si>
  <si>
    <t>认缴不是已付现金；6%分配门槛不是保证收益。年报共同投资关联事项无的状态/期间口径未完全勾稽，不推定虚假披露。</t>
  </si>
  <si>
    <t>PDF80–81</t>
  </si>
  <si>
    <t>2025年末对外担保不含子公司余额16009.81万元，列示经销商及连带保证、反担保；全口径担保余额21246.78万元。</t>
  </si>
  <si>
    <t>反担保不消除代偿责任，未提供全部反担保物的独立可回收估值。</t>
  </si>
  <si>
    <t>ks_b_e_fund_control</t>
  </si>
  <si>
    <t>仅PDF20，募集资金使用核查</t>
  </si>
  <si>
    <t>受托管理人记录，临时补流募集资金转入一般账户后曾与其他一般资金并用，要求专户管理；披露已经归还专户。</t>
  </si>
  <si>
    <t>仅取此项实际资金操作事实，不取用评级章节；整改减轻后果但不抹去执行缺口。</t>
  </si>
  <si>
    <t>ks_b_e_fund_return</t>
  </si>
  <si>
    <t>PDF1–2</t>
  </si>
  <si>
    <t>截至2026-01-06，旧一轮实际用于临时补流的130000万元全部归还专户，使用不超过原批准12个月。</t>
  </si>
  <si>
    <t>这是旧一轮实际归还，不证明之后未再补流；不与年末状态混淆。</t>
  </si>
  <si>
    <t>PDF1、3–5</t>
  </si>
  <si>
    <t>2026-01-09董事会批准新一轮不超过130000万元临时补流、最长12个月、募投需要即归还，仅用于主营生产经营。</t>
  </si>
  <si>
    <t>上限审批不等于截止日实际使用余额或永久补流。</t>
  </si>
  <si>
    <t>ks_b_e_2026_dividend</t>
  </si>
  <si>
    <t>PDF1–4</t>
  </si>
  <si>
    <t>2025年度权益分派实施公告规定每股现金0.06元、公告股本1109971693股，2026-05-26除息及代派。</t>
  </si>
  <si>
    <t>2026-05-19公开、2026-05-18签署；实施安排不是独立银行到账凭据。</t>
  </si>
  <si>
    <t>正文一至三、表1及附注</t>
  </si>
  <si>
    <t>2025年全国房地产投资82788亿元、同比-17.2%；新开工58770万平方米、同比-20.4%；竣工60348万平方米、同比-18.1%；开发企业到位资金93117亿元、同比-13.4%。</t>
  </si>
  <si>
    <t>国家统计局可比口径；不把房地产跌幅等比例映射发行人收入。</t>
  </si>
  <si>
    <t>正文一至三、表1</t>
  </si>
  <si>
    <t>2026年1–5月房地产投资30356亿元，同比-16.2%；新开工17929万平方米、-22.6%；竣工14087万平方米、-23.4%；到位资金32756亿元、-19.0%。</t>
  </si>
  <si>
    <t>2026-06-16已公开；不用7月后半年数据；行业资金弱不等于发行人违约。</t>
  </si>
  <si>
    <t>正文、主要数据表、附注1/7</t>
  </si>
  <si>
    <t>2026年1–5月固定资产投资178512亿元、同比-4.1%；制造业投资-0.4%，基础设施+0.6%，建筑安装工程-6.6%。</t>
  </si>
  <si>
    <t>本次基建定义含电力等，不能与旧口径无桥拼接；速度未扣价格因素。</t>
  </si>
  <si>
    <t>表1及附注</t>
  </si>
  <si>
    <t>2026Q1 GDP334193亿元，实际同比5.0%；建筑业增加值13632亿元，实际同比-3.8%。</t>
  </si>
  <si>
    <t>季度初步核算，总量现价、增速不变价。</t>
  </si>
  <si>
    <t>ks_b_e_renewal</t>
  </si>
  <si>
    <t>主要任务（一）（二）（四）（六）、支撑保障（四）</t>
  </si>
  <si>
    <t>中央城市更新意见支持既有建筑、老旧小区及地下管网改造，强调市场运作、持续投融资及控制债务风险。</t>
  </si>
  <si>
    <t>政策提供需求方向，不证明发行人订单、利润或政府无条件支持。</t>
  </si>
  <si>
    <t>ks_b_e_standard_sheet</t>
  </si>
  <si>
    <t>标准官方题录</t>
  </si>
  <si>
    <t>GB45320-2025建筑防水卷材安全和通用技术规范于2025-03-28发布、2025-10-01实施。</t>
  </si>
  <si>
    <t>本次核对题录而非完整技术条文；不据此声称已实现集中度提升。</t>
  </si>
  <si>
    <t>ks_b_e_standard_coating</t>
  </si>
  <si>
    <t>原标准检索条目</t>
  </si>
  <si>
    <t>GB45671-2025建筑防水涂料安全技术规范于2025-04-25发布、2025-11-01实施。</t>
  </si>
  <si>
    <t>仅取原标准题录；当前修改单状态不回填历史截止日。</t>
  </si>
  <si>
    <t>ks_b_e_method</t>
  </si>
  <si>
    <t>PDF27–29（印刷26–28）原图</t>
  </si>
  <si>
    <t>公开方法关注宏观及行业、市场地位/核心资源/多元协同、治理/管理、收入/产业链/净营业周期；净营业周期由应收、存货和应付周转组合；收入有公开数值分区。</t>
  </si>
  <si>
    <t>定性中心分与相邻范围为分析者工作判断；公开版本只核实到2026-06月份，未虚构具体公告日。</t>
  </si>
  <si>
    <t>ks_d_e_commitment</t>
  </si>
  <si>
    <t>PDF p75–76，承诺事项表：财务承诺、承诺期限及履行情况</t>
  </si>
  <si>
    <t>财务承诺要求自本次发行申请之日起每一期末持续满足发行后累计债券余额不超过最近一期末净资产的50%；承诺日期2023-08-02，期限长期有效，履行栏为正常履行，汇总栏为按时履行。</t>
  </si>
  <si>
    <t>官方原件正文；报告披露不等同于本次独立审计或法律鉴证。</t>
  </si>
  <si>
    <t>ks_d_e_commitment_origin</t>
  </si>
  <si>
    <t>PDF p136–137；p400，发行条件说明</t>
  </si>
  <si>
    <t>募集书载有每一期末持续满足的承诺；发行条件示例以发行规模219800万元除2023年3月末净资产562303.80万元，约39.09%。该段未写发行完成即失效，也未列超限自动加速或宽限期。</t>
  </si>
  <si>
    <t>PDF p105，合并资产负债表，2025-12-31及2024-12-31列，单位元</t>
  </si>
  <si>
    <t>2025年末合并所有者权益合计4052073804.75元，归母权益3968797075.77元、少数股东权益83276728.98元；上年末合并总权益调整后5067082436.51元。</t>
  </si>
  <si>
    <t>PDF p194–195，应付债券附注及增减变动表，单位元</t>
  </si>
  <si>
    <t>应付债券期初2243045749.84元；按面值计提利息15685984.48元、溢折价摊销65658391.23元、支付利息10989198.50元、本期转股17700元；期末2313383227.05元；是否违约栏为否。</t>
  </si>
  <si>
    <t>PDF p93–95，可转换公司债券情况，单位元/股</t>
  </si>
  <si>
    <t>2025年初转债面值余额2197846800.00元，本年转股17700.00元，年末余额2197829100.00元；累计转股金额170900.00元、累计转股22700股。累计转股表列实际发行总金额2198000000.00元。</t>
  </si>
  <si>
    <t>PDF p1、5–6，2026年第一季度转股与余额，单位元/张/股</t>
  </si>
  <si>
    <t>2026年第一季度86张、8600元转为1285股；2026-03-31未转股21978205张，对应2197820500元。该日余额不是2026-06-30余额。</t>
  </si>
  <si>
    <t>PDF p39–40，发行规模、期限、票面利率、还本付息条款</t>
  </si>
  <si>
    <t>募集书发行规模上限219800.00万元，每张100元；债券期限2023-08-04至2029-08-03。六个计息年度票息依次为0.30%、0.50%、1.00%、1.50%、1.80%、2.00%；每满一年为付息日，节假日或休息日顺延且不另计息，登记日为付息日前一交易日，付息日后五个交易日内支付。登记日前及当日申请转股不再享有本年度及以后利息。</t>
  </si>
  <si>
    <t>PDF p43，赎回条款</t>
  </si>
  <si>
    <t>到期后五个交易日内按票面面值115%赎回未转股债券，含最后一期利息。转股期内连续三十个交易日至少十五日收盘价不低于当期转股价130%，或未转股余额不足3000万元，发行人可按面值加应计利息赎回。</t>
  </si>
  <si>
    <t>PDF p43–44，回售条款</t>
  </si>
  <si>
    <t>最后两个计息年度中，任意连续三十个交易日收盘价低于当期转股价70%，持有人可按面值加应计利息回售；每计息年度首次触发后按公告申报，不能多次行使部分回售，向下修正转股价则重算观察期。募集资金投资项目实施发生重大变化且依法被视为或被监管认定改变用途时，有一次附加回售权。</t>
  </si>
  <si>
    <t>PDF p42，转股价格向下修正</t>
  </si>
  <si>
    <t>连续三十个交易日至少十五日收盘价低于当期转股价85%时，董事会有权提出下修；须出席股东所持表决权三分之二以上通过，持债股东回避；受前二十个交易日均价、前一交易日均价、最近一期经审计每股净资产及股票面值下限限制。</t>
  </si>
  <si>
    <t>PDF p1、6，转股价格调整及实施日</t>
  </si>
  <si>
    <t>实施年度现金分红后转股价格由6.67元/股减每股现金红利0.06元，调为6.61元/股，自2026-05-26生效。</t>
  </si>
  <si>
    <t>ks_d_e_distribution</t>
  </si>
  <si>
    <t>PDF p1–3，权益分派方案、登记及除息日</t>
  </si>
  <si>
    <t>分红方案2026-05-15获股东会批准，每10股派0.60元；股权登记日2026-05-25、除息及中登代派日2026-05-26。按2026-05-18基数1109971693股安排，每股比例固定，基数随转股可变。</t>
  </si>
  <si>
    <t>PDF p5、28–29，实际转股期及历次价格/下修决策</t>
  </si>
  <si>
    <t>转股期2024-02-19至2029-08-03；2025-06-04转股价6.72元/股，2025-09-24调为6.67元/股。2025-12-24决定不下修，2025-12-25至2026-06-24不提出下修，2026-06-25起重新计算触发期间。</t>
  </si>
  <si>
    <t>ks_d_e_temporary_report</t>
  </si>
  <si>
    <t>PDF p5、15–17，价格信息与重大事项</t>
  </si>
  <si>
    <t>p5仍列6.72元/股，p15已记录后续6.67元/股。p16报告2025年度亏损超过上年末净资产10%的重大事项；该段没有认定累计债券余额承诺违约。</t>
  </si>
  <si>
    <t>ks_d_e_general_performance</t>
  </si>
  <si>
    <t>PDF p14、22–23、28，履约、付息、会议和承诺</t>
  </si>
  <si>
    <t>报告称已发行债券及其他债务融资工具不存在延迟支付本息、2025年度付息无延迟、2025年度未发生应召开或已召开的持有人会议事项，相关承诺履行良好；未提供持续财务承诺的专门测试调节表。</t>
  </si>
  <si>
    <t>ks_d_e_coupon_paid</t>
  </si>
  <si>
    <t>PDF p22，2025年付息情况</t>
  </si>
  <si>
    <t>第二计息年度2024-08-04至2025-08-03票息0.50%，2025年度利息已支付，无延迟；与年报债券表支付利息10989198.50元交叉核对。</t>
  </si>
  <si>
    <t>ks_d_e_sponsor_performance</t>
  </si>
  <si>
    <t>PDF p4–5，问题事项及承诺履行</t>
  </si>
  <si>
    <t>持续督导意见称承诺已履行；同时提示临时补流募集资金与其他资金混同管理事项。未提供累计债券余额承诺逐期计算或豁免文件。</t>
  </si>
  <si>
    <t>ks_d_e_meeting_triggers</t>
  </si>
  <si>
    <t>PDF p3–5，第九、十一至十四条</t>
  </si>
  <si>
    <t>第九条不允许在法律或募集书约定以外要求提前偿付。第十一条包括已经或预计不能按期付本债；发行人其他有息债务未偿超过5000万元且达到母公司最近经审计净资产10%以上、且可能导致本债违约；重要子公司按合并资产、净资产或收入任一占30%以上界定，其有息债务未偿超过5000万元且达到合并最近经审计净资产10%以上、且可能导致本债违约。这些是召开会议采取措施的条件，不是自动交叉违约或加速条款。第十二至十四条允许单独或合计持有未偿债券10%的持有人按规则提议或自行召集。</t>
  </si>
  <si>
    <t>ks_d_e_meeting_votes</t>
  </si>
  <si>
    <t>PDF p8、11–12、14、17，第二十九、四十三条及诉讼/适用规则</t>
  </si>
  <si>
    <t>通常需代表未偿还表决权总数二分之一以上的持有人出席；降低或延缓本金利息等重大事项通常需全体未偿还表决权三分之二以上同意，另有特别召集情形。规则载有诉讼授权及与募集书冲突时的适用顺序；全文未定位累计债券余额超限的明确加速或补救期条款。</t>
  </si>
  <si>
    <t>ks_d_e_remedies_contract</t>
  </si>
  <si>
    <t>PDF p49、51–52，担保、违约责任及争议解决</t>
  </si>
  <si>
    <t>本次发行不提供担保；募集书载有未按期支付本息的违约责任及按票面利率按日计算的逾期利息，并将违约事件、责任和争议安排转介受托管理协议。已取得募集书及会议规则，但未取得完整已签受托协议及补充文本。</t>
  </si>
  <si>
    <t>ks_d_e_issuance_law</t>
  </si>
  <si>
    <t>PDF p6–7，第三部分（发行时原文）</t>
  </si>
  <si>
    <t>累计债券余额与最近一期末净资产的监管解释位于发行条件部分：前者采用合并口径账面余额，后者采用合并报表净资产，列有不计入累计余额的工具类别；未规定比率超限使存续转债自动到期。</t>
  </si>
  <si>
    <t>已实读官方原文，但仅用于发行时口径背景；不能替代存续承诺的合同解释，后续修订附件未取得。</t>
  </si>
  <si>
    <t>ks_d_e_civil_remedies</t>
  </si>
  <si>
    <t>网页正文：第五百七十七至五百七十九条</t>
  </si>
  <si>
    <t>违约责任可包括继续履行、补救措施或赔偿；明确表示或以行为表明不履行可产生到期前责任；未支付价款等金钱债务可请求支付。单一财务比率不当然等同明确拒绝履行或本债自动到期。</t>
  </si>
  <si>
    <t>官方法律原文；这里只界定一般民事救济，未作司法适用或法律执业鉴证。</t>
  </si>
  <si>
    <t>ks_d_e_commitment_regulation</t>
  </si>
  <si>
    <t>PDF p711–715，《上市公司监管指引第4号》：第十至十四、十七至十八条</t>
  </si>
  <si>
    <t>持续披露承诺履行，相关主体不得擅自变更或豁免承诺；合规变更有条件和程序，并有监管处置安排。监管承诺责任和本债加速清偿是不同问题，监管条文不能代替缺失的加速条款。</t>
  </si>
  <si>
    <t>ks_d_e_ranking</t>
  </si>
  <si>
    <t>网页正文回复：普通破产债权本息清偿顺序</t>
  </si>
  <si>
    <t>最高法院回复说明普通破产债权原则上按同一顺序比例受偿，本金或利息性质不改变其普通债权顺位。与不提供担保条款合并，支持将本债作为发行人无担保债权分析，不证明对所有集团资产存在直接追索。</t>
  </si>
  <si>
    <t>官方回复用于普通债权一般顺位背景；未以此替代科顺债项所有合同条款或具体破产分配。</t>
  </si>
  <si>
    <t>PDF p1–2、4、6、9，募集资金累计收支、年末余额及对照表，单位万元（p1原到款金额为元）</t>
  </si>
  <si>
    <t>募集资金净额218131.36万元、累计使用84685.85万元、利息收入扣手续费净额2685.00万元；2025年末余额136130.51万元，其中临时补流127487.39万元、募集专户8643.12万元。未使用余额包括已暂用于经营的资金，不等于全部存于专户。</t>
  </si>
  <si>
    <t>PDF p1–2，旧一期临时补流归还</t>
  </si>
  <si>
    <t>2025-01-10批准临时补流不超过130000.00万元、期限不超过十二个月；公司实际使用130000.00万元，截至2026-01-06已全部归还募集资金专户。该公告不是偿还另行新增的外部金融债。</t>
  </si>
  <si>
    <t>PDF p1、3–5，新一期临时补流批准及归还义务</t>
  </si>
  <si>
    <t>2026-01-09批准不超过130000万元闲置募集资金临时补流，自批准日起不超过十二个月；限于主营经营，项目需要或到期须归还。批准额度没有证明截止日实际占用余额。</t>
  </si>
  <si>
    <t>ks_d_e_fund_delay</t>
  </si>
  <si>
    <t>PDF p6–8，项目延期及使用管理核查</t>
  </si>
  <si>
    <t>有关项目达到预定可使用状态日期延至2028-12-31；公司及核查意见称未改变主体、方式、内容、用途或投资规模。披露临时补流与一般资金混同，要求加强独立管理，同时作未违规改变投向的一般结论；仅延期或管理混同不足以直接认定附加回售条件已成就。</t>
  </si>
  <si>
    <t>ks_d_e_fund_correction</t>
  </si>
  <si>
    <t>PDF p20、26–28，临时补流管理及项目延期</t>
  </si>
  <si>
    <t>受托报告指出临时补流从专户转入一般户后与其他资金混同，要求单独管理，并记录旧一期资金全部归还。一般履约意见不消除已披露管理问题。</t>
  </si>
  <si>
    <t>ks_r_e_business</t>
  </si>
  <si>
    <t>PDF24表1、25表4、26–27表7、29表9、33公式</t>
  </si>
  <si>
    <t>经营环境和自身竞争力分别合成与映射，再以矩阵形成经营风险；营业收入和净营业周期按各自区间判断。本案用到C与D分支，不转载完整矩阵。</t>
  </si>
  <si>
    <t>正式方法/定义原件；证明公开规则，不证明本案判断已经由原机构确认。</t>
  </si>
  <si>
    <t>ks_r_e_finance</t>
  </si>
  <si>
    <t>PDF25表3、27表8、30表10–11、31表12、33公式</t>
  </si>
  <si>
    <t>财务风险由资产质量/盈利、资本及偿债因素组成。负EBITDA的杠杆和负利息覆盖适用最低分支；现金类与全部债务按方法定义。</t>
  </si>
  <si>
    <t>ks_r_e_history</t>
  </si>
  <si>
    <t>PDF26历史权重与赋值说明、32局限</t>
  </si>
  <si>
    <t>一般采用近三年20/30/50；短存续两年30/70条款不能直接用于本公司缺少完整重述的情况。本案适配及敏感性另列。</t>
  </si>
  <si>
    <t>ks_r_e_matrix</t>
  </si>
  <si>
    <t>PDF25表5、26表6、32专业判断</t>
  </si>
  <si>
    <t>经营和财务档位形成指示评级，再处理个体与外部支持。本案实际涉及的双评级单元格保留两端；原文未规定唯一选端或全部调整幅度。</t>
  </si>
  <si>
    <t>ks_r_e_discretion</t>
  </si>
  <si>
    <t>PDF15–16，评级方法局限及专业判断</t>
  </si>
  <si>
    <t>模型结果须结合整体专业判断，公开研究应用应说明判断依据和适用限制，不能自称机构内部精确复现。</t>
  </si>
  <si>
    <t>ks_r_e_support</t>
  </si>
  <si>
    <t>PDF3–5框架；6–8政府五因素；8–10企业法人股东</t>
  </si>
  <si>
    <t>评估支持者能力及提供支持的可能性；自然人控制不自动建立企业法人股东支持路径，非国有企业仍需评估政府可能性。多条支持不得简单相加。</t>
  </si>
  <si>
    <t>ks_r_e_issue</t>
  </si>
  <si>
    <t>PDF3–7，债项范围、等级、主体基础、偿还顺序及可转换工具</t>
  </si>
  <si>
    <t>普通优先无担保债通常从主体等级起评；具体条款、增信及付款触发会改变相对风险。转股期权不等于现金义务已消失。</t>
  </si>
  <si>
    <t>ks_r_e_definitions</t>
  </si>
  <si>
    <t>PDF23附件4-1至4-4；方法适用性PDF6、8</t>
  </si>
  <si>
    <t>主体及中长期债项采用境内符号；展望反映约一年方向，评级观察另有事件与时间含义。本次公开研究不是该机构的评级行动。</t>
  </si>
  <si>
    <t>ks_d_l_e_cash_actual</t>
  </si>
  <si>
    <t>PDF p5、7、10–12</t>
  </si>
  <si>
    <t>以2026-03-31实际现金及现金等价物起点，按三类现金流与汇率精确勾稽；未披露六月末现金或完整短债/用途约束。</t>
  </si>
  <si>
    <t>正式披露的阅读记录；不代替银行流水、合同履约或预测验证。</t>
  </si>
  <si>
    <t>ks_d_l_e_season</t>
  </si>
  <si>
    <t>PDF p11、111–112</t>
  </si>
  <si>
    <t>年度和分季度CFO及全年直接法现金流；前三季度净流出、第四季度集中净流入。</t>
  </si>
  <si>
    <t>ks_d_l_e_debt_split</t>
  </si>
  <si>
    <t>PDF p191、193–194、207–210</t>
  </si>
  <si>
    <t>短借内含利息；一年内非流动负债混合借款、租赁和预计负债。供应商融资已列短借部分不再作为应付账款加债；应付票据和正常采购结算不在CFO之外再次偿债扣款。</t>
  </si>
  <si>
    <t>ks_d_l_e_facility</t>
  </si>
  <si>
    <t>PDF p218</t>
  </si>
  <si>
    <t>管理层称有备用资金承诺，未用额度108000万元；没有取得可提合同、有效期及截止日满足条件的证据，模型取新融资为零。</t>
  </si>
  <si>
    <t>ks_d_l_e_dividend</t>
  </si>
  <si>
    <t>PDF p1–3</t>
  </si>
  <si>
    <t>五月权益分派已进入实施，每股0.06元、登记5月25日/除息5月26日；以5月18日股本基数计算条件现金支出，非已核验实际银行支付总额。</t>
  </si>
  <si>
    <t>ks_d_l_e_coupon</t>
  </si>
  <si>
    <t>PDF p39–40、43</t>
  </si>
  <si>
    <t>第三计息年度票息1%，年度付息条款；转债在本年无约定到期本金，普通回售尚未进入最后两个计息年度；不排除另行已触发而尚未取证的有效提前救济。</t>
  </si>
  <si>
    <t>ks_d_l_e_fund_use</t>
  </si>
  <si>
    <t>PDF p1、3–5；与F3 p2、4、6–8对照</t>
  </si>
  <si>
    <t>新一期临时补流授权130000万元，项目需用或期限届满归还专户；实际新一期占用未知。用途恢复不是额外外部债本金，但会限制自由调度。</t>
  </si>
  <si>
    <t>ks_d_l_e_parent</t>
  </si>
  <si>
    <t>PDF p105–107、112–113，母公司资产负债表与现金流量表</t>
  </si>
  <si>
    <t>发行人母公司2025CFO负，现金和集团往来依赖与合并口径不同；投资收益现金不证明未来可无条件上划；季报没有母公司单独表。</t>
  </si>
  <si>
    <t>PDF p10–12，合并现金流量表，单位人民币元</t>
  </si>
  <si>
    <t>销售商品提供劳务收到现金（原季报2026Q1列）；原值 1521089853.16</t>
  </si>
  <si>
    <t>原件明示值；主体、单位及期间沿原始快照保留。</t>
  </si>
  <si>
    <t>销售商品提供劳务收到现金（原季报2025Q1列）；原值 1471135133.66</t>
  </si>
  <si>
    <t>购买商品接受劳务支付现金（原季报2026Q1列）；原值 1173785046.05</t>
  </si>
  <si>
    <t>购买商品接受劳务支付现金（原季报2025Q1列）；原值 1500131598.29</t>
  </si>
  <si>
    <t>职工支付现金（原季报2026Q1列）；原值 221170225.65</t>
  </si>
  <si>
    <t>职工支付现金（原季报2025Q1列）；原值 254375757.35</t>
  </si>
  <si>
    <t>支付税费（原季报2026Q1列）；原值 69957485.98</t>
  </si>
  <si>
    <t>支付税费（原季报2025Q1列）；原值 58023509.17</t>
  </si>
  <si>
    <t>其他经营流入（原季报2026Q1列）；原值 50419169.64</t>
  </si>
  <si>
    <t>其他经营流入（原季报2025Q1列）；原值 48893992.48</t>
  </si>
  <si>
    <t>其他经营流出（原季报2026Q1列）；原值 161779155.77</t>
  </si>
  <si>
    <t>其他经营流出（原季报2025Q1列）；原值 89850533.42</t>
  </si>
  <si>
    <t>取得借款现金（原季报2026Q1列）；原值 710652843.97</t>
  </si>
  <si>
    <t>取得借款现金（原季报2025Q1列）；原值 227892911.80</t>
  </si>
  <si>
    <t>偿还债务现金（原季报2026Q1列）；原值 527174157.28</t>
  </si>
  <si>
    <t>偿还债务现金（原季报2025Q1列）；原值 102727410.27</t>
  </si>
  <si>
    <t>其他筹资现金流入（原季报2026Q1列）；原值 45256384.94</t>
  </si>
  <si>
    <t>其他筹资现金流入（原季报2025Q1列）；原值 229274388.49</t>
  </si>
  <si>
    <t>股利利润或利息现金（原季报2026Q1列）；原值 2450798.04</t>
  </si>
  <si>
    <t>股利利润或利息现金（原季报2025Q1列）；原值 15008042.50</t>
  </si>
  <si>
    <t>其他筹资现金流出（原季报2026Q1列）；原值 11018739.22</t>
  </si>
  <si>
    <t>其他筹资现金流出（原季报2025Q1列）；原值 60383919.33</t>
  </si>
  <si>
    <t>PDF p11，合并现金流量表</t>
  </si>
  <si>
    <t>资本开支（原季报上年同期）；原值 95610189.36</t>
  </si>
  <si>
    <t>2025年报PDF p11分季度表，与2026Q1 p11相同</t>
  </si>
  <si>
    <t>上年一季度经营现金净额；原值 -382352272.09</t>
  </si>
  <si>
    <t>2025年报PDF p11分季度表</t>
  </si>
  <si>
    <t>上年一季度收入；原值 1395038910.94</t>
  </si>
  <si>
    <t>季度收入；原值 1825082227.41</t>
  </si>
  <si>
    <t>季度经营现金净额；原值 -178820074.36</t>
  </si>
  <si>
    <t>季度收入；原值 1483062678.37</t>
  </si>
  <si>
    <t>季度经营现金净额；原值 -262745918.72</t>
  </si>
  <si>
    <t>季度收入；原值 1340940976.69</t>
  </si>
  <si>
    <t>季度经营现金净额；原值 1143546285.82</t>
  </si>
  <si>
    <t>PDF p111，合并现金流量表</t>
  </si>
  <si>
    <t>全年税费返还；原值 953293.41</t>
  </si>
  <si>
    <t>PDF p7，合并资产负债表</t>
  </si>
  <si>
    <t>一季度末应付账款；原值 1538893522.81</t>
  </si>
  <si>
    <t>PDF p5，合并资产负债表</t>
  </si>
  <si>
    <t>一季度末交易性金融资产；原值 395487256.65</t>
  </si>
  <si>
    <t>PDF p191，短期借款附注</t>
  </si>
  <si>
    <t>短期借款内含应付利息；原值 544544.31</t>
  </si>
  <si>
    <t>PDF p194，一年内到期长期借款</t>
  </si>
  <si>
    <t>一年内到期长期借款本金（保证）；原值 395116000.00</t>
  </si>
  <si>
    <t>一年内到期长期借款本金（抵押）；原值 11448000.00</t>
  </si>
  <si>
    <t>一年内到期长期借款利息；原值 335970.48</t>
  </si>
  <si>
    <t>PDF p193，一年内到期非流动负债</t>
  </si>
  <si>
    <t>一年内到期租赁负债；原值 11001813.71</t>
  </si>
  <si>
    <t>一年内到期预计负债；原值 22530890.53</t>
  </si>
  <si>
    <t>PDF p218，原单位万元、原数108000.00</t>
  </si>
  <si>
    <t>年末尚未使用银行借款额度；原值 108000.00</t>
  </si>
  <si>
    <t>分红实施公告所用股本基数；原值 1109971693</t>
  </si>
  <si>
    <t>PDF p105，母公司财务报表，单位人民币元</t>
  </si>
  <si>
    <t>母公司货币资金；原值 1935184381.75</t>
  </si>
  <si>
    <t>PDF p106，母公司财务报表，单位人民币元</t>
  </si>
  <si>
    <t>母公司短期借款；原值 799139470.86</t>
  </si>
  <si>
    <t>母公司应付票据；原值 1579399896.60</t>
  </si>
  <si>
    <t>母公司应付账款；原值 416446753.35</t>
  </si>
  <si>
    <t>母公司一年内到期非流动负债；原值 399067537.86</t>
  </si>
  <si>
    <t>母公司流动负债；原值 4632192095.49</t>
  </si>
  <si>
    <t>母公司应付债券账面；原值 2313383227.05</t>
  </si>
  <si>
    <t>PDF p113，母公司财务报表，单位人民币元</t>
  </si>
  <si>
    <t>母公司取得投资收益现金；原值 521016327.84</t>
  </si>
  <si>
    <t>ks_r_peer_keshun</t>
  </si>
  <si>
    <t>['第107—109页，合并利润表，单位元，2025年度/2024年度'] 2025年报；各精确定位见source_locators；['第38—43、199—205页，产品/地区、成本费用和非经常收益'] 2025年报；各精确定位见source_locators；['第111—113页，合并现金流量表，单位元，2025年度/2024年度'] 2025年报；各精确定位见source_locators；['第162—164、190—191、209—210页，货币资金/受限资产/现金等价物'] 2025年报；各精确定位见source_locators；['第102—105页，合并资产负债表，单位元，列2025-12-31及2025-01-01'] 2025年报；各精确定位见source_locators；['第191—199页，借款、应付/合同/职工/税费/预计负债、权益附注'] 2025年报；各精确定位见source_locators；['第208—209页，净利润调节为CFO，单位元'] 2025年报；各精确定位见source_locators；['第210页，供应商融资安排，单位元；已收到款项及付款期'] 2025年报；各精确定位见source_locators</t>
  </si>
  <si>
    <t>2025及2024合并列；原始行、单位、期间和每项公式见同行比较输入快照。</t>
  </si>
  <si>
    <t>正式年报，含集团业务及并购范围差异；不是全行业统计或有机增长比较。</t>
  </si>
  <si>
    <t>ks_r_peer_yuhong</t>
  </si>
  <si>
    <t>[142] 合并资产负债表；列：期末余额/期初余额（2025-12-31/2024-12-31）；[143] 合并资产负债表；列：期末余额/期初余额（2025-12-31/2024-12-31）；[144] 合并资产负债表；列：期末余额/期初余额（2025-12-31/2024-12-31）；[146, 147] 合并利润表；列：2025年度/2024年度；[147] 合并利润表；列：2025年度/2024年度；[148] 合并利润表；列：2025年度/2024年度；[150] 合并现金流量表；列：2025年度/2024年度；[151] 合并现金流量表；列：2025年度/2024年度；[151, 250] 合并现金流量表；列：2025年度/2024年度；[199, 231] 货币资金注释/所有权或使用权受到限制资产；列期末/期初；[234] 32 一年内到期的非流动负债；期末/期初；[234, 247] 32 一年内到期的非流动负债/融资负债变动表；[236] 36 长期应付款：按款项性质列示；[247] 筹资活动产生各项负债变动：其他应付款行；期末/期初；[242] 50 财务费用；本期/上期；[248] 62 现金流量表补充资料；本期/上期；[219] 16 固定资产累计折旧：计提；2025本期；[217] 15 投资性房地产累计折旧：计提或摊销；2025本期；[238] 44 未分配利润；本期/上期；[237] 41 库存股，本期增加</t>
  </si>
  <si>
    <t>ks_r_peer_bnbm</t>
  </si>
  <si>
    <t>[7, 92] 3、合并利润表；项目 / 2025年度 / 2024年度；[92] 3、合并利润表；项目 / 2025年度 / 2024年度；[93] 3、合并利润表；项目 / 2025年度 / 2024年度；[7, 93] 3、合并利润表；项目 / 2025年度 / 2024年度；[93, 225, 226] 3、合并利润表；项目 / 2025年度 / 2024年度；[93, 225] 合并利润表；66、财务费用；本期发生额 / 上期发生额；[93, 226] 3、合并利润表；项目 / 2025年度 / 2024年度；[96] 5、合并现金流量表；项目 / 2025年度 / 2024年度；[7, 96] 5、合并现金流量表；项目 / 2025年度 / 2024年度；[97, 232, 233] 5、合并现金流量表；项目 / 2025年度 / 2024年度；[88, 160] 1、合并资产负债表；项目 / 期末余额 / 期初余额；[160] 七、1、货币资金；期末余额 / 期初余额；[88, 160, 161] 1、合并资产负债表；项目 / 期末余额 / 期初余额；[208, 233] 31、所有权或使用权受到限制的资产；79（6）不属于现金及现金等价物的货币资金；[233] 79（5）使用范围受限但仍属于现金及现金等价物列示的情况；本期金额 / 上期金额；[88, 161] 1、合并资产负债表；项目 / 期末余额 / 期初余额；[88] 1、合并资产负债表；项目 / 期末余额 / 期初余额；[89] 1、合并资产负债表；项目 / 期末余额 / 期初余额；[89, 209] 1、合并资产负债表；项目 / 期末余额 / 期初余额；[89, 212] 1、合并资产负债表；项目 / 期末余额 / 期初余额；[7, 89] 1、合并资产负债表；项目 / 期末余额 / 期初余额；[90] 1、合并资产负债表；项目 / 期末余额 / 期初余额；[7, 90, 101] 1、合并资产负债表；项目 / 期末余额 / 期初余额；[90, 101] 1、合并资产负债表；项目 / 期末余额 / 期初余额；[89, 214] 1、合并资产负债表；项目 / 期末余额 / 期初余额；[214] 43、一年内到期的非流动负债；期末余额 / 期初余额；[89, 215] 1、合并资产负债表；项目 / 期末余额 / 期初余额；[89, 216] 1、合并资产负债表；项目 / 期末余额 / 期初余额；[90, 216] 1、合并资产负债表；项目 / 期末余额 / 期初余额；[214, 215] 44、其他流动负债；期末余额 / 期初余额；[211] 37（3）按款项性质列示其他应付款；期末余额 / 期初余额；[220] 52、其他非流动负债；期末余额 / 期初余额；[231] 筹资活动产生的各项负债变动情况；期初余额 / 本期增加 / 本期减少 / 期末余额；[90, 217] 1、合并资产负债表；项目 / 期末余额 / 期初余额；[217] 48、长期应付款；期末余额 / 期初余额；[217, 219] 48（2）专项应付款；期初余额 / 本期增加 / 本期减少 / 期末余额；[217, 219] 48、长期应付款；[195, 196] 22（2）重要在建工程项目本期变动情况；利息资本化累计金额 / 其中：本期利息资本化金额；[231] 79（1）现金流量表补充资料；补充资料 / 本期金额 / 上期金额；[232] 79（1）现金流量表补充资料；补充资料 / 本期金额 / 上期金额</t>
  </si>
  <si>
    <t>2025年报PDF218，未折现剩余合同现金流表；期末余额，应付债券行，原单位万元；列为一年以内/一至三年/三年以上/合计。</t>
  </si>
  <si>
    <t>原页图像复核四列为1098.92、5494.62、256706.51、263300.05；按2025末面值及合同票息另作不转股条件比较，保留不同假设或列报口径的可能性。</t>
  </si>
  <si>
    <t>正式原件明示的期限表；未取得计算假设或发行人解释，不直接判错报。</t>
  </si>
  <si>
    <t>问题</t>
  </si>
  <si>
    <t>结论</t>
  </si>
  <si>
    <t>机制</t>
  </si>
  <si>
    <t>依据</t>
  </si>
  <si>
    <t>反证</t>
  </si>
  <si>
    <t>其他解释</t>
  </si>
  <si>
    <t>改变结论条件</t>
  </si>
  <si>
    <t>ks_r_recommendation</t>
  </si>
  <si>
    <t>所选境内方法下，证据如何形成具体建议？</t>
  </si>
  <si>
    <t>以信息截止日的公开证据和明示判断，基准建议主体及科顺转债为BBB+、负面展望。经营C、财务F4的指示单元格为a-/bbb+，选择bbb+；不计可证实的额外支持增益，普通无担保直接债项暂同级。建议以常态融资渠道仍运行、未证实到期不支付，且实际付款日前资金与用途安排足以覆盖为条件。母公司可调度资金和持续承诺后果未核实，不能作为无条件正式评级发布。</t>
  </si>
  <si>
    <t>环境3.25 分、自身竞争力3.78 分，财务主方案4.17 分；先权金额为3.74 分仍属F4。选较弱端基于最新负EBITDA、母公司负经营现金、第四季回款依赖及资金用途约束；已进基础因素的弱项不重复扣档。</t>
  </si>
  <si>
    <t>conditional</t>
  </si>
  <si>
    <t>ks_r_e_business, ks_r_e_finance, ks_r_e_matrix, ks_a_ebitda_2025, ks_d_c_book_ratio</t>
  </si>
  <si>
    <t>ks_a_e_q1, ks_a_e_control</t>
  </si>
  <si>
    <t>区间代表值和历史适配具有判断空间；可比三年数据或可靠前瞻可能改变档位。
无保留审计及季度盈利、银行新增借款支持持续经营，但不能单独排除现金或合同限制。</t>
  </si>
  <si>
    <t>若更新事实使经营D、财务仍F4，研究分支为BB+；经营C而财务F5为BBB-；两者同时恶化为BB。若证实近期无法按约付款，立即退出上述常态分支，不能只保留负面展望。</t>
  </si>
  <si>
    <t>ks_r_liquidity</t>
  </si>
  <si>
    <t>年末正现金是否掩盖更早缺口？</t>
  </si>
  <si>
    <t>从三月末实际集团现金接续的无新增融资模型中，基准季度低点1.44 亿元人民币，恶化低点-3.38 亿元人民币；基准再少收4.88%客户现金即触及季度末零现金。基准另预留用途资金后低点-5.06 亿元人民币。这些是条件值，不能替代六月实际数或月内、母公司支付证明。</t>
  </si>
  <si>
    <t>经营采购和票据结算在CFO内只扣一次；融资本金和现金利息另扣，未把非现金AP转借款再扣为现金。募集金恢复用途是现金限制敏感性，不是新增外部债本金。负数后续行只显示未融资缺口，晚收款不能抹去先前支付失败。</t>
  </si>
  <si>
    <t>ks_d_l_e_cash_actual, ks_d_l_e_season, ks_r_base_cash_min, ks_r_worse_cash_min</t>
  </si>
  <si>
    <t>ks_a_e_q1, ks_a_e_maturity</t>
  </si>
  <si>
    <t>银行续贷、资产变现或真实现金上划可能补足缺口，但须有可执行额度、条件和时点。
实际采购、建设支出或回款季节性可能不同于研究假设，需用实际付款台账替换。</t>
  </si>
  <si>
    <t>若现金短缺由已落实融资或可合法延后支出覆盖，重跑现金表并判断是否足以维持BBB+；若缺口在已核实付款日仍存在，先确认具体偿付事件并重定主体及受影响债项。</t>
  </si>
  <si>
    <t>ks_r_parent_risk</t>
  </si>
  <si>
    <t>母公司怎样实际取得偿债资源？</t>
  </si>
  <si>
    <t>母公司年末现金减短借及一年内非流动账面代理后余量1.05 亿元人民币，不能证明完整短期覆盖；与固定本金未来到期价的静态差额为-12.24 亿元人民币。后者说明未来需产现、上划或融资的量级，并非债券在本年到期或已经发生缺口。缺一季末母公司表，集团一季现金不替代。</t>
  </si>
  <si>
    <t>发行人自身经营现金为负，投资收益现金不等于每年可重复的全部子公司分红。集团内票据及往来在合并层抵销，但现金移转仍依赖对手现金、合法决策、少数股东权益、融资约束和实际到账。</t>
  </si>
  <si>
    <t>ks_a_e_parent, ks_r_parent_screen, ks_r_parent_maturity_gap</t>
  </si>
  <si>
    <t>ks_d_l_f_parent_investment_cash, ks_a_e_equity</t>
  </si>
  <si>
    <t>子公司分红或往来回收能改善母公司资金，但不能按合并余额自动推算。
债券未来转换可能降低现金本金，须等真实转股事实确认，不能预先免偿。</t>
  </si>
  <si>
    <t>取得主要子公司的可分配现金、债务和用途限制、上划决议及实际到账后，重建发行人月度来源用途；若可上划路径受阻且本部不足，主体与直接债项结论须同步下调。</t>
  </si>
  <si>
    <t>ks_r_support_assessment</t>
  </si>
  <si>
    <t>哪些支持能力与意愿证据能够改变独立信用？</t>
  </si>
  <si>
    <t>基准不计额外支持增益。自然人控制及对特定银行义务的保证未证明本债或全部偿债需要有及时支持；普通政府补助未证明困难时救助。该选择是现有证据下的研究处理，不是“民企无支持”或未来不会支持的事实判断。</t>
  </si>
  <si>
    <t>政府路径分别核持股/控制、地方重要性、违约声誉影响、成本收益和支持历史：已知自然人控制、可替代竞争及普通补助，未识别具体救助方、独立财力及承诺。企业法人股东分支不能机械套自然人；个人保证有具体对象和财力限制。支持可能性不能与能力分开，也不能把多项潜在支持累加。</t>
  </si>
  <si>
    <t>ks_r_e_support, ks_b_e_ownership, ks_a_e_related</t>
  </si>
  <si>
    <t>ks_a_e_related, ks_a_e_post</t>
  </si>
  <si>
    <t>地方就业、技术或项目重要性可能增加协助意愿，但需具体规模和可执行资金支持。
股东可投入资金，但股权质押、已有保证和未核个人资源使支持额度未定。</t>
  </si>
  <si>
    <t>取得具体支持方独立偿债能力、合法决策、覆盖义务、付款触发及到账时间，再按同一支持方法重做提升；不把普通授信或既有补助重新加成一档。</t>
  </si>
  <si>
    <t>ks_r_adjustments</t>
  </si>
  <si>
    <t>基础因子之外是否还有改变结果的增量事项？</t>
  </si>
  <si>
    <t>未来投资及基金承诺、ESG、表外义务、信用记录与其他事项逐项保留。当前研究不在已反映的亏损、资产质量和治理弱项之外再机械扣档；持续承诺的具体后果和用途恢复若形成新增近期现金需要，基准评级条件即失效，必须重新分析。</t>
  </si>
  <si>
    <t>项目延期和基金调用影响前瞻资本需求；污染/事故、劳工质量披露只代表公司声明和制度，未有监管数据证明风险不重大。担保需与基础债务去重，实际代偿须计入现金。已知付息并不证明所有借款/贸易义务正常；原件两项小额/项目差异需核原因，不能自动转成舞弊分。</t>
  </si>
  <si>
    <t>ks_r_e_matrix, ks_a_e_related, ks_a_e_governance, ks_a_e_fixed, ks_b_e_fund, ks_d_e_commitment</t>
  </si>
  <si>
    <t>ks_a_e_audit, ks_a_e_control</t>
  </si>
  <si>
    <t>整改、投资收缩或真实回款改善可以减轻增量风险，但只有实施证据才能纳入。
新的监管处罚、质量赔偿或已到期代偿可能同时削弱现金与融资渠道，不能只在治理文字中描述。</t>
  </si>
  <si>
    <t>新事实先量化对现金、资产和基础因素的影响，再识别未被反映的增量风险；若需个体档差，说明具体传导及不重复计入依据。不能把所有未知事项直接当中性已核实。</t>
  </si>
  <si>
    <t>ks_r_followup</t>
  </si>
  <si>
    <t>哪些变化真正改变建议，而不只是更新比率？</t>
  </si>
  <si>
    <t>负面展望反映未来约一年中的行业需求、回收、用途约束与融资压力。经营D/F4对应BB+，C/F5对应BBB-，D/F5对应BB；持续改善达到C/F3且资金及承诺问题解决时才讨论A分支。现有因子区间上确界跨F3本身不是升级证据。</t>
  </si>
  <si>
    <t>跟踪先更新月度银行现金、实际用途占用、母公司到期表和持续承诺解释，再更新半年度/年度亏损、应收回收、订单及融资。三年完整重述和更可靠预测会改变加权依据；对应结果应重算而非沿用此次分数。没有设置后台监控、没有真实委员会投票。</t>
  </si>
  <si>
    <t>ks_r_e_definitions, ks_r_e_matrix, ks_r_financial_lower, ks_r_financial_upper, ks_d_e_commitment</t>
  </si>
  <si>
    <t>季度业绩改善可使展望转稳，但需要完整期间现金而不只是利润。
正式解释若证明承诺无新增现金后果，会关闭该项不确定性，其他经营财务风险仍需重评。</t>
  </si>
  <si>
    <t>按本研究截止日安排下一次检查于下一份实际半年度披露及任何提前到期、用途变更或支持事件；若已发生应立即反映的偿付问题，不等待下一年度或用展望推迟调整。</t>
  </si>
  <si>
    <t>ks_a_find_scope</t>
  </si>
  <si>
    <t>历史趋势是否同口径？</t>
  </si>
  <si>
    <t>同控收购使重述摘要与原报表不同。重述收入依次为79.44 亿元人民币、68.29 亿元人民币、60.44 亿元人民币；重述扣非持续为负。完整重述历史负债、利息和折旧仍缺，原口径对照不混入同口径评级输入。</t>
  </si>
  <si>
    <t>横琴的金融资产与融资现金影响权益、利润、现金；丰泽失控后恢复控制和保理出表亦影响跨年可比性。</t>
  </si>
  <si>
    <t>ks_a_e_summary, ks_a_e_old, ks_a_e_invest, ks_a_missing_totaldebt_2023, ks_a_missing_interest_total_2023</t>
  </si>
  <si>
    <t>同控追溯使表面同比变化包含范围重置；同一企业原报告与重述比较不是两个可自由拼接的数据源。
丰泽控制变化和保理出表也可能改变现金及资产结构，不能把所有变化归因于横琴。</t>
  </si>
  <si>
    <t>取得重述调整表后先重建同口径期初和历史指标，再判断变化是否跨越因素档位；仅补齐摘要利润不足以关闭债务及周转分母。</t>
  </si>
  <si>
    <t>ks_a_find_operations</t>
  </si>
  <si>
    <t>毛利改善能否转为持续偿债利润？</t>
  </si>
  <si>
    <t>收入同比-11.49%，毛利率24.20%，施工毛利率6.25%。总毛利14.63 亿元人民币低于上期14.87 亿元人民币；材料降本不能完全抵消收入收缩及工程压力。</t>
  </si>
  <si>
    <t>价格、原材料成本和结构都会影响毛利；销量下降、工程成本刚性、费用和减值共同决定利润，不由单一毛利率推断信用改善。</t>
  </si>
  <si>
    <t>supported</t>
  </si>
  <si>
    <t>ks_a_e_revenue, ks_a_e_policies, ks_a_grossprofit_2025, ks_a_grossprofit_2024</t>
  </si>
  <si>
    <t>主动退出信用质量较低客户可解释部分销量和收入下降，需以客户退出、售价及回款证据区别于竞争力下滑。
原料价格下行与产品结构改善都能抬升毛利率；收入下降时毛利率上升仍可伴随毛利额减少。</t>
  </si>
  <si>
    <t>取得同产品数量、售价、采购成本和客户退出桥后重新分解毛利额；只有收入、回款和毛利同时可持续改善，才支持上调经营评价。</t>
  </si>
  <si>
    <t>ks_a_find_earnings</t>
  </si>
  <si>
    <t>是否把信用损失全部作为一次性剔除？</t>
  </si>
  <si>
    <t>净亏损-5.48 亿元人民币，信用与资产损失合计7.87 亿元人民币，会计EBITDA-2.11 亿元人民币。信用损失连续多年存在，不在基础偿债收益中自动全额加回；上期公允价值及补偿收益影响亦需保留。</t>
  </si>
  <si>
    <t>经营利润、非现金重估、债务重组、税务利益与现金各不相同。会计EBITDA加入折旧及利息但保留资产质量成本，不以减值前利润替代可持续现金。</t>
  </si>
  <si>
    <t>ks_a_e_is, ks_a_e_revenue, ks_a_e_debtassets, ks_a_ebitda_2025, ks_a_perf_fv_2024</t>
  </si>
  <si>
    <t>集中确认历史客户损失可使当期亏损高于近期经营现金消耗，但损失对应的现金不可回收并不会因非现金性质消失。
非经常重估或补偿收益可能短期抵销主营亏损，必须观察对应资产变现和后续冲回。</t>
  </si>
  <si>
    <t>按客户和年度拆分新增信用损失、已计提损失与实际回收，并证明常态业务现金足以覆盖利息及必要投入后，才调整可持续盈利判断。</t>
  </si>
  <si>
    <t>ks_a_find_ar</t>
  </si>
  <si>
    <t>净应收下降是否证明回收风险消除？</t>
  </si>
  <si>
    <t>应收原值51.61 亿元人民币，准备率36.17%，三年以上占比32.56%；净额下降含新增准备、核销及抵债，经营应收现金调节仍为-5.64 亿元人民币。</t>
  </si>
  <si>
    <t>分层账龄、违约概率/回收率与抵债估值共同影响净资产和利润；需客户逐笔期后收现与重组执行证据。</t>
  </si>
  <si>
    <t>ks_a_e_ar, ks_a_e_contract, ks_a_e_indirect, ks_a_ar_res_roll</t>
  </si>
  <si>
    <t>净应收下降可能来自现金回款，也可能主要来自新增准备、核销、债务重组及范围变化。
账龄延长不必然全额违约，但单项高准备客户和以物抵债改变回收期限。</t>
  </si>
  <si>
    <t>取得逐笔期后现金回收、第三方确认、债务重组执行和ECL参数后，重估损失覆盖、回收速度和资产可用性。</t>
  </si>
  <si>
    <t>ks_a_find_otherar</t>
  </si>
  <si>
    <t>重组款是否具备兑现条件？</t>
  </si>
  <si>
    <t>其他应收准备2.86 亿元人民币；中天盈债务重组款1.18 亿元人民币对应准备9,404.00 万元人民币。不能将相关应收与关联人保证互相抵销。</t>
  </si>
  <si>
    <t>保证金、暂付款和重组款具有不同回收路径；关联关系及第三阶段风险使期后收款和担保品可执行性更重要。</t>
  </si>
  <si>
    <t>ks_a_e_otherar, ks_a_e_related, ks_a_otherar_res_roll</t>
  </si>
  <si>
    <t>重组款可能以折价非现金资产而非银行款收回，收回名义债权不等于恢复等额流动性。
关联保证可能有经济价值，但缺少保证人财力、可执行性和付款期限时不能冲减应收损失。</t>
  </si>
  <si>
    <t>取得已交割权属、真实期后到账及担保人的独立资源证明后，逐笔更新回收额与时点；资产转让协议签署不等于收到现金。</t>
  </si>
  <si>
    <t>ks_a_find_contract</t>
  </si>
  <si>
    <t>工程进度、质保及结算会否改变利润和现金？</t>
  </si>
  <si>
    <t>流动合同资产净额3.91 亿元人民币，长期质保等8,383.77 万元人民币。收入依据客户确认工程量；无条件应收、合同资产和预提返利分列，不能用订单叙述替代结算证据。</t>
  </si>
  <si>
    <t>工程量验收、总收入与预计成本调整、返利估计及质保期都可能改变毛利及回款；未执行工程现场或截止测试。</t>
  </si>
  <si>
    <t>ks_a_e_contract, ks_a_e_policies, ks_a_e_liabs</t>
  </si>
  <si>
    <t>工程收入确认与结算条款会造成正常的合同资产形成，期末合同资产本身不能证明提前确认。
工程变更、质保及预计总成本下调也可能推迟损失确认，需检查其审批、客户认可和期后结算。</t>
  </si>
  <si>
    <t>将主要工程履约进度、客户签认、合同总价及最新预计成本逐项桥接，复核期后结算及退款后，区分正常结算周期与减值或收入截止问题。</t>
  </si>
  <si>
    <t>ks_a_find_noncash</t>
  </si>
  <si>
    <t>应收转出是否实现偿债现金？</t>
  </si>
  <si>
    <t>抵债房产等净额7.86 亿元人民币；融创债转股权益价值2,459.20 万元人民币，相关减值和重组损失分开列。净应收、合同、抵债和其他应收合计占资产39.48%。</t>
  </si>
  <si>
    <t>非现金重组改变资产形态和损失时点，后续变现受权属、销售价格和交割制约；不将该资产池当作短期偿债现金。</t>
  </si>
  <si>
    <t>ks_a_e_debtassets, ks_a_e_fixed, ks_a_e_post, ks_a_asset_risk_pool</t>
  </si>
  <si>
    <t>以物抵债可能比继续持有无担保应收更有利，但价值改善取决于交割、权属和真实售价。
债转股后的公允价值可波动且出售受限，不能按转换时账面金额承诺回款。</t>
  </si>
  <si>
    <t>取得可执行产权、抵押查询、独立交易价格、处置成本和实际到账后才计入偿债资源；用途或权利未解锁时继续排除即时现金。</t>
  </si>
  <si>
    <t>ks_a_find_cash</t>
  </si>
  <si>
    <t>账面现金可多少用于一般偿债？</t>
  </si>
  <si>
    <t>货币资金23.19 亿元人民币，受限7.12 亿元人民币，现金等价物16.08 亿元人民币。后者也未核实全部无用途限制；理财、公允价值补偿资产及抵债房产不加入基础现金。</t>
  </si>
  <si>
    <t>质押、冻结、保证金与募集金专户/临时补流有不同约束；仅依据账面资金会高估流动性。</t>
  </si>
  <si>
    <t>ks_a_e_cash, ks_a_e_proceeds2, ks_a_cashrestrict_2025, ks_a_e_return26, ks_a_e_renew26</t>
  </si>
  <si>
    <t>现金等价物按准则可随时支付，不等于合同用途完全不受限。
理财或银行承兑票据可能流动性较好，但须区分到期、质押、受限和补偿应收成分。</t>
  </si>
  <si>
    <t>确认银行函证、全部账户用途及理财/票据变现条件后，修订自由现金和现金类短债覆盖。</t>
  </si>
  <si>
    <t>ks_a_find_cfo</t>
  </si>
  <si>
    <t>正经营现金能覆盖投入和分配吗？</t>
  </si>
  <si>
    <t>全年CFO3.20 亿元人民币，扣现金资本开支后1.47 亿元人民币，再扣已分红后-2.41 亿元人民币。末季贡献11.44 亿元人民币，期间现金波动明显。</t>
  </si>
  <si>
    <t>间接桥中大额非现金减值并不产生现金；供应商负债和押金等融资作用支撑现金，全年正值不能掩盖前三季流出和融资依赖。</t>
  </si>
  <si>
    <t>ks_a_e_cf, ks_a_e_indirect, ks_a_e_summary, ks_a_e_equity, ks_a_indirect_cfo_2025</t>
  </si>
  <si>
    <t>利润至经营现金的改善可能由非现金信用损失加回形成，不能把加回项目视为经营盈利恢复。
应收净额下降也可能由核销和抵债形成；年末集中收款与下一季现金流出并存时，全年正经营现金不能证明期内无缺口。</t>
  </si>
  <si>
    <t>取得按客户的季度及月度银行收现、非现金重组和供应商付款桥，并证明现金覆盖利息、必要资本投入和分红后仍有余量，才提高现金生成质量判断。</t>
  </si>
  <si>
    <t>ks_a_find_debt</t>
  </si>
  <si>
    <t>借款减少是否代表债务负担充分缓解？</t>
  </si>
  <si>
    <t>含票据及其他借款的广义债务52.73 亿元人民币，债务资本化率56.55%，现金/短期债0.57 倍。转债摊余成本、租赁及非现金融资需纳入；预计质量负债从利息债中剔开。</t>
  </si>
  <si>
    <t>利润与权益缩水会抵消债务名义下降。利息含资本化2,735.06 万元人民币，现金还本额不等同借款账面变动。未折现合同期限表含经营负债，不能直接当作有息债。</t>
  </si>
  <si>
    <t>ks_a_e_liabs, ks_a_e_debtorroll, ks_a_e_maturity, ks_a_bondroll, ks_a_debtorrollcalc</t>
  </si>
  <si>
    <t>借款或应付票据减少可能来自现金清偿，也可能来自重分类、票据结算或并表范围变化。
未终止确认背书票据仍有追索风险；是否属于融资债务要与对应其他流动负债核对，不能重复加已计入项目。</t>
  </si>
  <si>
    <t>拿到账面至合同本金的逐笔调节、债权人和到期日，并确认背书追索及供应商融资性质后重算债务、短债覆盖和融资缺口。</t>
  </si>
  <si>
    <t>ks_a_find_supplier</t>
  </si>
  <si>
    <t>供应商融资是否重复计债或掩盖营运资金压力？</t>
  </si>
  <si>
    <t>安排总额4.60 亿元人民币，已入短借2.83 亿元人民币，余AP1.77 亿元人民币。若AP部分全部视为融资，债务为54.51 亿元人民币，资本化比率57.36%；属于有条件敏感性。</t>
  </si>
  <si>
    <t>付款期延长、平台支付和AP转借款改变融资依赖；已入借款部分不能再加一次，非现金转项不能计作CFO收现。</t>
  </si>
  <si>
    <t>ks_a_e_supplier, ks_a_e_debtorroll, ks_a_supplier_sum_2025</t>
  </si>
  <si>
    <t>AP部分可能仍是正常采购信用，也可能因融资方介入和账期延长而具有借款实质。
短借已包含平台融资，不能因供应商已收款再加同一债务。</t>
  </si>
  <si>
    <t>取得融资协议、付款展期和追索安排后确定AP部分重分类；核对银行流水后再调整现金流。</t>
  </si>
  <si>
    <t>ks_a_find_fixed</t>
  </si>
  <si>
    <t>低利用率及项目延期的账面价值有无压力？</t>
  </si>
  <si>
    <t>存货准备4,338.43 万元人民币，闲置PPE净额5,583.11 万元人民币；在建、无证房产、商誉和抵债资产需分别检验现金产生能力。</t>
  </si>
  <si>
    <t>存货NRV、固定资产使用年限/残值、闲置持续折旧、现金产出单元和商誉预测会影响利润及权益；未获得资产级估值和现金流头寸。</t>
  </si>
  <si>
    <t>ks_a_e_inventory, ks_a_e_fixed, ks_a_e_proceeds2, ks_a_ppe_grossroll, ks_a_ppe_resroll</t>
  </si>
  <si>
    <t>闲置产线可能为周期性检修或备产，不能仅凭暂时闲置认定永久减值。
低利用率、持续亏损或募投延期也可能说明需求与原投资假设脱节，应以产线现金流而非总收入增长推定可收回金额。</t>
  </si>
  <si>
    <t>逐产线取得产能、利用率、订单、维护支出、处置报价及权属证据，并用实际经营偏差检验现金产出单元预测；验证后重估减值和未来资本需求。</t>
  </si>
  <si>
    <t>ks_a_find_cip</t>
  </si>
  <si>
    <t>原表列位误读能否解释差额？</t>
  </si>
  <si>
    <t>原表期初、增加和其他减少重算3,132.58 万元人民币，期末披露4,417.84 万元人民币。独立图像阅读仍未闭合，保留未解释差额；没有擅自调平或认定财报整体错报。</t>
  </si>
  <si>
    <t>可能是重要项目表列示、范围或重复列项，需逐笔转固/减值/支出桥才能确定会计影响。</t>
  </si>
  <si>
    <t>unresolved</t>
  </si>
  <si>
    <t>ks_a_e_fixed, ks_a_chuzhou_roll, ks_a_chuzhou_end</t>
  </si>
  <si>
    <t>其他减少可能在重要项目表重复列示，或与期末余额存在范围差异；原页本身不能唯一判定。
也可能是资本化、转固或明细汇总错误；须与总账、验收及项目支出对照后判定。</t>
  </si>
  <si>
    <t>取得滁州项目逐笔期初、增加、转固、其他减少和期末桥，定位差额对应的会计科目、期间及是否影响本期损益，再撤回或确认疑点。</t>
  </si>
  <si>
    <t>ks_a_find_tax</t>
  </si>
  <si>
    <t>税务资产是否能直接支持偿债？</t>
  </si>
  <si>
    <t>净DTA5.03 亿元人民币、占权益12.41%，亏损相关DTA7,146.12 万元人民币。递延税收益缓冲当年亏损，但并非当年现金流入。</t>
  </si>
  <si>
    <t>未来盈利需按纳税主体、适用税率、亏损到期及可利用差异验证；现有未确认亏损并不能证明已确认部分无风险。</t>
  </si>
  <si>
    <t>ks_a_e_tax, ks_a_taxroll, ks_a_dta_equity</t>
  </si>
  <si>
    <t>亏损和减值形成可抵扣差异不一定失效，盈利子公司未来应税利润可能支持部分回收。
合并层面的预计盈利不能自动抵销各纳税主体亏损或延长亏损结转期限。</t>
  </si>
  <si>
    <t>按主体税率、优惠期限和亏损到期核验盈利预测，若不足覆盖转回则降低DTA及权益。</t>
  </si>
  <si>
    <t>ks_a_find_parent</t>
  </si>
  <si>
    <t>合并现金能否直接供发行主体偿债？</t>
  </si>
  <si>
    <t>母公司盈利1.41 亿元人民币但CFO-7.32 亿元人民币；投资收益4.51 亿元人民币及巨额集团往来影响现金。母公司权益表期初另追溯78.57 万元人民币已单列桥接。</t>
  </si>
  <si>
    <t>子公司分红能力、资金归集、限制性条款与集团内部往来可回收性决定现金上划；合并报表抵销无法证明母公司可自由调动全部现金。</t>
  </si>
  <si>
    <t>ks_a_e_parent, ks_a_e_invest, ks_a_p_equityroll</t>
  </si>
  <si>
    <t>母公司负CFO可能因内部往来结算时点，不必然反映合并外部经营恶化。
子公司分红可支持母公司，但若受股权、契约或流动性约束，账面投资收益不足以覆盖偿债。</t>
  </si>
  <si>
    <t>取得母公司债务到期表、子公司上划决议与现金到账、资金归集合同及往来可回收证据后判断发行主体资源。</t>
  </si>
  <si>
    <t>ks_a_find_scope_deals</t>
  </si>
  <si>
    <t>资本运作如何改变实际可得现金及权益？</t>
  </si>
  <si>
    <t>同控收购支付8,200.00 万元人民币，顺控保理出表带出净现金1.15 亿元人民币；少数权益收购、金融资产重估和基金承诺分别处理。</t>
  </si>
  <si>
    <t>同控并非经营收益，出表现金减少不同于资本开支，剩余权益估值与可支配资金不同；基金未实缴承诺可能形成未来资金需求。</t>
  </si>
  <si>
    <t>ks_a_e_invest, ks_a_e_related, ks_a_e_equity</t>
  </si>
  <si>
    <t>处置子公司带出现金与取得处置价款属于不同现金方向，不能仅看净投资现金推断投资回报。
同控收购对价、公允价值重估及少数股东交易不都进入损益；权益变动不能用现金分红或融资现金倒挤。</t>
  </si>
  <si>
    <t>取得交割协议、付款/收款、剩余股权估值和基金实际实缴及资本调用计划后，更新权益、未来支出和集团现金分配。</t>
  </si>
  <si>
    <t>ks_a_find_contingent</t>
  </si>
  <si>
    <t>表外及或有负担是否被财务比率遗漏？</t>
  </si>
  <si>
    <t>外部经销商保证余额1.60 亿元人民币、保函1.66 亿元人民币及产品质量预计负债需逐项追踪。集团内部保证不得与已并表基础债务重复加总。</t>
  </si>
  <si>
    <t>诉讼/质保支出和经销商代偿可能与客户弱化同时出现；控制人保证、持股及银行未用授信不等于无条件现金支持。</t>
  </si>
  <si>
    <t>ks_a_e_related, ks_a_e_liabs, ks_a_e_governance, ks_a_e_maturity</t>
  </si>
  <si>
    <t>经销商保证有反担保并不消除共同下行时的代偿压力；反担保资产可实现价值须单独核验。
集团内保证对应已并表债务时主要改变追索和现金所在法人，并非额外一份合并本金。</t>
  </si>
  <si>
    <t>取得债权人、被担保人、已提款余额、追索顺位、反担保资产及触发事件后，按同一经济义务去重并重算或有现金和回收。</t>
  </si>
  <si>
    <t>ks_a_find_controls</t>
  </si>
  <si>
    <t>能否依无保留意见停止资产质量核查？</t>
  </si>
  <si>
    <t>财报和内控意见提供有限层次支持；自评未认定重大/重要缺陷，募集金报告却披露混用与整改。正反证据同时保留，未认定舞弊或所有控制无效。</t>
  </si>
  <si>
    <t>控制结论有重大性和时点边界，不能替代余额可回收、可用现金或条款执行验证；亏损净利定量标准及整改时点尚需澄清。</t>
  </si>
  <si>
    <t>ks_a_e_audit, ks_a_e_control, ks_a_e_self, ks_a_e_proceeds2, ks_a_e_governance</t>
  </si>
  <si>
    <t>无保留内控意见与公开披露的特定资金管理问题可同时存在，差别可能来自重大性、评价时点和整改。
自评使用亏损期净利润作为定量参照的执行细节尚未验证，不能只凭标准文字推定结论无效。</t>
  </si>
  <si>
    <t>取得缺陷评价、重要性基准实际应用、整改日期及整改后银行流程测试证据后，重新判断资金治理影响；本研究不把原审计意见当自身控制测试。</t>
  </si>
  <si>
    <t>ks_a_find_proceeds</t>
  </si>
  <si>
    <t>年末余额与期后归还续作能否衔接？</t>
  </si>
  <si>
    <t>年末未归还12.75 亿元人民币；公告次年初旧轮已归还13.00 亿元人民币，并批准新一轮上限13.00 亿元人民币。时点疑点已由公告澄清，授权上限不等于六月实际占用。</t>
  </si>
  <si>
    <t>仍需关注一般户混用期间用途追踪、专户整改执行及研究截止日占用；不能以续作代表永久资本，也不能将归还额倒填年末。</t>
  </si>
  <si>
    <t>ks_a_e_proceeds2, ks_a_e_return26, ks_a_e_renew26</t>
  </si>
  <si>
    <t>公告证实旧轮归还并获新授权，可解释不同报告时点的余额，不构成旧轮长期未归还的证据。
新授权可能未全额使用，也可能部分重新投入经营；上限和实际占用不能互换。</t>
  </si>
  <si>
    <t>以截止日实际占用和用途流水确认应恢复额度、时间及项目需求，并验证混用问题整改执行；已公开的旧轮归还时点不再重复请求。</t>
  </si>
  <si>
    <t>ks_a_find_q1</t>
  </si>
  <si>
    <t>年度弱项是否在研究截止日前消除？</t>
  </si>
  <si>
    <t>未经审计Q1归母利润6,355.24 万元人民币、毛利率27.51%，CFO仍-5,518.29 万元人民币。季度现金年初桥闭合；信用减值继续且缺完整债务及受限现金附注，不按一季乘四替换全年。</t>
  </si>
  <si>
    <t>季节性、原材料预付、银行长短债置换和年度末集中减值会令季度盈利与全年偿债能力不同；部分上年季度比较仍是原披露范围。解释19号实施未披露重大影响。</t>
  </si>
  <si>
    <t>ks_a_e_q1, ks_a_e_policy26, ks_a_q1_cashbridge, ks_a_missing_q1_debt, ks_a_missing_q1_freecash</t>
  </si>
  <si>
    <t>季节性收付款和提前采购可以使季度利润与经营现金方向不同；不能直接把改善同比推广至全年。
季度表尚缺完整利息、受限现金和同控可比明细，短期借款增加也可能是期限置换而非净融资能力增强。</t>
  </si>
  <si>
    <t>取得半年度完整附注后，用原年度及一季度桥拆出季节性、范围、应收回款与新债；持续现金改善且债务到期与资金用途匹配才支持提高判断。</t>
  </si>
  <si>
    <t>ks_a_find_ar_sign</t>
  </si>
  <si>
    <t>小额滚动差异来自读取还是列示？</t>
  </si>
  <si>
    <t>按原负号滚动未闭合；“其他”若表示冲回减少项可以解释差异。两次读取均保留原负号；未把小额列示差异扩展为全报错报。</t>
  </si>
  <si>
    <t>金额重要性与资产回收风险是不同问题；该差异不改变信用减值大额风险的事实。</t>
  </si>
  <si>
    <t>ks_a_e_ar_sign, ks_a_ar_res_roll, ks_a_arreserve_2025</t>
  </si>
  <si>
    <t>原表“其他”负号若实际表示冲回原减少项，可以在符号语义上解释差额。
表格符号或汇总也可能存在小额披露错误，现有原页不足以选定一种解释。</t>
  </si>
  <si>
    <t>取得该“其他”事项的凭证方向与对应准备变动，并使完整滚动可追溯闭合；确认金额后仍独立评估重大客户回收风险。</t>
  </si>
  <si>
    <t>ks_a_find_cashbridge</t>
  </si>
  <si>
    <t>原报告和重述比较列能否直接混用？</t>
  </si>
  <si>
    <t>原现金补充表保证金小计不是全部限制资金。原货币资金减CCE可与完整受限金额闭合，同控现金新增亦闭合；未据此宣称大额现金重分类。</t>
  </si>
  <si>
    <t>原补充表未逐项列出的差额与后续比较列定存质押、冻结和专用款一致。资金可支配性分析应用完整受限金额，再核实际用途限制。</t>
  </si>
  <si>
    <t>ks_a_e_cash2024bridge, ks_a_orig_cash_gap_2024, ks_a_orig_partial_gap_2024, ks_a_newly_itemized_2024, ks_a_cashbook_restate_bridge, ks_a_cce_restate_bridge</t>
  </si>
  <si>
    <t>原补充资料可能只列保证金，而完整受限附注包含质押定存、冻结和专用款，支持披露范围不全的解释。
同控现金增加是另一个范围变动，不能与未列明受限资金金额混作现金重分类。</t>
  </si>
  <si>
    <t>若原公司现金定义说明或银行限制文件证明不同列报边界，应按该证据更新历史桥；目前原始货币资金、CCE和完整限制金额的关系已闭合。</t>
  </si>
  <si>
    <t>ks_b_market_position</t>
  </si>
  <si>
    <t>发行人品牌和规模是否足以穿越行业需求收缩？</t>
  </si>
  <si>
    <t>科顺全国网络、研发和工程经验支持较强细分竞争力；规模明显小于东方雨虹，不能给出未经核实的全国市场份额。</t>
  </si>
  <si>
    <t>科顺防水材料收入46.60 亿元人民币，东方雨虹同名分类191.72 亿元人民币；科顺/北新卷材收入分别30.72 亿元人民币和33.14 亿元人民币，分类及并购口径不同。市场地位研究中心4.00 分（六分制研究刻度）、相邻3.50 分（六分制研究刻度）至4.50 分（六分制研究刻度）；这是分析者判断。</t>
  </si>
  <si>
    <t>主动压缩高风险客户也可导致收入下滑，不能只解释为份额丧失。</t>
  </si>
  <si>
    <t>若可核实活跃渠道、同口径销量份额和多期间收款质量共同改善，可上移判断；若主要渠道失效或相对同业持续衰退则下移。</t>
  </si>
  <si>
    <t>ks_b_resources_chain</t>
  </si>
  <si>
    <t>核心资源及上下游控制是否能稳定利润与现金？</t>
  </si>
  <si>
    <t>研发、全国制造与渠道可缓冲竞争，石化原料和客户账期限制产业链控制，不能把套保等同完全对冲。</t>
  </si>
  <si>
    <t>研发投入2.53 亿元人民币、人员378.00 人、有效专利908.00 项；材料成本直接材料占84.12%，最大客户占11.63%。核心资源研究中心4.00 分（六分制研究刻度）（3.50 分（六分制研究刻度）至4.50 分（六分制研究刻度））；产业链控制中心3.00 分（六分制研究刻度）（2.50 分（六分制研究刻度）至3.50 分（六分制研究刻度））。</t>
  </si>
  <si>
    <t>ks_b_e_operations, ks_b_e_cost_risk, ks_b_e_structure</t>
  </si>
  <si>
    <t>预付锁价可降低采购不确定性，也可能只是把价格风险转为资金占用。</t>
  </si>
  <si>
    <t>若获得产能利用率、单位成本、价格转嫁和客户账期的连续改善证据，可提高判断；若预付/赊销占用增大则下调。</t>
  </si>
  <si>
    <t>ks_b_diversification</t>
  </si>
  <si>
    <t>新业务能否实质分散地产及建筑周期？</t>
  </si>
  <si>
    <t>多渠道、多场景具有协同基础，已实现收入仍主要来自境内防水，海外和新材料计划尚不能视为成熟的周期分散。</t>
  </si>
  <si>
    <t>材料加工程收入占95.03%，境内占96.77%、境外占3.23%；多元协同研究中心3.00 分（六分制研究刻度），相邻2.50 分（六分制研究刻度）至3.50 分（六分制研究刻度）。</t>
  </si>
  <si>
    <t>ks_b_e_yuhong, ks_b_e_bnbm</t>
  </si>
  <si>
    <t>即便产品类别多，若采购者、工程需求和资金来源相同，相关性仍高。</t>
  </si>
  <si>
    <t>若海外、零售和非房渠道形成独立且持续的收入/现金流分表，判断上移；仅项目新闻或规划不改变结论。</t>
  </si>
  <si>
    <t>ks_b_execution</t>
  </si>
  <si>
    <t>制度是否在关键资金操作中落实？</t>
  </si>
  <si>
    <t>治理框架和审计意见提供正面证据，但募集资金曾与一般资金混用，不能仅凭制度声明给予很强管理执行判断；整改降低后果，不抹去原缺口。</t>
  </si>
  <si>
    <t>两名控制人合计持股31.45%，不是全部一致行动人持股。董事7.00 人、独董3.00 人；控制人所持股份质押比例分别49.95%和56.72%。法人治理研究中心4.00 分（六分制研究刻度）（3.50 分（六分制研究刻度）至4.50 分（六分制研究刻度））；管理执行中心3.00 分（六分制研究刻度）（2.50 分（六分制研究刻度）至3.50 分（六分制研究刻度））。主要将账户问题计入执行，避免同一事项在治理与调整项重复全额扣分。</t>
  </si>
  <si>
    <t>ks_b_e_governance, ks_b_e_fund_control, ks_b_e_ownership</t>
  </si>
  <si>
    <t>ks_b_e_fund_return, ks_b_e_fund_renew, ks_b_e_q1</t>
  </si>
  <si>
    <t>年末、归还日及报告出具日状态不同，不应由余额变化推定矛盾或造假。</t>
  </si>
  <si>
    <t>若专户与银行流水证明持续隔离、归还来源和募投用款安排清晰可上移；若混用重复、归还依赖短期滚动加深则下移。</t>
  </si>
  <si>
    <t>ks_b_capital_allocation</t>
  </si>
  <si>
    <t>资本配置是否有利于信用缓冲？</t>
  </si>
  <si>
    <t>现金分配高于同期经营净现金，另有长期基金认缴及经销担保；在回款修复阶段削弱现金余量，属于信用审慎性问题，不直接构成侵占或违约。</t>
  </si>
  <si>
    <t>现金分红3.88 亿元人民币，为经营净现金3.20 亿元人民币的121.54%；基金认缴2.40 亿元人民币、拟存续8.00 年，经销商等对外担保余额1.60 亿元人民币。认缴不等于当年已付现金，反担保不消除保证责任。</t>
  </si>
  <si>
    <t>ks_b_e_distribution, ks_b_e_cash, ks_b_e_fund, ks_b_e_guarantees</t>
  </si>
  <si>
    <t>ks_b_e_2026_dividend, ks_b_e_fund_return</t>
  </si>
  <si>
    <t>自有资金投资可带来未来增量能力，但尚无项目盈利与现金退出记录验证；合法审批不等于风险低。</t>
  </si>
  <si>
    <t>若基金实际支付明显低于承诺且后续分配与现金创造匹配，压力降低；若基金催缴、经销代偿及募投支出同时发生，压力上升。</t>
  </si>
  <si>
    <t>ks_b_environment</t>
  </si>
  <si>
    <t>宏观及行业环境怎样传导至公司而非直接决定违约？</t>
  </si>
  <si>
    <t>总量经济仍增长，但房地产开工、投资和资金连续收缩，非房投资也分化；行业风险偏高，不能由行业下行直接判定本公司违约。</t>
  </si>
  <si>
    <t>GDP实际同比5.00%；截止日前房地产投资同比-16.20%、新开工同比-22.60%、到位资金同比-19.00%；固定投资同比-4.10%、本次口径基建同比0.60%。宏观研究中心4.00 分（六分制研究刻度）（3.50 分（六分制研究刻度）至4.50 分（六分制研究刻度）），行业研究中心2.50 分（六分制研究刻度）（2.00 分（六分制研究刻度）至3.00 分（六分制研究刻度））。</t>
  </si>
  <si>
    <t>ks_b_e_gdp26, ks_b_e_property25, ks_b_e_property26, ks_b_e_investment26</t>
  </si>
  <si>
    <t>ks_b_e_renewal, ks_b_e_standard_sheet, ks_b_e_standard_coating</t>
  </si>
  <si>
    <t>城市更新、质量标准有利于头部企业，但订单兑现和客户付费仍需验证；不能把政策规模当企业收入。</t>
  </si>
  <si>
    <t>若截止后新增披露显示连续需求及资金恢复，可重新判断；本结论不使用截止日后数据。</t>
  </si>
  <si>
    <t>ks_b_q1_improvement</t>
  </si>
  <si>
    <t>新近经营数据是否证明转型完成？</t>
  </si>
  <si>
    <t>未审计季度收入、扣非利润与经营现金表现改善，但经营现金仍为净流出，应收账龄压力与预付款占用持续；一个季度不能证明全年或历史坏账已解决。</t>
  </si>
  <si>
    <t>季度收入14.56 亿元人民币、同比4.34%；扣非归母净利润5,110.51 万元人民币、经营现金-5,518.29 万元人民币、期末预付款3.05 亿元人民币。 年度报告收现比116.91%并非当年新销售回款率，包含旧款回收及含税等口径影响。</t>
  </si>
  <si>
    <t>ks_b_e_structure, ks_b_e_cash</t>
  </si>
  <si>
    <t>季节性、收旧款、产品组合、锁价策略均可能解释短期变化，应分别观察。</t>
  </si>
  <si>
    <t>若多个期间的新订单、旧款现金回收和经销/零售分表共同改善，证据强化；否则保留条件判断。</t>
  </si>
  <si>
    <t>ks_b_disclosure_gap</t>
  </si>
  <si>
    <t>公告与年报关联事项是否同一口径？</t>
  </si>
  <si>
    <t>基金公告明确当时关联关系与审批，年报关联共同投资栏列无；实际签署、实缴、关联身份变化与重大性口径未完全勾稽，当前仅列待核，不认定虚假披露。</t>
  </si>
  <si>
    <t>初次公告为筹设及认缴，年报经营叙述同时提及基金；缺少足够资料区分设立、认缴、实缴及关系变化时点。</t>
  </si>
  <si>
    <t>ks_b_e_fund, ks_b_e_governance</t>
  </si>
  <si>
    <t>交易当时关联关系可能因人员任职改变；尚未实缴、报告分类或重大性口径也可能造成差异。</t>
  </si>
  <si>
    <t>取得完整基金成立/登记/实缴流水、人员任职变更及年报分类说明后可关闭。</t>
  </si>
  <si>
    <t>ks_b_forecast</t>
  </si>
  <si>
    <t>在需求分化条件下怎样给可复算而不伪装确定性的收入输入？</t>
  </si>
  <si>
    <t>基准研究收入区间为58.98 亿元人民币至62.88 亿元人民币；压力区间54.59 亿元人民币至57.91 亿元人民币。这些是显式分析者假设，不是发行人预测或既定结果，也不等于信用结论。</t>
  </si>
  <si>
    <t>用历史境内58.49 亿元人民币与境外1.95 亿元人民币分别按情景增长再相加。基准境内增长假设-3.00%至3.00%，境外15.00%至35.00%。改善情景64.05 亿元人民币至66.00 亿元人民币须渠道订单与现金共同兑现。</t>
  </si>
  <si>
    <t>ks_b_e_structure, ks_b_e_q1, ks_b_e_property26, ks_b_revenue_base_low, ks_b_revenue_base_high</t>
  </si>
  <si>
    <t>ks_b_e_cost_risk, ks_b_e_cash</t>
  </si>
  <si>
    <t>房地产下行可部分由零售、非房和海外抵消；亦可能因回款和采购占用使收入增长不产生现金。</t>
  </si>
  <si>
    <t>取得新渠道收入、实际订单、旧账现金回收及海外运营数据后重设假设并重算；成本和现金另建模型，不从收入区间直接推导。</t>
  </si>
  <si>
    <t>ks_d_n_covenant</t>
  </si>
  <si>
    <t>年末累计债券余额承诺是否在适用口径下超限，超限是否触发救济？</t>
  </si>
  <si>
    <t>年末账面债券 23.13 亿元人民币 除合并总权益 40.52 亿元人民币 得 57.09%，高于原文所列 50.00%；差额为 2.87 亿元人民币。公司同时披露长期有效且正常履行、债券未违约。现有公开材料没有逐项解释冲突，因此保留重大待解释事项，不能认定已违约、自动加速或已获豁免。</t>
  </si>
  <si>
    <t>发行时法规解释采用合并账面余额与合并总权益，但发行条件解释不自动解决单独持续承诺的范围。即使用面值替代账面，敏感性仍为 54.24%。利息计提与摊销使债券账面金额高于面值，不能把二者混用。一般良好履约声明没有给出期间、排除项或调节表。</t>
  </si>
  <si>
    <t>ks_d_e_commitment, ks_d_e_commitment_origin, ks_d_e_issuance_law, ks_d_f_bond_book_2025, ks_d_f_equity_total_2025, ks_d_c_book_ratio, ks_d_c_book_excess, ks_d_g_face_equity_ratio</t>
  </si>
  <si>
    <t>ks_d_e_bond_accounting, ks_d_e_general_performance, ks_d_e_sponsor_performance, ks_d_e_temporary_report</t>
  </si>
  <si>
    <t>承诺可能存在已签协议中的特定适用期间或定义，需要以原协议及正式解释证明。
披露可能存在履约状态与财务数值不一致，需要特定更正或补充。
可能存在合法变更、豁免或调节事项，但现有材料未取得，不能推定其存在。</t>
  </si>
  <si>
    <t>取得原承诺适用期间、累计余额及净资产定义、逐期计算调节表、正式解释和依法有效的变更/豁免文件后，按相同原始数字重作结论；仅重复一般“正常履行”不能关闭差异。</t>
  </si>
  <si>
    <t>ks_d_n_remedies</t>
  </si>
  <si>
    <t>无担保债项的保护、顺位及违约救济究竟是什么？</t>
  </si>
  <si>
    <t>本债不提供担保，按发行人无担保债权分析。持有人会议提供集体决策及诉讼路径，但其他债务逾期等会议触发条件不等于自动交叉违约或立即加速。未取得完整已签受托管理协议，累计余额承诺相关通知、补救期、加速权限及豁免规则仍待明确；这一缺口不妨碍企业经营及一般偿债能力分析。</t>
  </si>
  <si>
    <t>募集书的逾期本息救济与一般民事责任已有证据；持续承诺争议是否构成本债约定违约事件及何时可提前请求清偿，仍依合同链、行为及程序。普通无担保顺位不等于对所有子公司资产有直接同顺位追索。</t>
  </si>
  <si>
    <t>ks_d_e_remedies_contract, ks_d_e_meeting_triggers, ks_d_e_meeting_votes, ks_d_e_civil_remedies, ks_d_e_commitment_regulation, ks_d_e_ranking</t>
  </si>
  <si>
    <t>若签署协议明确将该承诺并入违约事件并约定补救及加速，需按条款证据判断触发和履行程序。
如果只产生承诺监管责任或一般违约责任，也不能在没有到期或加速依据时把全额本金列为即期付款。</t>
  </si>
  <si>
    <t>取得已签受托协议、补充及有效修订，并能定位义务并入、违约事件、通知、补救、加速表决、豁免与撤销条款，才可给出本债明确救济路径。</t>
  </si>
  <si>
    <t>ks_d_n_cashflow</t>
  </si>
  <si>
    <t>合同现金需求在未来各年如何分布？</t>
  </si>
  <si>
    <t>截至已取得的一季度末，实际未转股面值 21.98 亿元人民币，占发行额 99.99%。保持该本金且不发生后续转股、提前行权或加速时，年度合同支付依次为：2026年 2,197.82 万元人民币、2027年 3,296.73 万元人民币、2028年 3,956.08 万元人民币、2029年 25.27 亿元人民币。到期合同倍数 115.00% 已含最后一期利息；不能再另加末息。</t>
  </si>
  <si>
    <t>未来合计 26.22 亿元人民币，其中到期本金 21.98 亿元人民币、内含末息 4,395.64 万元人民币、其他到期溢价 2.86 亿元人民币。每年按合同付息日及顺延规则确定，付息日后五个交易日内支付，到期在2029-08-03之后五个交易日内兑付。此为已取证本金起点的条件情景，不是六月末实际余额或未来转股预测。</t>
  </si>
  <si>
    <t>ks_d_f_face_2025, ks_d_f_face_q1, ks_d_c_face_q1_rollforward, ks_d_c_face_remaining, ks_d_e_issue_coupon, ks_d_e_maturity_call, ks_d_g_cash_2026, ks_d_g_cash_2027, ks_d_g_cash_2028, ks_d_g_cash_2029</t>
  </si>
  <si>
    <t>ks_d_f_face_conversion_q1, ks_d_e_put, ks_d_e_maturity_call</t>
  </si>
  <si>
    <t>后续转股会减少本金和适用付息本金，但不能在没有股价、意愿和实际执行证据时预先当作现金来源。
回售、赎回或有效加速可能提前现金需求；相关情景应单独列示，不能与全期合同现金流重复累计。</t>
  </si>
  <si>
    <t>取得截止日内新的有效面值余额或已经执行的转股、赎回、回售及合同变更后，保留原始日期并重跑现金流情景；现有情景不代表资金来源已落实。</t>
  </si>
  <si>
    <t>ks_d_n_option</t>
  </si>
  <si>
    <t>哪一个价格已经生效，何时可能出现提前现金需求？</t>
  </si>
  <si>
    <t>截止日前已取得的最新执行价为每股 6.61 元人民币，自2026-05-26生效；旧报告首页价格已经过时。普通回售限最后两个计息年度，据合同日期推得首个年度自2027-08-04开始。仅按当前条款价映射，回售、下修、赎回观察线分别为每股 4.63 元人民币、5.62 元人民币、8.59 元人民币；这些条件价格不是未来市场价或已确认行权事件。</t>
  </si>
  <si>
    <t>普通回售须在适用计息年度内连续 30.00 交易日 每日收盘价低于当期转股价的 70.00%，并按首次触发后的公告窗口申报；下修和有条件赎回是在连续 30.00 交易日 中至少 15.00 交易日 达标，分别为低于 85.00%、不低于 130.00%。附加回售取决于重大实施变化及依法认定改变用途，不限最后两个计息年度。下修须发行人提出及股东会程序；有条件赎回是发行人选择权，另有余额不足 3,000.00 万元人民币 的条件。2026-06-25只是重新计算下修期间的起点。</t>
  </si>
  <si>
    <t>ks_d_e_price_latest, ks_d_e_distribution, ks_d_f_price_latest, ks_d_e_price_history, ks_d_e_put, ks_d_e_revision, ks_d_e_maturity_call, ks_d_g_put_price, ks_d_g_revision_price, ks_d_g_call_price, ks_d_f_observation_days, ks_d_f_trigger_days</t>
  </si>
  <si>
    <t>ks_d_e_temporary_report, ks_d_e_fund_delay</t>
  </si>
  <si>
    <t>后续现金分派、资本变动或有效下修可能改变转股价及联动观察线。
一般项目延期若没有法定改变用途事实，不应直接视为附加回售已触发。</t>
  </si>
  <si>
    <t>出现截止日前新的有效价格或正式行权公告时更新；只有观察期股价记录、当期有效转股价、适用计息年度及程序证据共同满足时，才将相关提前支付列为已触发义务。</t>
  </si>
  <si>
    <t>ks_d_n_funds</t>
  </si>
  <si>
    <t>募集资金占用和归还如何影响流动性，如何避免与本金双计？</t>
  </si>
  <si>
    <t>年末尚未使用募集资金 13.61 亿元人民币 中，12.75 亿元人民币 已暂用于补流，专户余额为 8,643.12 万元人民币。旧一期实际使用的 13.00 亿元人民币 已于2026-01-06前归还；新一期2026-01-09批准上限 13.00 亿元人民币，实际截止日占用尚未确定。归还募集专户是恢复资金用途约束，不是新增对外金融债偿还，不能再加到转债本金上。</t>
  </si>
  <si>
    <t>新一期从批准日起至多十二个月、项目需用时须提前归还，按日期推得最长至2027-01-09。实际占用若被营运资金锁定，会产生调回可用资金的压力；集团内部账户转移本身不减少合并现金，但会减少可自由用于一般偿债的资金。批准额度不能替代实际用款和归还流水。</t>
  </si>
  <si>
    <t>ks_d_e_fund_balance, ks_d_c_fund_balance_parts, ks_d_c_fund_balance_receipts, ks_d_e_fund_return, ks_d_e_fund_new, ks_d_f_fund_temp_cutoff</t>
  </si>
  <si>
    <t>ks_d_e_fund_correction, ks_d_e_fund_delay, ks_d_e_sponsor_performance</t>
  </si>
  <si>
    <t>若新一期实际支用低于批准额度，潜在需调回金额相应较低；不能预填最大额度为实际债务。
若可及时收回营运资金并恢复专户，用途恢复压力较小；这不代表资金可不受限制用于付本息。</t>
  </si>
  <si>
    <t>取得截止日及到期前专户/一般户对账、逐笔支用归还、项目支付计划和资金可调回证据后量化用途恢复缺口；清除旧一期占用不能自动证明新一期占用为零。</t>
  </si>
  <si>
    <t>ks_r_peer_finding</t>
  </si>
  <si>
    <t>经营下行、盈利与资金效率是否仅为行业共同变化？</t>
  </si>
  <si>
    <t>三家收入均下降：科顺-11.49%、东方雨虹-1.70%、北新-2.09%。科顺CAS资产负债率67.32%，高于两家样本；净额营业周期130.28 days，亦长于雨虹69.89 days、北新38.28 days。这些差异支持结合公司自身回款和资本质量分析，不能直接转成级差。</t>
  </si>
  <si>
    <t>科顺正CFO与负EBITDA并存，两家同行仍保持正盈利及CFO。雨虹现金下降须连接收购与分配；北新窄口径CCE之外还有较大结构性存款。三家以相同明示融资类别比较，但排除长期应付款等后并非方法全部债务，费用化利息倍数也不是全部利息倍数；本案评级分档仍采用自己的完整方法口径。</t>
  </si>
  <si>
    <t>ks_r_peer_keshun, ks_r_peer_yuhong, ks_r_peer_bnbm</t>
  </si>
  <si>
    <t>ks_b_e_operations, ks_a_e_invest</t>
  </si>
  <si>
    <t>北新集团石膏板/涂料业务和两家并购贡献降低防水业务可比性，不能全归因为科顺竞争力差。
减值会缩短净额周期；科顺原值应收敏感性已另算。</t>
  </si>
  <si>
    <t>取得纯防水行业分布、固定范围收入、完整资本化利息及真实收付款周期后重做可比分析；此前不计算行业均值或借同业等级校准本案分数。</t>
  </si>
  <si>
    <t>ks_r_bond_bucket_finding</t>
  </si>
  <si>
    <t>短期票息与远期兑付的期限分配是否一致？</t>
  </si>
  <si>
    <t>年报一年内未折现应付债券现金流为1,098.92 万元人民币；同日面值保持不变的合同第三年票息为2,197.83 万元人民币，两者差-1,098.91 万元人民币。其他期限栏也存在条件比较差额，未取得表内假设解释。</t>
  </si>
  <si>
    <t>资料时点、计息年度和现金支付日期分别核验。票息不是期末有效利率利息费用；到期含末息价也不能再加最后一期利息。差额不通过改写原表、改变面值或重复扣息调平。</t>
  </si>
  <si>
    <t>ks_r_e_bond_buckets, ks_d_e_issue_coupon, ks_d_e_maturity_call</t>
  </si>
  <si>
    <t>表格可能采用不同转股/行权或列报假设，须由发行人给出对应明细，不能由分析者臆造。
计息年度滚动或分桶口径也可能影响显示；目前没有足够证据确定原因。</t>
  </si>
  <si>
    <t>取得发行人未折现表的本金、票息、日期、转股及行权假设明细后对齐比较，更新现金预算；不以原表一年内金额直接替代本年合同付息需求。</t>
  </si>
  <si>
    <t>事项</t>
  </si>
  <si>
    <t>目的与认定</t>
  </si>
  <si>
    <t>总体</t>
  </si>
  <si>
    <t>选取</t>
  </si>
  <si>
    <t>步骤</t>
  </si>
  <si>
    <t>实际结果</t>
  </si>
  <si>
    <t>执行者日期</t>
  </si>
  <si>
    <t>ks_a_proc_scope</t>
  </si>
  <si>
    <t>公开原件核验与计算重现 / 准确性, 列报, 范围与截止</t>
  </si>
  <si>
    <t>已登记公开PDF及指定页面</t>
  </si>
  <si>
    <t>对本发现相关主表、附注及异常表格定向核读</t>
  </si>
  <si>
    <t>核对官方PDF哈希、披露时间、主体和报表单位
逐页文本阅读2025指定覆盖；选择表格进行结构与图像重读
对照原2024年报的2023明细与2025摘要重述，分开保存口径</t>
  </si>
  <si>
    <t>performed</t>
  </si>
  <si>
    <t>建立可比/不可比范围及缺失字段，不填补同控重述空白。</t>
  </si>
  <si>
    <t>ks_a_e_coverage, ks_a_e_summary, ks_a_e_old, ks_a_e_invest</t>
  </si>
  <si>
    <t>公开资料研究分析 2026-10-03</t>
  </si>
  <si>
    <t>ks_a_proc_cfo</t>
  </si>
  <si>
    <t>抄录四表及现金补充资料的原符号和列期
使用既有calculate.evaluate重算加总、净额与滚动
保留原始输入和计算结果，未将未闭合项目调平</t>
  </si>
  <si>
    <t>本次全部底稿勾稽的状态与残差见同源结果；现金、利润归属和权益及主要附注的已列算式已复算。应收准备符号与滁州在建两项原披露差异保留，不宣称所有附注均闭合。</t>
  </si>
  <si>
    <t>ks_a_e_bs, ks_a_e_is, ks_a_e_cf, ks_a_e_equity, ks_a_e_indirect</t>
  </si>
  <si>
    <t>ks_a_proc_cip</t>
  </si>
  <si>
    <t>首次从第185页文本及表格矩阵获取列位
独立渲染并视觉读取第185页的表头、空白转固列及其他减少列
用原披露数字重算期初加增加减其他减少</t>
  </si>
  <si>
    <t>第二次视觉读数仍不闭合；需发行人说明差额原因，未裁定财报错报。</t>
  </si>
  <si>
    <t>ks_a_proc_controls</t>
  </si>
  <si>
    <t>读取内控审计及自评全文
读取募集资金专项报告，扫描第10—11页视觉复核
并列记录意见、缺陷标准及整改事实</t>
  </si>
  <si>
    <t>仅验证披露原文及一致性边界，未亲自测试内控。</t>
  </si>
  <si>
    <t>ks_a_e_control, ks_a_e_self, ks_a_e_proceeds2</t>
  </si>
  <si>
    <t>ks_a_proc_q1</t>
  </si>
  <si>
    <t>读取季度全部页面与会计政策公告
核对季度资产负债、现金活动及与年末现金衔接
记录未经审计、非年度化及比较范围限制</t>
  </si>
  <si>
    <t>季度桥可复算；缺年度同深度的附注。</t>
  </si>
  <si>
    <t>ks_a_e_q1, ks_a_e_policy26</t>
  </si>
  <si>
    <t>ks_a_pending_scope</t>
  </si>
  <si>
    <t>底层事实进一步核验 / 存在性, 完整性, 计价, 权利义务</t>
  </si>
  <si>
    <t>对应底层余额、合同、交易和期后事项</t>
  </si>
  <si>
    <t>尚未取得总体，不预称已抽样</t>
  </si>
  <si>
    <t>取得横琴同控重述后的2023合并全套报表、调整分录和2024/2023比较明细；解释丰泽范围影响。</t>
  </si>
  <si>
    <t>awaiting_data</t>
  </si>
  <si>
    <t>未实施；公开资料不足以替代函证、凭证、合同或现场验证。</t>
  </si>
  <si>
    <t xml:space="preserve"> </t>
  </si>
  <si>
    <t>ks_a_pending_ar</t>
  </si>
  <si>
    <t>客户逐笔期后银行收现、账龄及重组台账，单项和组合ECL参数、抵债估值及担保可执行证据。</t>
  </si>
  <si>
    <t>ks_a_pending_otherar</t>
  </si>
  <si>
    <t>中天盈等重组协议、期后收款、权属/抵押及关联交易审批定价支持。</t>
  </si>
  <si>
    <t>ks_a_pending_contract</t>
  </si>
  <si>
    <t>主要工程合同、客户确认工程量、变更索赔、预计总成本、质保及期后结算，执行截止测试。</t>
  </si>
  <si>
    <t>ks_a_pending_cash</t>
  </si>
  <si>
    <t>银行函证及资金流水、全部质押冻结/募集金/理财协议和集团资金上划限制，确认真正可动用现金。</t>
  </si>
  <si>
    <t>ks_a_pending_supplier</t>
  </si>
  <si>
    <t>逐笔供应商融资协议和账期、平台已付供应商核对、AP转借款现金与非现金分类、追索条件。</t>
  </si>
  <si>
    <t>ks_a_pending_fixed</t>
  </si>
  <si>
    <t>存货库龄及售价，闲置产线处置/复产计划、现金产出单元测试、土地房产权证、商誉测算及外部估值。</t>
  </si>
  <si>
    <t>ks_a_pending_cip</t>
  </si>
  <si>
    <t>滁州一期重要在建表各列至总账明细的完整桥、其他减少内容、转固验收及资本化利息计算。</t>
  </si>
  <si>
    <t>ks_a_pending_tax</t>
  </si>
  <si>
    <t>按纳税主体未来应税利润预算、亏损到期表、可抵扣差异转回时点及优惠资格持续性。</t>
  </si>
  <si>
    <t>ks_a_pending_parent</t>
  </si>
  <si>
    <t>集团往来合同及账龄、现金归集限制、子公司分红决策和上划凭证，发行主体未来一年资金计划。</t>
  </si>
  <si>
    <t>ks_a_pending_contingent</t>
  </si>
  <si>
    <t>银行授信合同可提条件、保证/保函对手清单和代偿历史、诉讼律师意见、产品质量预计负债测算。</t>
  </si>
  <si>
    <t>ks_a_pending_proceeds</t>
  </si>
  <si>
    <t>旧轮归还及新授权公告已公开核验；尚未取得混用期间逐笔流水、整改执行及六月实际占用。</t>
  </si>
  <si>
    <t>ks_a_pending_q1</t>
  </si>
  <si>
    <t>研究截止日前银行债务、受限现金、应收期后回收、授信可用额及同比同控比较调整。</t>
  </si>
  <si>
    <t>ks_a_proc_ar_sign</t>
  </si>
  <si>
    <t>确认原披露正负号和滚动语义 / 准确性, 列报</t>
  </si>
  <si>
    <t>第168页应收准备表全部行</t>
  </si>
  <si>
    <t>全表重算并复核原图</t>
  </si>
  <si>
    <t>文本与原图独立读取其他行负号
按有符号净变动重算，同时只把反号作为解释候选</t>
  </si>
  <si>
    <t>原负号独立确认；计算 18.67 亿元人民币 与披露 18.67 亿元人民币 不一致，原始事实保持不变。</t>
  </si>
  <si>
    <t>ks_d_p_covenant</t>
  </si>
  <si>
    <t>核对持续承诺、会计口径与公开履约声明的差异 / 条款适用, 计量, 披露一致性</t>
  </si>
  <si>
    <t>募集书财务承诺、年报承诺表、合并权益与应付债券附注、受托和保荐履约披露</t>
  </si>
  <si>
    <t>定向全读决定性条款及相关表列，保留支持与反证</t>
  </si>
  <si>
    <t>读取原始条款的起点、持续期间、分子分母及引用文件。
独立读取合并总权益和债券账面余额；用现有运算重建分母、债券变动及比率。
与正常履行、是否违约和受托披露逐项对照；不以重大亏损事项代替财务承诺违约认定。</t>
  </si>
  <si>
    <t>limited</t>
  </si>
  <si>
    <t>算术筛查为 57.09%；与一般履约披露的解释差异尚未关闭。未取得原受托协议，不能确认违约、宽限或加速。</t>
  </si>
  <si>
    <t>ks_d_e_commitment, ks_d_e_bond_accounting, ks_d_e_equity, ks_d_c_book_ratio, ks_d_e_general_performance</t>
  </si>
  <si>
    <t>Codex：公开证据研究与十进制复算 2026-10-03</t>
  </si>
  <si>
    <t>ks_d_p_cashflow</t>
  </si>
  <si>
    <t>复算真实本金变动及合同固定本金支付情景 / 余额变动, 合同准确性, 情景条件明确</t>
  </si>
  <si>
    <t>发行本金、年末及一季度末实际余额、计息及到期条款</t>
  </si>
  <si>
    <t>全部已取证余额节点和六个计息年度条款</t>
  </si>
  <si>
    <t>保留每一实际面值的原始时点，用滚动计算核对本年和一季度变动。
用 Decimal 将实际一季度末本金与未来已约定票息及含末息兑付比例相乘。
独立核对到期本金、末息、溢价之和及未来总现金，检查没有重复加末息。</t>
  </si>
  <si>
    <t>实际余额滚动残差均为零；固定本金情景未来合同现金合计 26.22 亿元人民币，到期年 25.27 亿元人民币。原本金日期未重写。</t>
  </si>
  <si>
    <t>ks_d_f_face_q1, ks_d_c_face_2025_rollforward, ks_d_c_face_q1_rollforward, ks_d_g_cash_total, ks_d_g_cash_2029, ks_d_e_issue_coupon, ks_d_e_maturity_call</t>
  </si>
  <si>
    <t>ks_d_p_price</t>
  </si>
  <si>
    <t>确认最后已生效价格并映射条件线 / 截止日可得性, 实施状态, 条款条件</t>
  </si>
  <si>
    <t>转股价格调整、权益分派实施和受托历史记录</t>
  </si>
  <si>
    <t>以较晚已执行公告解决报告内不同日期价格冲突</t>
  </si>
  <si>
    <t>核对分派除息日与转股价格调整实施日。
实算前价减每股分红等于执行价，并用 Decimal 计算条款观察线。
逐条保留观察窗口、普通回售适用年度和发行人选择程序。</t>
  </si>
  <si>
    <t>最新已取得执行价每股 6.61 元人民币；观察线仅为条件映射，没有用市场价格猜测行权。</t>
  </si>
  <si>
    <t>ks_d_e_price_latest, ks_d_e_distribution, ks_d_g_put_price, ks_d_g_revision_price, ks_d_g_call_price</t>
  </si>
  <si>
    <t>ks_d_p_funds</t>
  </si>
  <si>
    <t>区分账户用途恢复与外部债务支付 / 分类, 占用完整性, 截止日计量</t>
  </si>
  <si>
    <t>募集资金年度收支、旧一期归还及新一期授权公告</t>
  </si>
  <si>
    <t>核对期末分布和两期授权归还事实</t>
  </si>
  <si>
    <t>以累计收支和账户分布两条路径勾稽年末募集资金余额。
分开旧一期已归还事实、新一期批准上限和未知实际占用。
检查归还义务不与转债本金相加，实际占用保留缺失状态。</t>
  </si>
  <si>
    <t>年末两条勾稽残差均为零；新一期截止日实际占用仍未确定，不能以 13.00 亿元人民币 代替。</t>
  </si>
  <si>
    <t>ks_d_c_fund_balance_parts, ks_d_c_fund_balance_receipts, ks_d_e_fund_return, ks_d_e_fund_new, ks_d_f_fund_temp_cutoff</t>
  </si>
  <si>
    <t>所需资料</t>
  </si>
  <si>
    <t>影响</t>
  </si>
  <si>
    <t>责任角色</t>
  </si>
  <si>
    <t>关闭条件</t>
  </si>
  <si>
    <t>ks_a_req_scope</t>
  </si>
  <si>
    <t>历史趋势是否同口径？ 所需资料用于检验该判断的金额、期限或执行依据。</t>
  </si>
  <si>
    <t>发行人财务/法务及独立核查方</t>
  </si>
  <si>
    <t>ks_a_req_ar</t>
  </si>
  <si>
    <t>净应收下降是否证明回收风险消除？ 所需资料用于检验该判断的金额、期限或执行依据。</t>
  </si>
  <si>
    <t>ks_a_req_otherar</t>
  </si>
  <si>
    <t>重组款是否具备兑现条件？ 所需资料用于检验该判断的金额、期限或执行依据。</t>
  </si>
  <si>
    <t>ks_a_req_contract</t>
  </si>
  <si>
    <t>工程进度、质保及结算会否改变利润和现金？ 所需资料用于检验该判断的金额、期限或执行依据。</t>
  </si>
  <si>
    <t>ks_a_req_cash</t>
  </si>
  <si>
    <t>账面现金可多少用于一般偿债？ 所需资料用于检验该判断的金额、期限或执行依据。</t>
  </si>
  <si>
    <t>ks_a_req_supplier</t>
  </si>
  <si>
    <t>供应商融资是否重复计债或掩盖营运资金压力？ 所需资料用于检验该判断的金额、期限或执行依据。</t>
  </si>
  <si>
    <t>ks_a_req_fixed</t>
  </si>
  <si>
    <t>低利用率及项目延期的账面价值有无压力？ 所需资料用于检验该判断的金额、期限或执行依据。</t>
  </si>
  <si>
    <t>ks_a_req_cip</t>
  </si>
  <si>
    <t>原表列位误读能否解释差额？ 所需资料用于检验该判断的金额、期限或执行依据。</t>
  </si>
  <si>
    <t>ks_a_req_tax</t>
  </si>
  <si>
    <t>税务资产是否能直接支持偿债？ 所需资料用于检验该判断的金额、期限或执行依据。</t>
  </si>
  <si>
    <t>ks_a_req_parent</t>
  </si>
  <si>
    <t>合并现金能否直接供发行主体偿债？ 所需资料用于检验该判断的金额、期限或执行依据。</t>
  </si>
  <si>
    <t>ks_a_req_contingent</t>
  </si>
  <si>
    <t>表外及或有负担是否被财务比率遗漏？ 所需资料用于检验该判断的金额、期限或执行依据。</t>
  </si>
  <si>
    <t>ks_a_req_proceeds</t>
  </si>
  <si>
    <t>取得混用期间逐笔银行流水与用途追踪、专户整改执行、截至研究截止日新轮实际占用及募投资金需求。旧轮归还和新轮授权公告已取得，不再请求重复证明授权时点。</t>
  </si>
  <si>
    <t>年末余额与期后归还续作能否衔接？ 所需资料用于检验该判断的金额、期限或执行依据。</t>
  </si>
  <si>
    <t>ks_a_req_q1</t>
  </si>
  <si>
    <t>年度弱项是否在研究截止日前消除？ 所需资料用于检验该判断的金额、期限或执行依据。</t>
  </si>
  <si>
    <t>ks_b_req_channels</t>
  </si>
  <si>
    <t>提供直销、经销、零售、海外及非房客户收入与现金回款分表，并说明分类及关联变化。</t>
  </si>
  <si>
    <t>检验多元化是否已形成独立现金来源，并解释收入下降与收现改善的机制。</t>
  </si>
  <si>
    <t>发行人财务及经营管理部门</t>
  </si>
  <si>
    <t>取得可与合并收入、回款及客户明细勾稽的完整期间数据。</t>
  </si>
  <si>
    <t>ks_b_req_fund_status</t>
  </si>
  <si>
    <t>提供基金成立、认缴/实缴及关联关系变更时点，说明年度关联共同投资栏与专项公告的范围。</t>
  </si>
  <si>
    <t>区分长期承诺和已用现金、判断审批后实际执行及披露一致性。</t>
  </si>
  <si>
    <t>发行人董事会办公室及财务部门</t>
  </si>
  <si>
    <t>原始协议、登记及银行支付记录与年报附注范围完成勾稽。</t>
  </si>
  <si>
    <t>ks_d_req_covenant</t>
  </si>
  <si>
    <t>提供原持续承诺的正式适用期间和口径说明，以及以同一财报数字编制的逐期累计债券余额、净资产、排除项目和调整项目明细；如主张已变更或豁免，附具有生效依据的决议、公告及协议。</t>
  </si>
  <si>
    <t>需要解释研究账面比率 57.09% 与正常履行披露的差异；一般履约声明不足以替代具体计算。</t>
  </si>
  <si>
    <t>发行人财务及信息披露负责人；受托管理人提供核对依据</t>
  </si>
  <si>
    <t>明细可追至原财报并完整调节差额，适用期与定义有原始法律文件支持；对是否不履约给出可核查的特定说明。</t>
  </si>
  <si>
    <t>ks_d_req_trustee_agreement</t>
  </si>
  <si>
    <t>提供本次发行完整已签受托管理协议及补充、修订文本，定位义务并入、违约事件、通知、补救期限、加速权限和表决门槛、豁免与撤销加速条款。</t>
  </si>
  <si>
    <t>募集书转介的具体救济没有全文；已取得会议规则只能证明集体决策程序，不能据此创造自动加速。</t>
  </si>
  <si>
    <t>发行人法务及债券受托管理人</t>
  </si>
  <si>
    <t>取得真实有效完整文本及签署/修订适用证据，条款可逐项映射本案事实。</t>
  </si>
  <si>
    <t>ks_d_req_funds</t>
  </si>
  <si>
    <t>提供新一期临时补流在截止日的专户及一般户对账、逐笔划出和归还记录、项目付款时间表及已占用营运资金回收计划。</t>
  </si>
  <si>
    <t>已知授权上限 13.00 亿元人民币 不等于实际占用或可自由偿债现金；需量化到期恢复专户的资金安排。</t>
  </si>
  <si>
    <t>发行人财务、募集资金管理责任人及保荐机构</t>
  </si>
  <si>
    <t>支用减归还可勾稽截止日实际占用，并与募集专户、一般账户及项目支付计划一致；避免与对外本金重复计入。</t>
  </si>
  <si>
    <t>ks_d_req_face_cutoff</t>
  </si>
  <si>
    <t>提供截止日内已形成的登记结算余额或有效公开余额资料；只有截止日前可得证据才用于历史时点结论，后续季度公告单列后验更新。</t>
  </si>
  <si>
    <t>现有最新已取得实际面值是 21.98 亿元人民币，其原始时点为一季度末，不能改写为六月末。</t>
  </si>
  <si>
    <t>发行人债券事务及登记结算资料管理责任人</t>
  </si>
  <si>
    <t>原始日期、可得日期和面值变动可核验，并在保留旧节点的基础上重跑现金流情景。</t>
  </si>
  <si>
    <t>ks_r_req_bond_buckets</t>
  </si>
  <si>
    <t>说明年报未折现应付债券期限表的本金、各计息年度、现金日期及未来转股/行权假设，提供与募集说明书的调节。</t>
  </si>
  <si>
    <t>一年内披露额与固定同日面值的合同票息不同，影响短期现金预算及期限归属。</t>
  </si>
  <si>
    <t>发行人财务及债券受托管理人</t>
  </si>
  <si>
    <t>原表与合同时间轴在一致假设下可复算，或有正式说明解释口径及剩余差额。</t>
  </si>
  <si>
    <t>scenario</t>
  </si>
  <si>
    <t>domestic_growth_pct</t>
  </si>
  <si>
    <t>overseas_growth_pct</t>
  </si>
  <si>
    <t>revenue_2026_CNY_100m</t>
  </si>
  <si>
    <t>formula</t>
  </si>
  <si>
    <t>压力下界</t>
  </si>
  <si>
    <t>-10</t>
  </si>
  <si>
    <t>0</t>
  </si>
  <si>
    <t>54.59251209313</t>
  </si>
  <si>
    <t>[5848735840.97*(1+domestic_growth_pct/100)+195388952.44*(1+overseas_growth_pct/100)]/100000000</t>
  </si>
  <si>
    <t>压力上界</t>
  </si>
  <si>
    <t>-5</t>
  </si>
  <si>
    <t>20</t>
  </si>
  <si>
    <t>57.907657918495</t>
  </si>
  <si>
    <t>基准下界</t>
  </si>
  <si>
    <t>-3</t>
  </si>
  <si>
    <t>15</t>
  </si>
  <si>
    <t>58.979710610469</t>
  </si>
  <si>
    <t>基准上界</t>
  </si>
  <si>
    <t>3</t>
  </si>
  <si>
    <t>35</t>
  </si>
  <si>
    <t>62.879730019931</t>
  </si>
  <si>
    <t>改善下界</t>
  </si>
  <si>
    <t>5</t>
  </si>
  <si>
    <t>64.049477188125</t>
  </si>
  <si>
    <t>改善上界</t>
  </si>
  <si>
    <t>8</t>
  </si>
  <si>
    <t>45</t>
  </si>
  <si>
    <t>65.999486892856</t>
  </si>
  <si>
    <t>field</t>
  </si>
  <si>
    <t>value</t>
  </si>
  <si>
    <t>id</t>
  </si>
  <si>
    <t>ks_b_revenue_scenarios</t>
  </si>
  <si>
    <t>method</t>
  </si>
  <si>
    <t>explicit_geographic_revenue_scenarios</t>
  </si>
  <si>
    <t>as_of</t>
  </si>
  <si>
    <t>evidence</t>
  </si>
  <si>
    <t>input references</t>
  </si>
  <si>
    <t>ks_b_domestic25, ks_b_overseas25, ks_b_assumed_stress_low_domestic, ks_b_assumed_stress_low_overseas, ks_b_assumed_stress_high_domestic, ks_b_assumed_stress_high_overseas, ks_b_assumed_base_low_domestic, ks_b_assumed_base_low_overseas, ks_b_assumed_base_high_domestic, ks_b_assumed_base_high_overseas, ks_b_assumed_improve_low_domestic, ks_b_assumed_improve_low_overseas, ks_b_assumed_improve_high_domestic, ks_b_assumed_improve_high_overseas</t>
  </si>
  <si>
    <t>assumptions</t>
  </si>
  <si>
    <t>按境内与境外历史收入分别乘以一加假设增速后相加，不变更合并范围。
低/高端采用同向组合，不解释为概率分布；未机械年化季度。</t>
  </si>
  <si>
    <t>limitations</t>
  </si>
  <si>
    <t>只有收入桥，不直接预测利润、经营现金及债务服务能力。
缺少渠道分表、明确订单和海外基地现金回收记录，假设不能冒充已验证结果。</t>
  </si>
  <si>
    <t>reproduction</t>
  </si>
  <si>
    <t>See quantitative-ks_b_revenue_scenarios.json input_snapshot and method version</t>
  </si>
  <si>
    <t>execution</t>
  </si>
  <si>
    <t>已运行专门结果快照；本次导出未重新计算或校验。输入或方法改变后须重跑专门脚本并重新导出。</t>
  </si>
  <si>
    <t>ks_b_revenue_stress_low</t>
  </si>
  <si>
    <t>压力下界2026收入；artifact.rows[0].revenue_2026_CNY_100m；{"entity":"科顺股份","scope":"consolidated","start":"2026-01-01","end":"2026-12-31","aggregation":"flow","basis":"独立研究情景，历史CAS为基数","measure":"money","currency":"CNY","scale":"100000000","physical_unit":null}</t>
  </si>
  <si>
    <t>ks_b_revenue_stress_high</t>
  </si>
  <si>
    <t>压力上界2026收入；artifact.rows[1].revenue_2026_CNY_100m；{"entity":"科顺股份","scope":"consolidated","start":"2026-01-01","end":"2026-12-31","aggregation":"flow","basis":"独立研究情景，历史CAS为基数","measure":"money","currency":"CNY","scale":"100000000","physical_unit":null}</t>
  </si>
  <si>
    <t>ks_b_revenue_base_low</t>
  </si>
  <si>
    <t>基准下界2026收入；artifact.rows[2].revenue_2026_CNY_100m；{"entity":"科顺股份","scope":"consolidated","start":"2026-01-01","end":"2026-12-31","aggregation":"flow","basis":"独立研究情景，历史CAS为基数","measure":"money","currency":"CNY","scale":"100000000","physical_unit":null}</t>
  </si>
  <si>
    <t>ks_b_revenue_base_high</t>
  </si>
  <si>
    <t>基准上界2026收入；artifact.rows[3].revenue_2026_CNY_100m；{"entity":"科顺股份","scope":"consolidated","start":"2026-01-01","end":"2026-12-31","aggregation":"flow","basis":"独立研究情景，历史CAS为基数","measure":"money","currency":"CNY","scale":"100000000","physical_unit":null}</t>
  </si>
  <si>
    <t>ks_b_revenue_improve_low</t>
  </si>
  <si>
    <t>改善下界2026收入；artifact.rows[4].revenue_2026_CNY_100m；{"entity":"科顺股份","scope":"consolidated","start":"2026-01-01","end":"2026-12-31","aggregation":"flow","basis":"独立研究情景，历史CAS为基数","measure":"money","currency":"CNY","scale":"100000000","physical_unit":null}</t>
  </si>
  <si>
    <t>ks_b_revenue_improve_high</t>
  </si>
  <si>
    <t>改善上界2026收入；artifact.rows[5].revenue_2026_CNY_100m；{"entity":"科顺股份","scope":"consolidated","start":"2026-01-01","end":"2026-12-31","aggregation":"flow","basis":"独立研究情景，历史CAS为基数","measure":"money","currency":"CNY","scale":"100000000","physical_unit":null}</t>
  </si>
  <si>
    <t>year</t>
  </si>
  <si>
    <t>nominal_payment_date</t>
  </si>
  <si>
    <t>payment_timing</t>
  </si>
  <si>
    <t>principal_baseline_date</t>
  </si>
  <si>
    <t>principal_cny</t>
  </si>
  <si>
    <t>coupon_cny</t>
  </si>
  <si>
    <t>other_maturity_premium_cny</t>
  </si>
  <si>
    <t>total_cny</t>
  </si>
  <si>
    <t>maturity_date</t>
  </si>
  <si>
    <t>合同周年付息日；法定节假日或休息日顺延至下一工作日，不另计息；登记日为付息日前一交易日，付息日后五个交易日内支付。</t>
  </si>
  <si>
    <t>21978205.0000</t>
  </si>
  <si>
    <t>ks_d_f_face_q1 * ks_d_f_coupon_3 (values normalized to CNY and fraction)</t>
  </si>
  <si>
    <t>32967307.5000</t>
  </si>
  <si>
    <t>ks_d_f_face_q1 * ks_d_f_coupon_4 (values normalized to CNY and fraction)</t>
  </si>
  <si>
    <t>39560769.0000</t>
  </si>
  <si>
    <t>ks_d_f_face_q1 * ks_d_f_coupon_5 (values normalized to CNY and fraction)</t>
  </si>
  <si>
    <t>到期后五个交易日内按合同含末息价格兑付；本快照不推定届时交易日日历。</t>
  </si>
  <si>
    <t>2197820500</t>
  </si>
  <si>
    <t>43956410.0000</t>
  </si>
  <si>
    <t>285716665.0000</t>
  </si>
  <si>
    <t>2527493575.00</t>
  </si>
  <si>
    <t>ks_d_f_face_q1 * ks_d_f_maturity_multiple; coupon component included, not added</t>
  </si>
  <si>
    <t>2026–2029</t>
  </si>
  <si>
    <t>2621999856.5000</t>
  </si>
  <si>
    <t>sum(rows[0:4].total_cny)</t>
  </si>
  <si>
    <t>ks_d_q_cash</t>
  </si>
  <si>
    <t>Decimal contract_cash_schedule_v1</t>
  </si>
  <si>
    <t>ks_d_e_face_q1, ks_d_e_issue_coupon, ks_d_e_maturity_call, ks_d_e_put</t>
  </si>
  <si>
    <t>ks_d_f_face_q1, ks_d_f_coupon_3, ks_d_f_coupon_4, ks_d_f_coupon_5, ks_d_f_coupon_6, ks_d_f_maturity_multiple</t>
  </si>
  <si>
    <t>以一季度末实际未转股本金作为固定本金情景起点；六月末实际本金尚未取得。
之后无转股、无提前赎回或回售、无违约加速、无条款变化；未来利率仅取已约定的票面利率。</t>
  </si>
  <si>
    <t>这是偿债需求情景而非预测；没有计入可选行权造成的提前现金需求。
未来法定节假日及交易日日历未推定；到期末息已含在合同兑付比例内。</t>
  </si>
  <si>
    <t>See quantitative-ks_d_q_cash.json input_snapshot and method version</t>
  </si>
  <si>
    <t>ks_d_g_cash_2026</t>
  </si>
  <si>
    <t>2026年固定本金情景合同现金支付；artifact.rows[0].total_cny；{"entity":"科顺防水科技股份有限公司","scope":"issuer_convertible_scenario","start":"2026-01-01","end":"2026-12-31","aggregation":"flow","basis":"合同条款及固定实际本金条件情景","measure":"money","currency":"CNY","scale":"1","physical_unit":null}</t>
  </si>
  <si>
    <t>ks_d_g_cash_2027</t>
  </si>
  <si>
    <t>2027年固定本金情景合同现金支付；artifact.rows[1].total_cny；{"entity":"科顺防水科技股份有限公司","scope":"issuer_convertible_scenario","start":"2027-01-01","end":"2027-12-31","aggregation":"flow","basis":"合同条款及固定实际本金条件情景","measure":"money","currency":"CNY","scale":"1","physical_unit":null}</t>
  </si>
  <si>
    <t>ks_d_g_cash_2028</t>
  </si>
  <si>
    <t>2028年固定本金情景合同现金支付；artifact.rows[2].total_cny；{"entity":"科顺防水科技股份有限公司","scope":"issuer_convertible_scenario","start":"2028-01-01","end":"2028-12-31","aggregation":"flow","basis":"合同条款及固定实际本金条件情景","measure":"money","currency":"CNY","scale":"1","physical_unit":null}</t>
  </si>
  <si>
    <t>ks_d_g_cash_2029</t>
  </si>
  <si>
    <t>2029年固定本金情景合同现金支付；artifact.rows[3].total_cny；{"entity":"科顺防水科技股份有限公司","scope":"issuer_convertible_scenario","start":"2029-01-01","end":"2029-12-31","aggregation":"flow","basis":"合同条款及固定实际本金条件情景","measure":"money","currency":"CNY","scale":"1","physical_unit":null}</t>
  </si>
  <si>
    <t>ks_d_g_maturity_principal</t>
  </si>
  <si>
    <t>到期情景本金；artifact.rows[3].principal_cny；{"entity":"科顺防水科技股份有限公司","scope":"issuer_convertible_scenario","start":"2029-01-01","end":"2029-12-31","aggregation":"flow","basis":"合同条款及固定实际本金条件情景","measure":"money","currency":"CNY","scale":"1","physical_unit":null}</t>
  </si>
  <si>
    <t>ks_d_g_maturity_coupon</t>
  </si>
  <si>
    <t>到期兑付内含末期票息；artifact.rows[3].coupon_cny；{"entity":"科顺防水科技股份有限公司","scope":"issuer_convertible_scenario","start":"2029-01-01","end":"2029-12-31","aggregation":"flow","basis":"合同条款及固定实际本金条件情景","measure":"money","currency":"CNY","scale":"1","physical_unit":null}</t>
  </si>
  <si>
    <t>ks_d_g_maturity_premium</t>
  </si>
  <si>
    <t>到期兑付扣本金及末息后的溢价；artifact.rows[3].other_maturity_premium_cny；{"entity":"科顺防水科技股份有限公司","scope":"issuer_convertible_scenario","start":"2029-01-01","end":"2029-12-31","aggregation":"flow","basis":"合同条款及固定实际本金条件情景","measure":"money","currency":"CNY","scale":"1","physical_unit":null}</t>
  </si>
  <si>
    <t>ks_d_g_cash_total</t>
  </si>
  <si>
    <t>固定本金情景未来合同现金合计；artifact.rows[4].total_cny；{"entity":"科顺防水科技股份有限公司","scope":"issuer_convertible_scenario","start":"2026-01-01","end":"2029-12-31","aggregation":"flow","basis":"合同条款及固定实际本金条件情景","measure":"money","currency":"CNY","scale":"1","physical_unit":null}</t>
  </si>
  <si>
    <t>condition</t>
  </si>
  <si>
    <t>effective_price_date</t>
  </si>
  <si>
    <t>threshold_cny_per_share</t>
  </si>
  <si>
    <t>普通回售观察线</t>
  </si>
  <si>
    <t>4.6270</t>
  </si>
  <si>
    <t>ks_d_f_price_latest * ks_d_f_put_threshold (ratio normalized)</t>
  </si>
  <si>
    <t>向下修正观察线</t>
  </si>
  <si>
    <t>5.6185</t>
  </si>
  <si>
    <t>ks_d_f_price_latest * ks_d_f_revision_threshold (ratio normalized)</t>
  </si>
  <si>
    <t>有条件赎回观察线</t>
  </si>
  <si>
    <t>8.5930</t>
  </si>
  <si>
    <t>ks_d_f_price_latest * ks_d_f_call_threshold (ratio normalized)</t>
  </si>
  <si>
    <t>ks_d_q_price</t>
  </si>
  <si>
    <t>Decimal conversion_thresholds_v1</t>
  </si>
  <si>
    <t>ks_d_e_price_latest, ks_d_e_put, ks_d_e_revision, ks_d_e_maturity_call</t>
  </si>
  <si>
    <t>ks_d_f_price_latest, ks_d_f_price_2025_sep, ks_d_f_dividend_per_share, ks_d_f_put_threshold, ks_d_f_revision_threshold, ks_d_f_call_threshold</t>
  </si>
  <si>
    <t>以已生效转股价为条件基数，仅展示条款比例对应价格，不使用市场价格推断未来行权。</t>
  </si>
  <si>
    <t>转股价再变动时观察线须重算；满足价格线仍须满足计息年度、观察天数及程序要求。
下修和有条件赎回包含发行人决策，不能把价格触线视为已执行。</t>
  </si>
  <si>
    <t>See quantitative-ks_d_q_price.json input_snapshot and method version</t>
  </si>
  <si>
    <t>ks_d_g_put_price</t>
  </si>
  <si>
    <t>普通回售条件股价；artifact.rows[0].threshold_cny_per_share；{"entity":"科顺防水科技股份有限公司","scope":"转股条款条件映射","start":null,"end":"2026-05-26","aggregation":"instant","basis":"合同门槛与已执行转股价","measure":"money","currency":"CNY","scale":"1","physical_unit":"每股"}</t>
  </si>
  <si>
    <t>ks_d_g_revision_price</t>
  </si>
  <si>
    <t>下修条件股价；artifact.rows[1].threshold_cny_per_share；{"entity":"科顺防水科技股份有限公司","scope":"转股条款条件映射","start":null,"end":"2026-05-26","aggregation":"instant","basis":"合同门槛与已执行转股价","measure":"money","currency":"CNY","scale":"1","physical_unit":"每股"}</t>
  </si>
  <si>
    <t>ks_d_g_call_price</t>
  </si>
  <si>
    <t>赎回条件股价；artifact.rows[2].threshold_cny_per_share；{"entity":"科顺防水科技股份有限公司","scope":"转股条款条件映射","start":null,"end":"2026-05-26","aggregation":"instant","basis":"合同门槛与已执行转股价","measure":"money","currency":"CNY","scale":"1","physical_unit":"每股"}</t>
  </si>
  <si>
    <t>date</t>
  </si>
  <si>
    <t>nominal_over_equity</t>
  </si>
  <si>
    <t>0.5423961176184941254801807666901677</t>
  </si>
  <si>
    <t>ks_d_f_face_2025 / ks_d_f_equity_total_2025 (normalized CNY)</t>
  </si>
  <si>
    <t>ks_d_q_face_equity</t>
  </si>
  <si>
    <t>Decimal nominal_to_consolidated_equity_bridge_v1</t>
  </si>
  <si>
    <t>ks_d_e_face_2025, ks_d_e_equity, ks_d_e_issuance_law</t>
  </si>
  <si>
    <t>ks_d_f_face_2025, ks_d_f_equity_total_2025</t>
  </si>
  <si>
    <t>仅把发行人对外转债合同面值与合并总权益比较；分子不是合并应付债券账面价值，无会计重分类或净额抵消调整。</t>
  </si>
  <si>
    <t>该数仅用于确认面值口径也不能自动消除表面差异；不得替代监管发行条件的合并账面口径或正式存续承诺测试。</t>
  </si>
  <si>
    <t>See quantitative-ks_d_q_face_equity.json input_snapshot and method version</t>
  </si>
  <si>
    <t>ks_d_g_face_equity_ratio</t>
  </si>
  <si>
    <t>合同面值占合并总权益敏感性；artifact.rows[0].nominal_over_equity；{"entity":"科顺防水科技股份有限公司","scope":"issuer_nominal_to_consolidated_equity","start":null,"end":"2025-12-31","aggregation":"ratio","basis":"明确跨口径敏感性","measure":"ratio","currency":null,"scale":"1","physical_unit":null}</t>
  </si>
  <si>
    <t>environment_score</t>
  </si>
  <si>
    <t>environment_category</t>
  </si>
  <si>
    <t>competitive_score</t>
  </si>
  <si>
    <t>competitive_category</t>
  </si>
  <si>
    <t>business_category</t>
  </si>
  <si>
    <t>factor_scores</t>
  </si>
  <si>
    <t>中央研究判断</t>
  </si>
  <si>
    <t>3.25</t>
  </si>
  <si>
    <t>3.78000</t>
  </si>
  <si>
    <t>C</t>
  </si>
  <si>
    <t>{"market": "4.0", "resources": "4.0", "diversity": "3.0", "governance": "4.0", "management": "3.0", "chain": "3.0", "revenue": "4.5", "cycle": "4.5"}</t>
  </si>
  <si>
    <t>定性因素共同下移半分</t>
  </si>
  <si>
    <t>2.75</t>
  </si>
  <si>
    <t>3.37750</t>
  </si>
  <si>
    <t>D</t>
  </si>
  <si>
    <t>{"market": "3.5", "resources": "3.5", "diversity": "2.5", "governance": "3.5", "management": "2.5", "chain": "2.5", "revenue": "4.5", "cycle": "4.5"}</t>
  </si>
  <si>
    <t>原值应收周期敏感性</t>
  </si>
  <si>
    <t>3.67500</t>
  </si>
  <si>
    <t>{"market": "4.0", "resources": "4.0", "diversity": "3.0", "governance": "4.0", "management": "3.0", "chain": "3.0", "revenue": "4.5", "cycle": "3.5"}</t>
  </si>
  <si>
    <t>未知历史周期使正式加权落入最弱档</t>
  </si>
  <si>
    <t>3.41250</t>
  </si>
  <si>
    <t>{"market": "4.0", "resources": "4.0", "diversity": "3.0", "governance": "4.0", "management": "3.0", "chain": "3.0", "revenue": "4.5", "cycle": "1"}</t>
  </si>
  <si>
    <t>定性因素共同改善半分</t>
  </si>
  <si>
    <t>3.75</t>
  </si>
  <si>
    <t>4.18250</t>
  </si>
  <si>
    <t>{"market": "4.5", "resources": "4.5", "diversity": "3.5", "governance": "4.5", "management": "3.5", "chain": "3.5", "revenue": "4.5", "cycle": "4.5"}</t>
  </si>
  <si>
    <t>ks_r_business</t>
  </si>
  <si>
    <t>case_business_application_v1</t>
  </si>
  <si>
    <t>ks_r_e_business, ks_r_e_history, ks_b_e_operations, ks_b_e_ownership</t>
  </si>
  <si>
    <t>ks_a_revenue_2025, ks_a_revenue_2024, ks_a_revenue_2023_restate, ks_b_score_macro_center, ks_b_score_macro_low, ks_b_score_macro_high, ks_b_score_industry_center, ks_b_score_industry_low, ks_b_score_industry_high, ks_b_score_market_center, ks_b_score_market_low, ks_b_score_market_high, ks_b_score_resources_center, ks_b_score_resources_low, ks_b_score_resources_high, ks_b_score_diversity_center, ks_b_score_diversity_low, ks_b_score_diversity_high, ks_b_score_governance_center, ks_b_score_governance_low, ks_b_score_governance_high, ks_b_score_management_center, ks_b_score_management_low, ks_b_score_management_high, ks_b_score_chain_center, ks_b_score_chain_low, ks_b_score_chain_high, ks_a_noc360_2025, ks_a_noc360_gross_2025</t>
  </si>
  <si>
    <t>原文营收区间[50,120)亿元、净周期(50,200]天分别给出[4,5)分；4.5只是明确的区间代表值，不声称机构内部插值。
营收有三年同口径实际金额，按原文20/30/50权重执行。
净周期只有2025同控可比均值；以最新实际周期进入中央研究判断是显式适配，不是完整机构三年算法。另给原值敏感性和未知历史可能改变档位的条件分支。
定性分值依据独立经营证据，分数越高越强；档次编号1最好，不能混用。
同向半分场景是判断不确定性，不是统计置信区间；没有按已公布等级校准。</t>
  </si>
  <si>
    <t>宏观、行业与定性因素是研究判断；没有使用已公布等级作为校准目标。</t>
  </si>
  <si>
    <t>See quantitative-ks_r_business.json input_snapshot and method version</t>
  </si>
  <si>
    <t>ks_r_environment_score</t>
  </si>
  <si>
    <t>环境因素研究分；artifact.rows[0].environment_score；{"entity":"科顺防水科技股份有限公司","scope":"公开研究判断","start":null,"end":"2026-06-30","aggregation":"assumption","basis":"原始披露及明确的独立研究假设","measure":"count","currency":null,"scale":"1","physical_unit":"分"}</t>
  </si>
  <si>
    <t>ks_r_competitive_score</t>
  </si>
  <si>
    <t>自身竞争力研究分；artifact.rows[0].competitive_score；{"entity":"科顺防水科技股份有限公司","scope":"公开研究判断","start":null,"end":"2026-06-30","aggregation":"assumption","basis":"原始披露及明确的独立研究假设","measure":"count","currency":null,"scale":"1","physical_unit":"分"}</t>
  </si>
  <si>
    <t>ks_r_competitive_down</t>
  </si>
  <si>
    <t>定性共同恶化时竞争力分；artifact.rows[1].competitive_score；{"entity":"科顺防水科技股份有限公司","scope":"公开研究判断","start":null,"end":"2026-06-30","aggregation":"assumption","basis":"原始披露及明确的独立研究假设","measure":"count","currency":null,"scale":"1","physical_unit":"分"}</t>
  </si>
  <si>
    <t>factor</t>
  </si>
  <si>
    <t>weight</t>
  </si>
  <si>
    <t>value_2024</t>
  </si>
  <si>
    <t>value_2025</t>
  </si>
  <si>
    <t>unit</t>
  </si>
  <si>
    <t>score_range_2024</t>
  </si>
  <si>
    <t>score_range_2025</t>
  </si>
  <si>
    <t>selected_2024</t>
  </si>
  <si>
    <t>selected_2025</t>
  </si>
  <si>
    <t>contribution_2024</t>
  </si>
  <si>
    <t>contribution_2025</t>
  </si>
  <si>
    <t>locator</t>
  </si>
  <si>
    <t>score</t>
  </si>
  <si>
    <t>lower</t>
  </si>
  <si>
    <t>upper_supremum</t>
  </si>
  <si>
    <t>financial_category</t>
  </si>
  <si>
    <t>explanation</t>
  </si>
  <si>
    <t>资产质量</t>
  </si>
  <si>
    <t>0.1000</t>
  </si>
  <si>
    <t>定性研究分值</t>
  </si>
  <si>
    <t>3.5</t>
  </si>
  <si>
    <t>2.5</t>
  </si>
  <si>
    <t>0.35000</t>
  </si>
  <si>
    <t>0.25000</t>
  </si>
  <si>
    <t>PDF29—30资产质量或PDF31再融资能力；PDF27表8权重</t>
  </si>
  <si>
    <t>EBITDA利润率</t>
  </si>
  <si>
    <t>0.0700</t>
  </si>
  <si>
    <t>6.354828890147010054152214562</t>
  </si>
  <si>
    <t>-3.489494943915746359242080592</t>
  </si>
  <si>
    <t>[5,6)</t>
  </si>
  <si>
    <t>[2,3)</t>
  </si>
  <si>
    <t>5.5</t>
  </si>
  <si>
    <t>0.38500</t>
  </si>
  <si>
    <t>0.17500</t>
  </si>
  <si>
    <t>PDF30表10</t>
  </si>
  <si>
    <t>总资产报酬率</t>
  </si>
  <si>
    <t>0.0300</t>
  </si>
  <si>
    <t>1.106661415709788633436456805</t>
  </si>
  <si>
    <t>-3.711408768423084845221024271</t>
  </si>
  <si>
    <t>[4,5)</t>
  </si>
  <si>
    <t>4.5</t>
  </si>
  <si>
    <t>0.13500</t>
  </si>
  <si>
    <t>0.07500</t>
  </si>
  <si>
    <t>所有者权益</t>
  </si>
  <si>
    <t>0.1500</t>
  </si>
  <si>
    <t>50.6708243651</t>
  </si>
  <si>
    <t>40.5207380475</t>
  </si>
  <si>
    <t>亿元</t>
  </si>
  <si>
    <t>0.82500</t>
  </si>
  <si>
    <t>0.67500</t>
  </si>
  <si>
    <t>PDF30表11</t>
  </si>
  <si>
    <t>54.40433097184549005319976063</t>
  </si>
  <si>
    <t>56.54671541695651049396828045</t>
  </si>
  <si>
    <t>EBITDA利息倍数</t>
  </si>
  <si>
    <t>2.874059177703635635453727050</t>
  </si>
  <si>
    <t>-1.661307507269710238297198131</t>
  </si>
  <si>
    <t>1</t>
  </si>
  <si>
    <t>0.55000</t>
  </si>
  <si>
    <t>PDF31表12</t>
  </si>
  <si>
    <t>全部债务/EBITDA</t>
  </si>
  <si>
    <t>0.1250</t>
  </si>
  <si>
    <t>13.93218989017685445043565451</t>
  </si>
  <si>
    <t>-25.00150339987831820458116041</t>
  </si>
  <si>
    <t>0.68750</t>
  </si>
  <si>
    <t>销售收现/流动负债</t>
  </si>
  <si>
    <t>0.0750</t>
  </si>
  <si>
    <t>1.198373445238732798794963059</t>
  </si>
  <si>
    <t>1.241311354301024145901095933</t>
  </si>
  <si>
    <t>0.41250</t>
  </si>
  <si>
    <t>现金类资产/短债</t>
  </si>
  <si>
    <t>0.9078459882755748081542455923</t>
  </si>
  <si>
    <t>0.8122360755545687190654653972</t>
  </si>
  <si>
    <t>[6,7)</t>
  </si>
  <si>
    <t>6.5</t>
  </si>
  <si>
    <t>0.48750</t>
  </si>
  <si>
    <t>再融资能力</t>
  </si>
  <si>
    <t>5.0</t>
  </si>
  <si>
    <t>0.62500</t>
  </si>
  <si>
    <t>0.56250</t>
  </si>
  <si>
    <t>研究合成</t>
  </si>
  <si>
    <t>4.166000</t>
  </si>
  <si>
    <t>3.744750</t>
  </si>
  <si>
    <t>4.587250</t>
  </si>
  <si>
    <t>F4</t>
  </si>
  <si>
    <t>2024各因素加权分*0.30+2025各因素加权分*0.70</t>
  </si>
  <si>
    <t>先权会计金额再算指标</t>
  </si>
  <si>
    <t>3.736250</t>
  </si>
  <si>
    <t>加权EBITDA仍负，两项覆盖进入弱档；没有平均正负杠杆率。</t>
  </si>
  <si>
    <t>ks_r_finance</t>
  </si>
  <si>
    <t>case_financial_application_v1</t>
  </si>
  <si>
    <t>ks_r_e_finance, ks_r_e_history, ks_a_e_is, ks_a_e_cash, ks_a_e_ar</t>
  </si>
  <si>
    <t>ks_a_aged3_2024, ks_a_aged3_2025, ks_a_amort_2024, ks_a_amort_2025, ks_a_amort_long_2024, ks_a_amort_long_2025, ks_a_ar_2024, ks_a_ar_2025, ks_a_ar_gt3_2024, ks_a_ar_gt3_2025, ks_a_arcoverage_2024, ks_a_arcoverage_2025, ks_a_arfin_notes_2024, ks_a_arfin_notes_2025, ks_a_argross_2024, ks_a_argross_2025, ks_a_arreserve_2024, ks_a_arreserve_2025, ks_a_asset_risk_pool, ks_a_asset_risk_share, ks_a_assets_2023_restate, ks_a_assets_2024, ks_a_assets_2025, ks_a_average_assets_2024, ks_a_average_assets_2025, ks_a_cash_2024, ks_a_cash_2025, ks_a_cashbook_2024, ks_a_cashbook_2025, ks_a_cashlike_2024, ks_a_cashlike_2025, ks_a_cashlike_gross_2024, ks_a_cashlike_gross_2025, ks_a_cashlike_quality_st_2024, ks_a_cashlike_quality_st_2025, ks_a_cashlike_st_2024, ks_a_cashlike_st_2025, ks_a_cashlike_without_performance_2024, ks_a_cashlike_without_performance_2025, ks_a_cashst_2024, ks_a_cashst_2025, ks_a_contract_2025, ks_a_currentbank_2024, ks_a_currentbank_2025, ks_a_currentfinancelease_2024, ks_a_currentlease_2024, ks_a_currentlease_2025, ks_a_currentliab_2024, ks_a_currentliab_2025, ks_a_customerscash_2024, ks_a_customerscash_2025, ks_a_debt_2024, ks_a_debt_2025, ks_a_debt_roll_2024, ks_a_debt_roll_2025, ks_a_debtcap_2024, ks_a_debtcap_2025, ks_a_debtpluscap_2024, ks_a_debtpluscap_2025, ks_a_dep_2024, ks_a_dep_2025, ks_a_dep_rou_2024, ks_a_dep_rou_2025, ks_a_dta_2024, ks_a_dta_2025, ks_a_ebit_2024, ks_a_ebit_2025, ks_a_ebitda_2024, ks_a_ebitda_2025, ks_a_ebitda_interest_2024, ks_a_ebitda_interest_2025, ks_a_equity_2024, ks_a_equity_2025, ks_a_idle_ppe, ks_a_interest_cap_2024, ks_a_interest_cap_2025, ks_a_interest_exp_2024, ks_a_interest_exp_2025, ks_a_interest_total_2024, ks_a_interest_total_2025, ks_a_longcontract_2025, ks_a_notes_ap_2024, ks_a_notes_ap_2025, ks_a_notes_ar_2024, ks_a_notes_ar_2025, ks_a_old_amort_2023, ks_a_old_amort_long_2023, ks_a_old_assets_2023, ks_a_old_cashbook_2023, ks_a_old_currentbank_2023, ks_a_old_currentlease_2023, ks_a_old_currentliab_2023, ks_a_old_customerscash_2023, ks_a_old_debt_2023, ks_a_old_debt_roll_2023, ks_a_old_dep_total_2023, ks_a_old_ebitda_2023, ks_a_old_equity_2023, ks_a_old_interest_exp_2023, ks_a_old_notes_ap_2023, ks_a_old_pbt_2023, ks_a_old_restrictedcash_2023, ks_a_old_revenue_2023, ks_a_old_stborrow_2023, ks_a_otherar_2025, ks_a_otherborrow_2024, ks_a_otherborrow_2025, ks_a_pbt_2024, ks_a_pbt_2025, ks_a_performance_asset_2024, ks_a_performance_asset_2025, ks_a_proceeds_authorized26, ks_a_proceeds_return26, ks_a_propertynet_2024, ks_a_propertynet_2025, ks_a_q1_ltborrow, ks_a_q1_stborrow, ks_a_restricted_note_2024, ks_a_restricted_note_2025, ks_a_restrictedassets_2024, ks_a_restrictedassets_2025, ks_a_restrictedcash_2024, ks_a_restrictedcash_2025, ks_a_revenue_2024, ks_a_revenue_2025, ks_a_roa_ebit_2024, ks_a_roa_ebit_2025, ks_a_salescash_currentliab_2024, ks_a_salescash_currentliab_2025, ks_a_stborrow_2024, ks_a_stborrow_2025, ks_a_stdebt_2024, ks_a_stdebt_2025, ks_a_supplier_ap_2024, ks_a_supplier_ap_2025, ks_a_supplierfinance_2025, ks_a_trading_2024, ks_a_trading_2025, ks_a_undrawn</t>
  </si>
  <si>
    <t>仅记录本企业财务因子的研究赋值，不产生最终发行人等级、机构认证或违约概率。
原文PDF26：通常三年20%/30%/50%；仅存近两年报表时30%/70%。科顺有较长历史，缺的是完整同控重述明细，因此不符合仅存续两年的字面条件。
本案选可比2024/2025年度分项先落分档、后以30%/70%加权，属于明确披露的研究适配，不是机构唯一或已知内部算法。未把2023旧范围数补进重述序列。
原文给分数区间而未公布区间内唯一插值函数；量化区间采用中点作透明代表值，保留区间边界。定性分值是本案研究判断，原文没有公布可机械复现的定性阈值。
盈利模型使用EBITDA利润率，未用营业利润率替代；使用权折旧计入EBITDA，总资产报酬率以税前利润加费用化利息除以年初年末平均资产。
负EBITDA先按偿债表最低档识别；不把正负债务/EBITDA直接平均。先加权金额再形成比率只作为计算顺序敏感性。
现金类资产使用广义方法定义并扣已知受限部分；CCE即时支付口径及剔业绩补偿作为替代口径敏感性，不能混名。
资产质量评价针对真实可回收价值及变现限制；减值对盈利已有直接作用，不再将同一减值损失机械重复扣分。再融资判断衡量实际融资资源与约束，不承诺未来续贷。</t>
  </si>
  <si>
    <t>完整同控重述2023财务明细及2022期初不足，不能无标识运用标准三年20/30/50。
原2023资本化全部利息缺失，精确利息倍数不计算；负EBITDA最低档由符号确定。
资产权属、抵债实际成交/ECL回收参数、DTA按主体盈利、募集金用途及可提款授信条件未获得底层验证，定性研究分值留区间。
公示方法未给区间内唯一赋分、先算年度分数还是先权金额的完整内部算法；本稿两条路径均透明列出。</t>
  </si>
  <si>
    <t>See quantitative-ks_r_finance.json input_snapshot and method version</t>
  </si>
  <si>
    <t>ks_r_financial_score</t>
  </si>
  <si>
    <t>主方案财务研究分；artifact.rows[10].score；{"entity":"科顺防水科技股份有限公司","scope":"公开研究判断","start":null,"end":"2026-06-30","aggregation":"assumption","basis":"原始披露及明确的独立研究假设","measure":"count","currency":null,"scale":"1","physical_unit":"分"}</t>
  </si>
  <si>
    <t>ks_r_financial_score_alternative</t>
  </si>
  <si>
    <t>先权金额财务研究分；artifact.rows[11].score；{"entity":"科顺防水科技股份有限公司","scope":"公开研究判断","start":null,"end":"2026-06-30","aggregation":"assumption","basis":"原始披露及明确的独立研究假设","measure":"count","currency":null,"scale":"1","physical_unit":"分"}</t>
  </si>
  <si>
    <t>ks_r_financial_lower</t>
  </si>
  <si>
    <t>公开区间合成下界；artifact.rows[10].lower；{"entity":"科顺防水科技股份有限公司","scope":"公开研究判断","start":null,"end":"2026-06-30","aggregation":"assumption","basis":"原始披露及明确的独立研究假设","measure":"count","currency":null,"scale":"1","physical_unit":"分"}</t>
  </si>
  <si>
    <t>ks_r_financial_upper</t>
  </si>
  <si>
    <t>公开区间合成上确界；artifact.rows[10].upper_supremum；{"entity":"科顺防水科技股份有限公司","scope":"公开研究判断","start":null,"end":"2026-06-30","aggregation":"assumption","basis":"原始披露及明确的独立研究假设","measure":"count","currency":null,"scale":"1","physical_unit":"分"}</t>
  </si>
  <si>
    <t>period_start</t>
  </si>
  <si>
    <t>period_end</t>
  </si>
  <si>
    <t>status</t>
  </si>
  <si>
    <t>customer_receipts</t>
  </si>
  <si>
    <t>other_operating_receipts</t>
  </si>
  <si>
    <t>tax_refund_receipts</t>
  </si>
  <si>
    <t>ordinary_supplier_payments</t>
  </si>
  <si>
    <t>incremental_trade_settlement</t>
  </si>
  <si>
    <t>employee_payments</t>
  </si>
  <si>
    <t>tax_payments</t>
  </si>
  <si>
    <t>other_operating_payments</t>
  </si>
  <si>
    <t>cash_start</t>
  </si>
  <si>
    <t>dividend</t>
  </si>
  <si>
    <t>short_financing_principal</t>
  </si>
  <si>
    <t>current_long_loan_principal</t>
  </si>
  <si>
    <t>lease_cash</t>
  </si>
  <si>
    <t>nonconvertible_cash_interest</t>
  </si>
  <si>
    <t>bond_coupon</t>
  </si>
  <si>
    <t>new_financing</t>
  </si>
  <si>
    <t>net_asset_monetization</t>
  </si>
  <si>
    <t>fx</t>
  </si>
  <si>
    <t>external_nonoperating_payments</t>
  </si>
  <si>
    <t>cash_end_before_additional_purpose_reserve</t>
  </si>
  <si>
    <t>cumulative_customer_receipts</t>
  </si>
  <si>
    <t>cumulative_financing_principal</t>
  </si>
  <si>
    <t>cash_path_status</t>
  </si>
  <si>
    <t>kind</t>
  </si>
  <si>
    <t>year_end_cash</t>
  </si>
  <si>
    <t>minimum_cash</t>
  </si>
  <si>
    <t>minimum_date</t>
  </si>
  <si>
    <t>full_year_cfo</t>
  </si>
  <si>
    <t>reserve_650m_minimum</t>
  </si>
  <si>
    <t>reserve_1300m_minimum</t>
  </si>
  <si>
    <t>receipt_haircut</t>
  </si>
  <si>
    <t>conditional_cash_path_not_actual</t>
  </si>
  <si>
    <t>1825082227.41</t>
  </si>
  <si>
    <t>1689728757.98</t>
  </si>
  <si>
    <t>115521074.59</t>
  </si>
  <si>
    <t>374232.46</t>
  </si>
  <si>
    <t>1598167419.23</t>
  </si>
  <si>
    <t>19628398.72</t>
  </si>
  <si>
    <t>185801054.01</t>
  </si>
  <si>
    <t>95462210.20</t>
  </si>
  <si>
    <t>170108783.22</t>
  </si>
  <si>
    <t>-263543800.35</t>
  </si>
  <si>
    <t>1690002729.18</t>
  </si>
  <si>
    <t>50000000</t>
  </si>
  <si>
    <t>66598301.58</t>
  </si>
  <si>
    <t>350000000</t>
  </si>
  <si>
    <t>20000000</t>
  </si>
  <si>
    <t>3000000</t>
  </si>
  <si>
    <t>10000000</t>
  </si>
  <si>
    <t>499598301.58</t>
  </si>
  <si>
    <t>926860627.25</t>
  </si>
  <si>
    <t>370000000</t>
  </si>
  <si>
    <t>positive_conditional_quarter_end_cash_not_monthly_coverage</t>
  </si>
  <si>
    <t>2026-07-01</t>
  </si>
  <si>
    <t>2026-09-30</t>
  </si>
  <si>
    <t>1483062678.37</t>
  </si>
  <si>
    <t>1259160842.57</t>
  </si>
  <si>
    <t>93872479.67</t>
  </si>
  <si>
    <t>304101.48</t>
  </si>
  <si>
    <t>1298671598.27</t>
  </si>
  <si>
    <t>15950046.05</t>
  </si>
  <si>
    <t>150982024.08</t>
  </si>
  <si>
    <t>77572637.01</t>
  </si>
  <si>
    <t>138230477.44</t>
  </si>
  <si>
    <t>-328069359.13</t>
  </si>
  <si>
    <t>454978205.0000</t>
  </si>
  <si>
    <t>143813063.1200</t>
  </si>
  <si>
    <t>2948889600.55</t>
  </si>
  <si>
    <t>740000000</t>
  </si>
  <si>
    <t>2026-10-01</t>
  </si>
  <si>
    <t>1340940976.69</t>
  </si>
  <si>
    <t>2478175523.14</t>
  </si>
  <si>
    <t>84876692.28</t>
  </si>
  <si>
    <t>274959.47</t>
  </si>
  <si>
    <t>1174220069.59</t>
  </si>
  <si>
    <t>14421555.23</t>
  </si>
  <si>
    <t>136513436.54</t>
  </si>
  <si>
    <t>70138861.39</t>
  </si>
  <si>
    <t>124983868.94</t>
  </si>
  <si>
    <t>1043049383.20</t>
  </si>
  <si>
    <t>40278936.02</t>
  </si>
  <si>
    <t>400000000</t>
  </si>
  <si>
    <t>30000000</t>
  </si>
  <si>
    <t>4000000</t>
  </si>
  <si>
    <t>484278936.02</t>
  </si>
  <si>
    <t>702583510.3000</t>
  </si>
  <si>
    <t>5427065123.69</t>
  </si>
  <si>
    <t>1170000000</t>
  </si>
  <si>
    <t>summary</t>
  </si>
  <si>
    <t>396253333.07</t>
  </si>
  <si>
    <t>-506186936.8800</t>
  </si>
  <si>
    <t>-1156186936.8800</t>
  </si>
  <si>
    <t>0.04876854769102827680288012401631310</t>
  </si>
  <si>
    <t>ks_r_cash_base</t>
  </si>
  <si>
    <t>case_direct_cash_budget_v1</t>
  </si>
  <si>
    <t>ks_d_l_e_cash_actual, ks_d_l_e_season, ks_d_l_e_debt_split, ks_d_l_e_facility, ks_d_l_e_dividend, ks_d_l_e_coupon, ks_d_l_e_fund_use, ks_d_l_e_parent, ks_a_e_bs, ks_a_e_cash, ks_a_e_is, ks_a_e_cf, ks_a_e_supplier, ks_a_e_q1, ks_d_e_face_q1, ks_d_e_issue_coupon, ks_d_e_fund_new, ks_d_e_price_latest, ks_a_e_parent, ks_d_e_face_2025, ks_d_e_maturity_call</t>
  </si>
  <si>
    <t>ks_a_cashbook_2025, ks_a_cash_2025, ks_a_restrictedcash_2025, ks_a_specialcash_2025, ks_a_revenue_2025, ks_a_revenue_2024, ks_a_customerscash_2025, ks_a_suppliercash_2025, ks_a_employeecash_2025, ks_a_taxcash_2025, ks_a_otheropcashin_2025, ks_a_otheropcashout_2025, ks_a_cfo_2025, ks_a_capex_2025, ks_a_stborrow_2025, ks_a_notes_ap_2025, ks_a_ap_2025, ks_a_supplier_loan_2025, ks_a_supplier_ap_2025, ks_a_supplier_noncash, ks_a_q1_cashbook, ks_a_q1_cash, ks_a_q1_stborrow, ks_a_q1_notes_ap, ks_a_q1_currentlongliab, ks_a_q1_ltborrow, ks_a_q1_revenue, ks_a_q1_cfo, ks_a_q1_cfi, ks_a_q1_cff, ks_a_q1_fxcash, ks_a_q1_cashdelta, ks_a_q1_capex, ks_a_missing_q1_freecash, ks_d_f_face_q1, ks_d_f_coupon_3, ks_d_f_fund_new_cap, ks_d_f_dividend_per_share, ks_d_l_f_q1_2026_customerscash, ks_d_l_f_q1_2025_customerscash, ks_d_l_f_q1_2026_suppliercash, ks_d_l_f_q1_2025_suppliercash, ks_d_l_f_q1_2026_employeecash, ks_d_l_f_q1_2025_employeecash, ks_d_l_f_q1_2026_taxcash, ks_d_l_f_q1_2025_taxcash, ks_d_l_f_q1_2026_otheropcashin, ks_d_l_f_q1_2025_otheropcashin, ks_d_l_f_q1_2026_otheropcashout, ks_d_l_f_q1_2025_otheropcashout, ks_d_l_f_q1_2026_borrowcash, ks_d_l_f_q1_2025_borrowcash, ks_d_l_f_q1_2026_repaycash, ks_d_l_f_q1_2025_repaycash, ks_d_l_f_q1_2026_otherfinin, ks_d_l_f_q1_2025_otherfinin, ks_d_l_f_q1_2026_divinterestcash, ks_d_l_f_q1_2025_divinterestcash, ks_d_l_f_q1_2026_otherfinout, ks_d_l_f_q1_2025_otherfinout, ks_d_l_f_q1_2025_capex, ks_d_l_f_q1_2025_cfo, ks_d_l_f_q1_2025_revenue, ks_d_l_f_2025_q2_revenue, ks_d_l_f_2025_q2_cfo, ks_d_l_f_2025_q3_revenue, ks_d_l_f_2025_q3_cfo, ks_d_l_f_2025_q4_revenue, ks_d_l_f_2025_q4_cfo, ks_d_l_f_taxrefund_2025, ks_d_l_f_q1_ap, ks_d_l_f_q1_trading, ks_d_l_f_st_accrued_2025, ks_d_l_f_current_lt_principal_2025, ks_d_l_f_current_lt_mortgage_2025, ks_d_l_f_current_lt_interest_2025, ks_d_l_f_current_lease_2025, ks_d_l_f_current_provision_2025, ks_d_l_f_unused_facility_2025, ks_d_l_f_dividend_shares, ks_a_p_cash_2025, ks_a_p_cash_2024, ks_a_p_cfo_2025, ks_a_p_cfi_2025, ks_a_p_cff_2025, ks_a_p_fx_2025, ks_a_p_cashdelta_2025, ks_a_p_otherar_2025, ks_a_p_otherap_2025, ks_d_f_face_2025, ks_d_f_maturity_multiple, ks_d_l_f_parent_cashbook, ks_d_l_f_parent_stborrow, ks_d_l_f_parent_notes, ks_d_l_f_parent_ap, ks_d_l_f_parent_currentlong, ks_d_l_f_parent_currentliab, ks_d_l_f_parent_bonds, ks_d_l_f_parent_investment_cash</t>
  </si>
  <si>
    <t>起点为2026-03-31合并实际CCE；六月至十二月均为条件值。
无新增融资、续贷、注资、资产变现；本金/资本支出/其他现金预算均明确为假设。
季度合成收款用于保持原披露季节性，不是原件披露的季度收款。
用途资金敏感性为单独预留，不新增一笔外部还债。</t>
  </si>
  <si>
    <t>分析资料截止日2026-06-30，最新实际现金是2026-03-31；Q2/Q3/Q4路径均是条件研究，不是六月、九月或十二月已披露现金。
2025年度为同控比较口径，2026Q1原2025比较现金期初与年报重述期初存在833421.24元差异；季度CFO与年报分季度数吻合，但直接法剩余期桥不宣称已做逐项同控范围调节。
不存在月度收款、银行到期、票据和供应商账龄/支付日明细；季度末正数不能证明月内覆盖，首次负数表示需先弥补缺口才能继续运营，后季回正不能治愈先前断点。
未对其他应付款中的潜在融资性项目、担保履约、诉讼现金、资本开支合同取消权及新增非现金融资做完整资金排期；应在单一现金冲击容忍额内另行测试，不能把未知全部当不存在。
没有把银行授信、续贷、追加抵押融资或可变现金融资产当作已落实资金；没有引用机构评级或预测。
改善/基准/恶化是透明研究假设，不是公司预算、概率估计或评级档位。
直接发行人是母公司。独立母公司头寸以2025-12-31实际数据对照，没有2026Q1母公司表；集团现金不能直接证明母公司付款日取得资金。
11亿元短期融资支付预算包含供应商融资及贴现。概念上在筹资和采购各扣一次，但没有取得资金提供方结算与历史采购现金流之间的逐笔映射，不能称已完成逐项到期排期或完全验证分类去重；实际映射不同须同时重分类两端，不能只追加一笔。
首次负现金后的行仅为未融资缺口延续；不能证明能够持续经营或先前未发生逾期。</t>
  </si>
  <si>
    <t>See quantitative-ks_r_cash_base.json input_snapshot and method version</t>
  </si>
  <si>
    <t>ks_r_base_cash_min</t>
  </si>
  <si>
    <t>基准研究情景季度最低现金；artifact.rows[3].minimum_cash；{"entity":"科顺防水科技股份有限公司","scope":"合并条件现金路径","start":null,"end":"2026-09-30","aggregation":"instant","basis":"原始披露及明确的独立研究假设","measure":"money","currency":"CNY","scale":"1","physical_unit":null}</t>
  </si>
  <si>
    <t>ks_r_base_cash_end</t>
  </si>
  <si>
    <t>基准研究情景年末现金；artifact.rows[3].year_end_cash；{"entity":"科顺防水科技股份有限公司","scope":"合并条件现金路径","start":null,"end":"2026-12-31","aggregation":"instant","basis":"原始披露及明确的独立研究假设","measure":"money","currency":"CNY","scale":"1","physical_unit":null}</t>
  </si>
  <si>
    <t>ks_r_base_reserve650</t>
  </si>
  <si>
    <t>基准研究情景另留用途资金后低点；artifact.rows[3].reserve_650m_minimum；{"entity":"科顺防水科技股份有限公司","scope":"合并用途敏感性","start":null,"end":"2026-09-30","aggregation":"instant","basis":"原始披露及明确的独立研究假设","measure":"money","currency":"CNY","scale":"1","physical_unit":null}</t>
  </si>
  <si>
    <t>ks_r_base_receipt_boundary</t>
  </si>
  <si>
    <t>基准研究情景额外收款折扣边界；artifact.rows[3].receipt_haircut；{"entity":"科顺防水科技股份有限公司","scope":"合并条件现金路径","start":null,"end":"2026-09-30","aggregation":"instant","basis":"原始披露及明确的独立研究假设","measure":"ratio","currency":null,"scale":"1","physical_unit":null}</t>
  </si>
  <si>
    <t>1642574004.67</t>
  </si>
  <si>
    <t>1411010612.33</t>
  </si>
  <si>
    <t>96267562.16</t>
  </si>
  <si>
    <t>1518259048.27</t>
  </si>
  <si>
    <t>78513594.87</t>
  </si>
  <si>
    <t>85915989.18</t>
  </si>
  <si>
    <t>178614222.38</t>
  </si>
  <si>
    <t>-539451501.76</t>
  </si>
  <si>
    <t>650952925.84</t>
  </si>
  <si>
    <t>1334756410.53</t>
  </si>
  <si>
    <t>1051464208.74</t>
  </si>
  <si>
    <t>78227066.39</t>
  </si>
  <si>
    <t>1233738018.36</t>
  </si>
  <si>
    <t>63800184.20</t>
  </si>
  <si>
    <t>69815373.31</t>
  </si>
  <si>
    <t>145142001.31</t>
  </si>
  <si>
    <t>-533482224.65</t>
  </si>
  <si>
    <t>-337507503.8100</t>
  </si>
  <si>
    <t>2462474821.07</t>
  </si>
  <si>
    <t>unfunded_gap_at_quarter_end</t>
  </si>
  <si>
    <t>1206846879.02</t>
  </si>
  <si>
    <t>2069404302.84</t>
  </si>
  <si>
    <t>70730576.90</t>
  </si>
  <si>
    <t>1115509066.11</t>
  </si>
  <si>
    <t>57686220.93</t>
  </si>
  <si>
    <t>63124975.25</t>
  </si>
  <si>
    <t>131233062.39</t>
  </si>
  <si>
    <t>636343077.99</t>
  </si>
  <si>
    <t>-185443361.8400</t>
  </si>
  <si>
    <t>4531879123.91</t>
  </si>
  <si>
    <t>-491773539.07</t>
  </si>
  <si>
    <t>-987507503.8100</t>
  </si>
  <si>
    <t>-1637507503.8100</t>
  </si>
  <si>
    <t>ks_r_cash_worse</t>
  </si>
  <si>
    <t>See quantitative-ks_r_cash_worse.json input_snapshot and method version</t>
  </si>
  <si>
    <t>ks_r_worse_cash_min</t>
  </si>
  <si>
    <t>恶化研究情景季度最低现金；artifact.rows[3].minimum_cash；{"entity":"科顺防水科技股份有限公司","scope":"合并条件现金路径","start":null,"end":"2026-09-30","aggregation":"instant","basis":"原始披露及明确的独立研究假设","measure":"money","currency":"CNY","scale":"1","physical_unit":null}</t>
  </si>
  <si>
    <t>ks_r_worse_cash_end</t>
  </si>
  <si>
    <t>恶化研究情景年末现金；artifact.rows[3].year_end_cash；{"entity":"科顺防水科技股份有限公司","scope":"合并条件现金路径","start":null,"end":"2026-12-31","aggregation":"instant","basis":"原始披露及明确的独立研究假设","measure":"money","currency":"CNY","scale":"1","physical_unit":null}</t>
  </si>
  <si>
    <t>ks_r_worse_reserve650</t>
  </si>
  <si>
    <t>恶化研究情景另留用途资金后低点；artifact.rows[3].reserve_650m_minimum；{"entity":"科顺防水科技股份有限公司","scope":"合并用途敏感性","start":null,"end":"2026-09-30","aggregation":"instant","basis":"原始披露及明确的独立研究假设","measure":"money","currency":"CNY","scale":"1","physical_unit":null}</t>
  </si>
  <si>
    <t>ks_r_worse_receipt_boundary</t>
  </si>
  <si>
    <t>恶化研究情景额外收款折扣边界；artifact.rows[3].receipt_haircut；{"entity":"科顺防水科技股份有限公司","scope":"合并条件现金路径","start":null,"end":"2026-09-30","aggregation":"instant","basis":"原始披露及明确的独立研究假设","measure":"ratio","currency":null,"scale":"1","physical_unit":null}</t>
  </si>
  <si>
    <t>1916336338.78</t>
  </si>
  <si>
    <t>1829087830.80</t>
  </si>
  <si>
    <t>128356749.55</t>
  </si>
  <si>
    <t>1646112441.81</t>
  </si>
  <si>
    <t>0.00</t>
  </si>
  <si>
    <t>100235320.71</t>
  </si>
  <si>
    <t>-144438786.94</t>
  </si>
  <si>
    <t>1045965640.66</t>
  </si>
  <si>
    <t>1557215812.29</t>
  </si>
  <si>
    <t>1363009159.48</t>
  </si>
  <si>
    <t>104302755.19</t>
  </si>
  <si>
    <t>1337631746.22</t>
  </si>
  <si>
    <t>81451268.86</t>
  </si>
  <si>
    <t>-240679500.45</t>
  </si>
  <si>
    <t>350307935.2100</t>
  </si>
  <si>
    <t>3192096990.28</t>
  </si>
  <si>
    <t>1407988025.52</t>
  </si>
  <si>
    <t>2682561133.30</t>
  </si>
  <si>
    <t>94307435.86</t>
  </si>
  <si>
    <t>1209446671.67</t>
  </si>
  <si>
    <t>73645804.46</t>
  </si>
  <si>
    <t>1232553747.02</t>
  </si>
  <si>
    <t>1098582746.2100</t>
  </si>
  <si>
    <t>5874658123.58</t>
  </si>
  <si>
    <t>792252568.98</t>
  </si>
  <si>
    <t>-299692064.7900</t>
  </si>
  <si>
    <t>-949692064.7900</t>
  </si>
  <si>
    <t>0.1097422591721663718719879548133164</t>
  </si>
  <si>
    <t>ks_r_cash_better</t>
  </si>
  <si>
    <t>See quantitative-ks_r_cash_better.json input_snapshot and method version</t>
  </si>
  <si>
    <t>ks_r_better_cash_min</t>
  </si>
  <si>
    <t>改善研究情景季度最低现金；artifact.rows[3].minimum_cash；{"entity":"科顺防水科技股份有限公司","scope":"合并条件现金路径","start":null,"end":"2026-09-30","aggregation":"instant","basis":"原始披露及明确的独立研究假设","measure":"money","currency":"CNY","scale":"1","physical_unit":null}</t>
  </si>
  <si>
    <t>ks_r_better_cash_end</t>
  </si>
  <si>
    <t>改善研究情景年末现金；artifact.rows[3].year_end_cash；{"entity":"科顺防水科技股份有限公司","scope":"合并条件现金路径","start":null,"end":"2026-12-31","aggregation":"instant","basis":"原始披露及明确的独立研究假设","measure":"money","currency":"CNY","scale":"1","physical_unit":null}</t>
  </si>
  <si>
    <t>ks_r_better_reserve650</t>
  </si>
  <si>
    <t>改善研究情景另留用途资金后低点；artifact.rows[3].reserve_650m_minimum；{"entity":"科顺防水科技股份有限公司","scope":"合并用途敏感性","start":null,"end":"2026-09-30","aggregation":"instant","basis":"原始披露及明确的独立研究假设","measure":"money","currency":"CNY","scale":"1","physical_unit":null}</t>
  </si>
  <si>
    <t>ks_r_better_receipt_boundary</t>
  </si>
  <si>
    <t>改善研究情景额外收款折扣边界；artifact.rows[3].receipt_haircut；{"entity":"科顺防水科技股份有限公司","scope":"合并条件现金路径","start":null,"end":"2026-09-30","aggregation":"instant","basis":"原始披露及明确的独立研究假设","measure":"ratio","currency":null,"scale":"1","physical_unit":null}</t>
  </si>
  <si>
    <t>actual_date</t>
  </si>
  <si>
    <t>q1_2026_parent_financial_statements_available</t>
  </si>
  <si>
    <t>parent_cash_and_equivalents</t>
  </si>
  <si>
    <t>parent_money_funds</t>
  </si>
  <si>
    <t>parent_cash_book_less_cce</t>
  </si>
  <si>
    <t>parent_cfo_2025</t>
  </si>
  <si>
    <t>parent_investment_income_cash_2025</t>
  </si>
  <si>
    <t>group_less_parent_cash_same_2025_date</t>
  </si>
  <si>
    <t>parent_st_borrowing_book</t>
  </si>
  <si>
    <t>parent_current_noncurrent_liability_book</t>
  </si>
  <si>
    <t>parent_borrowing_plus_currentliability_screen</t>
  </si>
  <si>
    <t>cash_minus_borrowing_and_currentliability_screen</t>
  </si>
  <si>
    <t>parent_trade_notes_book</t>
  </si>
  <si>
    <t>parent_trade_AP_book</t>
  </si>
  <si>
    <t>parent_total_current_liability_book</t>
  </si>
  <si>
    <t>parent_otherpayable_book</t>
  </si>
  <si>
    <t>face_as_of_2025_12_31</t>
  </si>
  <si>
    <t>static_cash_over_same_date_nominal</t>
  </si>
  <si>
    <t>static_cash_less_same_date_nominal</t>
  </si>
  <si>
    <t>maturity_redemption_at_same_2025_nominal_no_conversion</t>
  </si>
  <si>
    <t>static_2025_cash_less_frozen_principal_maturity_redemption</t>
  </si>
  <si>
    <t>static_2025_cash_over_frozen_principal_maturity_redemption</t>
  </si>
  <si>
    <t>classification</t>
  </si>
  <si>
    <t>formulas</t>
  </si>
  <si>
    <t>upstream_conditions_to_verify</t>
  </si>
  <si>
    <t>1303353764.78</t>
  </si>
  <si>
    <t>1935184381.75</t>
  </si>
  <si>
    <t>631830616.97</t>
  </si>
  <si>
    <t>-732134335.29</t>
  </si>
  <si>
    <t>521016327.84</t>
  </si>
  <si>
    <t>304364913.83</t>
  </si>
  <si>
    <t>799139470.86</t>
  </si>
  <si>
    <t>399067537.86</t>
  </si>
  <si>
    <t>1198207008.72</t>
  </si>
  <si>
    <t>105146756.06</t>
  </si>
  <si>
    <t>1579399896.60</t>
  </si>
  <si>
    <t>416446753.35</t>
  </si>
  <si>
    <t>4632192095.49</t>
  </si>
  <si>
    <t>1347201162.78</t>
  </si>
  <si>
    <t>2197829100</t>
  </si>
  <si>
    <t>0.5930187041294521034415278239786706</t>
  </si>
  <si>
    <t>-894475335.22</t>
  </si>
  <si>
    <t>2527503465.00</t>
  </si>
  <si>
    <t>-1224149700.22</t>
  </si>
  <si>
    <t>0.5156684383734366116882850643292788</t>
  </si>
  <si>
    <t>same-date parent cash position plus explicitly frozen-principal future contractual demand, not a parent cash forecast</t>
  </si>
  <si>
    <t>["parent cash screen = 2025 parent CCE - 2025 parent short-borrowing book - parent current noncurrent-liability book", "same-date bond coverage = 2025 parent CCE / 2025 issuer bond nominal", "frozen principal maturity demand = 2025 issuer bond nominal * contractual 115%; not current liability nor actual 2029 balance", "group-parent cash difference is a same-date scope comparison, not guaranteed upstreamable subsidiary funds"]</t>
  </si>
  <si>
    <t>["母公司短借和一年内非流动负债仍为账面库存代理，不能把含息或混合项目全称银行本金；本表不证明付款期限。", "母公司应付票据、其他应收/应付含合并抵销前关系，集团内外持票人和往来性质未取得，不能与合并负债相加，也不能直接假定全部外部即付。", "没有2026Q1母公司报表；2025末母公司现金不移为三月末或六月末，集团Q1现金不替代发行人现金。", "母公司投资收益现金是本年已发生的流入，不等于已证明每年可重复的全部子公司分红；母公司应收款及合并净资产亦不是即时可上划现金。", "冻结年末现金与未来到期需求比较仅显示需要经营产现、上划或可执行融资的量级，不宣称2029已缺口，也不把到期债券本金提前加入2026流动负债。"]</t>
  </si>
  <si>
    <t>["提供主要子公司各自现金、受限与募集用途约束，以及自身到期债务和营运需求，先核验资金可用性。", "对子公司分红核验可分配金额、必要的公司决策、少数股东权益以及融资契约约束，不能只看合并利润或合并现金。", "对集团借款/往来回收/资金池调拨核验可执行安排、对手实际现金、期限、税费与到账路径，区分真实上划和账务抵销。", "若依赖境外资金，核验境外当地和跨境转移手续、币种与时点；没有到账安排前不将合并余额计作发行人已到手资金。"]</t>
  </si>
  <si>
    <t>ks_r_parent</t>
  </si>
  <si>
    <t>case_parent_position_v1</t>
  </si>
  <si>
    <t>ks_a_e_parent, ks_d_e_issue_coupon, ks_r_e_issue</t>
  </si>
  <si>
    <t>ks_d_l_f_parent_cashbook, ks_d_l_f_parent_stborrow, ks_d_l_f_parent_notes, ks_d_l_f_parent_ap, ks_d_l_f_parent_currentlong, ks_d_l_f_parent_currentliab, ks_d_l_f_parent_bonds, ks_d_l_f_parent_investment_cash, ks_d_f_face_2025, ks_d_f_maturity_multiple</t>
  </si>
  <si>
    <t>现金、短期义务与面值同取2025-12-31；冻结本金到期比较为条件需求，非2029实际余额。</t>
  </si>
  <si>
    <t>母公司短借和一年内非流动负债仍为账面库存代理，不能把含息或混合项目全称银行本金；本表不证明付款期限。
母公司应付票据、其他应收/应付含合并抵销前关系，集团内外持票人和往来性质未取得，不能与合并负债相加，也不能直接假定全部外部即付。
没有2026Q1母公司报表；2025末母公司现金不移为三月末或六月末，集团Q1现金不替代发行人现金。
母公司投资收益现金是本年已发生的流入，不等于已证明每年可重复的全部子公司分红；母公司应收款及合并净资产亦不是即时可上划现金。
冻结年末现金与未来到期需求比较仅显示需要经营产现、上划或可执行融资的量级，不宣称2029已缺口，也不把到期债券本金提前加入2026流动负债。</t>
  </si>
  <si>
    <t>See quantitative-ks_r_parent.json input_snapshot and method version</t>
  </si>
  <si>
    <t>ks_r_parent_screen</t>
  </si>
  <si>
    <t>母公司静态短期账面屏幕后现金；artifact.rows[0].cash_minus_borrowing_and_currentliability_screen；{"entity":"科顺防水科技股份有限公司","scope":"母公司","start":null,"end":"2025-12-31","aggregation":"instant","basis":"原始披露及明确的独立研究假设","measure":"money","currency":"CNY","scale":"1","physical_unit":null}</t>
  </si>
  <si>
    <t>ks_r_parent_maturity_gap</t>
  </si>
  <si>
    <t>母公司年末现金减固定本金到期需求；artifact.rows[0].static_2025_cash_less_frozen_principal_maturity_redemption；{"entity":"科顺防水科技股份有限公司","scope":"母公司静态对照","start":null,"end":"2025-12-31","aggregation":"instant","basis":"原始披露及明确的独立研究假设","measure":"money","currency":"CNY","scale":"1","physical_unit":null}</t>
  </si>
  <si>
    <t>branch</t>
  </si>
  <si>
    <t>business</t>
  </si>
  <si>
    <t>cell</t>
  </si>
  <si>
    <t>chosen</t>
  </si>
  <si>
    <t>individual</t>
  </si>
  <si>
    <t>support</t>
  </si>
  <si>
    <t>issuer</t>
  </si>
  <si>
    <t>issue</t>
  </si>
  <si>
    <t>outlook</t>
  </si>
  <si>
    <t>中央研究路径</t>
  </si>
  <si>
    <t>a-/bbb+</t>
  </si>
  <si>
    <t>bbb+</t>
  </si>
  <si>
    <t>不另加减档，条件与风险逐项列明</t>
  </si>
  <si>
    <t>不计可证实的增益</t>
  </si>
  <si>
    <t>BBB+</t>
  </si>
  <si>
    <t>负面</t>
  </si>
  <si>
    <t>先权会计金额</t>
  </si>
  <si>
    <t>其他判断和现金成立条件不变</t>
  </si>
  <si>
    <t>经营定性因素共同恶化</t>
  </si>
  <si>
    <t>bbb-/bb+</t>
  </si>
  <si>
    <t>bb+</t>
  </si>
  <si>
    <t>BB+</t>
  </si>
  <si>
    <t>其他调整/支持无新证据；不能把半分变动当发生概率</t>
  </si>
  <si>
    <t>财务因素降至F5</t>
  </si>
  <si>
    <t>F5</t>
  </si>
  <si>
    <t>bbb/bbb-</t>
  </si>
  <si>
    <t>bbb-</t>
  </si>
  <si>
    <t>BBB-</t>
  </si>
  <si>
    <t>经更新事实得分低于3.5且不低于2.5；不是仅凭现金下降自动换档</t>
  </si>
  <si>
    <t>经营D与财务F5同时成立</t>
  </si>
  <si>
    <t>bb</t>
  </si>
  <si>
    <t>BB</t>
  </si>
  <si>
    <t>重算全部因素，支持和偿付条件未另变化</t>
  </si>
  <si>
    <t>持续改善形成财务F3</t>
  </si>
  <si>
    <t>F3</t>
  </si>
  <si>
    <t>a+/a</t>
  </si>
  <si>
    <t>a</t>
  </si>
  <si>
    <t>A</t>
  </si>
  <si>
    <t>财务得分至少4.5、经营条件维持，母公司资金、承诺和用途缺口已解决，至少完整年度及后续期支持持续性；单次选择区间上端不构成升级</t>
  </si>
  <si>
    <t>短期支付条件失效</t>
  </si>
  <si>
    <t>若已证实到期不能支付、合法提前到期或未落实资金不足以覆盖，停止常态矩阵结论；按事实、合同宽限、补救与适用困境规则重新定级，不用负面展望替代即时行动</t>
  </si>
  <si>
    <t>ks_r_rating_chain</t>
  </si>
  <si>
    <t>case_rating_judgment_v1</t>
  </si>
  <si>
    <t>ks_r_e_matrix, ks_r_e_discretion, ks_r_e_support, ks_r_e_issue, ks_r_e_definitions</t>
  </si>
  <si>
    <t>ks_a_ebitda_2025, ks_a_cashst_2025, ks_d_c_book_ratio, ks_d_f_fund_temp_cutoff</t>
  </si>
  <si>
    <t>中央双档选择较弱一端为本案专业判断，不声称原机构唯一结果。
个体调整不重复处罚已进入盈利、资产质量、治理和再融资因素的事项。
没有可证实的支持增益，并不等于未来绝不获支持。</t>
  </si>
  <si>
    <t>这是境内相对信用的独立公开研究建议，非联合资信发布等级。
未举行真实评级委员会、未取得全部合同及公司内部资金计划；关键未决条件逐项保留。</t>
  </si>
  <si>
    <t>See quantitative-ks_r_rating_chain.json input_snapshot and method version</t>
  </si>
  <si>
    <t>company</t>
  </si>
  <si>
    <t>period</t>
  </si>
  <si>
    <t>units</t>
  </si>
  <si>
    <t>revenue_growth</t>
  </si>
  <si>
    <t>gross_margin</t>
  </si>
  <si>
    <t>liabilities_assets</t>
  </si>
  <si>
    <t>cfo_debt</t>
  </si>
  <si>
    <t>cce_short</t>
  </si>
  <si>
    <t>ebitda_expinterest</t>
  </si>
  <si>
    <t>noc360</t>
  </si>
  <si>
    <t>2025年度/2025-12-31</t>
  </si>
  <si>
    <t>增长、毛利率、负债率、CFO/简式融资为%；现金和利息覆盖为倍；净周期为天</t>
  </si>
  <si>
    <t>-11.490718016538</t>
  </si>
  <si>
    <t>24.201213243063</t>
  </si>
  <si>
    <t>67.322185369831</t>
  </si>
  <si>
    <t>6.061536500592</t>
  </si>
  <si>
    <t>0.572904224445</t>
  </si>
  <si>
    <t>-2.117495463693</t>
  </si>
  <si>
    <t>130.275640342060</t>
  </si>
  <si>
    <t>北京东方雨虹防水技术股份有限公司</t>
  </si>
  <si>
    <t>-1.700039188089</t>
  </si>
  <si>
    <t>24.818704203057</t>
  </si>
  <si>
    <t>51.138085647624</t>
  </si>
  <si>
    <t>45.674455940122</t>
  </si>
  <si>
    <t>0.562907233491</t>
  </si>
  <si>
    <t>11.047480127072</t>
  </si>
  <si>
    <t>69.894352196460</t>
  </si>
  <si>
    <t>北新集团建材股份有限公司</t>
  </si>
  <si>
    <t>-2.094651233902</t>
  </si>
  <si>
    <t>28.814930266248</t>
  </si>
  <si>
    <t>21.598410049022</t>
  </si>
  <si>
    <t>188.980485918402</t>
  </si>
  <si>
    <t>0.723511613989</t>
  </si>
  <si>
    <t>103.273418638409</t>
  </si>
  <si>
    <t>38.278753466404</t>
  </si>
  <si>
    <t>ks_r_peers</t>
  </si>
  <si>
    <t>case_peer_comparison_v1</t>
  </si>
  <si>
    <t>ks_a_revenue_2025, ks_a_revenue_2024, ks_a_noc360_2025</t>
  </si>
  <si>
    <t>统一定义及原始输入按已运行同行底稿保留；不用不同机构口径拼接得分。</t>
  </si>
  <si>
    <t>本底稿只补充增长、盈利、杠杆和长短期偿债四方面的代表性同行观察，不计算行业均值、市场份额或机构评级。
全部原值为人民币元，金额字符串保留小数；比较表金额转亿元，比例为百分比，覆盖为倍，周转为天。2025与2024均为年度流量或各年12月31日存量。
简式融资余额包含列示银行借款、债券含短融、租赁、应付票据及已识别保理/拆借本金和表内利息；不包含长期应付款、一般AP、股份回购义务和未确认为融资的其他负债。三个公司采用同一类别定义；因此不等同各机构全部债务或已核实的经济融资负债。
长期应付款全部单列排除以保持列报可比：东方雨虹2025/2024非流动融资租赁49,640,000/51,100,000元，2025当前长期应付款32,155,000元分拆不足；科顺2024当前融资租赁17,792,864.10元；北新长期应付款明细为人员项目与国家拨款。它们不因排除而免偿，相关融资余额比率会比全口径略乐观。
简式EBITDA=利润总额+费用化利息+CF补充固定资产折旧等+使用权折旧+无形摊销+长期待摊摊销；保留所有信用/资产减值和非经常损益。利息倍数统一用费用化利息；北新全口径资本化利息尚不全，不能把该倍数写成全部利息覆盖。
北新建材是石膏板、防水、涂料等集团，东方雨虹亦有工程/砂浆和其他业务；集团利润和融资能力不代表纯防水行业。两个样本不能代表行业全体，未给行业杠杆/偿债的总体分布。
同控重述与非同控收购影响期间可比；同行2025年报均称不追溯以前年度主要数据，但并购只从购买日起计损益，不能称有机增长。
科顺同列数据沿用会计原始底稿，保留原fact IDs与精确source_locators；未重新抽取全部科顺原表。</t>
  </si>
  <si>
    <t>See quantitative-ks_r_peers.json input_snapshot and method version</t>
  </si>
  <si>
    <t>ks_r_peer_keshun_revenue_growth</t>
  </si>
  <si>
    <t>科顺防水科技股份有限公司收入同比；artifact.rows[0].revenue_growth；{"entity":"科顺防水科技股份有限公司","scope":"合并同行比较","start":null,"end":"2025-12-31","aggregation":"ratio","basis":"原始披露及明确的独立研究假设","measure":"ratio","currency":null,"scale":"0.01","physical_unit":null}</t>
  </si>
  <si>
    <t>ks_r_peer_keshun_liabilities_assets</t>
  </si>
  <si>
    <t>科顺防水科技股份有限公司CAS资产负债率；artifact.rows[0].liabilities_assets；{"entity":"科顺防水科技股份有限公司","scope":"合并同行比较","start":null,"end":"2025-12-31","aggregation":"ratio","basis":"原始披露及明确的独立研究假设","measure":"ratio","currency":null,"scale":"0.01","physical_unit":null}</t>
  </si>
  <si>
    <t>ks_r_peer_keshun_noc360</t>
  </si>
  <si>
    <t>科顺防水科技股份有限公司净营业周期（净额）；artifact.rows[0].noc360；{"entity":"科顺防水科技股份有限公司","scope":"合并同行比较","start":null,"end":"2025-12-31","aggregation":"ratio","basis":"原始披露及明确的独立研究假设","measure":"days","currency":null,"scale":"1","physical_unit":null}</t>
  </si>
  <si>
    <t>ks_r_peer_yuhong_revenue_growth</t>
  </si>
  <si>
    <t>北京东方雨虹防水技术股份有限公司收入同比；artifact.rows[1].revenue_growth；{"entity":"北京东方雨虹防水技术股份有限公司","scope":"合并同行比较","start":null,"end":"2025-12-31","aggregation":"ratio","basis":"原始披露及明确的独立研究假设","measure":"ratio","currency":null,"scale":"0.01","physical_unit":null}</t>
  </si>
  <si>
    <t>ks_r_peer_yuhong_liabilities_assets</t>
  </si>
  <si>
    <t>北京东方雨虹防水技术股份有限公司CAS资产负债率；artifact.rows[1].liabilities_assets；{"entity":"北京东方雨虹防水技术股份有限公司","scope":"合并同行比较","start":null,"end":"2025-12-31","aggregation":"ratio","basis":"原始披露及明确的独立研究假设","measure":"ratio","currency":null,"scale":"0.01","physical_unit":null}</t>
  </si>
  <si>
    <t>ks_r_peer_yuhong_noc360</t>
  </si>
  <si>
    <t>北京东方雨虹防水技术股份有限公司净营业周期（净额）；artifact.rows[1].noc360；{"entity":"北京东方雨虹防水技术股份有限公司","scope":"合并同行比较","start":null,"end":"2025-12-31","aggregation":"ratio","basis":"原始披露及明确的独立研究假设","measure":"days","currency":null,"scale":"1","physical_unit":null}</t>
  </si>
  <si>
    <t>ks_r_peer_bnbm_revenue_growth</t>
  </si>
  <si>
    <t>北新集团建材股份有限公司收入同比；artifact.rows[2].revenue_growth；{"entity":"北新集团建材股份有限公司","scope":"合并同行比较","start":null,"end":"2025-12-31","aggregation":"ratio","basis":"原始披露及明确的独立研究假设","measure":"ratio","currency":null,"scale":"0.01","physical_unit":null}</t>
  </si>
  <si>
    <t>ks_r_peer_bnbm_liabilities_assets</t>
  </si>
  <si>
    <t>北新集团建材股份有限公司CAS资产负债率；artifact.rows[2].liabilities_assets；{"entity":"北新集团建材股份有限公司","scope":"合并同行比较","start":null,"end":"2025-12-31","aggregation":"ratio","basis":"原始披露及明确的独立研究假设","measure":"ratio","currency":null,"scale":"0.01","physical_unit":null}</t>
  </si>
  <si>
    <t>ks_r_peer_bnbm_noc360</t>
  </si>
  <si>
    <t>北新集团建材股份有限公司净营业周期（净额）；artifact.rows[2].noc360；{"entity":"北新集团建材股份有限公司","scope":"合并同行比较","start":null,"end":"2025-12-31","aggregation":"ratio","basis":"原始披露及明确的独立研究假设","measure":"days","currency":null,"scale":"1","physical_unit":null}</t>
  </si>
  <si>
    <t>bucket</t>
  </si>
  <si>
    <t>reported_cny</t>
  </si>
  <si>
    <t>fixed_face_contract_cny</t>
  </si>
  <si>
    <t>reported_minus_contract_cny</t>
  </si>
  <si>
    <t>basis</t>
  </si>
  <si>
    <t>within_one_year</t>
  </si>
  <si>
    <t>10989200.00</t>
  </si>
  <si>
    <t>21978291.0000</t>
  </si>
  <si>
    <t>-10989091.0000</t>
  </si>
  <si>
    <t>2025末同日面值；未来无转股、回售、赎回或加速；到期价已含末息</t>
  </si>
  <si>
    <t>one_to_three_years</t>
  </si>
  <si>
    <t>54946200.00</t>
  </si>
  <si>
    <t>72528360.3000</t>
  </si>
  <si>
    <t>-17582160.3000</t>
  </si>
  <si>
    <t>over_three_years</t>
  </si>
  <si>
    <t>2567065100.00</t>
  </si>
  <si>
    <t>39561635.00</t>
  </si>
  <si>
    <t>total</t>
  </si>
  <si>
    <t>2633000500.00</t>
  </si>
  <si>
    <t>2622010116.3000</t>
  </si>
  <si>
    <t>10990383.7000</t>
  </si>
  <si>
    <t>ks_r_bond_buckets</t>
  </si>
  <si>
    <t>case_bond_bucket_comparison_v1</t>
  </si>
  <si>
    <t>ks_d_f_face_2025, ks_d_f_coupon_3, ks_d_f_coupon_4, ks_d_f_coupon_5, ks_d_f_maturity_multiple, ks_r_bucket_within_one_year, ks_r_bucket_one_to_three_years, ks_r_bucket_over_three_years, ks_r_bucket_total</t>
  </si>
  <si>
    <t>一年以内对应2026第三年票息；一至三年对应2027/2028票息；三年以上对应2029到期含末息价。</t>
  </si>
  <si>
    <t>未证明报告表采用相同无转股假设；差额需解释，不作为自动错报或违约。
保持原报告数字和自己的契约条件计算并列，不以期末账面债券替换面值。</t>
  </si>
  <si>
    <t>See quantitative-ks_r_bond_buckets.json input_snapshot and method version</t>
  </si>
  <si>
    <t>ks_r_bucket_2026_contract</t>
  </si>
  <si>
    <t>2025末固定面值的下一年票息；artifact.rows[0].fixed_face_contract_cny；{"entity":"科顺防水科技股份有限公司","scope":"固定本金合同期限比较","start":null,"end":"2025-12-31","aggregation":"instant","basis":"原始披露及明确的独立研究假设","measure":"money","currency":"CNY","scale":"1","physical_unit":null}</t>
  </si>
  <si>
    <t>ks_r_bucket_2026_gap</t>
  </si>
  <si>
    <t>披露一年内金额减固定本金票息；artifact.rows[0].reported_minus_contract_cny；{"entity":"科顺防水科技股份有限公司","scope":"固定本金合同期限比较","start":null,"end":"2025-12-31","aggregation":"instant","basis":"原始披露及明确的独立研究假设","measure":"money","currency":"CNY","scale":"1","physical_unit":null}</t>
  </si>
</sst>
</file>

<file path=xl/styles.xml><?xml version="1.0" encoding="utf-8"?>
<styleSheet xmlns="http://schemas.openxmlformats.org/spreadsheetml/2006/main">
  <numFmts count="3">
    <numFmt numFmtId="164" formatCode="#,##0.00;[Red](#,##0.00)"/>
    <numFmt numFmtId="165" formatCode="0.00%;[Red](0.00%)"/>
    <numFmt numFmtId="166" formatCode="#,##0.00&quot; 倍&quot;;[Red](#,##0.00&quot; 倍&quot;)"/>
  </numFmts>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213B45"/>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wrapText="1"/>
    </xf>
    <xf numFmtId="0" fontId="0" fillId="0" borderId="0" xfId="0" applyAlignment="1">
      <alignment vertical="top" wrapText="1"/>
    </xf>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theme" Target="theme/theme1.xml"/><Relationship Id="rId37" Type="http://schemas.openxmlformats.org/officeDocument/2006/relationships/styles" Target="styles.xml"/><Relationship Id="rId3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19"/>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2.7109375" customWidth="1"/>
    <col min="2" max="2" width="110.7109375" customWidth="1"/>
  </cols>
  <sheetData>
    <row r="1" spans="1:2" ht="32" customHeight="1">
      <c r="A1" s="1" t="s">
        <v>0</v>
      </c>
      <c r="B1" s="1" t="s">
        <v>1</v>
      </c>
    </row>
    <row r="2" spans="1:2" ht="18" customHeight="1">
      <c r="A2" s="2" t="s">
        <v>2</v>
      </c>
      <c r="B2" s="2" t="s">
        <v>3</v>
      </c>
    </row>
    <row r="3" spans="1:2" ht="18" customHeight="1">
      <c r="A3" s="2" t="s">
        <v>4</v>
      </c>
      <c r="B3" s="2" t="s">
        <v>5</v>
      </c>
    </row>
    <row r="4" spans="1:2" ht="18" customHeight="1">
      <c r="A4" s="2" t="s">
        <v>6</v>
      </c>
      <c r="B4" s="2" t="s">
        <v>7</v>
      </c>
    </row>
    <row r="5" spans="1:2" ht="18" customHeight="1">
      <c r="A5" s="2" t="s">
        <v>8</v>
      </c>
      <c r="B5" s="2" t="s">
        <v>9</v>
      </c>
    </row>
    <row r="6" spans="1:2" ht="18" customHeight="1">
      <c r="A6" s="2" t="s">
        <v>10</v>
      </c>
      <c r="B6" s="2" t="s">
        <v>11</v>
      </c>
    </row>
    <row r="7" spans="1:2" ht="33" customHeight="1">
      <c r="A7" s="2" t="s">
        <v>12</v>
      </c>
      <c r="B7" s="2" t="s">
        <v>13</v>
      </c>
    </row>
    <row r="8" spans="1:2" ht="18" customHeight="1">
      <c r="A8" s="2" t="s">
        <v>12</v>
      </c>
      <c r="B8" s="2" t="s">
        <v>14</v>
      </c>
    </row>
    <row r="9" spans="1:2" ht="18" customHeight="1">
      <c r="A9" s="2" t="s">
        <v>15</v>
      </c>
      <c r="B9" s="2" t="s">
        <v>16</v>
      </c>
    </row>
    <row r="10" spans="1:2" ht="18" customHeight="1">
      <c r="A10" s="2" t="s">
        <v>17</v>
      </c>
      <c r="B10" s="2" t="s">
        <v>18</v>
      </c>
    </row>
    <row r="11" spans="1:2" ht="33" customHeight="1">
      <c r="A11" s="2" t="s">
        <v>19</v>
      </c>
      <c r="B11" s="2" t="s">
        <v>20</v>
      </c>
    </row>
    <row r="12" spans="1:2" ht="18" customHeight="1">
      <c r="A12" s="2" t="s">
        <v>21</v>
      </c>
      <c r="B12" s="2" t="s">
        <v>22</v>
      </c>
    </row>
    <row r="13" spans="1:2" ht="18" customHeight="1">
      <c r="A13" s="2" t="s">
        <v>23</v>
      </c>
      <c r="B13" s="2" t="s">
        <v>24</v>
      </c>
    </row>
    <row r="14" spans="1:2" ht="33" customHeight="1">
      <c r="A14" s="2" t="s">
        <v>23</v>
      </c>
      <c r="B14" s="2" t="s">
        <v>25</v>
      </c>
    </row>
    <row r="15" spans="1:2" ht="18" customHeight="1">
      <c r="A15" s="2" t="s">
        <v>23</v>
      </c>
      <c r="B15" s="2" t="s">
        <v>26</v>
      </c>
    </row>
    <row r="16" spans="1:2" ht="18" customHeight="1">
      <c r="A16" s="2" t="s">
        <v>23</v>
      </c>
      <c r="B16" s="2" t="s">
        <v>27</v>
      </c>
    </row>
    <row r="17" spans="1:2" ht="18" customHeight="1">
      <c r="A17" s="2" t="s">
        <v>23</v>
      </c>
      <c r="B17" s="2" t="s">
        <v>28</v>
      </c>
    </row>
    <row r="18" spans="1:2" ht="33" customHeight="1">
      <c r="A18" s="2" t="s">
        <v>23</v>
      </c>
      <c r="B18" s="2" t="s">
        <v>29</v>
      </c>
    </row>
    <row r="19" spans="1:2" ht="33" customHeight="1">
      <c r="A19" s="2" t="s">
        <v>23</v>
      </c>
      <c r="B19" s="2" t="s">
        <v>30</v>
      </c>
    </row>
  </sheetData>
  <autoFilter ref="A1:B19"/>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dimension ref="A1:R807"/>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8" width="28.7109375" customWidth="1"/>
  </cols>
  <sheetData>
    <row r="1" spans="1:18" ht="32" customHeight="1">
      <c r="A1" s="1" t="s">
        <v>31</v>
      </c>
      <c r="B1" s="1" t="s">
        <v>32</v>
      </c>
      <c r="C1" s="1" t="s">
        <v>33</v>
      </c>
      <c r="D1" s="1" t="s">
        <v>34</v>
      </c>
      <c r="E1" s="1" t="s">
        <v>35</v>
      </c>
      <c r="F1" s="1" t="s">
        <v>36</v>
      </c>
      <c r="G1" s="1" t="s">
        <v>37</v>
      </c>
      <c r="H1" s="1" t="s">
        <v>38</v>
      </c>
      <c r="I1" s="1" t="s">
        <v>39</v>
      </c>
      <c r="J1" s="1" t="s">
        <v>8</v>
      </c>
      <c r="K1" s="1" t="s">
        <v>40</v>
      </c>
      <c r="L1" s="1" t="s">
        <v>41</v>
      </c>
      <c r="M1" s="1" t="s">
        <v>42</v>
      </c>
      <c r="N1" s="1" t="s">
        <v>43</v>
      </c>
      <c r="O1" s="1" t="s">
        <v>10</v>
      </c>
      <c r="P1" s="1" t="s">
        <v>44</v>
      </c>
      <c r="Q1" s="1" t="s">
        <v>45</v>
      </c>
      <c r="R1" s="1" t="s">
        <v>46</v>
      </c>
    </row>
    <row r="2" spans="1:18">
      <c r="A2" s="2" t="s">
        <v>47</v>
      </c>
      <c r="B2" s="2" t="s">
        <v>48</v>
      </c>
      <c r="C2" s="2" t="s">
        <v>49</v>
      </c>
      <c r="D2" s="2">
        <v>2319406225.62</v>
      </c>
      <c r="E2" s="2">
        <v>1</v>
      </c>
      <c r="F2" s="3">
        <f>IF(COUNT(D2,E2)=2,D2*E2,NA())</f>
        <v>2319406225.62</v>
      </c>
      <c r="G2" s="2" t="s">
        <v>50</v>
      </c>
      <c r="H2" s="2" t="s">
        <v>51</v>
      </c>
      <c r="I2" s="2" t="s">
        <v>52</v>
      </c>
      <c r="J2" s="2" t="s">
        <v>53</v>
      </c>
      <c r="K2" s="2"/>
      <c r="L2" s="2" t="s">
        <v>54</v>
      </c>
      <c r="M2" s="2" t="s">
        <v>55</v>
      </c>
      <c r="N2" s="2" t="s">
        <v>56</v>
      </c>
      <c r="O2" s="2" t="s">
        <v>57</v>
      </c>
      <c r="P2" s="2" t="s">
        <v>58</v>
      </c>
      <c r="Q2" s="2" t="s">
        <v>59</v>
      </c>
      <c r="R2" s="2"/>
    </row>
    <row r="3" spans="1:18">
      <c r="A3" s="2" t="s">
        <v>60</v>
      </c>
      <c r="B3" s="2" t="s">
        <v>48</v>
      </c>
      <c r="C3" s="2" t="s">
        <v>49</v>
      </c>
      <c r="D3" s="2">
        <v>3416078844.83</v>
      </c>
      <c r="E3" s="2">
        <v>1</v>
      </c>
      <c r="F3" s="3">
        <f>IF(COUNT(D3,E3)=2,D3*E3,NA())</f>
        <v>3416078844.83</v>
      </c>
      <c r="G3" s="2" t="s">
        <v>50</v>
      </c>
      <c r="H3" s="2" t="s">
        <v>51</v>
      </c>
      <c r="I3" s="2" t="s">
        <v>52</v>
      </c>
      <c r="J3" s="2" t="s">
        <v>53</v>
      </c>
      <c r="K3" s="2"/>
      <c r="L3" s="2" t="s">
        <v>61</v>
      </c>
      <c r="M3" s="2" t="s">
        <v>55</v>
      </c>
      <c r="N3" s="2" t="s">
        <v>62</v>
      </c>
      <c r="O3" s="2" t="s">
        <v>57</v>
      </c>
      <c r="P3" s="2" t="s">
        <v>63</v>
      </c>
      <c r="Q3" s="2" t="s">
        <v>59</v>
      </c>
      <c r="R3" s="2"/>
    </row>
    <row r="4" spans="1:18">
      <c r="A4" s="2" t="s">
        <v>64</v>
      </c>
      <c r="B4" s="2" t="s">
        <v>65</v>
      </c>
      <c r="C4" s="2" t="s">
        <v>49</v>
      </c>
      <c r="D4" s="2">
        <v>339930104.53</v>
      </c>
      <c r="E4" s="2">
        <v>1</v>
      </c>
      <c r="F4" s="3">
        <f>IF(COUNT(D4,E4)=2,D4*E4,NA())</f>
        <v>339930104.53</v>
      </c>
      <c r="G4" s="2" t="s">
        <v>50</v>
      </c>
      <c r="H4" s="2" t="s">
        <v>51</v>
      </c>
      <c r="I4" s="2" t="s">
        <v>52</v>
      </c>
      <c r="J4" s="2" t="s">
        <v>53</v>
      </c>
      <c r="K4" s="2"/>
      <c r="L4" s="2" t="s">
        <v>54</v>
      </c>
      <c r="M4" s="2" t="s">
        <v>55</v>
      </c>
      <c r="N4" s="2" t="s">
        <v>56</v>
      </c>
      <c r="O4" s="2" t="s">
        <v>57</v>
      </c>
      <c r="P4" s="2" t="s">
        <v>66</v>
      </c>
      <c r="Q4" s="2" t="s">
        <v>67</v>
      </c>
      <c r="R4" s="2"/>
    </row>
    <row r="5" spans="1:18">
      <c r="A5" s="2" t="s">
        <v>68</v>
      </c>
      <c r="B5" s="2" t="s">
        <v>65</v>
      </c>
      <c r="C5" s="2" t="s">
        <v>49</v>
      </c>
      <c r="D5" s="2">
        <v>266578153.07</v>
      </c>
      <c r="E5" s="2">
        <v>1</v>
      </c>
      <c r="F5" s="3">
        <f>IF(COUNT(D5,E5)=2,D5*E5,NA())</f>
        <v>266578153.07</v>
      </c>
      <c r="G5" s="2" t="s">
        <v>50</v>
      </c>
      <c r="H5" s="2" t="s">
        <v>51</v>
      </c>
      <c r="I5" s="2" t="s">
        <v>52</v>
      </c>
      <c r="J5" s="2" t="s">
        <v>53</v>
      </c>
      <c r="K5" s="2"/>
      <c r="L5" s="2" t="s">
        <v>61</v>
      </c>
      <c r="M5" s="2" t="s">
        <v>55</v>
      </c>
      <c r="N5" s="2" t="s">
        <v>62</v>
      </c>
      <c r="O5" s="2" t="s">
        <v>57</v>
      </c>
      <c r="P5" s="2" t="s">
        <v>69</v>
      </c>
      <c r="Q5" s="2" t="s">
        <v>67</v>
      </c>
      <c r="R5" s="2"/>
    </row>
    <row r="6" spans="1:18">
      <c r="A6" s="2" t="s">
        <v>70</v>
      </c>
      <c r="B6" s="2" t="s">
        <v>71</v>
      </c>
      <c r="C6" s="2" t="s">
        <v>49</v>
      </c>
      <c r="D6" s="2">
        <v>12214074.43</v>
      </c>
      <c r="E6" s="2">
        <v>1</v>
      </c>
      <c r="F6" s="3">
        <f>IF(COUNT(D6,E6)=2,D6*E6,NA())</f>
        <v>12214074.43</v>
      </c>
      <c r="G6" s="2" t="s">
        <v>50</v>
      </c>
      <c r="H6" s="2" t="s">
        <v>51</v>
      </c>
      <c r="I6" s="2" t="s">
        <v>52</v>
      </c>
      <c r="J6" s="2" t="s">
        <v>53</v>
      </c>
      <c r="K6" s="2"/>
      <c r="L6" s="2" t="s">
        <v>54</v>
      </c>
      <c r="M6" s="2" t="s">
        <v>55</v>
      </c>
      <c r="N6" s="2" t="s">
        <v>56</v>
      </c>
      <c r="O6" s="2" t="s">
        <v>57</v>
      </c>
      <c r="P6" s="2" t="s">
        <v>72</v>
      </c>
      <c r="Q6" s="2" t="s">
        <v>73</v>
      </c>
      <c r="R6" s="2"/>
    </row>
    <row r="7" spans="1:18">
      <c r="A7" s="2" t="s">
        <v>74</v>
      </c>
      <c r="B7" s="2" t="s">
        <v>71</v>
      </c>
      <c r="C7" s="2" t="s">
        <v>49</v>
      </c>
      <c r="D7" s="2">
        <v>17834987.93</v>
      </c>
      <c r="E7" s="2">
        <v>1</v>
      </c>
      <c r="F7" s="3">
        <f>IF(COUNT(D7,E7)=2,D7*E7,NA())</f>
        <v>17834987.93</v>
      </c>
      <c r="G7" s="2" t="s">
        <v>50</v>
      </c>
      <c r="H7" s="2" t="s">
        <v>51</v>
      </c>
      <c r="I7" s="2" t="s">
        <v>52</v>
      </c>
      <c r="J7" s="2" t="s">
        <v>53</v>
      </c>
      <c r="K7" s="2"/>
      <c r="L7" s="2" t="s">
        <v>61</v>
      </c>
      <c r="M7" s="2" t="s">
        <v>55</v>
      </c>
      <c r="N7" s="2" t="s">
        <v>62</v>
      </c>
      <c r="O7" s="2" t="s">
        <v>57</v>
      </c>
      <c r="P7" s="2" t="s">
        <v>75</v>
      </c>
      <c r="Q7" s="2" t="s">
        <v>73</v>
      </c>
      <c r="R7" s="2"/>
    </row>
    <row r="8" spans="1:18">
      <c r="A8" s="2" t="s">
        <v>76</v>
      </c>
      <c r="B8" s="2" t="s">
        <v>77</v>
      </c>
      <c r="C8" s="2" t="s">
        <v>49</v>
      </c>
      <c r="D8" s="2">
        <v>3294515959.2</v>
      </c>
      <c r="E8" s="2">
        <v>1</v>
      </c>
      <c r="F8" s="3">
        <f>IF(COUNT(D8,E8)=2,D8*E8,NA())</f>
        <v>3294515959.2</v>
      </c>
      <c r="G8" s="2" t="s">
        <v>50</v>
      </c>
      <c r="H8" s="2" t="s">
        <v>51</v>
      </c>
      <c r="I8" s="2" t="s">
        <v>52</v>
      </c>
      <c r="J8" s="2" t="s">
        <v>53</v>
      </c>
      <c r="K8" s="2"/>
      <c r="L8" s="2" t="s">
        <v>54</v>
      </c>
      <c r="M8" s="2" t="s">
        <v>55</v>
      </c>
      <c r="N8" s="2" t="s">
        <v>56</v>
      </c>
      <c r="O8" s="2" t="s">
        <v>57</v>
      </c>
      <c r="P8" s="2" t="s">
        <v>78</v>
      </c>
      <c r="Q8" s="2" t="s">
        <v>79</v>
      </c>
      <c r="R8" s="2"/>
    </row>
    <row r="9" spans="1:18">
      <c r="A9" s="2" t="s">
        <v>80</v>
      </c>
      <c r="B9" s="2" t="s">
        <v>77</v>
      </c>
      <c r="C9" s="2" t="s">
        <v>49</v>
      </c>
      <c r="D9" s="2">
        <v>4072793425.11</v>
      </c>
      <c r="E9" s="2">
        <v>1</v>
      </c>
      <c r="F9" s="3">
        <f>IF(COUNT(D9,E9)=2,D9*E9,NA())</f>
        <v>4072793425.11</v>
      </c>
      <c r="G9" s="2" t="s">
        <v>50</v>
      </c>
      <c r="H9" s="2" t="s">
        <v>51</v>
      </c>
      <c r="I9" s="2" t="s">
        <v>52</v>
      </c>
      <c r="J9" s="2" t="s">
        <v>53</v>
      </c>
      <c r="K9" s="2"/>
      <c r="L9" s="2" t="s">
        <v>61</v>
      </c>
      <c r="M9" s="2" t="s">
        <v>55</v>
      </c>
      <c r="N9" s="2" t="s">
        <v>62</v>
      </c>
      <c r="O9" s="2" t="s">
        <v>57</v>
      </c>
      <c r="P9" s="2" t="s">
        <v>81</v>
      </c>
      <c r="Q9" s="2" t="s">
        <v>79</v>
      </c>
      <c r="R9" s="2"/>
    </row>
    <row r="10" spans="1:18">
      <c r="A10" s="2" t="s">
        <v>82</v>
      </c>
      <c r="B10" s="2" t="s">
        <v>83</v>
      </c>
      <c r="C10" s="2" t="s">
        <v>49</v>
      </c>
      <c r="D10" s="2">
        <v>469474362.71</v>
      </c>
      <c r="E10" s="2">
        <v>1</v>
      </c>
      <c r="F10" s="3">
        <f>IF(COUNT(D10,E10)=2,D10*E10,NA())</f>
        <v>469474362.71</v>
      </c>
      <c r="G10" s="2" t="s">
        <v>50</v>
      </c>
      <c r="H10" s="2" t="s">
        <v>51</v>
      </c>
      <c r="I10" s="2" t="s">
        <v>52</v>
      </c>
      <c r="J10" s="2" t="s">
        <v>53</v>
      </c>
      <c r="K10" s="2"/>
      <c r="L10" s="2" t="s">
        <v>54</v>
      </c>
      <c r="M10" s="2" t="s">
        <v>55</v>
      </c>
      <c r="N10" s="2" t="s">
        <v>56</v>
      </c>
      <c r="O10" s="2" t="s">
        <v>57</v>
      </c>
      <c r="P10" s="2" t="s">
        <v>84</v>
      </c>
      <c r="Q10" s="2" t="s">
        <v>85</v>
      </c>
      <c r="R10" s="2"/>
    </row>
    <row r="11" spans="1:18">
      <c r="A11" s="2" t="s">
        <v>86</v>
      </c>
      <c r="B11" s="2" t="s">
        <v>83</v>
      </c>
      <c r="C11" s="2" t="s">
        <v>49</v>
      </c>
      <c r="D11" s="2">
        <v>493088175.58</v>
      </c>
      <c r="E11" s="2">
        <v>1</v>
      </c>
      <c r="F11" s="3">
        <f>IF(COUNT(D11,E11)=2,D11*E11,NA())</f>
        <v>493088175.58</v>
      </c>
      <c r="G11" s="2" t="s">
        <v>50</v>
      </c>
      <c r="H11" s="2" t="s">
        <v>51</v>
      </c>
      <c r="I11" s="2" t="s">
        <v>52</v>
      </c>
      <c r="J11" s="2" t="s">
        <v>53</v>
      </c>
      <c r="K11" s="2"/>
      <c r="L11" s="2" t="s">
        <v>61</v>
      </c>
      <c r="M11" s="2" t="s">
        <v>55</v>
      </c>
      <c r="N11" s="2" t="s">
        <v>62</v>
      </c>
      <c r="O11" s="2" t="s">
        <v>57</v>
      </c>
      <c r="P11" s="2" t="s">
        <v>87</v>
      </c>
      <c r="Q11" s="2" t="s">
        <v>85</v>
      </c>
      <c r="R11" s="2"/>
    </row>
    <row r="12" spans="1:18">
      <c r="A12" s="2" t="s">
        <v>88</v>
      </c>
      <c r="B12" s="2" t="s">
        <v>89</v>
      </c>
      <c r="C12" s="2" t="s">
        <v>49</v>
      </c>
      <c r="D12" s="2">
        <v>182790599.4</v>
      </c>
      <c r="E12" s="2">
        <v>1</v>
      </c>
      <c r="F12" s="3">
        <f>IF(COUNT(D12,E12)=2,D12*E12,NA())</f>
        <v>182790599.4</v>
      </c>
      <c r="G12" s="2" t="s">
        <v>50</v>
      </c>
      <c r="H12" s="2" t="s">
        <v>51</v>
      </c>
      <c r="I12" s="2" t="s">
        <v>52</v>
      </c>
      <c r="J12" s="2" t="s">
        <v>53</v>
      </c>
      <c r="K12" s="2"/>
      <c r="L12" s="2" t="s">
        <v>54</v>
      </c>
      <c r="M12" s="2" t="s">
        <v>55</v>
      </c>
      <c r="N12" s="2" t="s">
        <v>56</v>
      </c>
      <c r="O12" s="2" t="s">
        <v>57</v>
      </c>
      <c r="P12" s="2" t="s">
        <v>90</v>
      </c>
      <c r="Q12" s="2" t="s">
        <v>91</v>
      </c>
      <c r="R12" s="2"/>
    </row>
    <row r="13" spans="1:18">
      <c r="A13" s="2" t="s">
        <v>92</v>
      </c>
      <c r="B13" s="2" t="s">
        <v>89</v>
      </c>
      <c r="C13" s="2" t="s">
        <v>49</v>
      </c>
      <c r="D13" s="2">
        <v>166143752.33</v>
      </c>
      <c r="E13" s="2">
        <v>1</v>
      </c>
      <c r="F13" s="3">
        <f>IF(COUNT(D13,E13)=2,D13*E13,NA())</f>
        <v>166143752.33</v>
      </c>
      <c r="G13" s="2" t="s">
        <v>50</v>
      </c>
      <c r="H13" s="2" t="s">
        <v>51</v>
      </c>
      <c r="I13" s="2" t="s">
        <v>52</v>
      </c>
      <c r="J13" s="2" t="s">
        <v>53</v>
      </c>
      <c r="K13" s="2"/>
      <c r="L13" s="2" t="s">
        <v>61</v>
      </c>
      <c r="M13" s="2" t="s">
        <v>55</v>
      </c>
      <c r="N13" s="2" t="s">
        <v>62</v>
      </c>
      <c r="O13" s="2" t="s">
        <v>57</v>
      </c>
      <c r="P13" s="2" t="s">
        <v>93</v>
      </c>
      <c r="Q13" s="2" t="s">
        <v>91</v>
      </c>
      <c r="R13" s="2"/>
    </row>
    <row r="14" spans="1:18">
      <c r="A14" s="2" t="s">
        <v>94</v>
      </c>
      <c r="B14" s="2" t="s">
        <v>95</v>
      </c>
      <c r="C14" s="2" t="s">
        <v>49</v>
      </c>
      <c r="D14" s="2">
        <v>339665159.75</v>
      </c>
      <c r="E14" s="2">
        <v>1</v>
      </c>
      <c r="F14" s="3">
        <f>IF(COUNT(D14,E14)=2,D14*E14,NA())</f>
        <v>339665159.75</v>
      </c>
      <c r="G14" s="2" t="s">
        <v>50</v>
      </c>
      <c r="H14" s="2" t="s">
        <v>51</v>
      </c>
      <c r="I14" s="2" t="s">
        <v>52</v>
      </c>
      <c r="J14" s="2" t="s">
        <v>53</v>
      </c>
      <c r="K14" s="2"/>
      <c r="L14" s="2" t="s">
        <v>54</v>
      </c>
      <c r="M14" s="2" t="s">
        <v>55</v>
      </c>
      <c r="N14" s="2" t="s">
        <v>56</v>
      </c>
      <c r="O14" s="2" t="s">
        <v>57</v>
      </c>
      <c r="P14" s="2" t="s">
        <v>96</v>
      </c>
      <c r="Q14" s="2" t="s">
        <v>97</v>
      </c>
      <c r="R14" s="2"/>
    </row>
    <row r="15" spans="1:18">
      <c r="A15" s="2" t="s">
        <v>98</v>
      </c>
      <c r="B15" s="2" t="s">
        <v>95</v>
      </c>
      <c r="C15" s="2" t="s">
        <v>49</v>
      </c>
      <c r="D15" s="2">
        <v>338390689.3</v>
      </c>
      <c r="E15" s="2">
        <v>1</v>
      </c>
      <c r="F15" s="3">
        <f>IF(COUNT(D15,E15)=2,D15*E15,NA())</f>
        <v>338390689.3</v>
      </c>
      <c r="G15" s="2" t="s">
        <v>50</v>
      </c>
      <c r="H15" s="2" t="s">
        <v>51</v>
      </c>
      <c r="I15" s="2" t="s">
        <v>52</v>
      </c>
      <c r="J15" s="2" t="s">
        <v>53</v>
      </c>
      <c r="K15" s="2"/>
      <c r="L15" s="2" t="s">
        <v>61</v>
      </c>
      <c r="M15" s="2" t="s">
        <v>55</v>
      </c>
      <c r="N15" s="2" t="s">
        <v>62</v>
      </c>
      <c r="O15" s="2" t="s">
        <v>57</v>
      </c>
      <c r="P15" s="2" t="s">
        <v>99</v>
      </c>
      <c r="Q15" s="2" t="s">
        <v>97</v>
      </c>
      <c r="R15" s="2"/>
    </row>
    <row r="16" spans="1:18">
      <c r="A16" s="2" t="s">
        <v>100</v>
      </c>
      <c r="B16" s="2" t="s">
        <v>101</v>
      </c>
      <c r="C16" s="2" t="s">
        <v>49</v>
      </c>
      <c r="D16" s="2">
        <v>424169761.35</v>
      </c>
      <c r="E16" s="2">
        <v>1</v>
      </c>
      <c r="F16" s="3">
        <f>IF(COUNT(D16,E16)=2,D16*E16,NA())</f>
        <v>424169761.35</v>
      </c>
      <c r="G16" s="2" t="s">
        <v>50</v>
      </c>
      <c r="H16" s="2" t="s">
        <v>51</v>
      </c>
      <c r="I16" s="2" t="s">
        <v>52</v>
      </c>
      <c r="J16" s="2" t="s">
        <v>53</v>
      </c>
      <c r="K16" s="2"/>
      <c r="L16" s="2" t="s">
        <v>54</v>
      </c>
      <c r="M16" s="2" t="s">
        <v>55</v>
      </c>
      <c r="N16" s="2" t="s">
        <v>56</v>
      </c>
      <c r="O16" s="2" t="s">
        <v>57</v>
      </c>
      <c r="P16" s="2" t="s">
        <v>102</v>
      </c>
      <c r="Q16" s="2" t="s">
        <v>103</v>
      </c>
      <c r="R16" s="2"/>
    </row>
    <row r="17" spans="1:18">
      <c r="A17" s="2" t="s">
        <v>104</v>
      </c>
      <c r="B17" s="2" t="s">
        <v>101</v>
      </c>
      <c r="C17" s="2" t="s">
        <v>49</v>
      </c>
      <c r="D17" s="2">
        <v>501975812.22</v>
      </c>
      <c r="E17" s="2">
        <v>1</v>
      </c>
      <c r="F17" s="3">
        <f>IF(COUNT(D17,E17)=2,D17*E17,NA())</f>
        <v>501975812.22</v>
      </c>
      <c r="G17" s="2" t="s">
        <v>50</v>
      </c>
      <c r="H17" s="2" t="s">
        <v>51</v>
      </c>
      <c r="I17" s="2" t="s">
        <v>52</v>
      </c>
      <c r="J17" s="2" t="s">
        <v>53</v>
      </c>
      <c r="K17" s="2"/>
      <c r="L17" s="2" t="s">
        <v>61</v>
      </c>
      <c r="M17" s="2" t="s">
        <v>55</v>
      </c>
      <c r="N17" s="2" t="s">
        <v>62</v>
      </c>
      <c r="O17" s="2" t="s">
        <v>57</v>
      </c>
      <c r="P17" s="2" t="s">
        <v>105</v>
      </c>
      <c r="Q17" s="2" t="s">
        <v>103</v>
      </c>
      <c r="R17" s="2"/>
    </row>
    <row r="18" spans="1:18">
      <c r="A18" s="2" t="s">
        <v>106</v>
      </c>
      <c r="B18" s="2" t="s">
        <v>107</v>
      </c>
      <c r="C18" s="2" t="s">
        <v>49</v>
      </c>
      <c r="D18" s="2">
        <v>391302589.91</v>
      </c>
      <c r="E18" s="2">
        <v>1</v>
      </c>
      <c r="F18" s="3">
        <f>IF(COUNT(D18,E18)=2,D18*E18,NA())</f>
        <v>391302589.91</v>
      </c>
      <c r="G18" s="2" t="s">
        <v>50</v>
      </c>
      <c r="H18" s="2" t="s">
        <v>51</v>
      </c>
      <c r="I18" s="2" t="s">
        <v>52</v>
      </c>
      <c r="J18" s="2" t="s">
        <v>53</v>
      </c>
      <c r="K18" s="2"/>
      <c r="L18" s="2" t="s">
        <v>54</v>
      </c>
      <c r="M18" s="2" t="s">
        <v>55</v>
      </c>
      <c r="N18" s="2" t="s">
        <v>56</v>
      </c>
      <c r="O18" s="2" t="s">
        <v>57</v>
      </c>
      <c r="P18" s="2" t="s">
        <v>108</v>
      </c>
      <c r="Q18" s="2" t="s">
        <v>109</v>
      </c>
      <c r="R18" s="2"/>
    </row>
    <row r="19" spans="1:18">
      <c r="A19" s="2" t="s">
        <v>110</v>
      </c>
      <c r="B19" s="2" t="s">
        <v>107</v>
      </c>
      <c r="C19" s="2" t="s">
        <v>49</v>
      </c>
      <c r="D19" s="2">
        <v>374997920.64</v>
      </c>
      <c r="E19" s="2">
        <v>1</v>
      </c>
      <c r="F19" s="3">
        <f>IF(COUNT(D19,E19)=2,D19*E19,NA())</f>
        <v>374997920.64</v>
      </c>
      <c r="G19" s="2" t="s">
        <v>50</v>
      </c>
      <c r="H19" s="2" t="s">
        <v>51</v>
      </c>
      <c r="I19" s="2" t="s">
        <v>52</v>
      </c>
      <c r="J19" s="2" t="s">
        <v>53</v>
      </c>
      <c r="K19" s="2"/>
      <c r="L19" s="2" t="s">
        <v>61</v>
      </c>
      <c r="M19" s="2" t="s">
        <v>55</v>
      </c>
      <c r="N19" s="2" t="s">
        <v>62</v>
      </c>
      <c r="O19" s="2" t="s">
        <v>57</v>
      </c>
      <c r="P19" s="2" t="s">
        <v>111</v>
      </c>
      <c r="Q19" s="2" t="s">
        <v>109</v>
      </c>
      <c r="R19" s="2"/>
    </row>
    <row r="20" spans="1:18">
      <c r="A20" s="2" t="s">
        <v>112</v>
      </c>
      <c r="B20" s="2" t="s">
        <v>113</v>
      </c>
      <c r="C20" s="2" t="s">
        <v>49</v>
      </c>
      <c r="D20" s="2">
        <v>60449874.88</v>
      </c>
      <c r="E20" s="2">
        <v>1</v>
      </c>
      <c r="F20" s="3">
        <f>IF(COUNT(D20,E20)=2,D20*E20,NA())</f>
        <v>60449874.88</v>
      </c>
      <c r="G20" s="2" t="s">
        <v>50</v>
      </c>
      <c r="H20" s="2" t="s">
        <v>51</v>
      </c>
      <c r="I20" s="2" t="s">
        <v>52</v>
      </c>
      <c r="J20" s="2" t="s">
        <v>53</v>
      </c>
      <c r="K20" s="2"/>
      <c r="L20" s="2" t="s">
        <v>61</v>
      </c>
      <c r="M20" s="2" t="s">
        <v>55</v>
      </c>
      <c r="N20" s="2" t="s">
        <v>62</v>
      </c>
      <c r="O20" s="2" t="s">
        <v>57</v>
      </c>
      <c r="P20" s="2" t="s">
        <v>114</v>
      </c>
      <c r="Q20" s="2" t="s">
        <v>115</v>
      </c>
      <c r="R20" s="2"/>
    </row>
    <row r="21" spans="1:18">
      <c r="A21" s="2" t="s">
        <v>116</v>
      </c>
      <c r="B21" s="2" t="s">
        <v>117</v>
      </c>
      <c r="C21" s="2" t="s">
        <v>49</v>
      </c>
      <c r="D21" s="2">
        <v>214287426.97</v>
      </c>
      <c r="E21" s="2">
        <v>1</v>
      </c>
      <c r="F21" s="3">
        <f>IF(COUNT(D21,E21)=2,D21*E21,NA())</f>
        <v>214287426.97</v>
      </c>
      <c r="G21" s="2" t="s">
        <v>50</v>
      </c>
      <c r="H21" s="2" t="s">
        <v>51</v>
      </c>
      <c r="I21" s="2" t="s">
        <v>52</v>
      </c>
      <c r="J21" s="2" t="s">
        <v>53</v>
      </c>
      <c r="K21" s="2"/>
      <c r="L21" s="2" t="s">
        <v>54</v>
      </c>
      <c r="M21" s="2" t="s">
        <v>55</v>
      </c>
      <c r="N21" s="2" t="s">
        <v>56</v>
      </c>
      <c r="O21" s="2" t="s">
        <v>57</v>
      </c>
      <c r="P21" s="2" t="s">
        <v>118</v>
      </c>
      <c r="Q21" s="2" t="s">
        <v>119</v>
      </c>
      <c r="R21" s="2"/>
    </row>
    <row r="22" spans="1:18">
      <c r="A22" s="2" t="s">
        <v>120</v>
      </c>
      <c r="B22" s="2" t="s">
        <v>117</v>
      </c>
      <c r="C22" s="2" t="s">
        <v>49</v>
      </c>
      <c r="D22" s="2">
        <v>211689014.45</v>
      </c>
      <c r="E22" s="2">
        <v>1</v>
      </c>
      <c r="F22" s="3">
        <f>IF(COUNT(D22,E22)=2,D22*E22,NA())</f>
        <v>211689014.45</v>
      </c>
      <c r="G22" s="2" t="s">
        <v>50</v>
      </c>
      <c r="H22" s="2" t="s">
        <v>51</v>
      </c>
      <c r="I22" s="2" t="s">
        <v>52</v>
      </c>
      <c r="J22" s="2" t="s">
        <v>53</v>
      </c>
      <c r="K22" s="2"/>
      <c r="L22" s="2" t="s">
        <v>61</v>
      </c>
      <c r="M22" s="2" t="s">
        <v>55</v>
      </c>
      <c r="N22" s="2" t="s">
        <v>62</v>
      </c>
      <c r="O22" s="2" t="s">
        <v>57</v>
      </c>
      <c r="P22" s="2" t="s">
        <v>121</v>
      </c>
      <c r="Q22" s="2" t="s">
        <v>119</v>
      </c>
      <c r="R22" s="2"/>
    </row>
    <row r="23" spans="1:18">
      <c r="A23" s="2" t="s">
        <v>122</v>
      </c>
      <c r="B23" s="2" t="s">
        <v>123</v>
      </c>
      <c r="C23" s="2" t="s">
        <v>49</v>
      </c>
      <c r="D23" s="2">
        <v>7987756263.87</v>
      </c>
      <c r="E23" s="2">
        <v>1</v>
      </c>
      <c r="F23" s="3">
        <f>IF(COUNT(D23,E23)=2,D23*E23,NA())</f>
        <v>7987756263.87</v>
      </c>
      <c r="G23" s="2" t="s">
        <v>50</v>
      </c>
      <c r="H23" s="2" t="s">
        <v>51</v>
      </c>
      <c r="I23" s="2" t="s">
        <v>52</v>
      </c>
      <c r="J23" s="2" t="s">
        <v>53</v>
      </c>
      <c r="K23" s="2"/>
      <c r="L23" s="2" t="s">
        <v>54</v>
      </c>
      <c r="M23" s="2" t="s">
        <v>55</v>
      </c>
      <c r="N23" s="2" t="s">
        <v>56</v>
      </c>
      <c r="O23" s="2" t="s">
        <v>57</v>
      </c>
      <c r="P23" s="2" t="s">
        <v>124</v>
      </c>
      <c r="Q23" s="2" t="s">
        <v>125</v>
      </c>
      <c r="R23" s="2"/>
    </row>
    <row r="24" spans="1:18">
      <c r="A24" s="2" t="s">
        <v>126</v>
      </c>
      <c r="B24" s="2" t="s">
        <v>123</v>
      </c>
      <c r="C24" s="2" t="s">
        <v>49</v>
      </c>
      <c r="D24" s="2">
        <v>9920020650.34</v>
      </c>
      <c r="E24" s="2">
        <v>1</v>
      </c>
      <c r="F24" s="3">
        <f>IF(COUNT(D24,E24)=2,D24*E24,NA())</f>
        <v>9920020650.34</v>
      </c>
      <c r="G24" s="2" t="s">
        <v>50</v>
      </c>
      <c r="H24" s="2" t="s">
        <v>51</v>
      </c>
      <c r="I24" s="2" t="s">
        <v>52</v>
      </c>
      <c r="J24" s="2" t="s">
        <v>53</v>
      </c>
      <c r="K24" s="2"/>
      <c r="L24" s="2" t="s">
        <v>61</v>
      </c>
      <c r="M24" s="2" t="s">
        <v>55</v>
      </c>
      <c r="N24" s="2" t="s">
        <v>62</v>
      </c>
      <c r="O24" s="2" t="s">
        <v>57</v>
      </c>
      <c r="P24" s="2" t="s">
        <v>127</v>
      </c>
      <c r="Q24" s="2" t="s">
        <v>125</v>
      </c>
      <c r="R24" s="2"/>
    </row>
    <row r="25" spans="1:18">
      <c r="A25" s="2" t="s">
        <v>128</v>
      </c>
      <c r="B25" s="2" t="s">
        <v>129</v>
      </c>
      <c r="C25" s="2" t="s">
        <v>49</v>
      </c>
      <c r="D25" s="2">
        <v>57543529.44</v>
      </c>
      <c r="E25" s="2">
        <v>1</v>
      </c>
      <c r="F25" s="3">
        <f>IF(COUNT(D25,E25)=2,D25*E25,NA())</f>
        <v>57543529.44</v>
      </c>
      <c r="G25" s="2" t="s">
        <v>50</v>
      </c>
      <c r="H25" s="2" t="s">
        <v>51</v>
      </c>
      <c r="I25" s="2" t="s">
        <v>52</v>
      </c>
      <c r="J25" s="2" t="s">
        <v>53</v>
      </c>
      <c r="K25" s="2"/>
      <c r="L25" s="2" t="s">
        <v>61</v>
      </c>
      <c r="M25" s="2" t="s">
        <v>55</v>
      </c>
      <c r="N25" s="2" t="s">
        <v>62</v>
      </c>
      <c r="O25" s="2" t="s">
        <v>57</v>
      </c>
      <c r="P25" s="2" t="s">
        <v>130</v>
      </c>
      <c r="Q25" s="2" t="s">
        <v>131</v>
      </c>
      <c r="R25" s="2"/>
    </row>
    <row r="26" spans="1:18">
      <c r="A26" s="2" t="s">
        <v>132</v>
      </c>
      <c r="B26" s="2" t="s">
        <v>133</v>
      </c>
      <c r="C26" s="2" t="s">
        <v>49</v>
      </c>
      <c r="D26" s="2">
        <v>146664561.61</v>
      </c>
      <c r="E26" s="2">
        <v>1</v>
      </c>
      <c r="F26" s="3">
        <f>IF(COUNT(D26,E26)=2,D26*E26,NA())</f>
        <v>146664561.61</v>
      </c>
      <c r="G26" s="2" t="s">
        <v>50</v>
      </c>
      <c r="H26" s="2" t="s">
        <v>51</v>
      </c>
      <c r="I26" s="2" t="s">
        <v>52</v>
      </c>
      <c r="J26" s="2" t="s">
        <v>53</v>
      </c>
      <c r="K26" s="2"/>
      <c r="L26" s="2" t="s">
        <v>54</v>
      </c>
      <c r="M26" s="2" t="s">
        <v>55</v>
      </c>
      <c r="N26" s="2" t="s">
        <v>56</v>
      </c>
      <c r="O26" s="2" t="s">
        <v>57</v>
      </c>
      <c r="P26" s="2" t="s">
        <v>134</v>
      </c>
      <c r="Q26" s="2" t="s">
        <v>135</v>
      </c>
      <c r="R26" s="2"/>
    </row>
    <row r="27" spans="1:18">
      <c r="A27" s="2" t="s">
        <v>136</v>
      </c>
      <c r="B27" s="2" t="s">
        <v>133</v>
      </c>
      <c r="C27" s="2" t="s">
        <v>49</v>
      </c>
      <c r="D27" s="2">
        <v>30009582.5</v>
      </c>
      <c r="E27" s="2">
        <v>1</v>
      </c>
      <c r="F27" s="3">
        <f>IF(COUNT(D27,E27)=2,D27*E27,NA())</f>
        <v>30009582.5</v>
      </c>
      <c r="G27" s="2" t="s">
        <v>50</v>
      </c>
      <c r="H27" s="2" t="s">
        <v>51</v>
      </c>
      <c r="I27" s="2" t="s">
        <v>52</v>
      </c>
      <c r="J27" s="2" t="s">
        <v>53</v>
      </c>
      <c r="K27" s="2"/>
      <c r="L27" s="2" t="s">
        <v>61</v>
      </c>
      <c r="M27" s="2" t="s">
        <v>55</v>
      </c>
      <c r="N27" s="2" t="s">
        <v>62</v>
      </c>
      <c r="O27" s="2" t="s">
        <v>57</v>
      </c>
      <c r="P27" s="2" t="s">
        <v>137</v>
      </c>
      <c r="Q27" s="2" t="s">
        <v>135</v>
      </c>
      <c r="R27" s="2"/>
    </row>
    <row r="28" spans="1:18">
      <c r="A28" s="2" t="s">
        <v>138</v>
      </c>
      <c r="B28" s="2" t="s">
        <v>139</v>
      </c>
      <c r="C28" s="2" t="s">
        <v>49</v>
      </c>
      <c r="D28" s="2">
        <v>4439587.76</v>
      </c>
      <c r="E28" s="2">
        <v>1</v>
      </c>
      <c r="F28" s="3">
        <f>IF(COUNT(D28,E28)=2,D28*E28,NA())</f>
        <v>4439587.76</v>
      </c>
      <c r="G28" s="2" t="s">
        <v>50</v>
      </c>
      <c r="H28" s="2" t="s">
        <v>51</v>
      </c>
      <c r="I28" s="2" t="s">
        <v>52</v>
      </c>
      <c r="J28" s="2" t="s">
        <v>53</v>
      </c>
      <c r="K28" s="2"/>
      <c r="L28" s="2" t="s">
        <v>54</v>
      </c>
      <c r="M28" s="2" t="s">
        <v>55</v>
      </c>
      <c r="N28" s="2" t="s">
        <v>56</v>
      </c>
      <c r="O28" s="2" t="s">
        <v>57</v>
      </c>
      <c r="P28" s="2" t="s">
        <v>140</v>
      </c>
      <c r="Q28" s="2" t="s">
        <v>141</v>
      </c>
      <c r="R28" s="2"/>
    </row>
    <row r="29" spans="1:18">
      <c r="A29" s="2" t="s">
        <v>142</v>
      </c>
      <c r="B29" s="2" t="s">
        <v>139</v>
      </c>
      <c r="C29" s="2" t="s">
        <v>49</v>
      </c>
      <c r="D29" s="2">
        <v>4439587.76</v>
      </c>
      <c r="E29" s="2">
        <v>1</v>
      </c>
      <c r="F29" s="3">
        <f>IF(COUNT(D29,E29)=2,D29*E29,NA())</f>
        <v>4439587.76</v>
      </c>
      <c r="G29" s="2" t="s">
        <v>50</v>
      </c>
      <c r="H29" s="2" t="s">
        <v>51</v>
      </c>
      <c r="I29" s="2" t="s">
        <v>52</v>
      </c>
      <c r="J29" s="2" t="s">
        <v>53</v>
      </c>
      <c r="K29" s="2"/>
      <c r="L29" s="2" t="s">
        <v>61</v>
      </c>
      <c r="M29" s="2" t="s">
        <v>55</v>
      </c>
      <c r="N29" s="2" t="s">
        <v>62</v>
      </c>
      <c r="O29" s="2" t="s">
        <v>57</v>
      </c>
      <c r="P29" s="2" t="s">
        <v>143</v>
      </c>
      <c r="Q29" s="2" t="s">
        <v>141</v>
      </c>
      <c r="R29" s="2"/>
    </row>
    <row r="30" spans="1:18">
      <c r="A30" s="2" t="s">
        <v>144</v>
      </c>
      <c r="B30" s="2" t="s">
        <v>145</v>
      </c>
      <c r="C30" s="2" t="s">
        <v>49</v>
      </c>
      <c r="D30" s="2">
        <v>98677058.84</v>
      </c>
      <c r="E30" s="2">
        <v>1</v>
      </c>
      <c r="F30" s="3">
        <f>IF(COUNT(D30,E30)=2,D30*E30,NA())</f>
        <v>98677058.84</v>
      </c>
      <c r="G30" s="2" t="s">
        <v>50</v>
      </c>
      <c r="H30" s="2" t="s">
        <v>51</v>
      </c>
      <c r="I30" s="2" t="s">
        <v>52</v>
      </c>
      <c r="J30" s="2" t="s">
        <v>53</v>
      </c>
      <c r="K30" s="2"/>
      <c r="L30" s="2" t="s">
        <v>54</v>
      </c>
      <c r="M30" s="2" t="s">
        <v>55</v>
      </c>
      <c r="N30" s="2" t="s">
        <v>56</v>
      </c>
      <c r="O30" s="2" t="s">
        <v>57</v>
      </c>
      <c r="P30" s="2" t="s">
        <v>146</v>
      </c>
      <c r="Q30" s="2" t="s">
        <v>147</v>
      </c>
      <c r="R30" s="2"/>
    </row>
    <row r="31" spans="1:18">
      <c r="A31" s="2" t="s">
        <v>148</v>
      </c>
      <c r="B31" s="2" t="s">
        <v>145</v>
      </c>
      <c r="C31" s="2" t="s">
        <v>49</v>
      </c>
      <c r="D31" s="2">
        <v>110463390.53</v>
      </c>
      <c r="E31" s="2">
        <v>1</v>
      </c>
      <c r="F31" s="3">
        <f>IF(COUNT(D31,E31)=2,D31*E31,NA())</f>
        <v>110463390.53</v>
      </c>
      <c r="G31" s="2" t="s">
        <v>50</v>
      </c>
      <c r="H31" s="2" t="s">
        <v>51</v>
      </c>
      <c r="I31" s="2" t="s">
        <v>52</v>
      </c>
      <c r="J31" s="2" t="s">
        <v>53</v>
      </c>
      <c r="K31" s="2"/>
      <c r="L31" s="2" t="s">
        <v>61</v>
      </c>
      <c r="M31" s="2" t="s">
        <v>55</v>
      </c>
      <c r="N31" s="2" t="s">
        <v>62</v>
      </c>
      <c r="O31" s="2" t="s">
        <v>57</v>
      </c>
      <c r="P31" s="2" t="s">
        <v>149</v>
      </c>
      <c r="Q31" s="2" t="s">
        <v>147</v>
      </c>
      <c r="R31" s="2"/>
    </row>
    <row r="32" spans="1:18">
      <c r="A32" s="2" t="s">
        <v>150</v>
      </c>
      <c r="B32" s="2" t="s">
        <v>151</v>
      </c>
      <c r="C32" s="2" t="s">
        <v>49</v>
      </c>
      <c r="D32" s="2">
        <v>118376003.45</v>
      </c>
      <c r="E32" s="2">
        <v>1</v>
      </c>
      <c r="F32" s="3">
        <f>IF(COUNT(D32,E32)=2,D32*E32,NA())</f>
        <v>118376003.45</v>
      </c>
      <c r="G32" s="2" t="s">
        <v>50</v>
      </c>
      <c r="H32" s="2" t="s">
        <v>51</v>
      </c>
      <c r="I32" s="2" t="s">
        <v>52</v>
      </c>
      <c r="J32" s="2" t="s">
        <v>53</v>
      </c>
      <c r="K32" s="2"/>
      <c r="L32" s="2" t="s">
        <v>54</v>
      </c>
      <c r="M32" s="2" t="s">
        <v>55</v>
      </c>
      <c r="N32" s="2" t="s">
        <v>56</v>
      </c>
      <c r="O32" s="2" t="s">
        <v>57</v>
      </c>
      <c r="P32" s="2" t="s">
        <v>152</v>
      </c>
      <c r="Q32" s="2" t="s">
        <v>153</v>
      </c>
      <c r="R32" s="2"/>
    </row>
    <row r="33" spans="1:18">
      <c r="A33" s="2" t="s">
        <v>154</v>
      </c>
      <c r="B33" s="2" t="s">
        <v>151</v>
      </c>
      <c r="C33" s="2" t="s">
        <v>49</v>
      </c>
      <c r="D33" s="2">
        <v>91760694.69</v>
      </c>
      <c r="E33" s="2">
        <v>1</v>
      </c>
      <c r="F33" s="3">
        <f>IF(COUNT(D33,E33)=2,D33*E33,NA())</f>
        <v>91760694.69</v>
      </c>
      <c r="G33" s="2" t="s">
        <v>50</v>
      </c>
      <c r="H33" s="2" t="s">
        <v>51</v>
      </c>
      <c r="I33" s="2" t="s">
        <v>52</v>
      </c>
      <c r="J33" s="2" t="s">
        <v>53</v>
      </c>
      <c r="K33" s="2"/>
      <c r="L33" s="2" t="s">
        <v>61</v>
      </c>
      <c r="M33" s="2" t="s">
        <v>55</v>
      </c>
      <c r="N33" s="2" t="s">
        <v>62</v>
      </c>
      <c r="O33" s="2" t="s">
        <v>57</v>
      </c>
      <c r="P33" s="2" t="s">
        <v>155</v>
      </c>
      <c r="Q33" s="2" t="s">
        <v>153</v>
      </c>
      <c r="R33" s="2"/>
    </row>
    <row r="34" spans="1:18">
      <c r="A34" s="2" t="s">
        <v>156</v>
      </c>
      <c r="B34" s="2" t="s">
        <v>157</v>
      </c>
      <c r="C34" s="2" t="s">
        <v>49</v>
      </c>
      <c r="D34" s="2">
        <v>2202068790.08</v>
      </c>
      <c r="E34" s="2">
        <v>1</v>
      </c>
      <c r="F34" s="3">
        <f>IF(COUNT(D34,E34)=2,D34*E34,NA())</f>
        <v>2202068790.08</v>
      </c>
      <c r="G34" s="2" t="s">
        <v>50</v>
      </c>
      <c r="H34" s="2" t="s">
        <v>51</v>
      </c>
      <c r="I34" s="2" t="s">
        <v>52</v>
      </c>
      <c r="J34" s="2" t="s">
        <v>53</v>
      </c>
      <c r="K34" s="2"/>
      <c r="L34" s="2" t="s">
        <v>54</v>
      </c>
      <c r="M34" s="2" t="s">
        <v>55</v>
      </c>
      <c r="N34" s="2" t="s">
        <v>56</v>
      </c>
      <c r="O34" s="2" t="s">
        <v>57</v>
      </c>
      <c r="P34" s="2" t="s">
        <v>158</v>
      </c>
      <c r="Q34" s="2" t="s">
        <v>159</v>
      </c>
      <c r="R34" s="2"/>
    </row>
    <row r="35" spans="1:18">
      <c r="A35" s="2" t="s">
        <v>160</v>
      </c>
      <c r="B35" s="2" t="s">
        <v>157</v>
      </c>
      <c r="C35" s="2" t="s">
        <v>49</v>
      </c>
      <c r="D35" s="2">
        <v>2391715841.39</v>
      </c>
      <c r="E35" s="2">
        <v>1</v>
      </c>
      <c r="F35" s="3">
        <f>IF(COUNT(D35,E35)=2,D35*E35,NA())</f>
        <v>2391715841.39</v>
      </c>
      <c r="G35" s="2" t="s">
        <v>50</v>
      </c>
      <c r="H35" s="2" t="s">
        <v>51</v>
      </c>
      <c r="I35" s="2" t="s">
        <v>52</v>
      </c>
      <c r="J35" s="2" t="s">
        <v>53</v>
      </c>
      <c r="K35" s="2"/>
      <c r="L35" s="2" t="s">
        <v>61</v>
      </c>
      <c r="M35" s="2" t="s">
        <v>55</v>
      </c>
      <c r="N35" s="2" t="s">
        <v>62</v>
      </c>
      <c r="O35" s="2" t="s">
        <v>57</v>
      </c>
      <c r="P35" s="2" t="s">
        <v>161</v>
      </c>
      <c r="Q35" s="2" t="s">
        <v>159</v>
      </c>
      <c r="R35" s="2"/>
    </row>
    <row r="36" spans="1:18">
      <c r="A36" s="2" t="s">
        <v>162</v>
      </c>
      <c r="B36" s="2" t="s">
        <v>163</v>
      </c>
      <c r="C36" s="2" t="s">
        <v>49</v>
      </c>
      <c r="D36" s="2">
        <v>65262698.29</v>
      </c>
      <c r="E36" s="2">
        <v>1</v>
      </c>
      <c r="F36" s="3">
        <f>IF(COUNT(D36,E36)=2,D36*E36,NA())</f>
        <v>65262698.29</v>
      </c>
      <c r="G36" s="2" t="s">
        <v>50</v>
      </c>
      <c r="H36" s="2" t="s">
        <v>51</v>
      </c>
      <c r="I36" s="2" t="s">
        <v>52</v>
      </c>
      <c r="J36" s="2" t="s">
        <v>53</v>
      </c>
      <c r="K36" s="2"/>
      <c r="L36" s="2" t="s">
        <v>54</v>
      </c>
      <c r="M36" s="2" t="s">
        <v>55</v>
      </c>
      <c r="N36" s="2" t="s">
        <v>56</v>
      </c>
      <c r="O36" s="2" t="s">
        <v>57</v>
      </c>
      <c r="P36" s="2" t="s">
        <v>164</v>
      </c>
      <c r="Q36" s="2" t="s">
        <v>165</v>
      </c>
      <c r="R36" s="2"/>
    </row>
    <row r="37" spans="1:18">
      <c r="A37" s="2" t="s">
        <v>166</v>
      </c>
      <c r="B37" s="2" t="s">
        <v>163</v>
      </c>
      <c r="C37" s="2" t="s">
        <v>49</v>
      </c>
      <c r="D37" s="2">
        <v>98495238.09999999</v>
      </c>
      <c r="E37" s="2">
        <v>1</v>
      </c>
      <c r="F37" s="3">
        <f>IF(COUNT(D37,E37)=2,D37*E37,NA())</f>
        <v>98495238.1</v>
      </c>
      <c r="G37" s="2" t="s">
        <v>50</v>
      </c>
      <c r="H37" s="2" t="s">
        <v>51</v>
      </c>
      <c r="I37" s="2" t="s">
        <v>52</v>
      </c>
      <c r="J37" s="2" t="s">
        <v>53</v>
      </c>
      <c r="K37" s="2"/>
      <c r="L37" s="2" t="s">
        <v>61</v>
      </c>
      <c r="M37" s="2" t="s">
        <v>55</v>
      </c>
      <c r="N37" s="2" t="s">
        <v>62</v>
      </c>
      <c r="O37" s="2" t="s">
        <v>57</v>
      </c>
      <c r="P37" s="2" t="s">
        <v>167</v>
      </c>
      <c r="Q37" s="2" t="s">
        <v>165</v>
      </c>
      <c r="R37" s="2"/>
    </row>
    <row r="38" spans="1:18">
      <c r="A38" s="2" t="s">
        <v>168</v>
      </c>
      <c r="B38" s="2" t="s">
        <v>169</v>
      </c>
      <c r="C38" s="2" t="s">
        <v>49</v>
      </c>
      <c r="D38" s="2">
        <v>57114791.16</v>
      </c>
      <c r="E38" s="2">
        <v>1</v>
      </c>
      <c r="F38" s="3">
        <f>IF(COUNT(D38,E38)=2,D38*E38,NA())</f>
        <v>57114791.16</v>
      </c>
      <c r="G38" s="2" t="s">
        <v>50</v>
      </c>
      <c r="H38" s="2" t="s">
        <v>51</v>
      </c>
      <c r="I38" s="2" t="s">
        <v>52</v>
      </c>
      <c r="J38" s="2" t="s">
        <v>53</v>
      </c>
      <c r="K38" s="2"/>
      <c r="L38" s="2" t="s">
        <v>54</v>
      </c>
      <c r="M38" s="2" t="s">
        <v>55</v>
      </c>
      <c r="N38" s="2" t="s">
        <v>56</v>
      </c>
      <c r="O38" s="2" t="s">
        <v>57</v>
      </c>
      <c r="P38" s="2" t="s">
        <v>170</v>
      </c>
      <c r="Q38" s="2" t="s">
        <v>171</v>
      </c>
      <c r="R38" s="2"/>
    </row>
    <row r="39" spans="1:18">
      <c r="A39" s="2" t="s">
        <v>172</v>
      </c>
      <c r="B39" s="2" t="s">
        <v>169</v>
      </c>
      <c r="C39" s="2" t="s">
        <v>49</v>
      </c>
      <c r="D39" s="2">
        <v>46554514.18</v>
      </c>
      <c r="E39" s="2">
        <v>1</v>
      </c>
      <c r="F39" s="3">
        <f>IF(COUNT(D39,E39)=2,D39*E39,NA())</f>
        <v>46554514.18</v>
      </c>
      <c r="G39" s="2" t="s">
        <v>50</v>
      </c>
      <c r="H39" s="2" t="s">
        <v>51</v>
      </c>
      <c r="I39" s="2" t="s">
        <v>52</v>
      </c>
      <c r="J39" s="2" t="s">
        <v>53</v>
      </c>
      <c r="K39" s="2"/>
      <c r="L39" s="2" t="s">
        <v>61</v>
      </c>
      <c r="M39" s="2" t="s">
        <v>55</v>
      </c>
      <c r="N39" s="2" t="s">
        <v>62</v>
      </c>
      <c r="O39" s="2" t="s">
        <v>57</v>
      </c>
      <c r="P39" s="2" t="s">
        <v>173</v>
      </c>
      <c r="Q39" s="2" t="s">
        <v>171</v>
      </c>
      <c r="R39" s="2"/>
    </row>
    <row r="40" spans="1:18">
      <c r="A40" s="2" t="s">
        <v>174</v>
      </c>
      <c r="B40" s="2" t="s">
        <v>175</v>
      </c>
      <c r="C40" s="2" t="s">
        <v>49</v>
      </c>
      <c r="D40" s="2">
        <v>263674898.18</v>
      </c>
      <c r="E40" s="2">
        <v>1</v>
      </c>
      <c r="F40" s="3">
        <f>IF(COUNT(D40,E40)=2,D40*E40,NA())</f>
        <v>263674898.18</v>
      </c>
      <c r="G40" s="2" t="s">
        <v>50</v>
      </c>
      <c r="H40" s="2" t="s">
        <v>51</v>
      </c>
      <c r="I40" s="2" t="s">
        <v>52</v>
      </c>
      <c r="J40" s="2" t="s">
        <v>53</v>
      </c>
      <c r="K40" s="2"/>
      <c r="L40" s="2" t="s">
        <v>54</v>
      </c>
      <c r="M40" s="2" t="s">
        <v>55</v>
      </c>
      <c r="N40" s="2" t="s">
        <v>56</v>
      </c>
      <c r="O40" s="2" t="s">
        <v>57</v>
      </c>
      <c r="P40" s="2" t="s">
        <v>176</v>
      </c>
      <c r="Q40" s="2" t="s">
        <v>177</v>
      </c>
      <c r="R40" s="2"/>
    </row>
    <row r="41" spans="1:18">
      <c r="A41" s="2" t="s">
        <v>178</v>
      </c>
      <c r="B41" s="2" t="s">
        <v>175</v>
      </c>
      <c r="C41" s="2" t="s">
        <v>49</v>
      </c>
      <c r="D41" s="2">
        <v>276058209.31</v>
      </c>
      <c r="E41" s="2">
        <v>1</v>
      </c>
      <c r="F41" s="3">
        <f>IF(COUNT(D41,E41)=2,D41*E41,NA())</f>
        <v>276058209.31</v>
      </c>
      <c r="G41" s="2" t="s">
        <v>50</v>
      </c>
      <c r="H41" s="2" t="s">
        <v>51</v>
      </c>
      <c r="I41" s="2" t="s">
        <v>52</v>
      </c>
      <c r="J41" s="2" t="s">
        <v>53</v>
      </c>
      <c r="K41" s="2"/>
      <c r="L41" s="2" t="s">
        <v>61</v>
      </c>
      <c r="M41" s="2" t="s">
        <v>55</v>
      </c>
      <c r="N41" s="2" t="s">
        <v>62</v>
      </c>
      <c r="O41" s="2" t="s">
        <v>57</v>
      </c>
      <c r="P41" s="2" t="s">
        <v>179</v>
      </c>
      <c r="Q41" s="2" t="s">
        <v>177</v>
      </c>
      <c r="R41" s="2"/>
    </row>
    <row r="42" spans="1:18">
      <c r="A42" s="2" t="s">
        <v>180</v>
      </c>
      <c r="B42" s="2" t="s">
        <v>181</v>
      </c>
      <c r="C42" s="2" t="s">
        <v>49</v>
      </c>
      <c r="D42" s="2">
        <v>22954464.55</v>
      </c>
      <c r="E42" s="2">
        <v>1</v>
      </c>
      <c r="F42" s="3">
        <f>IF(COUNT(D42,E42)=2,D42*E42,NA())</f>
        <v>22954464.55</v>
      </c>
      <c r="G42" s="2" t="s">
        <v>50</v>
      </c>
      <c r="H42" s="2" t="s">
        <v>51</v>
      </c>
      <c r="I42" s="2" t="s">
        <v>52</v>
      </c>
      <c r="J42" s="2" t="s">
        <v>53</v>
      </c>
      <c r="K42" s="2"/>
      <c r="L42" s="2" t="s">
        <v>54</v>
      </c>
      <c r="M42" s="2" t="s">
        <v>55</v>
      </c>
      <c r="N42" s="2" t="s">
        <v>56</v>
      </c>
      <c r="O42" s="2" t="s">
        <v>57</v>
      </c>
      <c r="P42" s="2" t="s">
        <v>182</v>
      </c>
      <c r="Q42" s="2" t="s">
        <v>183</v>
      </c>
      <c r="R42" s="2"/>
    </row>
    <row r="43" spans="1:18">
      <c r="A43" s="2" t="s">
        <v>184</v>
      </c>
      <c r="B43" s="2" t="s">
        <v>181</v>
      </c>
      <c r="C43" s="2" t="s">
        <v>49</v>
      </c>
      <c r="D43" s="2">
        <v>22954464.55</v>
      </c>
      <c r="E43" s="2">
        <v>1</v>
      </c>
      <c r="F43" s="3">
        <f>IF(COUNT(D43,E43)=2,D43*E43,NA())</f>
        <v>22954464.55</v>
      </c>
      <c r="G43" s="2" t="s">
        <v>50</v>
      </c>
      <c r="H43" s="2" t="s">
        <v>51</v>
      </c>
      <c r="I43" s="2" t="s">
        <v>52</v>
      </c>
      <c r="J43" s="2" t="s">
        <v>53</v>
      </c>
      <c r="K43" s="2"/>
      <c r="L43" s="2" t="s">
        <v>61</v>
      </c>
      <c r="M43" s="2" t="s">
        <v>55</v>
      </c>
      <c r="N43" s="2" t="s">
        <v>62</v>
      </c>
      <c r="O43" s="2" t="s">
        <v>57</v>
      </c>
      <c r="P43" s="2" t="s">
        <v>185</v>
      </c>
      <c r="Q43" s="2" t="s">
        <v>183</v>
      </c>
      <c r="R43" s="2"/>
    </row>
    <row r="44" spans="1:18">
      <c r="A44" s="2" t="s">
        <v>186</v>
      </c>
      <c r="B44" s="2" t="s">
        <v>187</v>
      </c>
      <c r="C44" s="2" t="s">
        <v>49</v>
      </c>
      <c r="D44" s="2">
        <v>946018.85</v>
      </c>
      <c r="E44" s="2">
        <v>1</v>
      </c>
      <c r="F44" s="3">
        <f>IF(COUNT(D44,E44)=2,D44*E44,NA())</f>
        <v>946018.85</v>
      </c>
      <c r="G44" s="2" t="s">
        <v>50</v>
      </c>
      <c r="H44" s="2" t="s">
        <v>51</v>
      </c>
      <c r="I44" s="2" t="s">
        <v>52</v>
      </c>
      <c r="J44" s="2" t="s">
        <v>53</v>
      </c>
      <c r="K44" s="2"/>
      <c r="L44" s="2" t="s">
        <v>54</v>
      </c>
      <c r="M44" s="2" t="s">
        <v>55</v>
      </c>
      <c r="N44" s="2" t="s">
        <v>56</v>
      </c>
      <c r="O44" s="2" t="s">
        <v>57</v>
      </c>
      <c r="P44" s="2" t="s">
        <v>188</v>
      </c>
      <c r="Q44" s="2" t="s">
        <v>189</v>
      </c>
      <c r="R44" s="2"/>
    </row>
    <row r="45" spans="1:18">
      <c r="A45" s="2" t="s">
        <v>190</v>
      </c>
      <c r="B45" s="2" t="s">
        <v>187</v>
      </c>
      <c r="C45" s="2" t="s">
        <v>49</v>
      </c>
      <c r="D45" s="2">
        <v>1446345.61</v>
      </c>
      <c r="E45" s="2">
        <v>1</v>
      </c>
      <c r="F45" s="3">
        <f>IF(COUNT(D45,E45)=2,D45*E45,NA())</f>
        <v>1446345.61</v>
      </c>
      <c r="G45" s="2" t="s">
        <v>50</v>
      </c>
      <c r="H45" s="2" t="s">
        <v>51</v>
      </c>
      <c r="I45" s="2" t="s">
        <v>52</v>
      </c>
      <c r="J45" s="2" t="s">
        <v>53</v>
      </c>
      <c r="K45" s="2"/>
      <c r="L45" s="2" t="s">
        <v>61</v>
      </c>
      <c r="M45" s="2" t="s">
        <v>55</v>
      </c>
      <c r="N45" s="2" t="s">
        <v>62</v>
      </c>
      <c r="O45" s="2" t="s">
        <v>57</v>
      </c>
      <c r="P45" s="2" t="s">
        <v>191</v>
      </c>
      <c r="Q45" s="2" t="s">
        <v>189</v>
      </c>
      <c r="R45" s="2"/>
    </row>
    <row r="46" spans="1:18">
      <c r="A46" s="2" t="s">
        <v>192</v>
      </c>
      <c r="B46" s="2" t="s">
        <v>193</v>
      </c>
      <c r="C46" s="2" t="s">
        <v>49</v>
      </c>
      <c r="D46" s="2">
        <v>502848041.87</v>
      </c>
      <c r="E46" s="2">
        <v>1</v>
      </c>
      <c r="F46" s="3">
        <f>IF(COUNT(D46,E46)=2,D46*E46,NA())</f>
        <v>502848041.87</v>
      </c>
      <c r="G46" s="2" t="s">
        <v>50</v>
      </c>
      <c r="H46" s="2" t="s">
        <v>51</v>
      </c>
      <c r="I46" s="2" t="s">
        <v>52</v>
      </c>
      <c r="J46" s="2" t="s">
        <v>53</v>
      </c>
      <c r="K46" s="2"/>
      <c r="L46" s="2" t="s">
        <v>54</v>
      </c>
      <c r="M46" s="2" t="s">
        <v>55</v>
      </c>
      <c r="N46" s="2" t="s">
        <v>56</v>
      </c>
      <c r="O46" s="2" t="s">
        <v>57</v>
      </c>
      <c r="P46" s="2" t="s">
        <v>194</v>
      </c>
      <c r="Q46" s="2" t="s">
        <v>195</v>
      </c>
      <c r="R46" s="2"/>
    </row>
    <row r="47" spans="1:18">
      <c r="A47" s="2" t="s">
        <v>196</v>
      </c>
      <c r="B47" s="2" t="s">
        <v>193</v>
      </c>
      <c r="C47" s="2" t="s">
        <v>49</v>
      </c>
      <c r="D47" s="2">
        <v>409050999.27</v>
      </c>
      <c r="E47" s="2">
        <v>1</v>
      </c>
      <c r="F47" s="3">
        <f>IF(COUNT(D47,E47)=2,D47*E47,NA())</f>
        <v>409050999.27</v>
      </c>
      <c r="G47" s="2" t="s">
        <v>50</v>
      </c>
      <c r="H47" s="2" t="s">
        <v>51</v>
      </c>
      <c r="I47" s="2" t="s">
        <v>52</v>
      </c>
      <c r="J47" s="2" t="s">
        <v>53</v>
      </c>
      <c r="K47" s="2"/>
      <c r="L47" s="2" t="s">
        <v>61</v>
      </c>
      <c r="M47" s="2" t="s">
        <v>55</v>
      </c>
      <c r="N47" s="2" t="s">
        <v>62</v>
      </c>
      <c r="O47" s="2" t="s">
        <v>57</v>
      </c>
      <c r="P47" s="2" t="s">
        <v>197</v>
      </c>
      <c r="Q47" s="2" t="s">
        <v>195</v>
      </c>
      <c r="R47" s="2"/>
    </row>
    <row r="48" spans="1:18">
      <c r="A48" s="2" t="s">
        <v>198</v>
      </c>
      <c r="B48" s="2" t="s">
        <v>199</v>
      </c>
      <c r="C48" s="2" t="s">
        <v>49</v>
      </c>
      <c r="D48" s="2">
        <v>929292685.22</v>
      </c>
      <c r="E48" s="2">
        <v>1</v>
      </c>
      <c r="F48" s="3">
        <f>IF(COUNT(D48,E48)=2,D48*E48,NA())</f>
        <v>929292685.22</v>
      </c>
      <c r="G48" s="2" t="s">
        <v>50</v>
      </c>
      <c r="H48" s="2" t="s">
        <v>51</v>
      </c>
      <c r="I48" s="2" t="s">
        <v>52</v>
      </c>
      <c r="J48" s="2" t="s">
        <v>53</v>
      </c>
      <c r="K48" s="2"/>
      <c r="L48" s="2" t="s">
        <v>54</v>
      </c>
      <c r="M48" s="2" t="s">
        <v>55</v>
      </c>
      <c r="N48" s="2" t="s">
        <v>56</v>
      </c>
      <c r="O48" s="2" t="s">
        <v>57</v>
      </c>
      <c r="P48" s="2" t="s">
        <v>200</v>
      </c>
      <c r="Q48" s="2" t="s">
        <v>201</v>
      </c>
      <c r="R48" s="2"/>
    </row>
    <row r="49" spans="1:18">
      <c r="A49" s="2" t="s">
        <v>202</v>
      </c>
      <c r="B49" s="2" t="s">
        <v>199</v>
      </c>
      <c r="C49" s="2" t="s">
        <v>49</v>
      </c>
      <c r="D49" s="2">
        <v>684100060.13</v>
      </c>
      <c r="E49" s="2">
        <v>1</v>
      </c>
      <c r="F49" s="3">
        <f>IF(COUNT(D49,E49)=2,D49*E49,NA())</f>
        <v>684100060.13</v>
      </c>
      <c r="G49" s="2" t="s">
        <v>50</v>
      </c>
      <c r="H49" s="2" t="s">
        <v>51</v>
      </c>
      <c r="I49" s="2" t="s">
        <v>52</v>
      </c>
      <c r="J49" s="2" t="s">
        <v>53</v>
      </c>
      <c r="K49" s="2"/>
      <c r="L49" s="2" t="s">
        <v>61</v>
      </c>
      <c r="M49" s="2" t="s">
        <v>55</v>
      </c>
      <c r="N49" s="2" t="s">
        <v>62</v>
      </c>
      <c r="O49" s="2" t="s">
        <v>57</v>
      </c>
      <c r="P49" s="2" t="s">
        <v>203</v>
      </c>
      <c r="Q49" s="2" t="s">
        <v>201</v>
      </c>
      <c r="R49" s="2"/>
    </row>
    <row r="50" spans="1:18">
      <c r="A50" s="2" t="s">
        <v>204</v>
      </c>
      <c r="B50" s="2" t="s">
        <v>205</v>
      </c>
      <c r="C50" s="2" t="s">
        <v>49</v>
      </c>
      <c r="D50" s="2">
        <v>4412319599.86</v>
      </c>
      <c r="E50" s="2">
        <v>1</v>
      </c>
      <c r="F50" s="3">
        <f>IF(COUNT(D50,E50)=2,D50*E50,NA())</f>
        <v>4412319599.86</v>
      </c>
      <c r="G50" s="2" t="s">
        <v>50</v>
      </c>
      <c r="H50" s="2" t="s">
        <v>51</v>
      </c>
      <c r="I50" s="2" t="s">
        <v>52</v>
      </c>
      <c r="J50" s="2" t="s">
        <v>53</v>
      </c>
      <c r="K50" s="2"/>
      <c r="L50" s="2" t="s">
        <v>54</v>
      </c>
      <c r="M50" s="2" t="s">
        <v>55</v>
      </c>
      <c r="N50" s="2" t="s">
        <v>56</v>
      </c>
      <c r="O50" s="2" t="s">
        <v>57</v>
      </c>
      <c r="P50" s="2" t="s">
        <v>206</v>
      </c>
      <c r="Q50" s="2" t="s">
        <v>207</v>
      </c>
      <c r="R50" s="2"/>
    </row>
    <row r="51" spans="1:18">
      <c r="A51" s="2" t="s">
        <v>208</v>
      </c>
      <c r="B51" s="2" t="s">
        <v>205</v>
      </c>
      <c r="C51" s="2" t="s">
        <v>49</v>
      </c>
      <c r="D51" s="2">
        <v>4224592457.46</v>
      </c>
      <c r="E51" s="2">
        <v>1</v>
      </c>
      <c r="F51" s="3">
        <f>IF(COUNT(D51,E51)=2,D51*E51,NA())</f>
        <v>4224592457.46</v>
      </c>
      <c r="G51" s="2" t="s">
        <v>50</v>
      </c>
      <c r="H51" s="2" t="s">
        <v>51</v>
      </c>
      <c r="I51" s="2" t="s">
        <v>52</v>
      </c>
      <c r="J51" s="2" t="s">
        <v>53</v>
      </c>
      <c r="K51" s="2"/>
      <c r="L51" s="2" t="s">
        <v>61</v>
      </c>
      <c r="M51" s="2" t="s">
        <v>55</v>
      </c>
      <c r="N51" s="2" t="s">
        <v>62</v>
      </c>
      <c r="O51" s="2" t="s">
        <v>57</v>
      </c>
      <c r="P51" s="2" t="s">
        <v>209</v>
      </c>
      <c r="Q51" s="2" t="s">
        <v>207</v>
      </c>
      <c r="R51" s="2"/>
    </row>
    <row r="52" spans="1:18">
      <c r="A52" s="2" t="s">
        <v>210</v>
      </c>
      <c r="B52" s="2" t="s">
        <v>211</v>
      </c>
      <c r="C52" s="2" t="s">
        <v>49</v>
      </c>
      <c r="D52" s="2">
        <v>12400075863.73</v>
      </c>
      <c r="E52" s="2">
        <v>1</v>
      </c>
      <c r="F52" s="3">
        <f>IF(COUNT(D52,E52)=2,D52*E52,NA())</f>
        <v>12400075863.73</v>
      </c>
      <c r="G52" s="2" t="s">
        <v>50</v>
      </c>
      <c r="H52" s="2" t="s">
        <v>51</v>
      </c>
      <c r="I52" s="2" t="s">
        <v>52</v>
      </c>
      <c r="J52" s="2" t="s">
        <v>53</v>
      </c>
      <c r="K52" s="2"/>
      <c r="L52" s="2" t="s">
        <v>54</v>
      </c>
      <c r="M52" s="2" t="s">
        <v>55</v>
      </c>
      <c r="N52" s="2" t="s">
        <v>56</v>
      </c>
      <c r="O52" s="2" t="s">
        <v>57</v>
      </c>
      <c r="P52" s="2" t="s">
        <v>212</v>
      </c>
      <c r="Q52" s="2" t="s">
        <v>213</v>
      </c>
      <c r="R52" s="2"/>
    </row>
    <row r="53" spans="1:18">
      <c r="A53" s="2" t="s">
        <v>214</v>
      </c>
      <c r="B53" s="2" t="s">
        <v>211</v>
      </c>
      <c r="C53" s="2" t="s">
        <v>49</v>
      </c>
      <c r="D53" s="2">
        <v>14144613107.8</v>
      </c>
      <c r="E53" s="2">
        <v>1</v>
      </c>
      <c r="F53" s="3">
        <f>IF(COUNT(D53,E53)=2,D53*E53,NA())</f>
        <v>14144613107.8</v>
      </c>
      <c r="G53" s="2" t="s">
        <v>50</v>
      </c>
      <c r="H53" s="2" t="s">
        <v>51</v>
      </c>
      <c r="I53" s="2" t="s">
        <v>52</v>
      </c>
      <c r="J53" s="2" t="s">
        <v>53</v>
      </c>
      <c r="K53" s="2"/>
      <c r="L53" s="2" t="s">
        <v>61</v>
      </c>
      <c r="M53" s="2" t="s">
        <v>55</v>
      </c>
      <c r="N53" s="2" t="s">
        <v>62</v>
      </c>
      <c r="O53" s="2" t="s">
        <v>57</v>
      </c>
      <c r="P53" s="2" t="s">
        <v>215</v>
      </c>
      <c r="Q53" s="2" t="s">
        <v>213</v>
      </c>
      <c r="R53" s="2"/>
    </row>
    <row r="54" spans="1:18">
      <c r="A54" s="2" t="s">
        <v>216</v>
      </c>
      <c r="B54" s="2" t="s">
        <v>217</v>
      </c>
      <c r="C54" s="2" t="s">
        <v>49</v>
      </c>
      <c r="D54" s="2">
        <v>1487861948.5</v>
      </c>
      <c r="E54" s="2">
        <v>1</v>
      </c>
      <c r="F54" s="3">
        <f>IF(COUNT(D54,E54)=2,D54*E54,NA())</f>
        <v>1487861948.5</v>
      </c>
      <c r="G54" s="2" t="s">
        <v>50</v>
      </c>
      <c r="H54" s="2" t="s">
        <v>51</v>
      </c>
      <c r="I54" s="2" t="s">
        <v>52</v>
      </c>
      <c r="J54" s="2" t="s">
        <v>53</v>
      </c>
      <c r="K54" s="2"/>
      <c r="L54" s="2" t="s">
        <v>54</v>
      </c>
      <c r="M54" s="2" t="s">
        <v>55</v>
      </c>
      <c r="N54" s="2" t="s">
        <v>56</v>
      </c>
      <c r="O54" s="2" t="s">
        <v>57</v>
      </c>
      <c r="P54" s="2" t="s">
        <v>218</v>
      </c>
      <c r="Q54" s="2" t="s">
        <v>219</v>
      </c>
      <c r="R54" s="2"/>
    </row>
    <row r="55" spans="1:18">
      <c r="A55" s="2" t="s">
        <v>220</v>
      </c>
      <c r="B55" s="2" t="s">
        <v>217</v>
      </c>
      <c r="C55" s="2" t="s">
        <v>49</v>
      </c>
      <c r="D55" s="2">
        <v>1377572651.3</v>
      </c>
      <c r="E55" s="2">
        <v>1</v>
      </c>
      <c r="F55" s="3">
        <f>IF(COUNT(D55,E55)=2,D55*E55,NA())</f>
        <v>1377572651.3</v>
      </c>
      <c r="G55" s="2" t="s">
        <v>50</v>
      </c>
      <c r="H55" s="2" t="s">
        <v>51</v>
      </c>
      <c r="I55" s="2" t="s">
        <v>52</v>
      </c>
      <c r="J55" s="2" t="s">
        <v>53</v>
      </c>
      <c r="K55" s="2"/>
      <c r="L55" s="2" t="s">
        <v>61</v>
      </c>
      <c r="M55" s="2" t="s">
        <v>55</v>
      </c>
      <c r="N55" s="2" t="s">
        <v>62</v>
      </c>
      <c r="O55" s="2" t="s">
        <v>57</v>
      </c>
      <c r="P55" s="2" t="s">
        <v>221</v>
      </c>
      <c r="Q55" s="2" t="s">
        <v>219</v>
      </c>
      <c r="R55" s="2"/>
    </row>
    <row r="56" spans="1:18">
      <c r="A56" s="2" t="s">
        <v>222</v>
      </c>
      <c r="B56" s="2" t="s">
        <v>223</v>
      </c>
      <c r="C56" s="2" t="s">
        <v>49</v>
      </c>
      <c r="D56" s="2">
        <v>898693443.37</v>
      </c>
      <c r="E56" s="2">
        <v>1</v>
      </c>
      <c r="F56" s="3">
        <f>IF(COUNT(D56,E56)=2,D56*E56,NA())</f>
        <v>898693443.37</v>
      </c>
      <c r="G56" s="2" t="s">
        <v>50</v>
      </c>
      <c r="H56" s="2" t="s">
        <v>51</v>
      </c>
      <c r="I56" s="2" t="s">
        <v>52</v>
      </c>
      <c r="J56" s="2" t="s">
        <v>53</v>
      </c>
      <c r="K56" s="2"/>
      <c r="L56" s="2" t="s">
        <v>54</v>
      </c>
      <c r="M56" s="2" t="s">
        <v>55</v>
      </c>
      <c r="N56" s="2" t="s">
        <v>56</v>
      </c>
      <c r="O56" s="2" t="s">
        <v>57</v>
      </c>
      <c r="P56" s="2" t="s">
        <v>224</v>
      </c>
      <c r="Q56" s="2" t="s">
        <v>225</v>
      </c>
      <c r="R56" s="2"/>
    </row>
    <row r="57" spans="1:18">
      <c r="A57" s="2" t="s">
        <v>226</v>
      </c>
      <c r="B57" s="2" t="s">
        <v>223</v>
      </c>
      <c r="C57" s="2" t="s">
        <v>49</v>
      </c>
      <c r="D57" s="2">
        <v>1594500914.08</v>
      </c>
      <c r="E57" s="2">
        <v>1</v>
      </c>
      <c r="F57" s="3">
        <f>IF(COUNT(D57,E57)=2,D57*E57,NA())</f>
        <v>1594500914.08</v>
      </c>
      <c r="G57" s="2" t="s">
        <v>50</v>
      </c>
      <c r="H57" s="2" t="s">
        <v>51</v>
      </c>
      <c r="I57" s="2" t="s">
        <v>52</v>
      </c>
      <c r="J57" s="2" t="s">
        <v>53</v>
      </c>
      <c r="K57" s="2"/>
      <c r="L57" s="2" t="s">
        <v>61</v>
      </c>
      <c r="M57" s="2" t="s">
        <v>55</v>
      </c>
      <c r="N57" s="2" t="s">
        <v>62</v>
      </c>
      <c r="O57" s="2" t="s">
        <v>57</v>
      </c>
      <c r="P57" s="2" t="s">
        <v>227</v>
      </c>
      <c r="Q57" s="2" t="s">
        <v>225</v>
      </c>
      <c r="R57" s="2"/>
    </row>
    <row r="58" spans="1:18">
      <c r="A58" s="2" t="s">
        <v>228</v>
      </c>
      <c r="B58" s="2" t="s">
        <v>229</v>
      </c>
      <c r="C58" s="2" t="s">
        <v>49</v>
      </c>
      <c r="D58" s="2">
        <v>1574793698.72</v>
      </c>
      <c r="E58" s="2">
        <v>1</v>
      </c>
      <c r="F58" s="3">
        <f>IF(COUNT(D58,E58)=2,D58*E58,NA())</f>
        <v>1574793698.72</v>
      </c>
      <c r="G58" s="2" t="s">
        <v>50</v>
      </c>
      <c r="H58" s="2" t="s">
        <v>51</v>
      </c>
      <c r="I58" s="2" t="s">
        <v>52</v>
      </c>
      <c r="J58" s="2" t="s">
        <v>53</v>
      </c>
      <c r="K58" s="2"/>
      <c r="L58" s="2" t="s">
        <v>54</v>
      </c>
      <c r="M58" s="2" t="s">
        <v>55</v>
      </c>
      <c r="N58" s="2" t="s">
        <v>56</v>
      </c>
      <c r="O58" s="2" t="s">
        <v>57</v>
      </c>
      <c r="P58" s="2" t="s">
        <v>230</v>
      </c>
      <c r="Q58" s="2" t="s">
        <v>231</v>
      </c>
      <c r="R58" s="2"/>
    </row>
    <row r="59" spans="1:18">
      <c r="A59" s="2" t="s">
        <v>232</v>
      </c>
      <c r="B59" s="2" t="s">
        <v>229</v>
      </c>
      <c r="C59" s="2" t="s">
        <v>49</v>
      </c>
      <c r="D59" s="2">
        <v>1619897807.31</v>
      </c>
      <c r="E59" s="2">
        <v>1</v>
      </c>
      <c r="F59" s="3">
        <f>IF(COUNT(D59,E59)=2,D59*E59,NA())</f>
        <v>1619897807.31</v>
      </c>
      <c r="G59" s="2" t="s">
        <v>50</v>
      </c>
      <c r="H59" s="2" t="s">
        <v>51</v>
      </c>
      <c r="I59" s="2" t="s">
        <v>52</v>
      </c>
      <c r="J59" s="2" t="s">
        <v>53</v>
      </c>
      <c r="K59" s="2"/>
      <c r="L59" s="2" t="s">
        <v>61</v>
      </c>
      <c r="M59" s="2" t="s">
        <v>55</v>
      </c>
      <c r="N59" s="2" t="s">
        <v>62</v>
      </c>
      <c r="O59" s="2" t="s">
        <v>57</v>
      </c>
      <c r="P59" s="2" t="s">
        <v>233</v>
      </c>
      <c r="Q59" s="2" t="s">
        <v>231</v>
      </c>
      <c r="R59" s="2"/>
    </row>
    <row r="60" spans="1:18">
      <c r="A60" s="2" t="s">
        <v>234</v>
      </c>
      <c r="B60" s="2" t="s">
        <v>235</v>
      </c>
      <c r="C60" s="2" t="s">
        <v>49</v>
      </c>
      <c r="D60" s="2">
        <v>521091215.86</v>
      </c>
      <c r="E60" s="2">
        <v>1</v>
      </c>
      <c r="F60" s="3">
        <f>IF(COUNT(D60,E60)=2,D60*E60,NA())</f>
        <v>521091215.86</v>
      </c>
      <c r="G60" s="2" t="s">
        <v>50</v>
      </c>
      <c r="H60" s="2" t="s">
        <v>51</v>
      </c>
      <c r="I60" s="2" t="s">
        <v>52</v>
      </c>
      <c r="J60" s="2" t="s">
        <v>53</v>
      </c>
      <c r="K60" s="2"/>
      <c r="L60" s="2" t="s">
        <v>54</v>
      </c>
      <c r="M60" s="2" t="s">
        <v>55</v>
      </c>
      <c r="N60" s="2" t="s">
        <v>56</v>
      </c>
      <c r="O60" s="2" t="s">
        <v>57</v>
      </c>
      <c r="P60" s="2" t="s">
        <v>236</v>
      </c>
      <c r="Q60" s="2" t="s">
        <v>237</v>
      </c>
      <c r="R60" s="2"/>
    </row>
    <row r="61" spans="1:18">
      <c r="A61" s="2" t="s">
        <v>238</v>
      </c>
      <c r="B61" s="2" t="s">
        <v>235</v>
      </c>
      <c r="C61" s="2" t="s">
        <v>49</v>
      </c>
      <c r="D61" s="2">
        <v>483799414.9</v>
      </c>
      <c r="E61" s="2">
        <v>1</v>
      </c>
      <c r="F61" s="3">
        <f>IF(COUNT(D61,E61)=2,D61*E61,NA())</f>
        <v>483799414.9</v>
      </c>
      <c r="G61" s="2" t="s">
        <v>50</v>
      </c>
      <c r="H61" s="2" t="s">
        <v>51</v>
      </c>
      <c r="I61" s="2" t="s">
        <v>52</v>
      </c>
      <c r="J61" s="2" t="s">
        <v>53</v>
      </c>
      <c r="K61" s="2"/>
      <c r="L61" s="2" t="s">
        <v>61</v>
      </c>
      <c r="M61" s="2" t="s">
        <v>55</v>
      </c>
      <c r="N61" s="2" t="s">
        <v>62</v>
      </c>
      <c r="O61" s="2" t="s">
        <v>57</v>
      </c>
      <c r="P61" s="2" t="s">
        <v>239</v>
      </c>
      <c r="Q61" s="2" t="s">
        <v>237</v>
      </c>
      <c r="R61" s="2"/>
    </row>
    <row r="62" spans="1:18">
      <c r="A62" s="2" t="s">
        <v>240</v>
      </c>
      <c r="B62" s="2" t="s">
        <v>241</v>
      </c>
      <c r="C62" s="2" t="s">
        <v>49</v>
      </c>
      <c r="D62" s="2">
        <v>134006766.98</v>
      </c>
      <c r="E62" s="2">
        <v>1</v>
      </c>
      <c r="F62" s="3">
        <f>IF(COUNT(D62,E62)=2,D62*E62,NA())</f>
        <v>134006766.98</v>
      </c>
      <c r="G62" s="2" t="s">
        <v>50</v>
      </c>
      <c r="H62" s="2" t="s">
        <v>51</v>
      </c>
      <c r="I62" s="2" t="s">
        <v>52</v>
      </c>
      <c r="J62" s="2" t="s">
        <v>53</v>
      </c>
      <c r="K62" s="2"/>
      <c r="L62" s="2" t="s">
        <v>54</v>
      </c>
      <c r="M62" s="2" t="s">
        <v>55</v>
      </c>
      <c r="N62" s="2" t="s">
        <v>56</v>
      </c>
      <c r="O62" s="2" t="s">
        <v>57</v>
      </c>
      <c r="P62" s="2" t="s">
        <v>242</v>
      </c>
      <c r="Q62" s="2" t="s">
        <v>243</v>
      </c>
      <c r="R62" s="2"/>
    </row>
    <row r="63" spans="1:18">
      <c r="A63" s="2" t="s">
        <v>244</v>
      </c>
      <c r="B63" s="2" t="s">
        <v>241</v>
      </c>
      <c r="C63" s="2" t="s">
        <v>49</v>
      </c>
      <c r="D63" s="2">
        <v>148912257.71</v>
      </c>
      <c r="E63" s="2">
        <v>1</v>
      </c>
      <c r="F63" s="3">
        <f>IF(COUNT(D63,E63)=2,D63*E63,NA())</f>
        <v>148912257.71</v>
      </c>
      <c r="G63" s="2" t="s">
        <v>50</v>
      </c>
      <c r="H63" s="2" t="s">
        <v>51</v>
      </c>
      <c r="I63" s="2" t="s">
        <v>52</v>
      </c>
      <c r="J63" s="2" t="s">
        <v>53</v>
      </c>
      <c r="K63" s="2"/>
      <c r="L63" s="2" t="s">
        <v>61</v>
      </c>
      <c r="M63" s="2" t="s">
        <v>55</v>
      </c>
      <c r="N63" s="2" t="s">
        <v>62</v>
      </c>
      <c r="O63" s="2" t="s">
        <v>57</v>
      </c>
      <c r="P63" s="2" t="s">
        <v>245</v>
      </c>
      <c r="Q63" s="2" t="s">
        <v>243</v>
      </c>
      <c r="R63" s="2"/>
    </row>
    <row r="64" spans="1:18">
      <c r="A64" s="2" t="s">
        <v>246</v>
      </c>
      <c r="B64" s="2" t="s">
        <v>247</v>
      </c>
      <c r="C64" s="2" t="s">
        <v>49</v>
      </c>
      <c r="D64" s="2">
        <v>35042027.2</v>
      </c>
      <c r="E64" s="2">
        <v>1</v>
      </c>
      <c r="F64" s="3">
        <f>IF(COUNT(D64,E64)=2,D64*E64,NA())</f>
        <v>35042027.2</v>
      </c>
      <c r="G64" s="2" t="s">
        <v>50</v>
      </c>
      <c r="H64" s="2" t="s">
        <v>51</v>
      </c>
      <c r="I64" s="2" t="s">
        <v>52</v>
      </c>
      <c r="J64" s="2" t="s">
        <v>53</v>
      </c>
      <c r="K64" s="2"/>
      <c r="L64" s="2" t="s">
        <v>54</v>
      </c>
      <c r="M64" s="2" t="s">
        <v>55</v>
      </c>
      <c r="N64" s="2" t="s">
        <v>56</v>
      </c>
      <c r="O64" s="2" t="s">
        <v>57</v>
      </c>
      <c r="P64" s="2" t="s">
        <v>248</v>
      </c>
      <c r="Q64" s="2" t="s">
        <v>249</v>
      </c>
      <c r="R64" s="2"/>
    </row>
    <row r="65" spans="1:18">
      <c r="A65" s="2" t="s">
        <v>250</v>
      </c>
      <c r="B65" s="2" t="s">
        <v>247</v>
      </c>
      <c r="C65" s="2" t="s">
        <v>49</v>
      </c>
      <c r="D65" s="2">
        <v>65976843.89</v>
      </c>
      <c r="E65" s="2">
        <v>1</v>
      </c>
      <c r="F65" s="3">
        <f>IF(COUNT(D65,E65)=2,D65*E65,NA())</f>
        <v>65976843.89</v>
      </c>
      <c r="G65" s="2" t="s">
        <v>50</v>
      </c>
      <c r="H65" s="2" t="s">
        <v>51</v>
      </c>
      <c r="I65" s="2" t="s">
        <v>52</v>
      </c>
      <c r="J65" s="2" t="s">
        <v>53</v>
      </c>
      <c r="K65" s="2"/>
      <c r="L65" s="2" t="s">
        <v>61</v>
      </c>
      <c r="M65" s="2" t="s">
        <v>55</v>
      </c>
      <c r="N65" s="2" t="s">
        <v>62</v>
      </c>
      <c r="O65" s="2" t="s">
        <v>57</v>
      </c>
      <c r="P65" s="2" t="s">
        <v>251</v>
      </c>
      <c r="Q65" s="2" t="s">
        <v>249</v>
      </c>
      <c r="R65" s="2"/>
    </row>
    <row r="66" spans="1:18">
      <c r="A66" s="2" t="s">
        <v>252</v>
      </c>
      <c r="B66" s="2" t="s">
        <v>253</v>
      </c>
      <c r="C66" s="2" t="s">
        <v>49</v>
      </c>
      <c r="D66" s="2">
        <v>557565080.4299999</v>
      </c>
      <c r="E66" s="2">
        <v>1</v>
      </c>
      <c r="F66" s="3">
        <f>IF(COUNT(D66,E66)=2,D66*E66,NA())</f>
        <v>557565080.43</v>
      </c>
      <c r="G66" s="2" t="s">
        <v>50</v>
      </c>
      <c r="H66" s="2" t="s">
        <v>51</v>
      </c>
      <c r="I66" s="2" t="s">
        <v>52</v>
      </c>
      <c r="J66" s="2" t="s">
        <v>53</v>
      </c>
      <c r="K66" s="2"/>
      <c r="L66" s="2" t="s">
        <v>54</v>
      </c>
      <c r="M66" s="2" t="s">
        <v>55</v>
      </c>
      <c r="N66" s="2" t="s">
        <v>56</v>
      </c>
      <c r="O66" s="2" t="s">
        <v>57</v>
      </c>
      <c r="P66" s="2" t="s">
        <v>254</v>
      </c>
      <c r="Q66" s="2" t="s">
        <v>255</v>
      </c>
      <c r="R66" s="2"/>
    </row>
    <row r="67" spans="1:18">
      <c r="A67" s="2" t="s">
        <v>256</v>
      </c>
      <c r="B67" s="2" t="s">
        <v>253</v>
      </c>
      <c r="C67" s="2" t="s">
        <v>49</v>
      </c>
      <c r="D67" s="2">
        <v>482190756.75</v>
      </c>
      <c r="E67" s="2">
        <v>1</v>
      </c>
      <c r="F67" s="3">
        <f>IF(COUNT(D67,E67)=2,D67*E67,NA())</f>
        <v>482190756.75</v>
      </c>
      <c r="G67" s="2" t="s">
        <v>50</v>
      </c>
      <c r="H67" s="2" t="s">
        <v>51</v>
      </c>
      <c r="I67" s="2" t="s">
        <v>52</v>
      </c>
      <c r="J67" s="2" t="s">
        <v>53</v>
      </c>
      <c r="K67" s="2"/>
      <c r="L67" s="2" t="s">
        <v>61</v>
      </c>
      <c r="M67" s="2" t="s">
        <v>55</v>
      </c>
      <c r="N67" s="2" t="s">
        <v>62</v>
      </c>
      <c r="O67" s="2" t="s">
        <v>57</v>
      </c>
      <c r="P67" s="2" t="s">
        <v>257</v>
      </c>
      <c r="Q67" s="2" t="s">
        <v>255</v>
      </c>
      <c r="R67" s="2"/>
    </row>
    <row r="68" spans="1:18">
      <c r="A68" s="2" t="s">
        <v>258</v>
      </c>
      <c r="B68" s="2" t="s">
        <v>259</v>
      </c>
      <c r="C68" s="2" t="s">
        <v>49</v>
      </c>
      <c r="D68" s="2">
        <v>440432674.72</v>
      </c>
      <c r="E68" s="2">
        <v>1</v>
      </c>
      <c r="F68" s="3">
        <f>IF(COUNT(D68,E68)=2,D68*E68,NA())</f>
        <v>440432674.72</v>
      </c>
      <c r="G68" s="2" t="s">
        <v>50</v>
      </c>
      <c r="H68" s="2" t="s">
        <v>51</v>
      </c>
      <c r="I68" s="2" t="s">
        <v>52</v>
      </c>
      <c r="J68" s="2" t="s">
        <v>53</v>
      </c>
      <c r="K68" s="2"/>
      <c r="L68" s="2" t="s">
        <v>54</v>
      </c>
      <c r="M68" s="2" t="s">
        <v>55</v>
      </c>
      <c r="N68" s="2" t="s">
        <v>56</v>
      </c>
      <c r="O68" s="2" t="s">
        <v>57</v>
      </c>
      <c r="P68" s="2" t="s">
        <v>260</v>
      </c>
      <c r="Q68" s="2" t="s">
        <v>261</v>
      </c>
      <c r="R68" s="2"/>
    </row>
    <row r="69" spans="1:18">
      <c r="A69" s="2" t="s">
        <v>262</v>
      </c>
      <c r="B69" s="2" t="s">
        <v>259</v>
      </c>
      <c r="C69" s="2" t="s">
        <v>49</v>
      </c>
      <c r="D69" s="2">
        <v>327540859.85</v>
      </c>
      <c r="E69" s="2">
        <v>1</v>
      </c>
      <c r="F69" s="3">
        <f>IF(COUNT(D69,E69)=2,D69*E69,NA())</f>
        <v>327540859.85</v>
      </c>
      <c r="G69" s="2" t="s">
        <v>50</v>
      </c>
      <c r="H69" s="2" t="s">
        <v>51</v>
      </c>
      <c r="I69" s="2" t="s">
        <v>52</v>
      </c>
      <c r="J69" s="2" t="s">
        <v>53</v>
      </c>
      <c r="K69" s="2"/>
      <c r="L69" s="2" t="s">
        <v>61</v>
      </c>
      <c r="M69" s="2" t="s">
        <v>55</v>
      </c>
      <c r="N69" s="2" t="s">
        <v>62</v>
      </c>
      <c r="O69" s="2" t="s">
        <v>57</v>
      </c>
      <c r="P69" s="2" t="s">
        <v>263</v>
      </c>
      <c r="Q69" s="2" t="s">
        <v>261</v>
      </c>
      <c r="R69" s="2"/>
    </row>
    <row r="70" spans="1:18">
      <c r="A70" s="2" t="s">
        <v>264</v>
      </c>
      <c r="B70" s="2" t="s">
        <v>265</v>
      </c>
      <c r="C70" s="2" t="s">
        <v>49</v>
      </c>
      <c r="D70" s="2">
        <v>42918686.01</v>
      </c>
      <c r="E70" s="2">
        <v>1</v>
      </c>
      <c r="F70" s="3">
        <f>IF(COUNT(D70,E70)=2,D70*E70,NA())</f>
        <v>42918686.01</v>
      </c>
      <c r="G70" s="2" t="s">
        <v>50</v>
      </c>
      <c r="H70" s="2" t="s">
        <v>51</v>
      </c>
      <c r="I70" s="2" t="s">
        <v>52</v>
      </c>
      <c r="J70" s="2" t="s">
        <v>53</v>
      </c>
      <c r="K70" s="2"/>
      <c r="L70" s="2" t="s">
        <v>54</v>
      </c>
      <c r="M70" s="2" t="s">
        <v>55</v>
      </c>
      <c r="N70" s="2" t="s">
        <v>56</v>
      </c>
      <c r="O70" s="2" t="s">
        <v>57</v>
      </c>
      <c r="P70" s="2" t="s">
        <v>266</v>
      </c>
      <c r="Q70" s="2" t="s">
        <v>267</v>
      </c>
      <c r="R70" s="2"/>
    </row>
    <row r="71" spans="1:18">
      <c r="A71" s="2" t="s">
        <v>268</v>
      </c>
      <c r="B71" s="2" t="s">
        <v>265</v>
      </c>
      <c r="C71" s="2" t="s">
        <v>49</v>
      </c>
      <c r="D71" s="2">
        <v>35808361.36</v>
      </c>
      <c r="E71" s="2">
        <v>1</v>
      </c>
      <c r="F71" s="3">
        <f>IF(COUNT(D71,E71)=2,D71*E71,NA())</f>
        <v>35808361.36</v>
      </c>
      <c r="G71" s="2" t="s">
        <v>50</v>
      </c>
      <c r="H71" s="2" t="s">
        <v>51</v>
      </c>
      <c r="I71" s="2" t="s">
        <v>52</v>
      </c>
      <c r="J71" s="2" t="s">
        <v>53</v>
      </c>
      <c r="K71" s="2"/>
      <c r="L71" s="2" t="s">
        <v>61</v>
      </c>
      <c r="M71" s="2" t="s">
        <v>55</v>
      </c>
      <c r="N71" s="2" t="s">
        <v>62</v>
      </c>
      <c r="O71" s="2" t="s">
        <v>57</v>
      </c>
      <c r="P71" s="2" t="s">
        <v>269</v>
      </c>
      <c r="Q71" s="2" t="s">
        <v>267</v>
      </c>
      <c r="R71" s="2"/>
    </row>
    <row r="72" spans="1:18">
      <c r="A72" s="2" t="s">
        <v>270</v>
      </c>
      <c r="B72" s="2" t="s">
        <v>271</v>
      </c>
      <c r="C72" s="2" t="s">
        <v>49</v>
      </c>
      <c r="D72" s="2">
        <v>5692405541.79</v>
      </c>
      <c r="E72" s="2">
        <v>1</v>
      </c>
      <c r="F72" s="3">
        <f>IF(COUNT(D72,E72)=2,D72*E72,NA())</f>
        <v>5692405541.79</v>
      </c>
      <c r="G72" s="2" t="s">
        <v>50</v>
      </c>
      <c r="H72" s="2" t="s">
        <v>51</v>
      </c>
      <c r="I72" s="2" t="s">
        <v>52</v>
      </c>
      <c r="J72" s="2" t="s">
        <v>53</v>
      </c>
      <c r="K72" s="2"/>
      <c r="L72" s="2" t="s">
        <v>54</v>
      </c>
      <c r="M72" s="2" t="s">
        <v>55</v>
      </c>
      <c r="N72" s="2" t="s">
        <v>56</v>
      </c>
      <c r="O72" s="2" t="s">
        <v>57</v>
      </c>
      <c r="P72" s="2" t="s">
        <v>272</v>
      </c>
      <c r="Q72" s="2" t="s">
        <v>273</v>
      </c>
      <c r="R72" s="2"/>
    </row>
    <row r="73" spans="1:18">
      <c r="A73" s="2" t="s">
        <v>274</v>
      </c>
      <c r="B73" s="2" t="s">
        <v>271</v>
      </c>
      <c r="C73" s="2" t="s">
        <v>49</v>
      </c>
      <c r="D73" s="2">
        <v>6136199867.15</v>
      </c>
      <c r="E73" s="2">
        <v>1</v>
      </c>
      <c r="F73" s="3">
        <f>IF(COUNT(D73,E73)=2,D73*E73,NA())</f>
        <v>6136199867.15</v>
      </c>
      <c r="G73" s="2" t="s">
        <v>50</v>
      </c>
      <c r="H73" s="2" t="s">
        <v>51</v>
      </c>
      <c r="I73" s="2" t="s">
        <v>52</v>
      </c>
      <c r="J73" s="2" t="s">
        <v>53</v>
      </c>
      <c r="K73" s="2"/>
      <c r="L73" s="2" t="s">
        <v>61</v>
      </c>
      <c r="M73" s="2" t="s">
        <v>55</v>
      </c>
      <c r="N73" s="2" t="s">
        <v>62</v>
      </c>
      <c r="O73" s="2" t="s">
        <v>57</v>
      </c>
      <c r="P73" s="2" t="s">
        <v>275</v>
      </c>
      <c r="Q73" s="2" t="s">
        <v>273</v>
      </c>
      <c r="R73" s="2"/>
    </row>
    <row r="74" spans="1:18">
      <c r="A74" s="2" t="s">
        <v>276</v>
      </c>
      <c r="B74" s="2" t="s">
        <v>277</v>
      </c>
      <c r="C74" s="2" t="s">
        <v>49</v>
      </c>
      <c r="D74" s="2">
        <v>122440450.61</v>
      </c>
      <c r="E74" s="2">
        <v>1</v>
      </c>
      <c r="F74" s="3">
        <f>IF(COUNT(D74,E74)=2,D74*E74,NA())</f>
        <v>122440450.61</v>
      </c>
      <c r="G74" s="2" t="s">
        <v>50</v>
      </c>
      <c r="H74" s="2" t="s">
        <v>51</v>
      </c>
      <c r="I74" s="2" t="s">
        <v>52</v>
      </c>
      <c r="J74" s="2" t="s">
        <v>53</v>
      </c>
      <c r="K74" s="2"/>
      <c r="L74" s="2" t="s">
        <v>54</v>
      </c>
      <c r="M74" s="2" t="s">
        <v>55</v>
      </c>
      <c r="N74" s="2" t="s">
        <v>56</v>
      </c>
      <c r="O74" s="2" t="s">
        <v>57</v>
      </c>
      <c r="P74" s="2" t="s">
        <v>278</v>
      </c>
      <c r="Q74" s="2" t="s">
        <v>279</v>
      </c>
      <c r="R74" s="2"/>
    </row>
    <row r="75" spans="1:18">
      <c r="A75" s="2" t="s">
        <v>280</v>
      </c>
      <c r="B75" s="2" t="s">
        <v>277</v>
      </c>
      <c r="C75" s="2" t="s">
        <v>49</v>
      </c>
      <c r="D75" s="2">
        <v>487355542.35</v>
      </c>
      <c r="E75" s="2">
        <v>1</v>
      </c>
      <c r="F75" s="3">
        <f>IF(COUNT(D75,E75)=2,D75*E75,NA())</f>
        <v>487355542.35</v>
      </c>
      <c r="G75" s="2" t="s">
        <v>50</v>
      </c>
      <c r="H75" s="2" t="s">
        <v>51</v>
      </c>
      <c r="I75" s="2" t="s">
        <v>52</v>
      </c>
      <c r="J75" s="2" t="s">
        <v>53</v>
      </c>
      <c r="K75" s="2"/>
      <c r="L75" s="2" t="s">
        <v>61</v>
      </c>
      <c r="M75" s="2" t="s">
        <v>55</v>
      </c>
      <c r="N75" s="2" t="s">
        <v>62</v>
      </c>
      <c r="O75" s="2" t="s">
        <v>57</v>
      </c>
      <c r="P75" s="2" t="s">
        <v>281</v>
      </c>
      <c r="Q75" s="2" t="s">
        <v>279</v>
      </c>
      <c r="R75" s="2"/>
    </row>
    <row r="76" spans="1:18">
      <c r="A76" s="2" t="s">
        <v>282</v>
      </c>
      <c r="B76" s="2" t="s">
        <v>283</v>
      </c>
      <c r="C76" s="2" t="s">
        <v>49</v>
      </c>
      <c r="D76" s="2">
        <v>2313383227.05</v>
      </c>
      <c r="E76" s="2">
        <v>1</v>
      </c>
      <c r="F76" s="3">
        <f>IF(COUNT(D76,E76)=2,D76*E76,NA())</f>
        <v>2313383227.05</v>
      </c>
      <c r="G76" s="2" t="s">
        <v>50</v>
      </c>
      <c r="H76" s="2" t="s">
        <v>51</v>
      </c>
      <c r="I76" s="2" t="s">
        <v>52</v>
      </c>
      <c r="J76" s="2" t="s">
        <v>53</v>
      </c>
      <c r="K76" s="2"/>
      <c r="L76" s="2" t="s">
        <v>54</v>
      </c>
      <c r="M76" s="2" t="s">
        <v>55</v>
      </c>
      <c r="N76" s="2" t="s">
        <v>56</v>
      </c>
      <c r="O76" s="2" t="s">
        <v>57</v>
      </c>
      <c r="P76" s="2" t="s">
        <v>284</v>
      </c>
      <c r="Q76" s="2" t="s">
        <v>285</v>
      </c>
      <c r="R76" s="2"/>
    </row>
    <row r="77" spans="1:18">
      <c r="A77" s="2" t="s">
        <v>286</v>
      </c>
      <c r="B77" s="2" t="s">
        <v>283</v>
      </c>
      <c r="C77" s="2" t="s">
        <v>49</v>
      </c>
      <c r="D77" s="2">
        <v>2243045749.84</v>
      </c>
      <c r="E77" s="2">
        <v>1</v>
      </c>
      <c r="F77" s="3">
        <f>IF(COUNT(D77,E77)=2,D77*E77,NA())</f>
        <v>2243045749.84</v>
      </c>
      <c r="G77" s="2" t="s">
        <v>50</v>
      </c>
      <c r="H77" s="2" t="s">
        <v>51</v>
      </c>
      <c r="I77" s="2" t="s">
        <v>52</v>
      </c>
      <c r="J77" s="2" t="s">
        <v>53</v>
      </c>
      <c r="K77" s="2"/>
      <c r="L77" s="2" t="s">
        <v>61</v>
      </c>
      <c r="M77" s="2" t="s">
        <v>55</v>
      </c>
      <c r="N77" s="2" t="s">
        <v>62</v>
      </c>
      <c r="O77" s="2" t="s">
        <v>57</v>
      </c>
      <c r="P77" s="2" t="s">
        <v>287</v>
      </c>
      <c r="Q77" s="2" t="s">
        <v>285</v>
      </c>
      <c r="R77" s="2"/>
    </row>
    <row r="78" spans="1:18">
      <c r="A78" s="2" t="s">
        <v>288</v>
      </c>
      <c r="B78" s="2" t="s">
        <v>289</v>
      </c>
      <c r="C78" s="2" t="s">
        <v>49</v>
      </c>
      <c r="D78" s="2">
        <v>30968310.41</v>
      </c>
      <c r="E78" s="2">
        <v>1</v>
      </c>
      <c r="F78" s="3">
        <f>IF(COUNT(D78,E78)=2,D78*E78,NA())</f>
        <v>30968310.41</v>
      </c>
      <c r="G78" s="2" t="s">
        <v>50</v>
      </c>
      <c r="H78" s="2" t="s">
        <v>51</v>
      </c>
      <c r="I78" s="2" t="s">
        <v>52</v>
      </c>
      <c r="J78" s="2" t="s">
        <v>53</v>
      </c>
      <c r="K78" s="2"/>
      <c r="L78" s="2" t="s">
        <v>54</v>
      </c>
      <c r="M78" s="2" t="s">
        <v>55</v>
      </c>
      <c r="N78" s="2" t="s">
        <v>56</v>
      </c>
      <c r="O78" s="2" t="s">
        <v>57</v>
      </c>
      <c r="P78" s="2" t="s">
        <v>290</v>
      </c>
      <c r="Q78" s="2" t="s">
        <v>291</v>
      </c>
      <c r="R78" s="2"/>
    </row>
    <row r="79" spans="1:18">
      <c r="A79" s="2" t="s">
        <v>292</v>
      </c>
      <c r="B79" s="2" t="s">
        <v>289</v>
      </c>
      <c r="C79" s="2" t="s">
        <v>49</v>
      </c>
      <c r="D79" s="2">
        <v>20888270.38</v>
      </c>
      <c r="E79" s="2">
        <v>1</v>
      </c>
      <c r="F79" s="3">
        <f>IF(COUNT(D79,E79)=2,D79*E79,NA())</f>
        <v>20888270.38</v>
      </c>
      <c r="G79" s="2" t="s">
        <v>50</v>
      </c>
      <c r="H79" s="2" t="s">
        <v>51</v>
      </c>
      <c r="I79" s="2" t="s">
        <v>52</v>
      </c>
      <c r="J79" s="2" t="s">
        <v>53</v>
      </c>
      <c r="K79" s="2"/>
      <c r="L79" s="2" t="s">
        <v>61</v>
      </c>
      <c r="M79" s="2" t="s">
        <v>55</v>
      </c>
      <c r="N79" s="2" t="s">
        <v>62</v>
      </c>
      <c r="O79" s="2" t="s">
        <v>57</v>
      </c>
      <c r="P79" s="2" t="s">
        <v>293</v>
      </c>
      <c r="Q79" s="2" t="s">
        <v>291</v>
      </c>
      <c r="R79" s="2"/>
    </row>
    <row r="80" spans="1:18">
      <c r="A80" s="2" t="s">
        <v>294</v>
      </c>
      <c r="B80" s="2" t="s">
        <v>295</v>
      </c>
      <c r="C80" s="2" t="s">
        <v>49</v>
      </c>
      <c r="D80" s="2">
        <v>117125817.79</v>
      </c>
      <c r="E80" s="2">
        <v>1</v>
      </c>
      <c r="F80" s="3">
        <f>IF(COUNT(D80,E80)=2,D80*E80,NA())</f>
        <v>117125817.79</v>
      </c>
      <c r="G80" s="2" t="s">
        <v>50</v>
      </c>
      <c r="H80" s="2" t="s">
        <v>51</v>
      </c>
      <c r="I80" s="2" t="s">
        <v>52</v>
      </c>
      <c r="J80" s="2" t="s">
        <v>53</v>
      </c>
      <c r="K80" s="2"/>
      <c r="L80" s="2" t="s">
        <v>54</v>
      </c>
      <c r="M80" s="2" t="s">
        <v>55</v>
      </c>
      <c r="N80" s="2" t="s">
        <v>56</v>
      </c>
      <c r="O80" s="2" t="s">
        <v>57</v>
      </c>
      <c r="P80" s="2" t="s">
        <v>296</v>
      </c>
      <c r="Q80" s="2" t="s">
        <v>297</v>
      </c>
      <c r="R80" s="2"/>
    </row>
    <row r="81" spans="1:18">
      <c r="A81" s="2" t="s">
        <v>298</v>
      </c>
      <c r="B81" s="2" t="s">
        <v>295</v>
      </c>
      <c r="C81" s="2" t="s">
        <v>49</v>
      </c>
      <c r="D81" s="2">
        <v>109320745.08</v>
      </c>
      <c r="E81" s="2">
        <v>1</v>
      </c>
      <c r="F81" s="3">
        <f>IF(COUNT(D81,E81)=2,D81*E81,NA())</f>
        <v>109320745.08</v>
      </c>
      <c r="G81" s="2" t="s">
        <v>50</v>
      </c>
      <c r="H81" s="2" t="s">
        <v>51</v>
      </c>
      <c r="I81" s="2" t="s">
        <v>52</v>
      </c>
      <c r="J81" s="2" t="s">
        <v>53</v>
      </c>
      <c r="K81" s="2"/>
      <c r="L81" s="2" t="s">
        <v>61</v>
      </c>
      <c r="M81" s="2" t="s">
        <v>55</v>
      </c>
      <c r="N81" s="2" t="s">
        <v>62</v>
      </c>
      <c r="O81" s="2" t="s">
        <v>57</v>
      </c>
      <c r="P81" s="2" t="s">
        <v>299</v>
      </c>
      <c r="Q81" s="2" t="s">
        <v>297</v>
      </c>
      <c r="R81" s="2"/>
    </row>
    <row r="82" spans="1:18">
      <c r="A82" s="2" t="s">
        <v>300</v>
      </c>
      <c r="B82" s="2" t="s">
        <v>301</v>
      </c>
      <c r="C82" s="2" t="s">
        <v>49</v>
      </c>
      <c r="D82" s="2">
        <v>35170595.48</v>
      </c>
      <c r="E82" s="2">
        <v>1</v>
      </c>
      <c r="F82" s="3">
        <f>IF(COUNT(D82,E82)=2,D82*E82,NA())</f>
        <v>35170595.48</v>
      </c>
      <c r="G82" s="2" t="s">
        <v>50</v>
      </c>
      <c r="H82" s="2" t="s">
        <v>51</v>
      </c>
      <c r="I82" s="2" t="s">
        <v>52</v>
      </c>
      <c r="J82" s="2" t="s">
        <v>53</v>
      </c>
      <c r="K82" s="2"/>
      <c r="L82" s="2" t="s">
        <v>54</v>
      </c>
      <c r="M82" s="2" t="s">
        <v>55</v>
      </c>
      <c r="N82" s="2" t="s">
        <v>56</v>
      </c>
      <c r="O82" s="2" t="s">
        <v>57</v>
      </c>
      <c r="P82" s="2" t="s">
        <v>302</v>
      </c>
      <c r="Q82" s="2" t="s">
        <v>303</v>
      </c>
      <c r="R82" s="2"/>
    </row>
    <row r="83" spans="1:18">
      <c r="A83" s="2" t="s">
        <v>304</v>
      </c>
      <c r="B83" s="2" t="s">
        <v>301</v>
      </c>
      <c r="C83" s="2" t="s">
        <v>49</v>
      </c>
      <c r="D83" s="2">
        <v>41656479.97</v>
      </c>
      <c r="E83" s="2">
        <v>1</v>
      </c>
      <c r="F83" s="3">
        <f>IF(COUNT(D83,E83)=2,D83*E83,NA())</f>
        <v>41656479.97</v>
      </c>
      <c r="G83" s="2" t="s">
        <v>50</v>
      </c>
      <c r="H83" s="2" t="s">
        <v>51</v>
      </c>
      <c r="I83" s="2" t="s">
        <v>52</v>
      </c>
      <c r="J83" s="2" t="s">
        <v>53</v>
      </c>
      <c r="K83" s="2"/>
      <c r="L83" s="2" t="s">
        <v>61</v>
      </c>
      <c r="M83" s="2" t="s">
        <v>55</v>
      </c>
      <c r="N83" s="2" t="s">
        <v>62</v>
      </c>
      <c r="O83" s="2" t="s">
        <v>57</v>
      </c>
      <c r="P83" s="2" t="s">
        <v>305</v>
      </c>
      <c r="Q83" s="2" t="s">
        <v>303</v>
      </c>
      <c r="R83" s="2"/>
    </row>
    <row r="84" spans="1:18">
      <c r="A84" s="2" t="s">
        <v>306</v>
      </c>
      <c r="B84" s="2" t="s">
        <v>307</v>
      </c>
      <c r="C84" s="2" t="s">
        <v>49</v>
      </c>
      <c r="D84" s="2">
        <v>36508115.85</v>
      </c>
      <c r="E84" s="2">
        <v>1</v>
      </c>
      <c r="F84" s="3">
        <f>IF(COUNT(D84,E84)=2,D84*E84,NA())</f>
        <v>36508115.85</v>
      </c>
      <c r="G84" s="2" t="s">
        <v>50</v>
      </c>
      <c r="H84" s="2" t="s">
        <v>51</v>
      </c>
      <c r="I84" s="2" t="s">
        <v>52</v>
      </c>
      <c r="J84" s="2" t="s">
        <v>53</v>
      </c>
      <c r="K84" s="2"/>
      <c r="L84" s="2" t="s">
        <v>54</v>
      </c>
      <c r="M84" s="2" t="s">
        <v>55</v>
      </c>
      <c r="N84" s="2" t="s">
        <v>56</v>
      </c>
      <c r="O84" s="2" t="s">
        <v>57</v>
      </c>
      <c r="P84" s="2" t="s">
        <v>308</v>
      </c>
      <c r="Q84" s="2" t="s">
        <v>309</v>
      </c>
      <c r="R84" s="2"/>
    </row>
    <row r="85" spans="1:18">
      <c r="A85" s="2" t="s">
        <v>310</v>
      </c>
      <c r="B85" s="2" t="s">
        <v>307</v>
      </c>
      <c r="C85" s="2" t="s">
        <v>49</v>
      </c>
      <c r="D85" s="2">
        <v>39064016.52</v>
      </c>
      <c r="E85" s="2">
        <v>1</v>
      </c>
      <c r="F85" s="3">
        <f>IF(COUNT(D85,E85)=2,D85*E85,NA())</f>
        <v>39064016.52</v>
      </c>
      <c r="G85" s="2" t="s">
        <v>50</v>
      </c>
      <c r="H85" s="2" t="s">
        <v>51</v>
      </c>
      <c r="I85" s="2" t="s">
        <v>52</v>
      </c>
      <c r="J85" s="2" t="s">
        <v>53</v>
      </c>
      <c r="K85" s="2"/>
      <c r="L85" s="2" t="s">
        <v>61</v>
      </c>
      <c r="M85" s="2" t="s">
        <v>55</v>
      </c>
      <c r="N85" s="2" t="s">
        <v>62</v>
      </c>
      <c r="O85" s="2" t="s">
        <v>57</v>
      </c>
      <c r="P85" s="2" t="s">
        <v>311</v>
      </c>
      <c r="Q85" s="2" t="s">
        <v>309</v>
      </c>
      <c r="R85" s="2"/>
    </row>
    <row r="86" spans="1:18">
      <c r="A86" s="2" t="s">
        <v>312</v>
      </c>
      <c r="B86" s="2" t="s">
        <v>313</v>
      </c>
      <c r="C86" s="2" t="s">
        <v>49</v>
      </c>
      <c r="D86" s="2">
        <v>2655596517.19</v>
      </c>
      <c r="E86" s="2">
        <v>1</v>
      </c>
      <c r="F86" s="3">
        <f>IF(COUNT(D86,E86)=2,D86*E86,NA())</f>
        <v>2655596517.19</v>
      </c>
      <c r="G86" s="2" t="s">
        <v>50</v>
      </c>
      <c r="H86" s="2" t="s">
        <v>51</v>
      </c>
      <c r="I86" s="2" t="s">
        <v>52</v>
      </c>
      <c r="J86" s="2" t="s">
        <v>53</v>
      </c>
      <c r="K86" s="2"/>
      <c r="L86" s="2" t="s">
        <v>54</v>
      </c>
      <c r="M86" s="2" t="s">
        <v>55</v>
      </c>
      <c r="N86" s="2" t="s">
        <v>56</v>
      </c>
      <c r="O86" s="2" t="s">
        <v>57</v>
      </c>
      <c r="P86" s="2" t="s">
        <v>314</v>
      </c>
      <c r="Q86" s="2" t="s">
        <v>315</v>
      </c>
      <c r="R86" s="2"/>
    </row>
    <row r="87" spans="1:18">
      <c r="A87" s="2" t="s">
        <v>316</v>
      </c>
      <c r="B87" s="2" t="s">
        <v>313</v>
      </c>
      <c r="C87" s="2" t="s">
        <v>49</v>
      </c>
      <c r="D87" s="2">
        <v>2941330804.14</v>
      </c>
      <c r="E87" s="2">
        <v>1</v>
      </c>
      <c r="F87" s="3">
        <f>IF(COUNT(D87,E87)=2,D87*E87,NA())</f>
        <v>2941330804.14</v>
      </c>
      <c r="G87" s="2" t="s">
        <v>50</v>
      </c>
      <c r="H87" s="2" t="s">
        <v>51</v>
      </c>
      <c r="I87" s="2" t="s">
        <v>52</v>
      </c>
      <c r="J87" s="2" t="s">
        <v>53</v>
      </c>
      <c r="K87" s="2"/>
      <c r="L87" s="2" t="s">
        <v>61</v>
      </c>
      <c r="M87" s="2" t="s">
        <v>55</v>
      </c>
      <c r="N87" s="2" t="s">
        <v>62</v>
      </c>
      <c r="O87" s="2" t="s">
        <v>57</v>
      </c>
      <c r="P87" s="2" t="s">
        <v>317</v>
      </c>
      <c r="Q87" s="2" t="s">
        <v>315</v>
      </c>
      <c r="R87" s="2"/>
    </row>
    <row r="88" spans="1:18">
      <c r="A88" s="2" t="s">
        <v>318</v>
      </c>
      <c r="B88" s="2" t="s">
        <v>319</v>
      </c>
      <c r="C88" s="2" t="s">
        <v>49</v>
      </c>
      <c r="D88" s="2">
        <v>8348002058.98</v>
      </c>
      <c r="E88" s="2">
        <v>1</v>
      </c>
      <c r="F88" s="3">
        <f>IF(COUNT(D88,E88)=2,D88*E88,NA())</f>
        <v>8348002058.98</v>
      </c>
      <c r="G88" s="2" t="s">
        <v>50</v>
      </c>
      <c r="H88" s="2" t="s">
        <v>51</v>
      </c>
      <c r="I88" s="2" t="s">
        <v>52</v>
      </c>
      <c r="J88" s="2" t="s">
        <v>53</v>
      </c>
      <c r="K88" s="2"/>
      <c r="L88" s="2" t="s">
        <v>54</v>
      </c>
      <c r="M88" s="2" t="s">
        <v>55</v>
      </c>
      <c r="N88" s="2" t="s">
        <v>56</v>
      </c>
      <c r="O88" s="2" t="s">
        <v>57</v>
      </c>
      <c r="P88" s="2" t="s">
        <v>320</v>
      </c>
      <c r="Q88" s="2" t="s">
        <v>321</v>
      </c>
      <c r="R88" s="2"/>
    </row>
    <row r="89" spans="1:18">
      <c r="A89" s="2" t="s">
        <v>322</v>
      </c>
      <c r="B89" s="2" t="s">
        <v>319</v>
      </c>
      <c r="C89" s="2" t="s">
        <v>49</v>
      </c>
      <c r="D89" s="2">
        <v>9077530671.290001</v>
      </c>
      <c r="E89" s="2">
        <v>1</v>
      </c>
      <c r="F89" s="3">
        <f>IF(COUNT(D89,E89)=2,D89*E89,NA())</f>
        <v>9077530671.29</v>
      </c>
      <c r="G89" s="2" t="s">
        <v>50</v>
      </c>
      <c r="H89" s="2" t="s">
        <v>51</v>
      </c>
      <c r="I89" s="2" t="s">
        <v>52</v>
      </c>
      <c r="J89" s="2" t="s">
        <v>53</v>
      </c>
      <c r="K89" s="2"/>
      <c r="L89" s="2" t="s">
        <v>61</v>
      </c>
      <c r="M89" s="2" t="s">
        <v>55</v>
      </c>
      <c r="N89" s="2" t="s">
        <v>62</v>
      </c>
      <c r="O89" s="2" t="s">
        <v>57</v>
      </c>
      <c r="P89" s="2" t="s">
        <v>323</v>
      </c>
      <c r="Q89" s="2" t="s">
        <v>321</v>
      </c>
      <c r="R89" s="2"/>
    </row>
    <row r="90" spans="1:18">
      <c r="A90" s="2" t="s">
        <v>324</v>
      </c>
      <c r="B90" s="2" t="s">
        <v>325</v>
      </c>
      <c r="C90" s="2" t="s">
        <v>49</v>
      </c>
      <c r="D90" s="2">
        <v>1109970259</v>
      </c>
      <c r="E90" s="2">
        <v>1</v>
      </c>
      <c r="F90" s="3">
        <f>IF(COUNT(D90,E90)=2,D90*E90,NA())</f>
        <v>1109970259.0</v>
      </c>
      <c r="G90" s="2" t="s">
        <v>50</v>
      </c>
      <c r="H90" s="2" t="s">
        <v>51</v>
      </c>
      <c r="I90" s="2" t="s">
        <v>52</v>
      </c>
      <c r="J90" s="2" t="s">
        <v>53</v>
      </c>
      <c r="K90" s="2"/>
      <c r="L90" s="2" t="s">
        <v>54</v>
      </c>
      <c r="M90" s="2" t="s">
        <v>55</v>
      </c>
      <c r="N90" s="2" t="s">
        <v>56</v>
      </c>
      <c r="O90" s="2" t="s">
        <v>57</v>
      </c>
      <c r="P90" s="2" t="s">
        <v>326</v>
      </c>
      <c r="Q90" s="2" t="s">
        <v>327</v>
      </c>
      <c r="R90" s="2"/>
    </row>
    <row r="91" spans="1:18">
      <c r="A91" s="2" t="s">
        <v>328</v>
      </c>
      <c r="B91" s="2" t="s">
        <v>325</v>
      </c>
      <c r="C91" s="2" t="s">
        <v>49</v>
      </c>
      <c r="D91" s="2">
        <v>1109967662</v>
      </c>
      <c r="E91" s="2">
        <v>1</v>
      </c>
      <c r="F91" s="3">
        <f>IF(COUNT(D91,E91)=2,D91*E91,NA())</f>
        <v>1109967662.0</v>
      </c>
      <c r="G91" s="2" t="s">
        <v>50</v>
      </c>
      <c r="H91" s="2" t="s">
        <v>51</v>
      </c>
      <c r="I91" s="2" t="s">
        <v>52</v>
      </c>
      <c r="J91" s="2" t="s">
        <v>53</v>
      </c>
      <c r="K91" s="2"/>
      <c r="L91" s="2" t="s">
        <v>61</v>
      </c>
      <c r="M91" s="2" t="s">
        <v>55</v>
      </c>
      <c r="N91" s="2" t="s">
        <v>62</v>
      </c>
      <c r="O91" s="2" t="s">
        <v>57</v>
      </c>
      <c r="P91" s="2" t="s">
        <v>329</v>
      </c>
      <c r="Q91" s="2" t="s">
        <v>327</v>
      </c>
      <c r="R91" s="2"/>
    </row>
    <row r="92" spans="1:18">
      <c r="A92" s="2" t="s">
        <v>330</v>
      </c>
      <c r="B92" s="2" t="s">
        <v>331</v>
      </c>
      <c r="C92" s="2" t="s">
        <v>49</v>
      </c>
      <c r="D92" s="2">
        <v>36452055.01</v>
      </c>
      <c r="E92" s="2">
        <v>1</v>
      </c>
      <c r="F92" s="3">
        <f>IF(COUNT(D92,E92)=2,D92*E92,NA())</f>
        <v>36452055.01</v>
      </c>
      <c r="G92" s="2" t="s">
        <v>50</v>
      </c>
      <c r="H92" s="2" t="s">
        <v>51</v>
      </c>
      <c r="I92" s="2" t="s">
        <v>52</v>
      </c>
      <c r="J92" s="2" t="s">
        <v>53</v>
      </c>
      <c r="K92" s="2"/>
      <c r="L92" s="2" t="s">
        <v>54</v>
      </c>
      <c r="M92" s="2" t="s">
        <v>55</v>
      </c>
      <c r="N92" s="2" t="s">
        <v>56</v>
      </c>
      <c r="O92" s="2" t="s">
        <v>57</v>
      </c>
      <c r="P92" s="2" t="s">
        <v>332</v>
      </c>
      <c r="Q92" s="2" t="s">
        <v>333</v>
      </c>
      <c r="R92" s="2"/>
    </row>
    <row r="93" spans="1:18">
      <c r="A93" s="2" t="s">
        <v>334</v>
      </c>
      <c r="B93" s="2" t="s">
        <v>331</v>
      </c>
      <c r="C93" s="2" t="s">
        <v>49</v>
      </c>
      <c r="D93" s="2">
        <v>42885077.75</v>
      </c>
      <c r="E93" s="2">
        <v>1</v>
      </c>
      <c r="F93" s="3">
        <f>IF(COUNT(D93,E93)=2,D93*E93,NA())</f>
        <v>42885077.75</v>
      </c>
      <c r="G93" s="2" t="s">
        <v>50</v>
      </c>
      <c r="H93" s="2" t="s">
        <v>51</v>
      </c>
      <c r="I93" s="2" t="s">
        <v>52</v>
      </c>
      <c r="J93" s="2" t="s">
        <v>53</v>
      </c>
      <c r="K93" s="2"/>
      <c r="L93" s="2" t="s">
        <v>61</v>
      </c>
      <c r="M93" s="2" t="s">
        <v>55</v>
      </c>
      <c r="N93" s="2" t="s">
        <v>62</v>
      </c>
      <c r="O93" s="2" t="s">
        <v>57</v>
      </c>
      <c r="P93" s="2" t="s">
        <v>335</v>
      </c>
      <c r="Q93" s="2" t="s">
        <v>333</v>
      </c>
      <c r="R93" s="2"/>
    </row>
    <row r="94" spans="1:18">
      <c r="A94" s="2" t="s">
        <v>336</v>
      </c>
      <c r="B94" s="2" t="s">
        <v>337</v>
      </c>
      <c r="C94" s="2" t="s">
        <v>49</v>
      </c>
      <c r="D94" s="2">
        <v>1576158229.5</v>
      </c>
      <c r="E94" s="2">
        <v>1</v>
      </c>
      <c r="F94" s="3">
        <f>IF(COUNT(D94,E94)=2,D94*E94,NA())</f>
        <v>1576158229.5</v>
      </c>
      <c r="G94" s="2" t="s">
        <v>50</v>
      </c>
      <c r="H94" s="2" t="s">
        <v>51</v>
      </c>
      <c r="I94" s="2" t="s">
        <v>52</v>
      </c>
      <c r="J94" s="2" t="s">
        <v>53</v>
      </c>
      <c r="K94" s="2"/>
      <c r="L94" s="2" t="s">
        <v>54</v>
      </c>
      <c r="M94" s="2" t="s">
        <v>55</v>
      </c>
      <c r="N94" s="2" t="s">
        <v>56</v>
      </c>
      <c r="O94" s="2" t="s">
        <v>57</v>
      </c>
      <c r="P94" s="2" t="s">
        <v>338</v>
      </c>
      <c r="Q94" s="2" t="s">
        <v>339</v>
      </c>
      <c r="R94" s="2"/>
    </row>
    <row r="95" spans="1:18">
      <c r="A95" s="2" t="s">
        <v>340</v>
      </c>
      <c r="B95" s="2" t="s">
        <v>337</v>
      </c>
      <c r="C95" s="2" t="s">
        <v>49</v>
      </c>
      <c r="D95" s="2">
        <v>1661640719.61</v>
      </c>
      <c r="E95" s="2">
        <v>1</v>
      </c>
      <c r="F95" s="3">
        <f>IF(COUNT(D95,E95)=2,D95*E95,NA())</f>
        <v>1661640719.61</v>
      </c>
      <c r="G95" s="2" t="s">
        <v>50</v>
      </c>
      <c r="H95" s="2" t="s">
        <v>51</v>
      </c>
      <c r="I95" s="2" t="s">
        <v>52</v>
      </c>
      <c r="J95" s="2" t="s">
        <v>53</v>
      </c>
      <c r="K95" s="2"/>
      <c r="L95" s="2" t="s">
        <v>61</v>
      </c>
      <c r="M95" s="2" t="s">
        <v>55</v>
      </c>
      <c r="N95" s="2" t="s">
        <v>62</v>
      </c>
      <c r="O95" s="2" t="s">
        <v>57</v>
      </c>
      <c r="P95" s="2" t="s">
        <v>341</v>
      </c>
      <c r="Q95" s="2" t="s">
        <v>339</v>
      </c>
      <c r="R95" s="2"/>
    </row>
    <row r="96" spans="1:18">
      <c r="A96" s="2" t="s">
        <v>342</v>
      </c>
      <c r="B96" s="2" t="s">
        <v>343</v>
      </c>
      <c r="C96" s="2" t="s">
        <v>49</v>
      </c>
      <c r="D96" s="2">
        <v>-51584797.04</v>
      </c>
      <c r="E96" s="2">
        <v>1</v>
      </c>
      <c r="F96" s="3">
        <f>IF(COUNT(D96,E96)=2,D96*E96,NA())</f>
        <v>-51584797.04</v>
      </c>
      <c r="G96" s="2" t="s">
        <v>50</v>
      </c>
      <c r="H96" s="2" t="s">
        <v>51</v>
      </c>
      <c r="I96" s="2" t="s">
        <v>52</v>
      </c>
      <c r="J96" s="2" t="s">
        <v>53</v>
      </c>
      <c r="K96" s="2"/>
      <c r="L96" s="2" t="s">
        <v>54</v>
      </c>
      <c r="M96" s="2" t="s">
        <v>55</v>
      </c>
      <c r="N96" s="2" t="s">
        <v>56</v>
      </c>
      <c r="O96" s="2" t="s">
        <v>57</v>
      </c>
      <c r="P96" s="2" t="s">
        <v>344</v>
      </c>
      <c r="Q96" s="2" t="s">
        <v>345</v>
      </c>
      <c r="R96" s="2"/>
    </row>
    <row r="97" spans="1:18">
      <c r="A97" s="2" t="s">
        <v>346</v>
      </c>
      <c r="B97" s="2" t="s">
        <v>343</v>
      </c>
      <c r="C97" s="2" t="s">
        <v>49</v>
      </c>
      <c r="D97" s="2">
        <v>-37016511.9</v>
      </c>
      <c r="E97" s="2">
        <v>1</v>
      </c>
      <c r="F97" s="3">
        <f>IF(COUNT(D97,E97)=2,D97*E97,NA())</f>
        <v>-37016511.9</v>
      </c>
      <c r="G97" s="2" t="s">
        <v>50</v>
      </c>
      <c r="H97" s="2" t="s">
        <v>51</v>
      </c>
      <c r="I97" s="2" t="s">
        <v>52</v>
      </c>
      <c r="J97" s="2" t="s">
        <v>53</v>
      </c>
      <c r="K97" s="2"/>
      <c r="L97" s="2" t="s">
        <v>61</v>
      </c>
      <c r="M97" s="2" t="s">
        <v>55</v>
      </c>
      <c r="N97" s="2" t="s">
        <v>62</v>
      </c>
      <c r="O97" s="2" t="s">
        <v>57</v>
      </c>
      <c r="P97" s="2" t="s">
        <v>347</v>
      </c>
      <c r="Q97" s="2" t="s">
        <v>345</v>
      </c>
      <c r="R97" s="2"/>
    </row>
    <row r="98" spans="1:18">
      <c r="A98" s="2" t="s">
        <v>348</v>
      </c>
      <c r="B98" s="2" t="s">
        <v>349</v>
      </c>
      <c r="C98" s="2" t="s">
        <v>49</v>
      </c>
      <c r="D98" s="2">
        <v>113408833.76</v>
      </c>
      <c r="E98" s="2">
        <v>1</v>
      </c>
      <c r="F98" s="3">
        <f>IF(COUNT(D98,E98)=2,D98*E98,NA())</f>
        <v>113408833.76</v>
      </c>
      <c r="G98" s="2" t="s">
        <v>50</v>
      </c>
      <c r="H98" s="2" t="s">
        <v>51</v>
      </c>
      <c r="I98" s="2" t="s">
        <v>52</v>
      </c>
      <c r="J98" s="2" t="s">
        <v>53</v>
      </c>
      <c r="K98" s="2"/>
      <c r="L98" s="2" t="s">
        <v>54</v>
      </c>
      <c r="M98" s="2" t="s">
        <v>55</v>
      </c>
      <c r="N98" s="2" t="s">
        <v>56</v>
      </c>
      <c r="O98" s="2" t="s">
        <v>57</v>
      </c>
      <c r="P98" s="2" t="s">
        <v>350</v>
      </c>
      <c r="Q98" s="2" t="s">
        <v>351</v>
      </c>
      <c r="R98" s="2"/>
    </row>
    <row r="99" spans="1:18">
      <c r="A99" s="2" t="s">
        <v>352</v>
      </c>
      <c r="B99" s="2" t="s">
        <v>349</v>
      </c>
      <c r="C99" s="2" t="s">
        <v>49</v>
      </c>
      <c r="D99" s="2">
        <v>96798364.18000001</v>
      </c>
      <c r="E99" s="2">
        <v>1</v>
      </c>
      <c r="F99" s="3">
        <f>IF(COUNT(D99,E99)=2,D99*E99,NA())</f>
        <v>96798364.18</v>
      </c>
      <c r="G99" s="2" t="s">
        <v>50</v>
      </c>
      <c r="H99" s="2" t="s">
        <v>51</v>
      </c>
      <c r="I99" s="2" t="s">
        <v>52</v>
      </c>
      <c r="J99" s="2" t="s">
        <v>53</v>
      </c>
      <c r="K99" s="2"/>
      <c r="L99" s="2" t="s">
        <v>61</v>
      </c>
      <c r="M99" s="2" t="s">
        <v>55</v>
      </c>
      <c r="N99" s="2" t="s">
        <v>62</v>
      </c>
      <c r="O99" s="2" t="s">
        <v>57</v>
      </c>
      <c r="P99" s="2" t="s">
        <v>353</v>
      </c>
      <c r="Q99" s="2" t="s">
        <v>351</v>
      </c>
      <c r="R99" s="2"/>
    </row>
    <row r="100" spans="1:18">
      <c r="A100" s="2" t="s">
        <v>354</v>
      </c>
      <c r="B100" s="2" t="s">
        <v>355</v>
      </c>
      <c r="C100" s="2" t="s">
        <v>49</v>
      </c>
      <c r="D100" s="2">
        <v>245347970.51</v>
      </c>
      <c r="E100" s="2">
        <v>1</v>
      </c>
      <c r="F100" s="3">
        <f>IF(COUNT(D100,E100)=2,D100*E100,NA())</f>
        <v>245347970.51</v>
      </c>
      <c r="G100" s="2" t="s">
        <v>50</v>
      </c>
      <c r="H100" s="2" t="s">
        <v>51</v>
      </c>
      <c r="I100" s="2" t="s">
        <v>52</v>
      </c>
      <c r="J100" s="2" t="s">
        <v>53</v>
      </c>
      <c r="K100" s="2"/>
      <c r="L100" s="2" t="s">
        <v>54</v>
      </c>
      <c r="M100" s="2" t="s">
        <v>55</v>
      </c>
      <c r="N100" s="2" t="s">
        <v>56</v>
      </c>
      <c r="O100" s="2" t="s">
        <v>57</v>
      </c>
      <c r="P100" s="2" t="s">
        <v>356</v>
      </c>
      <c r="Q100" s="2" t="s">
        <v>357</v>
      </c>
      <c r="R100" s="2"/>
    </row>
    <row r="101" spans="1:18">
      <c r="A101" s="2" t="s">
        <v>358</v>
      </c>
      <c r="B101" s="2" t="s">
        <v>355</v>
      </c>
      <c r="C101" s="2" t="s">
        <v>49</v>
      </c>
      <c r="D101" s="2">
        <v>231199170.76</v>
      </c>
      <c r="E101" s="2">
        <v>1</v>
      </c>
      <c r="F101" s="3">
        <f>IF(COUNT(D101,E101)=2,D101*E101,NA())</f>
        <v>231199170.76</v>
      </c>
      <c r="G101" s="2" t="s">
        <v>50</v>
      </c>
      <c r="H101" s="2" t="s">
        <v>51</v>
      </c>
      <c r="I101" s="2" t="s">
        <v>52</v>
      </c>
      <c r="J101" s="2" t="s">
        <v>53</v>
      </c>
      <c r="K101" s="2"/>
      <c r="L101" s="2" t="s">
        <v>61</v>
      </c>
      <c r="M101" s="2" t="s">
        <v>55</v>
      </c>
      <c r="N101" s="2" t="s">
        <v>62</v>
      </c>
      <c r="O101" s="2" t="s">
        <v>57</v>
      </c>
      <c r="P101" s="2" t="s">
        <v>359</v>
      </c>
      <c r="Q101" s="2" t="s">
        <v>357</v>
      </c>
      <c r="R101" s="2"/>
    </row>
    <row r="102" spans="1:18">
      <c r="A102" s="2" t="s">
        <v>360</v>
      </c>
      <c r="B102" s="2" t="s">
        <v>361</v>
      </c>
      <c r="C102" s="2" t="s">
        <v>49</v>
      </c>
      <c r="D102" s="2">
        <v>1081329.95</v>
      </c>
      <c r="E102" s="2">
        <v>1</v>
      </c>
      <c r="F102" s="3">
        <f>IF(COUNT(D102,E102)=2,D102*E102,NA())</f>
        <v>1081329.95</v>
      </c>
      <c r="G102" s="2" t="s">
        <v>50</v>
      </c>
      <c r="H102" s="2" t="s">
        <v>51</v>
      </c>
      <c r="I102" s="2" t="s">
        <v>52</v>
      </c>
      <c r="J102" s="2" t="s">
        <v>53</v>
      </c>
      <c r="K102" s="2"/>
      <c r="L102" s="2" t="s">
        <v>61</v>
      </c>
      <c r="M102" s="2" t="s">
        <v>55</v>
      </c>
      <c r="N102" s="2" t="s">
        <v>62</v>
      </c>
      <c r="O102" s="2" t="s">
        <v>57</v>
      </c>
      <c r="P102" s="2" t="s">
        <v>362</v>
      </c>
      <c r="Q102" s="2" t="s">
        <v>363</v>
      </c>
      <c r="R102" s="2"/>
    </row>
    <row r="103" spans="1:18">
      <c r="A103" s="2" t="s">
        <v>364</v>
      </c>
      <c r="B103" s="2" t="s">
        <v>365</v>
      </c>
      <c r="C103" s="2" t="s">
        <v>49</v>
      </c>
      <c r="D103" s="2">
        <v>939044525.03</v>
      </c>
      <c r="E103" s="2">
        <v>1</v>
      </c>
      <c r="F103" s="3">
        <f>IF(COUNT(D103,E103)=2,D103*E103,NA())</f>
        <v>939044525.03</v>
      </c>
      <c r="G103" s="2" t="s">
        <v>50</v>
      </c>
      <c r="H103" s="2" t="s">
        <v>51</v>
      </c>
      <c r="I103" s="2" t="s">
        <v>52</v>
      </c>
      <c r="J103" s="2" t="s">
        <v>53</v>
      </c>
      <c r="K103" s="2"/>
      <c r="L103" s="2" t="s">
        <v>54</v>
      </c>
      <c r="M103" s="2" t="s">
        <v>55</v>
      </c>
      <c r="N103" s="2" t="s">
        <v>56</v>
      </c>
      <c r="O103" s="2" t="s">
        <v>57</v>
      </c>
      <c r="P103" s="2" t="s">
        <v>366</v>
      </c>
      <c r="Q103" s="2" t="s">
        <v>367</v>
      </c>
      <c r="R103" s="2"/>
    </row>
    <row r="104" spans="1:18">
      <c r="A104" s="2" t="s">
        <v>368</v>
      </c>
      <c r="B104" s="2" t="s">
        <v>365</v>
      </c>
      <c r="C104" s="2" t="s">
        <v>49</v>
      </c>
      <c r="D104" s="2">
        <v>1875943764.92</v>
      </c>
      <c r="E104" s="2">
        <v>1</v>
      </c>
      <c r="F104" s="3">
        <f>IF(COUNT(D104,E104)=2,D104*E104,NA())</f>
        <v>1875943764.92</v>
      </c>
      <c r="G104" s="2" t="s">
        <v>50</v>
      </c>
      <c r="H104" s="2" t="s">
        <v>51</v>
      </c>
      <c r="I104" s="2" t="s">
        <v>52</v>
      </c>
      <c r="J104" s="2" t="s">
        <v>53</v>
      </c>
      <c r="K104" s="2"/>
      <c r="L104" s="2" t="s">
        <v>61</v>
      </c>
      <c r="M104" s="2" t="s">
        <v>55</v>
      </c>
      <c r="N104" s="2" t="s">
        <v>62</v>
      </c>
      <c r="O104" s="2" t="s">
        <v>57</v>
      </c>
      <c r="P104" s="2" t="s">
        <v>369</v>
      </c>
      <c r="Q104" s="2" t="s">
        <v>367</v>
      </c>
      <c r="R104" s="2"/>
    </row>
    <row r="105" spans="1:18">
      <c r="A105" s="2" t="s">
        <v>370</v>
      </c>
      <c r="B105" s="2" t="s">
        <v>371</v>
      </c>
      <c r="C105" s="2" t="s">
        <v>49</v>
      </c>
      <c r="D105" s="2">
        <v>3968797075.77</v>
      </c>
      <c r="E105" s="2">
        <v>1</v>
      </c>
      <c r="F105" s="3">
        <f>IF(COUNT(D105,E105)=2,D105*E105,NA())</f>
        <v>3968797075.77</v>
      </c>
      <c r="G105" s="2" t="s">
        <v>50</v>
      </c>
      <c r="H105" s="2" t="s">
        <v>51</v>
      </c>
      <c r="I105" s="2" t="s">
        <v>52</v>
      </c>
      <c r="J105" s="2" t="s">
        <v>53</v>
      </c>
      <c r="K105" s="2"/>
      <c r="L105" s="2" t="s">
        <v>54</v>
      </c>
      <c r="M105" s="2" t="s">
        <v>55</v>
      </c>
      <c r="N105" s="2" t="s">
        <v>56</v>
      </c>
      <c r="O105" s="2" t="s">
        <v>57</v>
      </c>
      <c r="P105" s="2" t="s">
        <v>372</v>
      </c>
      <c r="Q105" s="2" t="s">
        <v>373</v>
      </c>
      <c r="R105" s="2"/>
    </row>
    <row r="106" spans="1:18">
      <c r="A106" s="2" t="s">
        <v>374</v>
      </c>
      <c r="B106" s="2" t="s">
        <v>371</v>
      </c>
      <c r="C106" s="2" t="s">
        <v>49</v>
      </c>
      <c r="D106" s="2">
        <v>4982499577.27</v>
      </c>
      <c r="E106" s="2">
        <v>1</v>
      </c>
      <c r="F106" s="3">
        <f>IF(COUNT(D106,E106)=2,D106*E106,NA())</f>
        <v>4982499577.27</v>
      </c>
      <c r="G106" s="2" t="s">
        <v>50</v>
      </c>
      <c r="H106" s="2" t="s">
        <v>51</v>
      </c>
      <c r="I106" s="2" t="s">
        <v>52</v>
      </c>
      <c r="J106" s="2" t="s">
        <v>53</v>
      </c>
      <c r="K106" s="2"/>
      <c r="L106" s="2" t="s">
        <v>61</v>
      </c>
      <c r="M106" s="2" t="s">
        <v>55</v>
      </c>
      <c r="N106" s="2" t="s">
        <v>62</v>
      </c>
      <c r="O106" s="2" t="s">
        <v>57</v>
      </c>
      <c r="P106" s="2" t="s">
        <v>375</v>
      </c>
      <c r="Q106" s="2" t="s">
        <v>373</v>
      </c>
      <c r="R106" s="2"/>
    </row>
    <row r="107" spans="1:18">
      <c r="A107" s="2" t="s">
        <v>376</v>
      </c>
      <c r="B107" s="2" t="s">
        <v>377</v>
      </c>
      <c r="C107" s="2" t="s">
        <v>49</v>
      </c>
      <c r="D107" s="2">
        <v>83276728.98</v>
      </c>
      <c r="E107" s="2">
        <v>1</v>
      </c>
      <c r="F107" s="3">
        <f>IF(COUNT(D107,E107)=2,D107*E107,NA())</f>
        <v>83276728.98</v>
      </c>
      <c r="G107" s="2" t="s">
        <v>50</v>
      </c>
      <c r="H107" s="2" t="s">
        <v>51</v>
      </c>
      <c r="I107" s="2" t="s">
        <v>52</v>
      </c>
      <c r="J107" s="2" t="s">
        <v>53</v>
      </c>
      <c r="K107" s="2"/>
      <c r="L107" s="2" t="s">
        <v>54</v>
      </c>
      <c r="M107" s="2" t="s">
        <v>55</v>
      </c>
      <c r="N107" s="2" t="s">
        <v>56</v>
      </c>
      <c r="O107" s="2" t="s">
        <v>57</v>
      </c>
      <c r="P107" s="2" t="s">
        <v>378</v>
      </c>
      <c r="Q107" s="2" t="s">
        <v>379</v>
      </c>
      <c r="R107" s="2"/>
    </row>
    <row r="108" spans="1:18">
      <c r="A108" s="2" t="s">
        <v>380</v>
      </c>
      <c r="B108" s="2" t="s">
        <v>377</v>
      </c>
      <c r="C108" s="2" t="s">
        <v>49</v>
      </c>
      <c r="D108" s="2">
        <v>84582859.23999999</v>
      </c>
      <c r="E108" s="2">
        <v>1</v>
      </c>
      <c r="F108" s="3">
        <f>IF(COUNT(D108,E108)=2,D108*E108,NA())</f>
        <v>84582859.24</v>
      </c>
      <c r="G108" s="2" t="s">
        <v>50</v>
      </c>
      <c r="H108" s="2" t="s">
        <v>51</v>
      </c>
      <c r="I108" s="2" t="s">
        <v>52</v>
      </c>
      <c r="J108" s="2" t="s">
        <v>53</v>
      </c>
      <c r="K108" s="2"/>
      <c r="L108" s="2" t="s">
        <v>61</v>
      </c>
      <c r="M108" s="2" t="s">
        <v>55</v>
      </c>
      <c r="N108" s="2" t="s">
        <v>62</v>
      </c>
      <c r="O108" s="2" t="s">
        <v>57</v>
      </c>
      <c r="P108" s="2" t="s">
        <v>381</v>
      </c>
      <c r="Q108" s="2" t="s">
        <v>379</v>
      </c>
      <c r="R108" s="2"/>
    </row>
    <row r="109" spans="1:18">
      <c r="A109" s="2" t="s">
        <v>382</v>
      </c>
      <c r="B109" s="2" t="s">
        <v>383</v>
      </c>
      <c r="C109" s="2" t="s">
        <v>49</v>
      </c>
      <c r="D109" s="2">
        <v>4052073804.75</v>
      </c>
      <c r="E109" s="2">
        <v>1</v>
      </c>
      <c r="F109" s="3">
        <f>IF(COUNT(D109,E109)=2,D109*E109,NA())</f>
        <v>4052073804.75</v>
      </c>
      <c r="G109" s="2" t="s">
        <v>50</v>
      </c>
      <c r="H109" s="2" t="s">
        <v>51</v>
      </c>
      <c r="I109" s="2" t="s">
        <v>52</v>
      </c>
      <c r="J109" s="2" t="s">
        <v>53</v>
      </c>
      <c r="K109" s="2"/>
      <c r="L109" s="2" t="s">
        <v>54</v>
      </c>
      <c r="M109" s="2" t="s">
        <v>55</v>
      </c>
      <c r="N109" s="2" t="s">
        <v>56</v>
      </c>
      <c r="O109" s="2" t="s">
        <v>57</v>
      </c>
      <c r="P109" s="2" t="s">
        <v>384</v>
      </c>
      <c r="Q109" s="2" t="s">
        <v>385</v>
      </c>
      <c r="R109" s="2"/>
    </row>
    <row r="110" spans="1:18">
      <c r="A110" s="2" t="s">
        <v>386</v>
      </c>
      <c r="B110" s="2" t="s">
        <v>383</v>
      </c>
      <c r="C110" s="2" t="s">
        <v>49</v>
      </c>
      <c r="D110" s="2">
        <v>5067082436.51</v>
      </c>
      <c r="E110" s="2">
        <v>1</v>
      </c>
      <c r="F110" s="3">
        <f>IF(COUNT(D110,E110)=2,D110*E110,NA())</f>
        <v>5067082436.51</v>
      </c>
      <c r="G110" s="2" t="s">
        <v>50</v>
      </c>
      <c r="H110" s="2" t="s">
        <v>51</v>
      </c>
      <c r="I110" s="2" t="s">
        <v>52</v>
      </c>
      <c r="J110" s="2" t="s">
        <v>53</v>
      </c>
      <c r="K110" s="2"/>
      <c r="L110" s="2" t="s">
        <v>61</v>
      </c>
      <c r="M110" s="2" t="s">
        <v>55</v>
      </c>
      <c r="N110" s="2" t="s">
        <v>62</v>
      </c>
      <c r="O110" s="2" t="s">
        <v>57</v>
      </c>
      <c r="P110" s="2" t="s">
        <v>387</v>
      </c>
      <c r="Q110" s="2" t="s">
        <v>385</v>
      </c>
      <c r="R110" s="2"/>
    </row>
    <row r="111" spans="1:18">
      <c r="A111" s="2" t="s">
        <v>388</v>
      </c>
      <c r="B111" s="2" t="s">
        <v>389</v>
      </c>
      <c r="C111" s="2" t="s">
        <v>390</v>
      </c>
      <c r="D111" s="2">
        <v>6044124793.41</v>
      </c>
      <c r="E111" s="2">
        <v>1</v>
      </c>
      <c r="F111" s="3">
        <f>IF(COUNT(D111,E111)=2,D111*E111,NA())</f>
        <v>6044124793.41</v>
      </c>
      <c r="G111" s="2" t="s">
        <v>50</v>
      </c>
      <c r="H111" s="2" t="s">
        <v>51</v>
      </c>
      <c r="I111" s="2" t="s">
        <v>52</v>
      </c>
      <c r="J111" s="2" t="s">
        <v>53</v>
      </c>
      <c r="K111" s="2" t="s">
        <v>391</v>
      </c>
      <c r="L111" s="2" t="s">
        <v>54</v>
      </c>
      <c r="M111" s="2" t="s">
        <v>392</v>
      </c>
      <c r="N111" s="2" t="s">
        <v>56</v>
      </c>
      <c r="O111" s="2" t="s">
        <v>57</v>
      </c>
      <c r="P111" s="2" t="s">
        <v>393</v>
      </c>
      <c r="Q111" s="2" t="s">
        <v>394</v>
      </c>
      <c r="R111" s="2"/>
    </row>
    <row r="112" spans="1:18">
      <c r="A112" s="2" t="s">
        <v>395</v>
      </c>
      <c r="B112" s="2" t="s">
        <v>389</v>
      </c>
      <c r="C112" s="2" t="s">
        <v>390</v>
      </c>
      <c r="D112" s="2">
        <v>6828803327.7</v>
      </c>
      <c r="E112" s="2">
        <v>1</v>
      </c>
      <c r="F112" s="3">
        <f>IF(COUNT(D112,E112)=2,D112*E112,NA())</f>
        <v>6828803327.7</v>
      </c>
      <c r="G112" s="2" t="s">
        <v>50</v>
      </c>
      <c r="H112" s="2" t="s">
        <v>51</v>
      </c>
      <c r="I112" s="2" t="s">
        <v>52</v>
      </c>
      <c r="J112" s="2" t="s">
        <v>53</v>
      </c>
      <c r="K112" s="2" t="s">
        <v>396</v>
      </c>
      <c r="L112" s="2" t="s">
        <v>61</v>
      </c>
      <c r="M112" s="2" t="s">
        <v>392</v>
      </c>
      <c r="N112" s="2" t="s">
        <v>62</v>
      </c>
      <c r="O112" s="2" t="s">
        <v>57</v>
      </c>
      <c r="P112" s="2" t="s">
        <v>397</v>
      </c>
      <c r="Q112" s="2" t="s">
        <v>394</v>
      </c>
      <c r="R112" s="2"/>
    </row>
    <row r="113" spans="1:18">
      <c r="A113" s="2" t="s">
        <v>398</v>
      </c>
      <c r="B113" s="2" t="s">
        <v>399</v>
      </c>
      <c r="C113" s="2" t="s">
        <v>390</v>
      </c>
      <c r="D113" s="2">
        <v>4581373263.48</v>
      </c>
      <c r="E113" s="2">
        <v>1</v>
      </c>
      <c r="F113" s="3">
        <f>IF(COUNT(D113,E113)=2,D113*E113,NA())</f>
        <v>4581373263.48</v>
      </c>
      <c r="G113" s="2" t="s">
        <v>50</v>
      </c>
      <c r="H113" s="2" t="s">
        <v>51</v>
      </c>
      <c r="I113" s="2" t="s">
        <v>52</v>
      </c>
      <c r="J113" s="2" t="s">
        <v>53</v>
      </c>
      <c r="K113" s="2" t="s">
        <v>391</v>
      </c>
      <c r="L113" s="2" t="s">
        <v>54</v>
      </c>
      <c r="M113" s="2" t="s">
        <v>392</v>
      </c>
      <c r="N113" s="2" t="s">
        <v>56</v>
      </c>
      <c r="O113" s="2" t="s">
        <v>57</v>
      </c>
      <c r="P113" s="2" t="s">
        <v>400</v>
      </c>
      <c r="Q113" s="2" t="s">
        <v>401</v>
      </c>
      <c r="R113" s="2"/>
    </row>
    <row r="114" spans="1:18">
      <c r="A114" s="2" t="s">
        <v>402</v>
      </c>
      <c r="B114" s="2" t="s">
        <v>399</v>
      </c>
      <c r="C114" s="2" t="s">
        <v>390</v>
      </c>
      <c r="D114" s="2">
        <v>5342243383.08</v>
      </c>
      <c r="E114" s="2">
        <v>1</v>
      </c>
      <c r="F114" s="3">
        <f>IF(COUNT(D114,E114)=2,D114*E114,NA())</f>
        <v>5342243383.08</v>
      </c>
      <c r="G114" s="2" t="s">
        <v>50</v>
      </c>
      <c r="H114" s="2" t="s">
        <v>51</v>
      </c>
      <c r="I114" s="2" t="s">
        <v>52</v>
      </c>
      <c r="J114" s="2" t="s">
        <v>53</v>
      </c>
      <c r="K114" s="2" t="s">
        <v>396</v>
      </c>
      <c r="L114" s="2" t="s">
        <v>61</v>
      </c>
      <c r="M114" s="2" t="s">
        <v>392</v>
      </c>
      <c r="N114" s="2" t="s">
        <v>62</v>
      </c>
      <c r="O114" s="2" t="s">
        <v>57</v>
      </c>
      <c r="P114" s="2" t="s">
        <v>403</v>
      </c>
      <c r="Q114" s="2" t="s">
        <v>401</v>
      </c>
      <c r="R114" s="2"/>
    </row>
    <row r="115" spans="1:18">
      <c r="A115" s="2" t="s">
        <v>404</v>
      </c>
      <c r="B115" s="2" t="s">
        <v>405</v>
      </c>
      <c r="C115" s="2" t="s">
        <v>390</v>
      </c>
      <c r="D115" s="2">
        <v>45777451.76</v>
      </c>
      <c r="E115" s="2">
        <v>1</v>
      </c>
      <c r="F115" s="3">
        <f>IF(COUNT(D115,E115)=2,D115*E115,NA())</f>
        <v>45777451.76</v>
      </c>
      <c r="G115" s="2" t="s">
        <v>50</v>
      </c>
      <c r="H115" s="2" t="s">
        <v>51</v>
      </c>
      <c r="I115" s="2" t="s">
        <v>52</v>
      </c>
      <c r="J115" s="2" t="s">
        <v>53</v>
      </c>
      <c r="K115" s="2" t="s">
        <v>391</v>
      </c>
      <c r="L115" s="2" t="s">
        <v>54</v>
      </c>
      <c r="M115" s="2" t="s">
        <v>392</v>
      </c>
      <c r="N115" s="2" t="s">
        <v>56</v>
      </c>
      <c r="O115" s="2" t="s">
        <v>57</v>
      </c>
      <c r="P115" s="2" t="s">
        <v>406</v>
      </c>
      <c r="Q115" s="2" t="s">
        <v>407</v>
      </c>
      <c r="R115" s="2"/>
    </row>
    <row r="116" spans="1:18">
      <c r="A116" s="2" t="s">
        <v>408</v>
      </c>
      <c r="B116" s="2" t="s">
        <v>405</v>
      </c>
      <c r="C116" s="2" t="s">
        <v>390</v>
      </c>
      <c r="D116" s="2">
        <v>43205943.63</v>
      </c>
      <c r="E116" s="2">
        <v>1</v>
      </c>
      <c r="F116" s="3">
        <f>IF(COUNT(D116,E116)=2,D116*E116,NA())</f>
        <v>43205943.63</v>
      </c>
      <c r="G116" s="2" t="s">
        <v>50</v>
      </c>
      <c r="H116" s="2" t="s">
        <v>51</v>
      </c>
      <c r="I116" s="2" t="s">
        <v>52</v>
      </c>
      <c r="J116" s="2" t="s">
        <v>53</v>
      </c>
      <c r="K116" s="2" t="s">
        <v>396</v>
      </c>
      <c r="L116" s="2" t="s">
        <v>61</v>
      </c>
      <c r="M116" s="2" t="s">
        <v>392</v>
      </c>
      <c r="N116" s="2" t="s">
        <v>62</v>
      </c>
      <c r="O116" s="2" t="s">
        <v>57</v>
      </c>
      <c r="P116" s="2" t="s">
        <v>409</v>
      </c>
      <c r="Q116" s="2" t="s">
        <v>407</v>
      </c>
      <c r="R116" s="2"/>
    </row>
    <row r="117" spans="1:18">
      <c r="A117" s="2" t="s">
        <v>410</v>
      </c>
      <c r="B117" s="2" t="s">
        <v>411</v>
      </c>
      <c r="C117" s="2" t="s">
        <v>390</v>
      </c>
      <c r="D117" s="2">
        <v>541890738.78</v>
      </c>
      <c r="E117" s="2">
        <v>1</v>
      </c>
      <c r="F117" s="3">
        <f>IF(COUNT(D117,E117)=2,D117*E117,NA())</f>
        <v>541890738.78</v>
      </c>
      <c r="G117" s="2" t="s">
        <v>50</v>
      </c>
      <c r="H117" s="2" t="s">
        <v>51</v>
      </c>
      <c r="I117" s="2" t="s">
        <v>52</v>
      </c>
      <c r="J117" s="2" t="s">
        <v>53</v>
      </c>
      <c r="K117" s="2" t="s">
        <v>391</v>
      </c>
      <c r="L117" s="2" t="s">
        <v>54</v>
      </c>
      <c r="M117" s="2" t="s">
        <v>392</v>
      </c>
      <c r="N117" s="2" t="s">
        <v>56</v>
      </c>
      <c r="O117" s="2" t="s">
        <v>57</v>
      </c>
      <c r="P117" s="2" t="s">
        <v>412</v>
      </c>
      <c r="Q117" s="2" t="s">
        <v>413</v>
      </c>
      <c r="R117" s="2"/>
    </row>
    <row r="118" spans="1:18">
      <c r="A118" s="2" t="s">
        <v>414</v>
      </c>
      <c r="B118" s="2" t="s">
        <v>411</v>
      </c>
      <c r="C118" s="2" t="s">
        <v>390</v>
      </c>
      <c r="D118" s="2">
        <v>619257108.4299999</v>
      </c>
      <c r="E118" s="2">
        <v>1</v>
      </c>
      <c r="F118" s="3">
        <f>IF(COUNT(D118,E118)=2,D118*E118,NA())</f>
        <v>619257108.43</v>
      </c>
      <c r="G118" s="2" t="s">
        <v>50</v>
      </c>
      <c r="H118" s="2" t="s">
        <v>51</v>
      </c>
      <c r="I118" s="2" t="s">
        <v>52</v>
      </c>
      <c r="J118" s="2" t="s">
        <v>53</v>
      </c>
      <c r="K118" s="2" t="s">
        <v>396</v>
      </c>
      <c r="L118" s="2" t="s">
        <v>61</v>
      </c>
      <c r="M118" s="2" t="s">
        <v>392</v>
      </c>
      <c r="N118" s="2" t="s">
        <v>62</v>
      </c>
      <c r="O118" s="2" t="s">
        <v>57</v>
      </c>
      <c r="P118" s="2" t="s">
        <v>415</v>
      </c>
      <c r="Q118" s="2" t="s">
        <v>413</v>
      </c>
      <c r="R118" s="2"/>
    </row>
    <row r="119" spans="1:18">
      <c r="A119" s="2" t="s">
        <v>416</v>
      </c>
      <c r="B119" s="2" t="s">
        <v>417</v>
      </c>
      <c r="C119" s="2" t="s">
        <v>390</v>
      </c>
      <c r="D119" s="2">
        <v>350512324.5</v>
      </c>
      <c r="E119" s="2">
        <v>1</v>
      </c>
      <c r="F119" s="3">
        <f>IF(COUNT(D119,E119)=2,D119*E119,NA())</f>
        <v>350512324.5</v>
      </c>
      <c r="G119" s="2" t="s">
        <v>50</v>
      </c>
      <c r="H119" s="2" t="s">
        <v>51</v>
      </c>
      <c r="I119" s="2" t="s">
        <v>52</v>
      </c>
      <c r="J119" s="2" t="s">
        <v>53</v>
      </c>
      <c r="K119" s="2" t="s">
        <v>391</v>
      </c>
      <c r="L119" s="2" t="s">
        <v>54</v>
      </c>
      <c r="M119" s="2" t="s">
        <v>392</v>
      </c>
      <c r="N119" s="2" t="s">
        <v>56</v>
      </c>
      <c r="O119" s="2" t="s">
        <v>57</v>
      </c>
      <c r="P119" s="2" t="s">
        <v>418</v>
      </c>
      <c r="Q119" s="2" t="s">
        <v>419</v>
      </c>
      <c r="R119" s="2"/>
    </row>
    <row r="120" spans="1:18">
      <c r="A120" s="2" t="s">
        <v>420</v>
      </c>
      <c r="B120" s="2" t="s">
        <v>417</v>
      </c>
      <c r="C120" s="2" t="s">
        <v>390</v>
      </c>
      <c r="D120" s="2">
        <v>362766985.25</v>
      </c>
      <c r="E120" s="2">
        <v>1</v>
      </c>
      <c r="F120" s="3">
        <f>IF(COUNT(D120,E120)=2,D120*E120,NA())</f>
        <v>362766985.25</v>
      </c>
      <c r="G120" s="2" t="s">
        <v>50</v>
      </c>
      <c r="H120" s="2" t="s">
        <v>51</v>
      </c>
      <c r="I120" s="2" t="s">
        <v>52</v>
      </c>
      <c r="J120" s="2" t="s">
        <v>53</v>
      </c>
      <c r="K120" s="2" t="s">
        <v>396</v>
      </c>
      <c r="L120" s="2" t="s">
        <v>61</v>
      </c>
      <c r="M120" s="2" t="s">
        <v>392</v>
      </c>
      <c r="N120" s="2" t="s">
        <v>62</v>
      </c>
      <c r="O120" s="2" t="s">
        <v>57</v>
      </c>
      <c r="P120" s="2" t="s">
        <v>421</v>
      </c>
      <c r="Q120" s="2" t="s">
        <v>419</v>
      </c>
      <c r="R120" s="2"/>
    </row>
    <row r="121" spans="1:18">
      <c r="A121" s="2" t="s">
        <v>422</v>
      </c>
      <c r="B121" s="2" t="s">
        <v>423</v>
      </c>
      <c r="C121" s="2" t="s">
        <v>390</v>
      </c>
      <c r="D121" s="2">
        <v>252838924.63</v>
      </c>
      <c r="E121" s="2">
        <v>1</v>
      </c>
      <c r="F121" s="3">
        <f>IF(COUNT(D121,E121)=2,D121*E121,NA())</f>
        <v>252838924.63</v>
      </c>
      <c r="G121" s="2" t="s">
        <v>50</v>
      </c>
      <c r="H121" s="2" t="s">
        <v>51</v>
      </c>
      <c r="I121" s="2" t="s">
        <v>52</v>
      </c>
      <c r="J121" s="2" t="s">
        <v>53</v>
      </c>
      <c r="K121" s="2" t="s">
        <v>391</v>
      </c>
      <c r="L121" s="2" t="s">
        <v>54</v>
      </c>
      <c r="M121" s="2" t="s">
        <v>392</v>
      </c>
      <c r="N121" s="2" t="s">
        <v>56</v>
      </c>
      <c r="O121" s="2" t="s">
        <v>57</v>
      </c>
      <c r="P121" s="2" t="s">
        <v>424</v>
      </c>
      <c r="Q121" s="2" t="s">
        <v>425</v>
      </c>
      <c r="R121" s="2"/>
    </row>
    <row r="122" spans="1:18">
      <c r="A122" s="2" t="s">
        <v>426</v>
      </c>
      <c r="B122" s="2" t="s">
        <v>423</v>
      </c>
      <c r="C122" s="2" t="s">
        <v>390</v>
      </c>
      <c r="D122" s="2">
        <v>275151105.86</v>
      </c>
      <c r="E122" s="2">
        <v>1</v>
      </c>
      <c r="F122" s="3">
        <f>IF(COUNT(D122,E122)=2,D122*E122,NA())</f>
        <v>275151105.86</v>
      </c>
      <c r="G122" s="2" t="s">
        <v>50</v>
      </c>
      <c r="H122" s="2" t="s">
        <v>51</v>
      </c>
      <c r="I122" s="2" t="s">
        <v>52</v>
      </c>
      <c r="J122" s="2" t="s">
        <v>53</v>
      </c>
      <c r="K122" s="2" t="s">
        <v>396</v>
      </c>
      <c r="L122" s="2" t="s">
        <v>61</v>
      </c>
      <c r="M122" s="2" t="s">
        <v>392</v>
      </c>
      <c r="N122" s="2" t="s">
        <v>62</v>
      </c>
      <c r="O122" s="2" t="s">
        <v>57</v>
      </c>
      <c r="P122" s="2" t="s">
        <v>427</v>
      </c>
      <c r="Q122" s="2" t="s">
        <v>425</v>
      </c>
      <c r="R122" s="2"/>
    </row>
    <row r="123" spans="1:18">
      <c r="A123" s="2" t="s">
        <v>428</v>
      </c>
      <c r="B123" s="2" t="s">
        <v>429</v>
      </c>
      <c r="C123" s="2" t="s">
        <v>390</v>
      </c>
      <c r="D123" s="2">
        <v>75454608.86</v>
      </c>
      <c r="E123" s="2">
        <v>1</v>
      </c>
      <c r="F123" s="3">
        <f>IF(COUNT(D123,E123)=2,D123*E123,NA())</f>
        <v>75454608.86</v>
      </c>
      <c r="G123" s="2" t="s">
        <v>50</v>
      </c>
      <c r="H123" s="2" t="s">
        <v>51</v>
      </c>
      <c r="I123" s="2" t="s">
        <v>52</v>
      </c>
      <c r="J123" s="2" t="s">
        <v>53</v>
      </c>
      <c r="K123" s="2" t="s">
        <v>391</v>
      </c>
      <c r="L123" s="2" t="s">
        <v>54</v>
      </c>
      <c r="M123" s="2" t="s">
        <v>392</v>
      </c>
      <c r="N123" s="2" t="s">
        <v>56</v>
      </c>
      <c r="O123" s="2" t="s">
        <v>57</v>
      </c>
      <c r="P123" s="2" t="s">
        <v>430</v>
      </c>
      <c r="Q123" s="2" t="s">
        <v>431</v>
      </c>
      <c r="R123" s="2"/>
    </row>
    <row r="124" spans="1:18">
      <c r="A124" s="2" t="s">
        <v>432</v>
      </c>
      <c r="B124" s="2" t="s">
        <v>429</v>
      </c>
      <c r="C124" s="2" t="s">
        <v>390</v>
      </c>
      <c r="D124" s="2">
        <v>81569933</v>
      </c>
      <c r="E124" s="2">
        <v>1</v>
      </c>
      <c r="F124" s="3">
        <f>IF(COUNT(D124,E124)=2,D124*E124,NA())</f>
        <v>81569933.0</v>
      </c>
      <c r="G124" s="2" t="s">
        <v>50</v>
      </c>
      <c r="H124" s="2" t="s">
        <v>51</v>
      </c>
      <c r="I124" s="2" t="s">
        <v>52</v>
      </c>
      <c r="J124" s="2" t="s">
        <v>53</v>
      </c>
      <c r="K124" s="2" t="s">
        <v>396</v>
      </c>
      <c r="L124" s="2" t="s">
        <v>61</v>
      </c>
      <c r="M124" s="2" t="s">
        <v>392</v>
      </c>
      <c r="N124" s="2" t="s">
        <v>62</v>
      </c>
      <c r="O124" s="2" t="s">
        <v>57</v>
      </c>
      <c r="P124" s="2" t="s">
        <v>433</v>
      </c>
      <c r="Q124" s="2" t="s">
        <v>431</v>
      </c>
      <c r="R124" s="2"/>
    </row>
    <row r="125" spans="1:18">
      <c r="A125" s="2" t="s">
        <v>434</v>
      </c>
      <c r="B125" s="2" t="s">
        <v>435</v>
      </c>
      <c r="C125" s="2" t="s">
        <v>390</v>
      </c>
      <c r="D125" s="2">
        <v>99603249.54000001</v>
      </c>
      <c r="E125" s="2">
        <v>1</v>
      </c>
      <c r="F125" s="3">
        <f>IF(COUNT(D125,E125)=2,D125*E125,NA())</f>
        <v>99603249.54</v>
      </c>
      <c r="G125" s="2" t="s">
        <v>50</v>
      </c>
      <c r="H125" s="2" t="s">
        <v>51</v>
      </c>
      <c r="I125" s="2" t="s">
        <v>52</v>
      </c>
      <c r="J125" s="2" t="s">
        <v>53</v>
      </c>
      <c r="K125" s="2" t="s">
        <v>391</v>
      </c>
      <c r="L125" s="2" t="s">
        <v>54</v>
      </c>
      <c r="M125" s="2" t="s">
        <v>392</v>
      </c>
      <c r="N125" s="2" t="s">
        <v>56</v>
      </c>
      <c r="O125" s="2" t="s">
        <v>57</v>
      </c>
      <c r="P125" s="2" t="s">
        <v>436</v>
      </c>
      <c r="Q125" s="2" t="s">
        <v>437</v>
      </c>
      <c r="R125" s="2"/>
    </row>
    <row r="126" spans="1:18">
      <c r="A126" s="2" t="s">
        <v>438</v>
      </c>
      <c r="B126" s="2" t="s">
        <v>435</v>
      </c>
      <c r="C126" s="2" t="s">
        <v>390</v>
      </c>
      <c r="D126" s="2">
        <v>108606169.27</v>
      </c>
      <c r="E126" s="2">
        <v>1</v>
      </c>
      <c r="F126" s="3">
        <f>IF(COUNT(D126,E126)=2,D126*E126,NA())</f>
        <v>108606169.27</v>
      </c>
      <c r="G126" s="2" t="s">
        <v>50</v>
      </c>
      <c r="H126" s="2" t="s">
        <v>51</v>
      </c>
      <c r="I126" s="2" t="s">
        <v>52</v>
      </c>
      <c r="J126" s="2" t="s">
        <v>53</v>
      </c>
      <c r="K126" s="2" t="s">
        <v>396</v>
      </c>
      <c r="L126" s="2" t="s">
        <v>61</v>
      </c>
      <c r="M126" s="2" t="s">
        <v>392</v>
      </c>
      <c r="N126" s="2" t="s">
        <v>62</v>
      </c>
      <c r="O126" s="2" t="s">
        <v>57</v>
      </c>
      <c r="P126" s="2" t="s">
        <v>439</v>
      </c>
      <c r="Q126" s="2" t="s">
        <v>437</v>
      </c>
      <c r="R126" s="2"/>
    </row>
    <row r="127" spans="1:18">
      <c r="A127" s="2" t="s">
        <v>440</v>
      </c>
      <c r="B127" s="2" t="s">
        <v>441</v>
      </c>
      <c r="C127" s="2" t="s">
        <v>390</v>
      </c>
      <c r="D127" s="2">
        <v>37573267.88</v>
      </c>
      <c r="E127" s="2">
        <v>1</v>
      </c>
      <c r="F127" s="3">
        <f>IF(COUNT(D127,E127)=2,D127*E127,NA())</f>
        <v>37573267.88</v>
      </c>
      <c r="G127" s="2" t="s">
        <v>50</v>
      </c>
      <c r="H127" s="2" t="s">
        <v>51</v>
      </c>
      <c r="I127" s="2" t="s">
        <v>52</v>
      </c>
      <c r="J127" s="2" t="s">
        <v>53</v>
      </c>
      <c r="K127" s="2" t="s">
        <v>391</v>
      </c>
      <c r="L127" s="2" t="s">
        <v>54</v>
      </c>
      <c r="M127" s="2" t="s">
        <v>392</v>
      </c>
      <c r="N127" s="2" t="s">
        <v>56</v>
      </c>
      <c r="O127" s="2" t="s">
        <v>57</v>
      </c>
      <c r="P127" s="2" t="s">
        <v>442</v>
      </c>
      <c r="Q127" s="2" t="s">
        <v>443</v>
      </c>
      <c r="R127" s="2"/>
    </row>
    <row r="128" spans="1:18">
      <c r="A128" s="2" t="s">
        <v>444</v>
      </c>
      <c r="B128" s="2" t="s">
        <v>441</v>
      </c>
      <c r="C128" s="2" t="s">
        <v>390</v>
      </c>
      <c r="D128" s="2">
        <v>32609987.86</v>
      </c>
      <c r="E128" s="2">
        <v>1</v>
      </c>
      <c r="F128" s="3">
        <f>IF(COUNT(D128,E128)=2,D128*E128,NA())</f>
        <v>32609987.86</v>
      </c>
      <c r="G128" s="2" t="s">
        <v>50</v>
      </c>
      <c r="H128" s="2" t="s">
        <v>51</v>
      </c>
      <c r="I128" s="2" t="s">
        <v>52</v>
      </c>
      <c r="J128" s="2" t="s">
        <v>53</v>
      </c>
      <c r="K128" s="2" t="s">
        <v>396</v>
      </c>
      <c r="L128" s="2" t="s">
        <v>61</v>
      </c>
      <c r="M128" s="2" t="s">
        <v>392</v>
      </c>
      <c r="N128" s="2" t="s">
        <v>62</v>
      </c>
      <c r="O128" s="2" t="s">
        <v>57</v>
      </c>
      <c r="P128" s="2" t="s">
        <v>445</v>
      </c>
      <c r="Q128" s="2" t="s">
        <v>443</v>
      </c>
      <c r="R128" s="2"/>
    </row>
    <row r="129" spans="1:18">
      <c r="A129" s="2" t="s">
        <v>446</v>
      </c>
      <c r="B129" s="2" t="s">
        <v>447</v>
      </c>
      <c r="C129" s="2" t="s">
        <v>390</v>
      </c>
      <c r="D129" s="2">
        <v>5847847312.01</v>
      </c>
      <c r="E129" s="2">
        <v>1</v>
      </c>
      <c r="F129" s="3">
        <f>IF(COUNT(D129,E129)=2,D129*E129,NA())</f>
        <v>5847847312.01</v>
      </c>
      <c r="G129" s="2" t="s">
        <v>50</v>
      </c>
      <c r="H129" s="2" t="s">
        <v>51</v>
      </c>
      <c r="I129" s="2" t="s">
        <v>52</v>
      </c>
      <c r="J129" s="2" t="s">
        <v>53</v>
      </c>
      <c r="K129" s="2" t="s">
        <v>391</v>
      </c>
      <c r="L129" s="2" t="s">
        <v>54</v>
      </c>
      <c r="M129" s="2" t="s">
        <v>392</v>
      </c>
      <c r="N129" s="2" t="s">
        <v>56</v>
      </c>
      <c r="O129" s="2" t="s">
        <v>57</v>
      </c>
      <c r="P129" s="2" t="s">
        <v>448</v>
      </c>
      <c r="Q129" s="2" t="s">
        <v>449</v>
      </c>
      <c r="R129" s="2"/>
    </row>
    <row r="130" spans="1:18">
      <c r="A130" s="2" t="s">
        <v>450</v>
      </c>
      <c r="B130" s="2" t="s">
        <v>447</v>
      </c>
      <c r="C130" s="2" t="s">
        <v>390</v>
      </c>
      <c r="D130" s="2">
        <v>6724194459.25</v>
      </c>
      <c r="E130" s="2">
        <v>1</v>
      </c>
      <c r="F130" s="3">
        <f>IF(COUNT(D130,E130)=2,D130*E130,NA())</f>
        <v>6724194459.25</v>
      </c>
      <c r="G130" s="2" t="s">
        <v>50</v>
      </c>
      <c r="H130" s="2" t="s">
        <v>51</v>
      </c>
      <c r="I130" s="2" t="s">
        <v>52</v>
      </c>
      <c r="J130" s="2" t="s">
        <v>53</v>
      </c>
      <c r="K130" s="2" t="s">
        <v>396</v>
      </c>
      <c r="L130" s="2" t="s">
        <v>61</v>
      </c>
      <c r="M130" s="2" t="s">
        <v>392</v>
      </c>
      <c r="N130" s="2" t="s">
        <v>62</v>
      </c>
      <c r="O130" s="2" t="s">
        <v>57</v>
      </c>
      <c r="P130" s="2" t="s">
        <v>451</v>
      </c>
      <c r="Q130" s="2" t="s">
        <v>449</v>
      </c>
      <c r="R130" s="2"/>
    </row>
    <row r="131" spans="1:18">
      <c r="A131" s="2" t="s">
        <v>452</v>
      </c>
      <c r="B131" s="2" t="s">
        <v>453</v>
      </c>
      <c r="C131" s="2" t="s">
        <v>390</v>
      </c>
      <c r="D131" s="2">
        <v>39777036.65</v>
      </c>
      <c r="E131" s="2">
        <v>1</v>
      </c>
      <c r="F131" s="3">
        <f>IF(COUNT(D131,E131)=2,D131*E131,NA())</f>
        <v>39777036.65</v>
      </c>
      <c r="G131" s="2" t="s">
        <v>50</v>
      </c>
      <c r="H131" s="2" t="s">
        <v>51</v>
      </c>
      <c r="I131" s="2" t="s">
        <v>52</v>
      </c>
      <c r="J131" s="2" t="s">
        <v>53</v>
      </c>
      <c r="K131" s="2" t="s">
        <v>391</v>
      </c>
      <c r="L131" s="2" t="s">
        <v>54</v>
      </c>
      <c r="M131" s="2" t="s">
        <v>392</v>
      </c>
      <c r="N131" s="2" t="s">
        <v>56</v>
      </c>
      <c r="O131" s="2" t="s">
        <v>57</v>
      </c>
      <c r="P131" s="2" t="s">
        <v>454</v>
      </c>
      <c r="Q131" s="2" t="s">
        <v>455</v>
      </c>
      <c r="R131" s="2"/>
    </row>
    <row r="132" spans="1:18">
      <c r="A132" s="2" t="s">
        <v>456</v>
      </c>
      <c r="B132" s="2" t="s">
        <v>453</v>
      </c>
      <c r="C132" s="2" t="s">
        <v>390</v>
      </c>
      <c r="D132" s="2">
        <v>67563032.87</v>
      </c>
      <c r="E132" s="2">
        <v>1</v>
      </c>
      <c r="F132" s="3">
        <f>IF(COUNT(D132,E132)=2,D132*E132,NA())</f>
        <v>67563032.87</v>
      </c>
      <c r="G132" s="2" t="s">
        <v>50</v>
      </c>
      <c r="H132" s="2" t="s">
        <v>51</v>
      </c>
      <c r="I132" s="2" t="s">
        <v>52</v>
      </c>
      <c r="J132" s="2" t="s">
        <v>53</v>
      </c>
      <c r="K132" s="2" t="s">
        <v>396</v>
      </c>
      <c r="L132" s="2" t="s">
        <v>61</v>
      </c>
      <c r="M132" s="2" t="s">
        <v>392</v>
      </c>
      <c r="N132" s="2" t="s">
        <v>62</v>
      </c>
      <c r="O132" s="2" t="s">
        <v>57</v>
      </c>
      <c r="P132" s="2" t="s">
        <v>457</v>
      </c>
      <c r="Q132" s="2" t="s">
        <v>455</v>
      </c>
      <c r="R132" s="2"/>
    </row>
    <row r="133" spans="1:18">
      <c r="A133" s="2" t="s">
        <v>458</v>
      </c>
      <c r="B133" s="2" t="s">
        <v>459</v>
      </c>
      <c r="C133" s="2" t="s">
        <v>390</v>
      </c>
      <c r="D133" s="2">
        <v>-20297935.68</v>
      </c>
      <c r="E133" s="2">
        <v>1</v>
      </c>
      <c r="F133" s="3">
        <f>IF(COUNT(D133,E133)=2,D133*E133,NA())</f>
        <v>-20297935.68</v>
      </c>
      <c r="G133" s="2" t="s">
        <v>50</v>
      </c>
      <c r="H133" s="2" t="s">
        <v>51</v>
      </c>
      <c r="I133" s="2" t="s">
        <v>52</v>
      </c>
      <c r="J133" s="2" t="s">
        <v>53</v>
      </c>
      <c r="K133" s="2" t="s">
        <v>391</v>
      </c>
      <c r="L133" s="2" t="s">
        <v>54</v>
      </c>
      <c r="M133" s="2" t="s">
        <v>392</v>
      </c>
      <c r="N133" s="2" t="s">
        <v>56</v>
      </c>
      <c r="O133" s="2" t="s">
        <v>57</v>
      </c>
      <c r="P133" s="2" t="s">
        <v>460</v>
      </c>
      <c r="Q133" s="2" t="s">
        <v>461</v>
      </c>
      <c r="R133" s="2"/>
    </row>
    <row r="134" spans="1:18">
      <c r="A134" s="2" t="s">
        <v>462</v>
      </c>
      <c r="B134" s="2" t="s">
        <v>459</v>
      </c>
      <c r="C134" s="2" t="s">
        <v>390</v>
      </c>
      <c r="D134" s="2">
        <v>10594948.07</v>
      </c>
      <c r="E134" s="2">
        <v>1</v>
      </c>
      <c r="F134" s="3">
        <f>IF(COUNT(D134,E134)=2,D134*E134,NA())</f>
        <v>10594948.07</v>
      </c>
      <c r="G134" s="2" t="s">
        <v>50</v>
      </c>
      <c r="H134" s="2" t="s">
        <v>51</v>
      </c>
      <c r="I134" s="2" t="s">
        <v>52</v>
      </c>
      <c r="J134" s="2" t="s">
        <v>53</v>
      </c>
      <c r="K134" s="2" t="s">
        <v>396</v>
      </c>
      <c r="L134" s="2" t="s">
        <v>61</v>
      </c>
      <c r="M134" s="2" t="s">
        <v>392</v>
      </c>
      <c r="N134" s="2" t="s">
        <v>62</v>
      </c>
      <c r="O134" s="2" t="s">
        <v>57</v>
      </c>
      <c r="P134" s="2" t="s">
        <v>463</v>
      </c>
      <c r="Q134" s="2" t="s">
        <v>461</v>
      </c>
      <c r="R134" s="2"/>
    </row>
    <row r="135" spans="1:18">
      <c r="A135" s="2" t="s">
        <v>464</v>
      </c>
      <c r="B135" s="2" t="s">
        <v>465</v>
      </c>
      <c r="C135" s="2" t="s">
        <v>390</v>
      </c>
      <c r="D135" s="2">
        <v>-4649032.54</v>
      </c>
      <c r="E135" s="2">
        <v>1</v>
      </c>
      <c r="F135" s="3">
        <f>IF(COUNT(D135,E135)=2,D135*E135,NA())</f>
        <v>-4649032.54</v>
      </c>
      <c r="G135" s="2" t="s">
        <v>50</v>
      </c>
      <c r="H135" s="2" t="s">
        <v>51</v>
      </c>
      <c r="I135" s="2" t="s">
        <v>52</v>
      </c>
      <c r="J135" s="2" t="s">
        <v>53</v>
      </c>
      <c r="K135" s="2" t="s">
        <v>391</v>
      </c>
      <c r="L135" s="2" t="s">
        <v>54</v>
      </c>
      <c r="M135" s="2" t="s">
        <v>392</v>
      </c>
      <c r="N135" s="2" t="s">
        <v>56</v>
      </c>
      <c r="O135" s="2" t="s">
        <v>57</v>
      </c>
      <c r="P135" s="2" t="s">
        <v>466</v>
      </c>
      <c r="Q135" s="2" t="s">
        <v>467</v>
      </c>
      <c r="R135" s="2"/>
    </row>
    <row r="136" spans="1:18">
      <c r="A136" s="2" t="s">
        <v>468</v>
      </c>
      <c r="B136" s="2" t="s">
        <v>465</v>
      </c>
      <c r="C136" s="2" t="s">
        <v>390</v>
      </c>
      <c r="D136" s="2">
        <v>152471970.46</v>
      </c>
      <c r="E136" s="2">
        <v>1</v>
      </c>
      <c r="F136" s="3">
        <f>IF(COUNT(D136,E136)=2,D136*E136,NA())</f>
        <v>152471970.46</v>
      </c>
      <c r="G136" s="2" t="s">
        <v>50</v>
      </c>
      <c r="H136" s="2" t="s">
        <v>51</v>
      </c>
      <c r="I136" s="2" t="s">
        <v>52</v>
      </c>
      <c r="J136" s="2" t="s">
        <v>53</v>
      </c>
      <c r="K136" s="2" t="s">
        <v>396</v>
      </c>
      <c r="L136" s="2" t="s">
        <v>61</v>
      </c>
      <c r="M136" s="2" t="s">
        <v>392</v>
      </c>
      <c r="N136" s="2" t="s">
        <v>62</v>
      </c>
      <c r="O136" s="2" t="s">
        <v>57</v>
      </c>
      <c r="P136" s="2" t="s">
        <v>469</v>
      </c>
      <c r="Q136" s="2" t="s">
        <v>467</v>
      </c>
      <c r="R136" s="2"/>
    </row>
    <row r="137" spans="1:18">
      <c r="A137" s="2" t="s">
        <v>470</v>
      </c>
      <c r="B137" s="2" t="s">
        <v>471</v>
      </c>
      <c r="C137" s="2" t="s">
        <v>390</v>
      </c>
      <c r="D137" s="2">
        <v>-603370594.47</v>
      </c>
      <c r="E137" s="2">
        <v>1</v>
      </c>
      <c r="F137" s="3">
        <f>IF(COUNT(D137,E137)=2,D137*E137,NA())</f>
        <v>-603370594.47</v>
      </c>
      <c r="G137" s="2" t="s">
        <v>50</v>
      </c>
      <c r="H137" s="2" t="s">
        <v>51</v>
      </c>
      <c r="I137" s="2" t="s">
        <v>52</v>
      </c>
      <c r="J137" s="2" t="s">
        <v>53</v>
      </c>
      <c r="K137" s="2" t="s">
        <v>391</v>
      </c>
      <c r="L137" s="2" t="s">
        <v>54</v>
      </c>
      <c r="M137" s="2" t="s">
        <v>392</v>
      </c>
      <c r="N137" s="2" t="s">
        <v>56</v>
      </c>
      <c r="O137" s="2" t="s">
        <v>57</v>
      </c>
      <c r="P137" s="2" t="s">
        <v>472</v>
      </c>
      <c r="Q137" s="2" t="s">
        <v>473</v>
      </c>
      <c r="R137" s="2"/>
    </row>
    <row r="138" spans="1:18">
      <c r="A138" s="2" t="s">
        <v>474</v>
      </c>
      <c r="B138" s="2" t="s">
        <v>471</v>
      </c>
      <c r="C138" s="2" t="s">
        <v>390</v>
      </c>
      <c r="D138" s="2">
        <v>-267824142.23</v>
      </c>
      <c r="E138" s="2">
        <v>1</v>
      </c>
      <c r="F138" s="3">
        <f>IF(COUNT(D138,E138)=2,D138*E138,NA())</f>
        <v>-267824142.23</v>
      </c>
      <c r="G138" s="2" t="s">
        <v>50</v>
      </c>
      <c r="H138" s="2" t="s">
        <v>51</v>
      </c>
      <c r="I138" s="2" t="s">
        <v>52</v>
      </c>
      <c r="J138" s="2" t="s">
        <v>53</v>
      </c>
      <c r="K138" s="2" t="s">
        <v>396</v>
      </c>
      <c r="L138" s="2" t="s">
        <v>61</v>
      </c>
      <c r="M138" s="2" t="s">
        <v>392</v>
      </c>
      <c r="N138" s="2" t="s">
        <v>62</v>
      </c>
      <c r="O138" s="2" t="s">
        <v>57</v>
      </c>
      <c r="P138" s="2" t="s">
        <v>475</v>
      </c>
      <c r="Q138" s="2" t="s">
        <v>473</v>
      </c>
      <c r="R138" s="2"/>
    </row>
    <row r="139" spans="1:18">
      <c r="A139" s="2" t="s">
        <v>476</v>
      </c>
      <c r="B139" s="2" t="s">
        <v>477</v>
      </c>
      <c r="C139" s="2" t="s">
        <v>390</v>
      </c>
      <c r="D139" s="2">
        <v>-183529695.12</v>
      </c>
      <c r="E139" s="2">
        <v>1</v>
      </c>
      <c r="F139" s="3">
        <f>IF(COUNT(D139,E139)=2,D139*E139,NA())</f>
        <v>-183529695.12</v>
      </c>
      <c r="G139" s="2" t="s">
        <v>50</v>
      </c>
      <c r="H139" s="2" t="s">
        <v>51</v>
      </c>
      <c r="I139" s="2" t="s">
        <v>52</v>
      </c>
      <c r="J139" s="2" t="s">
        <v>53</v>
      </c>
      <c r="K139" s="2" t="s">
        <v>391</v>
      </c>
      <c r="L139" s="2" t="s">
        <v>54</v>
      </c>
      <c r="M139" s="2" t="s">
        <v>392</v>
      </c>
      <c r="N139" s="2" t="s">
        <v>56</v>
      </c>
      <c r="O139" s="2" t="s">
        <v>57</v>
      </c>
      <c r="P139" s="2" t="s">
        <v>478</v>
      </c>
      <c r="Q139" s="2" t="s">
        <v>479</v>
      </c>
      <c r="R139" s="2"/>
    </row>
    <row r="140" spans="1:18">
      <c r="A140" s="2" t="s">
        <v>480</v>
      </c>
      <c r="B140" s="2" t="s">
        <v>477</v>
      </c>
      <c r="C140" s="2" t="s">
        <v>390</v>
      </c>
      <c r="D140" s="2">
        <v>-41942111.8</v>
      </c>
      <c r="E140" s="2">
        <v>1</v>
      </c>
      <c r="F140" s="3">
        <f>IF(COUNT(D140,E140)=2,D140*E140,NA())</f>
        <v>-41942111.8</v>
      </c>
      <c r="G140" s="2" t="s">
        <v>50</v>
      </c>
      <c r="H140" s="2" t="s">
        <v>51</v>
      </c>
      <c r="I140" s="2" t="s">
        <v>52</v>
      </c>
      <c r="J140" s="2" t="s">
        <v>53</v>
      </c>
      <c r="K140" s="2" t="s">
        <v>396</v>
      </c>
      <c r="L140" s="2" t="s">
        <v>61</v>
      </c>
      <c r="M140" s="2" t="s">
        <v>392</v>
      </c>
      <c r="N140" s="2" t="s">
        <v>62</v>
      </c>
      <c r="O140" s="2" t="s">
        <v>57</v>
      </c>
      <c r="P140" s="2" t="s">
        <v>481</v>
      </c>
      <c r="Q140" s="2" t="s">
        <v>479</v>
      </c>
      <c r="R140" s="2"/>
    </row>
    <row r="141" spans="1:18">
      <c r="A141" s="2" t="s">
        <v>482</v>
      </c>
      <c r="B141" s="2" t="s">
        <v>483</v>
      </c>
      <c r="C141" s="2" t="s">
        <v>390</v>
      </c>
      <c r="D141" s="2">
        <v>95900.89999999999</v>
      </c>
      <c r="E141" s="2">
        <v>1</v>
      </c>
      <c r="F141" s="3">
        <f>IF(COUNT(D141,E141)=2,D141*E141,NA())</f>
        <v>95900.9</v>
      </c>
      <c r="G141" s="2" t="s">
        <v>50</v>
      </c>
      <c r="H141" s="2" t="s">
        <v>51</v>
      </c>
      <c r="I141" s="2" t="s">
        <v>52</v>
      </c>
      <c r="J141" s="2" t="s">
        <v>53</v>
      </c>
      <c r="K141" s="2" t="s">
        <v>391</v>
      </c>
      <c r="L141" s="2" t="s">
        <v>54</v>
      </c>
      <c r="M141" s="2" t="s">
        <v>392</v>
      </c>
      <c r="N141" s="2" t="s">
        <v>56</v>
      </c>
      <c r="O141" s="2" t="s">
        <v>57</v>
      </c>
      <c r="P141" s="2" t="s">
        <v>484</v>
      </c>
      <c r="Q141" s="2" t="s">
        <v>485</v>
      </c>
      <c r="R141" s="2"/>
    </row>
    <row r="142" spans="1:18">
      <c r="A142" s="2" t="s">
        <v>486</v>
      </c>
      <c r="B142" s="2" t="s">
        <v>483</v>
      </c>
      <c r="C142" s="2" t="s">
        <v>390</v>
      </c>
      <c r="D142" s="2">
        <v>31246.02</v>
      </c>
      <c r="E142" s="2">
        <v>1</v>
      </c>
      <c r="F142" s="3">
        <f>IF(COUNT(D142,E142)=2,D142*E142,NA())</f>
        <v>31246.02</v>
      </c>
      <c r="G142" s="2" t="s">
        <v>50</v>
      </c>
      <c r="H142" s="2" t="s">
        <v>51</v>
      </c>
      <c r="I142" s="2" t="s">
        <v>52</v>
      </c>
      <c r="J142" s="2" t="s">
        <v>53</v>
      </c>
      <c r="K142" s="2" t="s">
        <v>396</v>
      </c>
      <c r="L142" s="2" t="s">
        <v>61</v>
      </c>
      <c r="M142" s="2" t="s">
        <v>392</v>
      </c>
      <c r="N142" s="2" t="s">
        <v>62</v>
      </c>
      <c r="O142" s="2" t="s">
        <v>57</v>
      </c>
      <c r="P142" s="2" t="s">
        <v>487</v>
      </c>
      <c r="Q142" s="2" t="s">
        <v>485</v>
      </c>
      <c r="R142" s="2"/>
    </row>
    <row r="143" spans="1:18">
      <c r="A143" s="2" t="s">
        <v>488</v>
      </c>
      <c r="B143" s="2" t="s">
        <v>489</v>
      </c>
      <c r="C143" s="2" t="s">
        <v>390</v>
      </c>
      <c r="D143" s="2">
        <v>-575696838.86</v>
      </c>
      <c r="E143" s="2">
        <v>1</v>
      </c>
      <c r="F143" s="3">
        <f>IF(COUNT(D143,E143)=2,D143*E143,NA())</f>
        <v>-575696838.86</v>
      </c>
      <c r="G143" s="2" t="s">
        <v>50</v>
      </c>
      <c r="H143" s="2" t="s">
        <v>51</v>
      </c>
      <c r="I143" s="2" t="s">
        <v>52</v>
      </c>
      <c r="J143" s="2" t="s">
        <v>53</v>
      </c>
      <c r="K143" s="2" t="s">
        <v>391</v>
      </c>
      <c r="L143" s="2" t="s">
        <v>54</v>
      </c>
      <c r="M143" s="2" t="s">
        <v>392</v>
      </c>
      <c r="N143" s="2" t="s">
        <v>56</v>
      </c>
      <c r="O143" s="2" t="s">
        <v>57</v>
      </c>
      <c r="P143" s="2" t="s">
        <v>490</v>
      </c>
      <c r="Q143" s="2" t="s">
        <v>491</v>
      </c>
      <c r="R143" s="2"/>
    </row>
    <row r="144" spans="1:18">
      <c r="A144" s="2" t="s">
        <v>492</v>
      </c>
      <c r="B144" s="2" t="s">
        <v>489</v>
      </c>
      <c r="C144" s="2" t="s">
        <v>390</v>
      </c>
      <c r="D144" s="2">
        <v>25503811.84</v>
      </c>
      <c r="E144" s="2">
        <v>1</v>
      </c>
      <c r="F144" s="3">
        <f>IF(COUNT(D144,E144)=2,D144*E144,NA())</f>
        <v>25503811.84</v>
      </c>
      <c r="G144" s="2" t="s">
        <v>50</v>
      </c>
      <c r="H144" s="2" t="s">
        <v>51</v>
      </c>
      <c r="I144" s="2" t="s">
        <v>52</v>
      </c>
      <c r="J144" s="2" t="s">
        <v>53</v>
      </c>
      <c r="K144" s="2" t="s">
        <v>396</v>
      </c>
      <c r="L144" s="2" t="s">
        <v>61</v>
      </c>
      <c r="M144" s="2" t="s">
        <v>392</v>
      </c>
      <c r="N144" s="2" t="s">
        <v>62</v>
      </c>
      <c r="O144" s="2" t="s">
        <v>57</v>
      </c>
      <c r="P144" s="2" t="s">
        <v>493</v>
      </c>
      <c r="Q144" s="2" t="s">
        <v>491</v>
      </c>
      <c r="R144" s="2"/>
    </row>
    <row r="145" spans="1:18">
      <c r="A145" s="2" t="s">
        <v>494</v>
      </c>
      <c r="B145" s="2" t="s">
        <v>495</v>
      </c>
      <c r="C145" s="2" t="s">
        <v>390</v>
      </c>
      <c r="D145" s="2">
        <v>10170953.98</v>
      </c>
      <c r="E145" s="2">
        <v>1</v>
      </c>
      <c r="F145" s="3">
        <f>IF(COUNT(D145,E145)=2,D145*E145,NA())</f>
        <v>10170953.98</v>
      </c>
      <c r="G145" s="2" t="s">
        <v>50</v>
      </c>
      <c r="H145" s="2" t="s">
        <v>51</v>
      </c>
      <c r="I145" s="2" t="s">
        <v>52</v>
      </c>
      <c r="J145" s="2" t="s">
        <v>53</v>
      </c>
      <c r="K145" s="2" t="s">
        <v>391</v>
      </c>
      <c r="L145" s="2" t="s">
        <v>54</v>
      </c>
      <c r="M145" s="2" t="s">
        <v>392</v>
      </c>
      <c r="N145" s="2" t="s">
        <v>56</v>
      </c>
      <c r="O145" s="2" t="s">
        <v>57</v>
      </c>
      <c r="P145" s="2" t="s">
        <v>496</v>
      </c>
      <c r="Q145" s="2" t="s">
        <v>497</v>
      </c>
      <c r="R145" s="2"/>
    </row>
    <row r="146" spans="1:18">
      <c r="A146" s="2" t="s">
        <v>498</v>
      </c>
      <c r="B146" s="2" t="s">
        <v>495</v>
      </c>
      <c r="C146" s="2" t="s">
        <v>390</v>
      </c>
      <c r="D146" s="2">
        <v>24250679.97</v>
      </c>
      <c r="E146" s="2">
        <v>1</v>
      </c>
      <c r="F146" s="3">
        <f>IF(COUNT(D146,E146)=2,D146*E146,NA())</f>
        <v>24250679.97</v>
      </c>
      <c r="G146" s="2" t="s">
        <v>50</v>
      </c>
      <c r="H146" s="2" t="s">
        <v>51</v>
      </c>
      <c r="I146" s="2" t="s">
        <v>52</v>
      </c>
      <c r="J146" s="2" t="s">
        <v>53</v>
      </c>
      <c r="K146" s="2" t="s">
        <v>396</v>
      </c>
      <c r="L146" s="2" t="s">
        <v>61</v>
      </c>
      <c r="M146" s="2" t="s">
        <v>392</v>
      </c>
      <c r="N146" s="2" t="s">
        <v>62</v>
      </c>
      <c r="O146" s="2" t="s">
        <v>57</v>
      </c>
      <c r="P146" s="2" t="s">
        <v>499</v>
      </c>
      <c r="Q146" s="2" t="s">
        <v>497</v>
      </c>
      <c r="R146" s="2"/>
    </row>
    <row r="147" spans="1:18">
      <c r="A147" s="2" t="s">
        <v>500</v>
      </c>
      <c r="B147" s="2" t="s">
        <v>501</v>
      </c>
      <c r="C147" s="2" t="s">
        <v>390</v>
      </c>
      <c r="D147" s="2">
        <v>26668321.68</v>
      </c>
      <c r="E147" s="2">
        <v>1</v>
      </c>
      <c r="F147" s="3">
        <f>IF(COUNT(D147,E147)=2,D147*E147,NA())</f>
        <v>26668321.68</v>
      </c>
      <c r="G147" s="2" t="s">
        <v>50</v>
      </c>
      <c r="H147" s="2" t="s">
        <v>51</v>
      </c>
      <c r="I147" s="2" t="s">
        <v>52</v>
      </c>
      <c r="J147" s="2" t="s">
        <v>53</v>
      </c>
      <c r="K147" s="2" t="s">
        <v>391</v>
      </c>
      <c r="L147" s="2" t="s">
        <v>54</v>
      </c>
      <c r="M147" s="2" t="s">
        <v>392</v>
      </c>
      <c r="N147" s="2" t="s">
        <v>56</v>
      </c>
      <c r="O147" s="2" t="s">
        <v>57</v>
      </c>
      <c r="P147" s="2" t="s">
        <v>502</v>
      </c>
      <c r="Q147" s="2" t="s">
        <v>503</v>
      </c>
      <c r="R147" s="2"/>
    </row>
    <row r="148" spans="1:18">
      <c r="A148" s="2" t="s">
        <v>504</v>
      </c>
      <c r="B148" s="2" t="s">
        <v>501</v>
      </c>
      <c r="C148" s="2" t="s">
        <v>390</v>
      </c>
      <c r="D148" s="2">
        <v>3026299.04</v>
      </c>
      <c r="E148" s="2">
        <v>1</v>
      </c>
      <c r="F148" s="3">
        <f>IF(COUNT(D148,E148)=2,D148*E148,NA())</f>
        <v>3026299.04</v>
      </c>
      <c r="G148" s="2" t="s">
        <v>50</v>
      </c>
      <c r="H148" s="2" t="s">
        <v>51</v>
      </c>
      <c r="I148" s="2" t="s">
        <v>52</v>
      </c>
      <c r="J148" s="2" t="s">
        <v>53</v>
      </c>
      <c r="K148" s="2" t="s">
        <v>396</v>
      </c>
      <c r="L148" s="2" t="s">
        <v>61</v>
      </c>
      <c r="M148" s="2" t="s">
        <v>392</v>
      </c>
      <c r="N148" s="2" t="s">
        <v>62</v>
      </c>
      <c r="O148" s="2" t="s">
        <v>57</v>
      </c>
      <c r="P148" s="2" t="s">
        <v>505</v>
      </c>
      <c r="Q148" s="2" t="s">
        <v>503</v>
      </c>
      <c r="R148" s="2"/>
    </row>
    <row r="149" spans="1:18">
      <c r="A149" s="2" t="s">
        <v>506</v>
      </c>
      <c r="B149" s="2" t="s">
        <v>507</v>
      </c>
      <c r="C149" s="2" t="s">
        <v>390</v>
      </c>
      <c r="D149" s="2">
        <v>-592194206.5599999</v>
      </c>
      <c r="E149" s="2">
        <v>1</v>
      </c>
      <c r="F149" s="3">
        <f>IF(COUNT(D149,E149)=2,D149*E149,NA())</f>
        <v>-592194206.56</v>
      </c>
      <c r="G149" s="2" t="s">
        <v>50</v>
      </c>
      <c r="H149" s="2" t="s">
        <v>51</v>
      </c>
      <c r="I149" s="2" t="s">
        <v>52</v>
      </c>
      <c r="J149" s="2" t="s">
        <v>53</v>
      </c>
      <c r="K149" s="2" t="s">
        <v>391</v>
      </c>
      <c r="L149" s="2" t="s">
        <v>54</v>
      </c>
      <c r="M149" s="2" t="s">
        <v>392</v>
      </c>
      <c r="N149" s="2" t="s">
        <v>56</v>
      </c>
      <c r="O149" s="2" t="s">
        <v>57</v>
      </c>
      <c r="P149" s="2" t="s">
        <v>508</v>
      </c>
      <c r="Q149" s="2" t="s">
        <v>509</v>
      </c>
      <c r="R149" s="2"/>
    </row>
    <row r="150" spans="1:18">
      <c r="A150" s="2" t="s">
        <v>510</v>
      </c>
      <c r="B150" s="2" t="s">
        <v>507</v>
      </c>
      <c r="C150" s="2" t="s">
        <v>390</v>
      </c>
      <c r="D150" s="2">
        <v>46728192.77</v>
      </c>
      <c r="E150" s="2">
        <v>1</v>
      </c>
      <c r="F150" s="3">
        <f>IF(COUNT(D150,E150)=2,D150*E150,NA())</f>
        <v>46728192.77</v>
      </c>
      <c r="G150" s="2" t="s">
        <v>50</v>
      </c>
      <c r="H150" s="2" t="s">
        <v>51</v>
      </c>
      <c r="I150" s="2" t="s">
        <v>52</v>
      </c>
      <c r="J150" s="2" t="s">
        <v>53</v>
      </c>
      <c r="K150" s="2" t="s">
        <v>396</v>
      </c>
      <c r="L150" s="2" t="s">
        <v>61</v>
      </c>
      <c r="M150" s="2" t="s">
        <v>392</v>
      </c>
      <c r="N150" s="2" t="s">
        <v>62</v>
      </c>
      <c r="O150" s="2" t="s">
        <v>57</v>
      </c>
      <c r="P150" s="2" t="s">
        <v>511</v>
      </c>
      <c r="Q150" s="2" t="s">
        <v>509</v>
      </c>
      <c r="R150" s="2"/>
    </row>
    <row r="151" spans="1:18">
      <c r="A151" s="2" t="s">
        <v>512</v>
      </c>
      <c r="B151" s="2" t="s">
        <v>513</v>
      </c>
      <c r="C151" s="2" t="s">
        <v>390</v>
      </c>
      <c r="D151" s="2">
        <v>-44398991.01</v>
      </c>
      <c r="E151" s="2">
        <v>1</v>
      </c>
      <c r="F151" s="3">
        <f>IF(COUNT(D151,E151)=2,D151*E151,NA())</f>
        <v>-44398991.01</v>
      </c>
      <c r="G151" s="2" t="s">
        <v>50</v>
      </c>
      <c r="H151" s="2" t="s">
        <v>51</v>
      </c>
      <c r="I151" s="2" t="s">
        <v>52</v>
      </c>
      <c r="J151" s="2" t="s">
        <v>53</v>
      </c>
      <c r="K151" s="2" t="s">
        <v>391</v>
      </c>
      <c r="L151" s="2" t="s">
        <v>54</v>
      </c>
      <c r="M151" s="2" t="s">
        <v>392</v>
      </c>
      <c r="N151" s="2" t="s">
        <v>56</v>
      </c>
      <c r="O151" s="2" t="s">
        <v>57</v>
      </c>
      <c r="P151" s="2" t="s">
        <v>514</v>
      </c>
      <c r="Q151" s="2" t="s">
        <v>515</v>
      </c>
      <c r="R151" s="2"/>
    </row>
    <row r="152" spans="1:18">
      <c r="A152" s="2" t="s">
        <v>516</v>
      </c>
      <c r="B152" s="2" t="s">
        <v>513</v>
      </c>
      <c r="C152" s="2" t="s">
        <v>390</v>
      </c>
      <c r="D152" s="2">
        <v>23722053.72</v>
      </c>
      <c r="E152" s="2">
        <v>1</v>
      </c>
      <c r="F152" s="3">
        <f>IF(COUNT(D152,E152)=2,D152*E152,NA())</f>
        <v>23722053.72</v>
      </c>
      <c r="G152" s="2" t="s">
        <v>50</v>
      </c>
      <c r="H152" s="2" t="s">
        <v>51</v>
      </c>
      <c r="I152" s="2" t="s">
        <v>52</v>
      </c>
      <c r="J152" s="2" t="s">
        <v>53</v>
      </c>
      <c r="K152" s="2" t="s">
        <v>396</v>
      </c>
      <c r="L152" s="2" t="s">
        <v>61</v>
      </c>
      <c r="M152" s="2" t="s">
        <v>392</v>
      </c>
      <c r="N152" s="2" t="s">
        <v>62</v>
      </c>
      <c r="O152" s="2" t="s">
        <v>57</v>
      </c>
      <c r="P152" s="2" t="s">
        <v>517</v>
      </c>
      <c r="Q152" s="2" t="s">
        <v>515</v>
      </c>
      <c r="R152" s="2"/>
    </row>
    <row r="153" spans="1:18">
      <c r="A153" s="2" t="s">
        <v>518</v>
      </c>
      <c r="B153" s="2" t="s">
        <v>519</v>
      </c>
      <c r="C153" s="2" t="s">
        <v>390</v>
      </c>
      <c r="D153" s="2">
        <v>-547795215.55</v>
      </c>
      <c r="E153" s="2">
        <v>1</v>
      </c>
      <c r="F153" s="3">
        <f>IF(COUNT(D153,E153)=2,D153*E153,NA())</f>
        <v>-547795215.55</v>
      </c>
      <c r="G153" s="2" t="s">
        <v>50</v>
      </c>
      <c r="H153" s="2" t="s">
        <v>51</v>
      </c>
      <c r="I153" s="2" t="s">
        <v>52</v>
      </c>
      <c r="J153" s="2" t="s">
        <v>53</v>
      </c>
      <c r="K153" s="2" t="s">
        <v>391</v>
      </c>
      <c r="L153" s="2" t="s">
        <v>54</v>
      </c>
      <c r="M153" s="2" t="s">
        <v>392</v>
      </c>
      <c r="N153" s="2" t="s">
        <v>56</v>
      </c>
      <c r="O153" s="2" t="s">
        <v>57</v>
      </c>
      <c r="P153" s="2" t="s">
        <v>520</v>
      </c>
      <c r="Q153" s="2" t="s">
        <v>521</v>
      </c>
      <c r="R153" s="2"/>
    </row>
    <row r="154" spans="1:18">
      <c r="A154" s="2" t="s">
        <v>522</v>
      </c>
      <c r="B154" s="2" t="s">
        <v>519</v>
      </c>
      <c r="C154" s="2" t="s">
        <v>390</v>
      </c>
      <c r="D154" s="2">
        <v>23006139.05</v>
      </c>
      <c r="E154" s="2">
        <v>1</v>
      </c>
      <c r="F154" s="3">
        <f>IF(COUNT(D154,E154)=2,D154*E154,NA())</f>
        <v>23006139.05</v>
      </c>
      <c r="G154" s="2" t="s">
        <v>50</v>
      </c>
      <c r="H154" s="2" t="s">
        <v>51</v>
      </c>
      <c r="I154" s="2" t="s">
        <v>52</v>
      </c>
      <c r="J154" s="2" t="s">
        <v>53</v>
      </c>
      <c r="K154" s="2" t="s">
        <v>396</v>
      </c>
      <c r="L154" s="2" t="s">
        <v>61</v>
      </c>
      <c r="M154" s="2" t="s">
        <v>392</v>
      </c>
      <c r="N154" s="2" t="s">
        <v>62</v>
      </c>
      <c r="O154" s="2" t="s">
        <v>57</v>
      </c>
      <c r="P154" s="2" t="s">
        <v>523</v>
      </c>
      <c r="Q154" s="2" t="s">
        <v>521</v>
      </c>
      <c r="R154" s="2"/>
    </row>
    <row r="155" spans="1:18">
      <c r="A155" s="2" t="s">
        <v>524</v>
      </c>
      <c r="B155" s="2" t="s">
        <v>525</v>
      </c>
      <c r="C155" s="2" t="s">
        <v>390</v>
      </c>
      <c r="D155" s="2">
        <v>-535342762.09</v>
      </c>
      <c r="E155" s="2">
        <v>1</v>
      </c>
      <c r="F155" s="3">
        <f>IF(COUNT(D155,E155)=2,D155*E155,NA())</f>
        <v>-535342762.09</v>
      </c>
      <c r="G155" s="2" t="s">
        <v>50</v>
      </c>
      <c r="H155" s="2" t="s">
        <v>51</v>
      </c>
      <c r="I155" s="2" t="s">
        <v>52</v>
      </c>
      <c r="J155" s="2" t="s">
        <v>53</v>
      </c>
      <c r="K155" s="2" t="s">
        <v>391</v>
      </c>
      <c r="L155" s="2" t="s">
        <v>54</v>
      </c>
      <c r="M155" s="2" t="s">
        <v>392</v>
      </c>
      <c r="N155" s="2" t="s">
        <v>56</v>
      </c>
      <c r="O155" s="2" t="s">
        <v>57</v>
      </c>
      <c r="P155" s="2" t="s">
        <v>526</v>
      </c>
      <c r="Q155" s="2" t="s">
        <v>527</v>
      </c>
      <c r="R155" s="2"/>
    </row>
    <row r="156" spans="1:18">
      <c r="A156" s="2" t="s">
        <v>528</v>
      </c>
      <c r="B156" s="2" t="s">
        <v>525</v>
      </c>
      <c r="C156" s="2" t="s">
        <v>390</v>
      </c>
      <c r="D156" s="2">
        <v>35453381.35</v>
      </c>
      <c r="E156" s="2">
        <v>1</v>
      </c>
      <c r="F156" s="3">
        <f>IF(COUNT(D156,E156)=2,D156*E156,NA())</f>
        <v>35453381.35</v>
      </c>
      <c r="G156" s="2" t="s">
        <v>50</v>
      </c>
      <c r="H156" s="2" t="s">
        <v>51</v>
      </c>
      <c r="I156" s="2" t="s">
        <v>52</v>
      </c>
      <c r="J156" s="2" t="s">
        <v>53</v>
      </c>
      <c r="K156" s="2" t="s">
        <v>396</v>
      </c>
      <c r="L156" s="2" t="s">
        <v>61</v>
      </c>
      <c r="M156" s="2" t="s">
        <v>392</v>
      </c>
      <c r="N156" s="2" t="s">
        <v>62</v>
      </c>
      <c r="O156" s="2" t="s">
        <v>57</v>
      </c>
      <c r="P156" s="2" t="s">
        <v>529</v>
      </c>
      <c r="Q156" s="2" t="s">
        <v>527</v>
      </c>
      <c r="R156" s="2"/>
    </row>
    <row r="157" spans="1:18">
      <c r="A157" s="2" t="s">
        <v>530</v>
      </c>
      <c r="B157" s="2" t="s">
        <v>531</v>
      </c>
      <c r="C157" s="2" t="s">
        <v>390</v>
      </c>
      <c r="D157" s="2">
        <v>-12452453.46</v>
      </c>
      <c r="E157" s="2">
        <v>1</v>
      </c>
      <c r="F157" s="3">
        <f>IF(COUNT(D157,E157)=2,D157*E157,NA())</f>
        <v>-12452453.46</v>
      </c>
      <c r="G157" s="2" t="s">
        <v>50</v>
      </c>
      <c r="H157" s="2" t="s">
        <v>51</v>
      </c>
      <c r="I157" s="2" t="s">
        <v>52</v>
      </c>
      <c r="J157" s="2" t="s">
        <v>53</v>
      </c>
      <c r="K157" s="2" t="s">
        <v>391</v>
      </c>
      <c r="L157" s="2" t="s">
        <v>54</v>
      </c>
      <c r="M157" s="2" t="s">
        <v>392</v>
      </c>
      <c r="N157" s="2" t="s">
        <v>56</v>
      </c>
      <c r="O157" s="2" t="s">
        <v>57</v>
      </c>
      <c r="P157" s="2" t="s">
        <v>532</v>
      </c>
      <c r="Q157" s="2" t="s">
        <v>533</v>
      </c>
      <c r="R157" s="2"/>
    </row>
    <row r="158" spans="1:18">
      <c r="A158" s="2" t="s">
        <v>534</v>
      </c>
      <c r="B158" s="2" t="s">
        <v>531</v>
      </c>
      <c r="C158" s="2" t="s">
        <v>390</v>
      </c>
      <c r="D158" s="2">
        <v>-12447242.3</v>
      </c>
      <c r="E158" s="2">
        <v>1</v>
      </c>
      <c r="F158" s="3">
        <f>IF(COUNT(D158,E158)=2,D158*E158,NA())</f>
        <v>-12447242.3</v>
      </c>
      <c r="G158" s="2" t="s">
        <v>50</v>
      </c>
      <c r="H158" s="2" t="s">
        <v>51</v>
      </c>
      <c r="I158" s="2" t="s">
        <v>52</v>
      </c>
      <c r="J158" s="2" t="s">
        <v>53</v>
      </c>
      <c r="K158" s="2" t="s">
        <v>396</v>
      </c>
      <c r="L158" s="2" t="s">
        <v>61</v>
      </c>
      <c r="M158" s="2" t="s">
        <v>392</v>
      </c>
      <c r="N158" s="2" t="s">
        <v>62</v>
      </c>
      <c r="O158" s="2" t="s">
        <v>57</v>
      </c>
      <c r="P158" s="2" t="s">
        <v>535</v>
      </c>
      <c r="Q158" s="2" t="s">
        <v>533</v>
      </c>
      <c r="R158" s="2"/>
    </row>
    <row r="159" spans="1:18">
      <c r="A159" s="2" t="s">
        <v>536</v>
      </c>
      <c r="B159" s="2" t="s">
        <v>537</v>
      </c>
      <c r="C159" s="2" t="s">
        <v>390</v>
      </c>
      <c r="D159" s="2">
        <v>-14568285.14</v>
      </c>
      <c r="E159" s="2">
        <v>1</v>
      </c>
      <c r="F159" s="3">
        <f>IF(COUNT(D159,E159)=2,D159*E159,NA())</f>
        <v>-14568285.14</v>
      </c>
      <c r="G159" s="2" t="s">
        <v>50</v>
      </c>
      <c r="H159" s="2" t="s">
        <v>51</v>
      </c>
      <c r="I159" s="2" t="s">
        <v>52</v>
      </c>
      <c r="J159" s="2" t="s">
        <v>53</v>
      </c>
      <c r="K159" s="2" t="s">
        <v>391</v>
      </c>
      <c r="L159" s="2" t="s">
        <v>54</v>
      </c>
      <c r="M159" s="2" t="s">
        <v>392</v>
      </c>
      <c r="N159" s="2" t="s">
        <v>56</v>
      </c>
      <c r="O159" s="2" t="s">
        <v>57</v>
      </c>
      <c r="P159" s="2" t="s">
        <v>538</v>
      </c>
      <c r="Q159" s="2" t="s">
        <v>539</v>
      </c>
      <c r="R159" s="2"/>
    </row>
    <row r="160" spans="1:18">
      <c r="A160" s="2" t="s">
        <v>540</v>
      </c>
      <c r="B160" s="2" t="s">
        <v>537</v>
      </c>
      <c r="C160" s="2" t="s">
        <v>390</v>
      </c>
      <c r="D160" s="2">
        <v>9852158.15</v>
      </c>
      <c r="E160" s="2">
        <v>1</v>
      </c>
      <c r="F160" s="3">
        <f>IF(COUNT(D160,E160)=2,D160*E160,NA())</f>
        <v>9852158.15</v>
      </c>
      <c r="G160" s="2" t="s">
        <v>50</v>
      </c>
      <c r="H160" s="2" t="s">
        <v>51</v>
      </c>
      <c r="I160" s="2" t="s">
        <v>52</v>
      </c>
      <c r="J160" s="2" t="s">
        <v>53</v>
      </c>
      <c r="K160" s="2" t="s">
        <v>396</v>
      </c>
      <c r="L160" s="2" t="s">
        <v>61</v>
      </c>
      <c r="M160" s="2" t="s">
        <v>392</v>
      </c>
      <c r="N160" s="2" t="s">
        <v>62</v>
      </c>
      <c r="O160" s="2" t="s">
        <v>57</v>
      </c>
      <c r="P160" s="2" t="s">
        <v>541</v>
      </c>
      <c r="Q160" s="2" t="s">
        <v>539</v>
      </c>
      <c r="R160" s="2"/>
    </row>
    <row r="161" spans="1:18">
      <c r="A161" s="2" t="s">
        <v>542</v>
      </c>
      <c r="B161" s="2" t="s">
        <v>543</v>
      </c>
      <c r="C161" s="2" t="s">
        <v>390</v>
      </c>
      <c r="D161" s="2">
        <v>-562363500.6900001</v>
      </c>
      <c r="E161" s="2">
        <v>1</v>
      </c>
      <c r="F161" s="3">
        <f>IF(COUNT(D161,E161)=2,D161*E161,NA())</f>
        <v>-562363500.69</v>
      </c>
      <c r="G161" s="2" t="s">
        <v>50</v>
      </c>
      <c r="H161" s="2" t="s">
        <v>51</v>
      </c>
      <c r="I161" s="2" t="s">
        <v>52</v>
      </c>
      <c r="J161" s="2" t="s">
        <v>53</v>
      </c>
      <c r="K161" s="2" t="s">
        <v>391</v>
      </c>
      <c r="L161" s="2" t="s">
        <v>54</v>
      </c>
      <c r="M161" s="2" t="s">
        <v>392</v>
      </c>
      <c r="N161" s="2" t="s">
        <v>56</v>
      </c>
      <c r="O161" s="2" t="s">
        <v>57</v>
      </c>
      <c r="P161" s="2" t="s">
        <v>544</v>
      </c>
      <c r="Q161" s="2" t="s">
        <v>545</v>
      </c>
      <c r="R161" s="2"/>
    </row>
    <row r="162" spans="1:18">
      <c r="A162" s="2" t="s">
        <v>546</v>
      </c>
      <c r="B162" s="2" t="s">
        <v>543</v>
      </c>
      <c r="C162" s="2" t="s">
        <v>390</v>
      </c>
      <c r="D162" s="2">
        <v>32858297.2</v>
      </c>
      <c r="E162" s="2">
        <v>1</v>
      </c>
      <c r="F162" s="3">
        <f>IF(COUNT(D162,E162)=2,D162*E162,NA())</f>
        <v>32858297.2</v>
      </c>
      <c r="G162" s="2" t="s">
        <v>50</v>
      </c>
      <c r="H162" s="2" t="s">
        <v>51</v>
      </c>
      <c r="I162" s="2" t="s">
        <v>52</v>
      </c>
      <c r="J162" s="2" t="s">
        <v>53</v>
      </c>
      <c r="K162" s="2" t="s">
        <v>396</v>
      </c>
      <c r="L162" s="2" t="s">
        <v>61</v>
      </c>
      <c r="M162" s="2" t="s">
        <v>392</v>
      </c>
      <c r="N162" s="2" t="s">
        <v>62</v>
      </c>
      <c r="O162" s="2" t="s">
        <v>57</v>
      </c>
      <c r="P162" s="2" t="s">
        <v>547</v>
      </c>
      <c r="Q162" s="2" t="s">
        <v>545</v>
      </c>
      <c r="R162" s="2"/>
    </row>
    <row r="163" spans="1:18">
      <c r="A163" s="2" t="s">
        <v>548</v>
      </c>
      <c r="B163" s="2" t="s">
        <v>549</v>
      </c>
      <c r="C163" s="2" t="s">
        <v>550</v>
      </c>
      <c r="D163" s="2">
        <v>7066047632.31</v>
      </c>
      <c r="E163" s="2">
        <v>1</v>
      </c>
      <c r="F163" s="3">
        <f>IF(COUNT(D163,E163)=2,D163*E163,NA())</f>
        <v>7066047632.31</v>
      </c>
      <c r="G163" s="2" t="s">
        <v>50</v>
      </c>
      <c r="H163" s="2" t="s">
        <v>51</v>
      </c>
      <c r="I163" s="2" t="s">
        <v>52</v>
      </c>
      <c r="J163" s="2" t="s">
        <v>53</v>
      </c>
      <c r="K163" s="2" t="s">
        <v>391</v>
      </c>
      <c r="L163" s="2" t="s">
        <v>54</v>
      </c>
      <c r="M163" s="2" t="s">
        <v>392</v>
      </c>
      <c r="N163" s="2" t="s">
        <v>56</v>
      </c>
      <c r="O163" s="2" t="s">
        <v>57</v>
      </c>
      <c r="P163" s="2" t="s">
        <v>551</v>
      </c>
      <c r="Q163" s="2" t="s">
        <v>552</v>
      </c>
      <c r="R163" s="2"/>
    </row>
    <row r="164" spans="1:18">
      <c r="A164" s="2" t="s">
        <v>553</v>
      </c>
      <c r="B164" s="2" t="s">
        <v>549</v>
      </c>
      <c r="C164" s="2" t="s">
        <v>550</v>
      </c>
      <c r="D164" s="2">
        <v>7353458975.47</v>
      </c>
      <c r="E164" s="2">
        <v>1</v>
      </c>
      <c r="F164" s="3">
        <f>IF(COUNT(D164,E164)=2,D164*E164,NA())</f>
        <v>7353458975.47</v>
      </c>
      <c r="G164" s="2" t="s">
        <v>50</v>
      </c>
      <c r="H164" s="2" t="s">
        <v>51</v>
      </c>
      <c r="I164" s="2" t="s">
        <v>52</v>
      </c>
      <c r="J164" s="2" t="s">
        <v>53</v>
      </c>
      <c r="K164" s="2" t="s">
        <v>396</v>
      </c>
      <c r="L164" s="2" t="s">
        <v>61</v>
      </c>
      <c r="M164" s="2" t="s">
        <v>392</v>
      </c>
      <c r="N164" s="2" t="s">
        <v>62</v>
      </c>
      <c r="O164" s="2" t="s">
        <v>57</v>
      </c>
      <c r="P164" s="2" t="s">
        <v>554</v>
      </c>
      <c r="Q164" s="2" t="s">
        <v>552</v>
      </c>
      <c r="R164" s="2"/>
    </row>
    <row r="165" spans="1:18">
      <c r="A165" s="2" t="s">
        <v>555</v>
      </c>
      <c r="B165" s="2" t="s">
        <v>556</v>
      </c>
      <c r="C165" s="2" t="s">
        <v>550</v>
      </c>
      <c r="D165" s="2">
        <v>953293.41</v>
      </c>
      <c r="E165" s="2">
        <v>1</v>
      </c>
      <c r="F165" s="3">
        <f>IF(COUNT(D165,E165)=2,D165*E165,NA())</f>
        <v>953293.41</v>
      </c>
      <c r="G165" s="2" t="s">
        <v>50</v>
      </c>
      <c r="H165" s="2" t="s">
        <v>51</v>
      </c>
      <c r="I165" s="2" t="s">
        <v>52</v>
      </c>
      <c r="J165" s="2" t="s">
        <v>53</v>
      </c>
      <c r="K165" s="2" t="s">
        <v>391</v>
      </c>
      <c r="L165" s="2" t="s">
        <v>54</v>
      </c>
      <c r="M165" s="2" t="s">
        <v>392</v>
      </c>
      <c r="N165" s="2" t="s">
        <v>56</v>
      </c>
      <c r="O165" s="2" t="s">
        <v>57</v>
      </c>
      <c r="P165" s="2" t="s">
        <v>557</v>
      </c>
      <c r="Q165" s="2" t="s">
        <v>558</v>
      </c>
      <c r="R165" s="2"/>
    </row>
    <row r="166" spans="1:18">
      <c r="A166" s="2" t="s">
        <v>559</v>
      </c>
      <c r="B166" s="2" t="s">
        <v>556</v>
      </c>
      <c r="C166" s="2" t="s">
        <v>550</v>
      </c>
      <c r="D166" s="2">
        <v>7591247.94</v>
      </c>
      <c r="E166" s="2">
        <v>1</v>
      </c>
      <c r="F166" s="3">
        <f>IF(COUNT(D166,E166)=2,D166*E166,NA())</f>
        <v>7591247.94</v>
      </c>
      <c r="G166" s="2" t="s">
        <v>50</v>
      </c>
      <c r="H166" s="2" t="s">
        <v>51</v>
      </c>
      <c r="I166" s="2" t="s">
        <v>52</v>
      </c>
      <c r="J166" s="2" t="s">
        <v>53</v>
      </c>
      <c r="K166" s="2" t="s">
        <v>396</v>
      </c>
      <c r="L166" s="2" t="s">
        <v>61</v>
      </c>
      <c r="M166" s="2" t="s">
        <v>392</v>
      </c>
      <c r="N166" s="2" t="s">
        <v>62</v>
      </c>
      <c r="O166" s="2" t="s">
        <v>57</v>
      </c>
      <c r="P166" s="2" t="s">
        <v>560</v>
      </c>
      <c r="Q166" s="2" t="s">
        <v>558</v>
      </c>
      <c r="R166" s="2"/>
    </row>
    <row r="167" spans="1:18">
      <c r="A167" s="2" t="s">
        <v>561</v>
      </c>
      <c r="B167" s="2" t="s">
        <v>562</v>
      </c>
      <c r="C167" s="2" t="s">
        <v>550</v>
      </c>
      <c r="D167" s="2">
        <v>375860933.08</v>
      </c>
      <c r="E167" s="2">
        <v>1</v>
      </c>
      <c r="F167" s="3">
        <f>IF(COUNT(D167,E167)=2,D167*E167,NA())</f>
        <v>375860933.08</v>
      </c>
      <c r="G167" s="2" t="s">
        <v>50</v>
      </c>
      <c r="H167" s="2" t="s">
        <v>51</v>
      </c>
      <c r="I167" s="2" t="s">
        <v>52</v>
      </c>
      <c r="J167" s="2" t="s">
        <v>53</v>
      </c>
      <c r="K167" s="2" t="s">
        <v>391</v>
      </c>
      <c r="L167" s="2" t="s">
        <v>54</v>
      </c>
      <c r="M167" s="2" t="s">
        <v>392</v>
      </c>
      <c r="N167" s="2" t="s">
        <v>56</v>
      </c>
      <c r="O167" s="2" t="s">
        <v>57</v>
      </c>
      <c r="P167" s="2" t="s">
        <v>563</v>
      </c>
      <c r="Q167" s="2" t="s">
        <v>564</v>
      </c>
      <c r="R167" s="2"/>
    </row>
    <row r="168" spans="1:18">
      <c r="A168" s="2" t="s">
        <v>565</v>
      </c>
      <c r="B168" s="2" t="s">
        <v>562</v>
      </c>
      <c r="C168" s="2" t="s">
        <v>550</v>
      </c>
      <c r="D168" s="2">
        <v>322637449.72</v>
      </c>
      <c r="E168" s="2">
        <v>1</v>
      </c>
      <c r="F168" s="3">
        <f>IF(COUNT(D168,E168)=2,D168*E168,NA())</f>
        <v>322637449.72</v>
      </c>
      <c r="G168" s="2" t="s">
        <v>50</v>
      </c>
      <c r="H168" s="2" t="s">
        <v>51</v>
      </c>
      <c r="I168" s="2" t="s">
        <v>52</v>
      </c>
      <c r="J168" s="2" t="s">
        <v>53</v>
      </c>
      <c r="K168" s="2" t="s">
        <v>396</v>
      </c>
      <c r="L168" s="2" t="s">
        <v>61</v>
      </c>
      <c r="M168" s="2" t="s">
        <v>392</v>
      </c>
      <c r="N168" s="2" t="s">
        <v>62</v>
      </c>
      <c r="O168" s="2" t="s">
        <v>57</v>
      </c>
      <c r="P168" s="2" t="s">
        <v>566</v>
      </c>
      <c r="Q168" s="2" t="s">
        <v>564</v>
      </c>
      <c r="R168" s="2"/>
    </row>
    <row r="169" spans="1:18">
      <c r="A169" s="2" t="s">
        <v>567</v>
      </c>
      <c r="B169" s="2" t="s">
        <v>568</v>
      </c>
      <c r="C169" s="2" t="s">
        <v>550</v>
      </c>
      <c r="D169" s="2">
        <v>7442861858.8</v>
      </c>
      <c r="E169" s="2">
        <v>1</v>
      </c>
      <c r="F169" s="3">
        <f>IF(COUNT(D169,E169)=2,D169*E169,NA())</f>
        <v>7442861858.8</v>
      </c>
      <c r="G169" s="2" t="s">
        <v>50</v>
      </c>
      <c r="H169" s="2" t="s">
        <v>51</v>
      </c>
      <c r="I169" s="2" t="s">
        <v>52</v>
      </c>
      <c r="J169" s="2" t="s">
        <v>53</v>
      </c>
      <c r="K169" s="2" t="s">
        <v>391</v>
      </c>
      <c r="L169" s="2" t="s">
        <v>54</v>
      </c>
      <c r="M169" s="2" t="s">
        <v>392</v>
      </c>
      <c r="N169" s="2" t="s">
        <v>56</v>
      </c>
      <c r="O169" s="2" t="s">
        <v>57</v>
      </c>
      <c r="P169" s="2" t="s">
        <v>569</v>
      </c>
      <c r="Q169" s="2" t="s">
        <v>570</v>
      </c>
      <c r="R169" s="2"/>
    </row>
    <row r="170" spans="1:18">
      <c r="A170" s="2" t="s">
        <v>571</v>
      </c>
      <c r="B170" s="2" t="s">
        <v>568</v>
      </c>
      <c r="C170" s="2" t="s">
        <v>550</v>
      </c>
      <c r="D170" s="2">
        <v>7683687673.13</v>
      </c>
      <c r="E170" s="2">
        <v>1</v>
      </c>
      <c r="F170" s="3">
        <f>IF(COUNT(D170,E170)=2,D170*E170,NA())</f>
        <v>7683687673.13</v>
      </c>
      <c r="G170" s="2" t="s">
        <v>50</v>
      </c>
      <c r="H170" s="2" t="s">
        <v>51</v>
      </c>
      <c r="I170" s="2" t="s">
        <v>52</v>
      </c>
      <c r="J170" s="2" t="s">
        <v>53</v>
      </c>
      <c r="K170" s="2" t="s">
        <v>396</v>
      </c>
      <c r="L170" s="2" t="s">
        <v>61</v>
      </c>
      <c r="M170" s="2" t="s">
        <v>392</v>
      </c>
      <c r="N170" s="2" t="s">
        <v>62</v>
      </c>
      <c r="O170" s="2" t="s">
        <v>57</v>
      </c>
      <c r="P170" s="2" t="s">
        <v>572</v>
      </c>
      <c r="Q170" s="2" t="s">
        <v>570</v>
      </c>
      <c r="R170" s="2"/>
    </row>
    <row r="171" spans="1:18">
      <c r="A171" s="2" t="s">
        <v>573</v>
      </c>
      <c r="B171" s="2" t="s">
        <v>574</v>
      </c>
      <c r="C171" s="2" t="s">
        <v>550</v>
      </c>
      <c r="D171" s="2">
        <v>5571190685.38</v>
      </c>
      <c r="E171" s="2">
        <v>1</v>
      </c>
      <c r="F171" s="3">
        <f>IF(COUNT(D171,E171)=2,D171*E171,NA())</f>
        <v>5571190685.38</v>
      </c>
      <c r="G171" s="2" t="s">
        <v>50</v>
      </c>
      <c r="H171" s="2" t="s">
        <v>51</v>
      </c>
      <c r="I171" s="2" t="s">
        <v>52</v>
      </c>
      <c r="J171" s="2" t="s">
        <v>53</v>
      </c>
      <c r="K171" s="2" t="s">
        <v>391</v>
      </c>
      <c r="L171" s="2" t="s">
        <v>54</v>
      </c>
      <c r="M171" s="2" t="s">
        <v>392</v>
      </c>
      <c r="N171" s="2" t="s">
        <v>56</v>
      </c>
      <c r="O171" s="2" t="s">
        <v>57</v>
      </c>
      <c r="P171" s="2" t="s">
        <v>575</v>
      </c>
      <c r="Q171" s="2" t="s">
        <v>576</v>
      </c>
      <c r="R171" s="2"/>
    </row>
    <row r="172" spans="1:18">
      <c r="A172" s="2" t="s">
        <v>577</v>
      </c>
      <c r="B172" s="2" t="s">
        <v>574</v>
      </c>
      <c r="C172" s="2" t="s">
        <v>550</v>
      </c>
      <c r="D172" s="2">
        <v>5634568088.7</v>
      </c>
      <c r="E172" s="2">
        <v>1</v>
      </c>
      <c r="F172" s="3">
        <f>IF(COUNT(D172,E172)=2,D172*E172,NA())</f>
        <v>5634568088.7</v>
      </c>
      <c r="G172" s="2" t="s">
        <v>50</v>
      </c>
      <c r="H172" s="2" t="s">
        <v>51</v>
      </c>
      <c r="I172" s="2" t="s">
        <v>52</v>
      </c>
      <c r="J172" s="2" t="s">
        <v>53</v>
      </c>
      <c r="K172" s="2" t="s">
        <v>396</v>
      </c>
      <c r="L172" s="2" t="s">
        <v>61</v>
      </c>
      <c r="M172" s="2" t="s">
        <v>392</v>
      </c>
      <c r="N172" s="2" t="s">
        <v>62</v>
      </c>
      <c r="O172" s="2" t="s">
        <v>57</v>
      </c>
      <c r="P172" s="2" t="s">
        <v>578</v>
      </c>
      <c r="Q172" s="2" t="s">
        <v>576</v>
      </c>
      <c r="R172" s="2"/>
    </row>
    <row r="173" spans="1:18">
      <c r="A173" s="2" t="s">
        <v>579</v>
      </c>
      <c r="B173" s="2" t="s">
        <v>580</v>
      </c>
      <c r="C173" s="2" t="s">
        <v>550</v>
      </c>
      <c r="D173" s="2">
        <v>727672271.98</v>
      </c>
      <c r="E173" s="2">
        <v>1</v>
      </c>
      <c r="F173" s="3">
        <f>IF(COUNT(D173,E173)=2,D173*E173,NA())</f>
        <v>727672271.98</v>
      </c>
      <c r="G173" s="2" t="s">
        <v>50</v>
      </c>
      <c r="H173" s="2" t="s">
        <v>51</v>
      </c>
      <c r="I173" s="2" t="s">
        <v>52</v>
      </c>
      <c r="J173" s="2" t="s">
        <v>53</v>
      </c>
      <c r="K173" s="2" t="s">
        <v>391</v>
      </c>
      <c r="L173" s="2" t="s">
        <v>54</v>
      </c>
      <c r="M173" s="2" t="s">
        <v>392</v>
      </c>
      <c r="N173" s="2" t="s">
        <v>56</v>
      </c>
      <c r="O173" s="2" t="s">
        <v>57</v>
      </c>
      <c r="P173" s="2" t="s">
        <v>581</v>
      </c>
      <c r="Q173" s="2" t="s">
        <v>582</v>
      </c>
      <c r="R173" s="2"/>
    </row>
    <row r="174" spans="1:18">
      <c r="A174" s="2" t="s">
        <v>583</v>
      </c>
      <c r="B174" s="2" t="s">
        <v>580</v>
      </c>
      <c r="C174" s="2" t="s">
        <v>550</v>
      </c>
      <c r="D174" s="2">
        <v>727313491.15</v>
      </c>
      <c r="E174" s="2">
        <v>1</v>
      </c>
      <c r="F174" s="3">
        <f>IF(COUNT(D174,E174)=2,D174*E174,NA())</f>
        <v>727313491.15</v>
      </c>
      <c r="G174" s="2" t="s">
        <v>50</v>
      </c>
      <c r="H174" s="2" t="s">
        <v>51</v>
      </c>
      <c r="I174" s="2" t="s">
        <v>52</v>
      </c>
      <c r="J174" s="2" t="s">
        <v>53</v>
      </c>
      <c r="K174" s="2" t="s">
        <v>396</v>
      </c>
      <c r="L174" s="2" t="s">
        <v>61</v>
      </c>
      <c r="M174" s="2" t="s">
        <v>392</v>
      </c>
      <c r="N174" s="2" t="s">
        <v>62</v>
      </c>
      <c r="O174" s="2" t="s">
        <v>57</v>
      </c>
      <c r="P174" s="2" t="s">
        <v>584</v>
      </c>
      <c r="Q174" s="2" t="s">
        <v>582</v>
      </c>
      <c r="R174" s="2"/>
    </row>
    <row r="175" spans="1:18">
      <c r="A175" s="2" t="s">
        <v>585</v>
      </c>
      <c r="B175" s="2" t="s">
        <v>586</v>
      </c>
      <c r="C175" s="2" t="s">
        <v>550</v>
      </c>
      <c r="D175" s="2">
        <v>301197217.77</v>
      </c>
      <c r="E175" s="2">
        <v>1</v>
      </c>
      <c r="F175" s="3">
        <f>IF(COUNT(D175,E175)=2,D175*E175,NA())</f>
        <v>301197217.77</v>
      </c>
      <c r="G175" s="2" t="s">
        <v>50</v>
      </c>
      <c r="H175" s="2" t="s">
        <v>51</v>
      </c>
      <c r="I175" s="2" t="s">
        <v>52</v>
      </c>
      <c r="J175" s="2" t="s">
        <v>53</v>
      </c>
      <c r="K175" s="2" t="s">
        <v>391</v>
      </c>
      <c r="L175" s="2" t="s">
        <v>54</v>
      </c>
      <c r="M175" s="2" t="s">
        <v>392</v>
      </c>
      <c r="N175" s="2" t="s">
        <v>56</v>
      </c>
      <c r="O175" s="2" t="s">
        <v>57</v>
      </c>
      <c r="P175" s="2" t="s">
        <v>587</v>
      </c>
      <c r="Q175" s="2" t="s">
        <v>588</v>
      </c>
      <c r="R175" s="2"/>
    </row>
    <row r="176" spans="1:18">
      <c r="A176" s="2" t="s">
        <v>589</v>
      </c>
      <c r="B176" s="2" t="s">
        <v>586</v>
      </c>
      <c r="C176" s="2" t="s">
        <v>550</v>
      </c>
      <c r="D176" s="2">
        <v>274014357.53</v>
      </c>
      <c r="E176" s="2">
        <v>1</v>
      </c>
      <c r="F176" s="3">
        <f>IF(COUNT(D176,E176)=2,D176*E176,NA())</f>
        <v>274014357.53</v>
      </c>
      <c r="G176" s="2" t="s">
        <v>50</v>
      </c>
      <c r="H176" s="2" t="s">
        <v>51</v>
      </c>
      <c r="I176" s="2" t="s">
        <v>52</v>
      </c>
      <c r="J176" s="2" t="s">
        <v>53</v>
      </c>
      <c r="K176" s="2" t="s">
        <v>396</v>
      </c>
      <c r="L176" s="2" t="s">
        <v>61</v>
      </c>
      <c r="M176" s="2" t="s">
        <v>392</v>
      </c>
      <c r="N176" s="2" t="s">
        <v>62</v>
      </c>
      <c r="O176" s="2" t="s">
        <v>57</v>
      </c>
      <c r="P176" s="2" t="s">
        <v>590</v>
      </c>
      <c r="Q176" s="2" t="s">
        <v>588</v>
      </c>
      <c r="R176" s="2"/>
    </row>
    <row r="177" spans="1:18">
      <c r="A177" s="2" t="s">
        <v>591</v>
      </c>
      <c r="B177" s="2" t="s">
        <v>592</v>
      </c>
      <c r="C177" s="2" t="s">
        <v>550</v>
      </c>
      <c r="D177" s="2">
        <v>523173663.02</v>
      </c>
      <c r="E177" s="2">
        <v>1</v>
      </c>
      <c r="F177" s="3">
        <f>IF(COUNT(D177,E177)=2,D177*E177,NA())</f>
        <v>523173663.02</v>
      </c>
      <c r="G177" s="2" t="s">
        <v>50</v>
      </c>
      <c r="H177" s="2" t="s">
        <v>51</v>
      </c>
      <c r="I177" s="2" t="s">
        <v>52</v>
      </c>
      <c r="J177" s="2" t="s">
        <v>53</v>
      </c>
      <c r="K177" s="2" t="s">
        <v>391</v>
      </c>
      <c r="L177" s="2" t="s">
        <v>54</v>
      </c>
      <c r="M177" s="2" t="s">
        <v>392</v>
      </c>
      <c r="N177" s="2" t="s">
        <v>56</v>
      </c>
      <c r="O177" s="2" t="s">
        <v>57</v>
      </c>
      <c r="P177" s="2" t="s">
        <v>593</v>
      </c>
      <c r="Q177" s="2" t="s">
        <v>594</v>
      </c>
      <c r="R177" s="2"/>
    </row>
    <row r="178" spans="1:18">
      <c r="A178" s="2" t="s">
        <v>595</v>
      </c>
      <c r="B178" s="2" t="s">
        <v>592</v>
      </c>
      <c r="C178" s="2" t="s">
        <v>550</v>
      </c>
      <c r="D178" s="2">
        <v>732700899.8200001</v>
      </c>
      <c r="E178" s="2">
        <v>1</v>
      </c>
      <c r="F178" s="3">
        <f>IF(COUNT(D178,E178)=2,D178*E178,NA())</f>
        <v>732700899.82</v>
      </c>
      <c r="G178" s="2" t="s">
        <v>50</v>
      </c>
      <c r="H178" s="2" t="s">
        <v>51</v>
      </c>
      <c r="I178" s="2" t="s">
        <v>52</v>
      </c>
      <c r="J178" s="2" t="s">
        <v>53</v>
      </c>
      <c r="K178" s="2" t="s">
        <v>396</v>
      </c>
      <c r="L178" s="2" t="s">
        <v>61</v>
      </c>
      <c r="M178" s="2" t="s">
        <v>392</v>
      </c>
      <c r="N178" s="2" t="s">
        <v>62</v>
      </c>
      <c r="O178" s="2" t="s">
        <v>57</v>
      </c>
      <c r="P178" s="2" t="s">
        <v>596</v>
      </c>
      <c r="Q178" s="2" t="s">
        <v>594</v>
      </c>
      <c r="R178" s="2"/>
    </row>
    <row r="179" spans="1:18">
      <c r="A179" s="2" t="s">
        <v>597</v>
      </c>
      <c r="B179" s="2" t="s">
        <v>598</v>
      </c>
      <c r="C179" s="2" t="s">
        <v>550</v>
      </c>
      <c r="D179" s="2">
        <v>7123233838.15</v>
      </c>
      <c r="E179" s="2">
        <v>1</v>
      </c>
      <c r="F179" s="3">
        <f>IF(COUNT(D179,E179)=2,D179*E179,NA())</f>
        <v>7123233838.15</v>
      </c>
      <c r="G179" s="2" t="s">
        <v>50</v>
      </c>
      <c r="H179" s="2" t="s">
        <v>51</v>
      </c>
      <c r="I179" s="2" t="s">
        <v>52</v>
      </c>
      <c r="J179" s="2" t="s">
        <v>53</v>
      </c>
      <c r="K179" s="2" t="s">
        <v>391</v>
      </c>
      <c r="L179" s="2" t="s">
        <v>54</v>
      </c>
      <c r="M179" s="2" t="s">
        <v>392</v>
      </c>
      <c r="N179" s="2" t="s">
        <v>56</v>
      </c>
      <c r="O179" s="2" t="s">
        <v>57</v>
      </c>
      <c r="P179" s="2" t="s">
        <v>599</v>
      </c>
      <c r="Q179" s="2" t="s">
        <v>600</v>
      </c>
      <c r="R179" s="2"/>
    </row>
    <row r="180" spans="1:18">
      <c r="A180" s="2" t="s">
        <v>601</v>
      </c>
      <c r="B180" s="2" t="s">
        <v>598</v>
      </c>
      <c r="C180" s="2" t="s">
        <v>550</v>
      </c>
      <c r="D180" s="2">
        <v>7368596837.2</v>
      </c>
      <c r="E180" s="2">
        <v>1</v>
      </c>
      <c r="F180" s="3">
        <f>IF(COUNT(D180,E180)=2,D180*E180,NA())</f>
        <v>7368596837.2</v>
      </c>
      <c r="G180" s="2" t="s">
        <v>50</v>
      </c>
      <c r="H180" s="2" t="s">
        <v>51</v>
      </c>
      <c r="I180" s="2" t="s">
        <v>52</v>
      </c>
      <c r="J180" s="2" t="s">
        <v>53</v>
      </c>
      <c r="K180" s="2" t="s">
        <v>396</v>
      </c>
      <c r="L180" s="2" t="s">
        <v>61</v>
      </c>
      <c r="M180" s="2" t="s">
        <v>392</v>
      </c>
      <c r="N180" s="2" t="s">
        <v>62</v>
      </c>
      <c r="O180" s="2" t="s">
        <v>57</v>
      </c>
      <c r="P180" s="2" t="s">
        <v>602</v>
      </c>
      <c r="Q180" s="2" t="s">
        <v>600</v>
      </c>
      <c r="R180" s="2"/>
    </row>
    <row r="181" spans="1:18">
      <c r="A181" s="2" t="s">
        <v>603</v>
      </c>
      <c r="B181" s="2" t="s">
        <v>604</v>
      </c>
      <c r="C181" s="2" t="s">
        <v>550</v>
      </c>
      <c r="D181" s="2">
        <v>319628020.65</v>
      </c>
      <c r="E181" s="2">
        <v>1</v>
      </c>
      <c r="F181" s="3">
        <f>IF(COUNT(D181,E181)=2,D181*E181,NA())</f>
        <v>319628020.65</v>
      </c>
      <c r="G181" s="2" t="s">
        <v>50</v>
      </c>
      <c r="H181" s="2" t="s">
        <v>51</v>
      </c>
      <c r="I181" s="2" t="s">
        <v>52</v>
      </c>
      <c r="J181" s="2" t="s">
        <v>53</v>
      </c>
      <c r="K181" s="2" t="s">
        <v>391</v>
      </c>
      <c r="L181" s="2" t="s">
        <v>54</v>
      </c>
      <c r="M181" s="2" t="s">
        <v>392</v>
      </c>
      <c r="N181" s="2" t="s">
        <v>56</v>
      </c>
      <c r="O181" s="2" t="s">
        <v>57</v>
      </c>
      <c r="P181" s="2" t="s">
        <v>605</v>
      </c>
      <c r="Q181" s="2" t="s">
        <v>606</v>
      </c>
      <c r="R181" s="2"/>
    </row>
    <row r="182" spans="1:18">
      <c r="A182" s="2" t="s">
        <v>607</v>
      </c>
      <c r="B182" s="2" t="s">
        <v>604</v>
      </c>
      <c r="C182" s="2" t="s">
        <v>550</v>
      </c>
      <c r="D182" s="2">
        <v>315090835.93</v>
      </c>
      <c r="E182" s="2">
        <v>1</v>
      </c>
      <c r="F182" s="3">
        <f>IF(COUNT(D182,E182)=2,D182*E182,NA())</f>
        <v>315090835.93</v>
      </c>
      <c r="G182" s="2" t="s">
        <v>50</v>
      </c>
      <c r="H182" s="2" t="s">
        <v>51</v>
      </c>
      <c r="I182" s="2" t="s">
        <v>52</v>
      </c>
      <c r="J182" s="2" t="s">
        <v>53</v>
      </c>
      <c r="K182" s="2" t="s">
        <v>396</v>
      </c>
      <c r="L182" s="2" t="s">
        <v>61</v>
      </c>
      <c r="M182" s="2" t="s">
        <v>392</v>
      </c>
      <c r="N182" s="2" t="s">
        <v>62</v>
      </c>
      <c r="O182" s="2" t="s">
        <v>57</v>
      </c>
      <c r="P182" s="2" t="s">
        <v>608</v>
      </c>
      <c r="Q182" s="2" t="s">
        <v>606</v>
      </c>
      <c r="R182" s="2"/>
    </row>
    <row r="183" spans="1:18">
      <c r="A183" s="2" t="s">
        <v>609</v>
      </c>
      <c r="B183" s="2" t="s">
        <v>610</v>
      </c>
      <c r="C183" s="2" t="s">
        <v>550</v>
      </c>
      <c r="D183" s="2">
        <v>3979135734.63</v>
      </c>
      <c r="E183" s="2">
        <v>1</v>
      </c>
      <c r="F183" s="3">
        <f>IF(COUNT(D183,E183)=2,D183*E183,NA())</f>
        <v>3979135734.63</v>
      </c>
      <c r="G183" s="2" t="s">
        <v>50</v>
      </c>
      <c r="H183" s="2" t="s">
        <v>51</v>
      </c>
      <c r="I183" s="2" t="s">
        <v>52</v>
      </c>
      <c r="J183" s="2" t="s">
        <v>53</v>
      </c>
      <c r="K183" s="2" t="s">
        <v>391</v>
      </c>
      <c r="L183" s="2" t="s">
        <v>54</v>
      </c>
      <c r="M183" s="2" t="s">
        <v>392</v>
      </c>
      <c r="N183" s="2" t="s">
        <v>56</v>
      </c>
      <c r="O183" s="2" t="s">
        <v>57</v>
      </c>
      <c r="P183" s="2" t="s">
        <v>611</v>
      </c>
      <c r="Q183" s="2" t="s">
        <v>612</v>
      </c>
      <c r="R183" s="2"/>
    </row>
    <row r="184" spans="1:18">
      <c r="A184" s="2" t="s">
        <v>613</v>
      </c>
      <c r="B184" s="2" t="s">
        <v>610</v>
      </c>
      <c r="C184" s="2" t="s">
        <v>550</v>
      </c>
      <c r="D184" s="2">
        <v>5357059183.41</v>
      </c>
      <c r="E184" s="2">
        <v>1</v>
      </c>
      <c r="F184" s="3">
        <f>IF(COUNT(D184,E184)=2,D184*E184,NA())</f>
        <v>5357059183.41</v>
      </c>
      <c r="G184" s="2" t="s">
        <v>50</v>
      </c>
      <c r="H184" s="2" t="s">
        <v>51</v>
      </c>
      <c r="I184" s="2" t="s">
        <v>52</v>
      </c>
      <c r="J184" s="2" t="s">
        <v>53</v>
      </c>
      <c r="K184" s="2" t="s">
        <v>396</v>
      </c>
      <c r="L184" s="2" t="s">
        <v>61</v>
      </c>
      <c r="M184" s="2" t="s">
        <v>392</v>
      </c>
      <c r="N184" s="2" t="s">
        <v>62</v>
      </c>
      <c r="O184" s="2" t="s">
        <v>57</v>
      </c>
      <c r="P184" s="2" t="s">
        <v>614</v>
      </c>
      <c r="Q184" s="2" t="s">
        <v>612</v>
      </c>
      <c r="R184" s="2"/>
    </row>
    <row r="185" spans="1:18">
      <c r="A185" s="2" t="s">
        <v>615</v>
      </c>
      <c r="B185" s="2" t="s">
        <v>616</v>
      </c>
      <c r="C185" s="2" t="s">
        <v>550</v>
      </c>
      <c r="D185" s="2">
        <v>14353150.35</v>
      </c>
      <c r="E185" s="2">
        <v>1</v>
      </c>
      <c r="F185" s="3">
        <f>IF(COUNT(D185,E185)=2,D185*E185,NA())</f>
        <v>14353150.35</v>
      </c>
      <c r="G185" s="2" t="s">
        <v>50</v>
      </c>
      <c r="H185" s="2" t="s">
        <v>51</v>
      </c>
      <c r="I185" s="2" t="s">
        <v>52</v>
      </c>
      <c r="J185" s="2" t="s">
        <v>53</v>
      </c>
      <c r="K185" s="2" t="s">
        <v>391</v>
      </c>
      <c r="L185" s="2" t="s">
        <v>54</v>
      </c>
      <c r="M185" s="2" t="s">
        <v>392</v>
      </c>
      <c r="N185" s="2" t="s">
        <v>56</v>
      </c>
      <c r="O185" s="2" t="s">
        <v>57</v>
      </c>
      <c r="P185" s="2" t="s">
        <v>617</v>
      </c>
      <c r="Q185" s="2" t="s">
        <v>618</v>
      </c>
      <c r="R185" s="2"/>
    </row>
    <row r="186" spans="1:18">
      <c r="A186" s="2" t="s">
        <v>619</v>
      </c>
      <c r="B186" s="2" t="s">
        <v>616</v>
      </c>
      <c r="C186" s="2" t="s">
        <v>550</v>
      </c>
      <c r="D186" s="2">
        <v>41987029.42</v>
      </c>
      <c r="E186" s="2">
        <v>1</v>
      </c>
      <c r="F186" s="3">
        <f>IF(COUNT(D186,E186)=2,D186*E186,NA())</f>
        <v>41987029.42</v>
      </c>
      <c r="G186" s="2" t="s">
        <v>50</v>
      </c>
      <c r="H186" s="2" t="s">
        <v>51</v>
      </c>
      <c r="I186" s="2" t="s">
        <v>52</v>
      </c>
      <c r="J186" s="2" t="s">
        <v>53</v>
      </c>
      <c r="K186" s="2" t="s">
        <v>396</v>
      </c>
      <c r="L186" s="2" t="s">
        <v>61</v>
      </c>
      <c r="M186" s="2" t="s">
        <v>392</v>
      </c>
      <c r="N186" s="2" t="s">
        <v>62</v>
      </c>
      <c r="O186" s="2" t="s">
        <v>57</v>
      </c>
      <c r="P186" s="2" t="s">
        <v>620</v>
      </c>
      <c r="Q186" s="2" t="s">
        <v>618</v>
      </c>
      <c r="R186" s="2"/>
    </row>
    <row r="187" spans="1:18">
      <c r="A187" s="2" t="s">
        <v>621</v>
      </c>
      <c r="B187" s="2" t="s">
        <v>622</v>
      </c>
      <c r="C187" s="2" t="s">
        <v>550</v>
      </c>
      <c r="D187" s="2">
        <v>7555466.72</v>
      </c>
      <c r="E187" s="2">
        <v>1</v>
      </c>
      <c r="F187" s="3">
        <f>IF(COUNT(D187,E187)=2,D187*E187,NA())</f>
        <v>7555466.72</v>
      </c>
      <c r="G187" s="2" t="s">
        <v>50</v>
      </c>
      <c r="H187" s="2" t="s">
        <v>51</v>
      </c>
      <c r="I187" s="2" t="s">
        <v>52</v>
      </c>
      <c r="J187" s="2" t="s">
        <v>53</v>
      </c>
      <c r="K187" s="2" t="s">
        <v>391</v>
      </c>
      <c r="L187" s="2" t="s">
        <v>54</v>
      </c>
      <c r="M187" s="2" t="s">
        <v>392</v>
      </c>
      <c r="N187" s="2" t="s">
        <v>56</v>
      </c>
      <c r="O187" s="2" t="s">
        <v>57</v>
      </c>
      <c r="P187" s="2" t="s">
        <v>623</v>
      </c>
      <c r="Q187" s="2" t="s">
        <v>624</v>
      </c>
      <c r="R187" s="2"/>
    </row>
    <row r="188" spans="1:18">
      <c r="A188" s="2" t="s">
        <v>625</v>
      </c>
      <c r="B188" s="2" t="s">
        <v>622</v>
      </c>
      <c r="C188" s="2" t="s">
        <v>550</v>
      </c>
      <c r="D188" s="2">
        <v>2212154.3</v>
      </c>
      <c r="E188" s="2">
        <v>1</v>
      </c>
      <c r="F188" s="3">
        <f>IF(COUNT(D188,E188)=2,D188*E188,NA())</f>
        <v>2212154.3</v>
      </c>
      <c r="G188" s="2" t="s">
        <v>50</v>
      </c>
      <c r="H188" s="2" t="s">
        <v>51</v>
      </c>
      <c r="I188" s="2" t="s">
        <v>52</v>
      </c>
      <c r="J188" s="2" t="s">
        <v>53</v>
      </c>
      <c r="K188" s="2" t="s">
        <v>396</v>
      </c>
      <c r="L188" s="2" t="s">
        <v>61</v>
      </c>
      <c r="M188" s="2" t="s">
        <v>392</v>
      </c>
      <c r="N188" s="2" t="s">
        <v>62</v>
      </c>
      <c r="O188" s="2" t="s">
        <v>57</v>
      </c>
      <c r="P188" s="2" t="s">
        <v>626</v>
      </c>
      <c r="Q188" s="2" t="s">
        <v>624</v>
      </c>
      <c r="R188" s="2"/>
    </row>
    <row r="189" spans="1:18">
      <c r="A189" s="2" t="s">
        <v>627</v>
      </c>
      <c r="B189" s="2" t="s">
        <v>628</v>
      </c>
      <c r="C189" s="2" t="s">
        <v>550</v>
      </c>
      <c r="D189" s="2">
        <v>-3607705.77</v>
      </c>
      <c r="E189" s="2">
        <v>1</v>
      </c>
      <c r="F189" s="3">
        <f>IF(COUNT(D189,E189)=2,D189*E189,NA())</f>
        <v>-3607705.77</v>
      </c>
      <c r="G189" s="2" t="s">
        <v>50</v>
      </c>
      <c r="H189" s="2" t="s">
        <v>51</v>
      </c>
      <c r="I189" s="2" t="s">
        <v>52</v>
      </c>
      <c r="J189" s="2" t="s">
        <v>53</v>
      </c>
      <c r="K189" s="2" t="s">
        <v>396</v>
      </c>
      <c r="L189" s="2" t="s">
        <v>61</v>
      </c>
      <c r="M189" s="2" t="s">
        <v>392</v>
      </c>
      <c r="N189" s="2" t="s">
        <v>62</v>
      </c>
      <c r="O189" s="2" t="s">
        <v>57</v>
      </c>
      <c r="P189" s="2" t="s">
        <v>629</v>
      </c>
      <c r="Q189" s="2" t="s">
        <v>630</v>
      </c>
      <c r="R189" s="2"/>
    </row>
    <row r="190" spans="1:18">
      <c r="A190" s="2" t="s">
        <v>631</v>
      </c>
      <c r="B190" s="2" t="s">
        <v>632</v>
      </c>
      <c r="C190" s="2" t="s">
        <v>550</v>
      </c>
      <c r="D190" s="2">
        <v>159651643.42</v>
      </c>
      <c r="E190" s="2">
        <v>1</v>
      </c>
      <c r="F190" s="3">
        <f>IF(COUNT(D190,E190)=2,D190*E190,NA())</f>
        <v>159651643.42</v>
      </c>
      <c r="G190" s="2" t="s">
        <v>50</v>
      </c>
      <c r="H190" s="2" t="s">
        <v>51</v>
      </c>
      <c r="I190" s="2" t="s">
        <v>52</v>
      </c>
      <c r="J190" s="2" t="s">
        <v>53</v>
      </c>
      <c r="K190" s="2" t="s">
        <v>391</v>
      </c>
      <c r="L190" s="2" t="s">
        <v>54</v>
      </c>
      <c r="M190" s="2" t="s">
        <v>392</v>
      </c>
      <c r="N190" s="2" t="s">
        <v>56</v>
      </c>
      <c r="O190" s="2" t="s">
        <v>57</v>
      </c>
      <c r="P190" s="2" t="s">
        <v>633</v>
      </c>
      <c r="Q190" s="2" t="s">
        <v>634</v>
      </c>
      <c r="R190" s="2"/>
    </row>
    <row r="191" spans="1:18">
      <c r="A191" s="2" t="s">
        <v>635</v>
      </c>
      <c r="B191" s="2" t="s">
        <v>632</v>
      </c>
      <c r="C191" s="2" t="s">
        <v>550</v>
      </c>
      <c r="D191" s="2">
        <v>4011645.17</v>
      </c>
      <c r="E191" s="2">
        <v>1</v>
      </c>
      <c r="F191" s="3">
        <f>IF(COUNT(D191,E191)=2,D191*E191,NA())</f>
        <v>4011645.17</v>
      </c>
      <c r="G191" s="2" t="s">
        <v>50</v>
      </c>
      <c r="H191" s="2" t="s">
        <v>51</v>
      </c>
      <c r="I191" s="2" t="s">
        <v>52</v>
      </c>
      <c r="J191" s="2" t="s">
        <v>53</v>
      </c>
      <c r="K191" s="2" t="s">
        <v>396</v>
      </c>
      <c r="L191" s="2" t="s">
        <v>61</v>
      </c>
      <c r="M191" s="2" t="s">
        <v>392</v>
      </c>
      <c r="N191" s="2" t="s">
        <v>62</v>
      </c>
      <c r="O191" s="2" t="s">
        <v>57</v>
      </c>
      <c r="P191" s="2" t="s">
        <v>636</v>
      </c>
      <c r="Q191" s="2" t="s">
        <v>634</v>
      </c>
      <c r="R191" s="2"/>
    </row>
    <row r="192" spans="1:18">
      <c r="A192" s="2" t="s">
        <v>637</v>
      </c>
      <c r="B192" s="2" t="s">
        <v>638</v>
      </c>
      <c r="C192" s="2" t="s">
        <v>550</v>
      </c>
      <c r="D192" s="2">
        <v>4157088289.35</v>
      </c>
      <c r="E192" s="2">
        <v>1</v>
      </c>
      <c r="F192" s="3">
        <f>IF(COUNT(D192,E192)=2,D192*E192,NA())</f>
        <v>4157088289.35</v>
      </c>
      <c r="G192" s="2" t="s">
        <v>50</v>
      </c>
      <c r="H192" s="2" t="s">
        <v>51</v>
      </c>
      <c r="I192" s="2" t="s">
        <v>52</v>
      </c>
      <c r="J192" s="2" t="s">
        <v>53</v>
      </c>
      <c r="K192" s="2" t="s">
        <v>391</v>
      </c>
      <c r="L192" s="2" t="s">
        <v>54</v>
      </c>
      <c r="M192" s="2" t="s">
        <v>392</v>
      </c>
      <c r="N192" s="2" t="s">
        <v>56</v>
      </c>
      <c r="O192" s="2" t="s">
        <v>57</v>
      </c>
      <c r="P192" s="2" t="s">
        <v>639</v>
      </c>
      <c r="Q192" s="2" t="s">
        <v>640</v>
      </c>
      <c r="R192" s="2"/>
    </row>
    <row r="193" spans="1:18">
      <c r="A193" s="2" t="s">
        <v>641</v>
      </c>
      <c r="B193" s="2" t="s">
        <v>638</v>
      </c>
      <c r="C193" s="2" t="s">
        <v>550</v>
      </c>
      <c r="D193" s="2">
        <v>5405270012.3</v>
      </c>
      <c r="E193" s="2">
        <v>1</v>
      </c>
      <c r="F193" s="3">
        <f>IF(COUNT(D193,E193)=2,D193*E193,NA())</f>
        <v>5405270012.3</v>
      </c>
      <c r="G193" s="2" t="s">
        <v>50</v>
      </c>
      <c r="H193" s="2" t="s">
        <v>51</v>
      </c>
      <c r="I193" s="2" t="s">
        <v>52</v>
      </c>
      <c r="J193" s="2" t="s">
        <v>53</v>
      </c>
      <c r="K193" s="2" t="s">
        <v>396</v>
      </c>
      <c r="L193" s="2" t="s">
        <v>61</v>
      </c>
      <c r="M193" s="2" t="s">
        <v>392</v>
      </c>
      <c r="N193" s="2" t="s">
        <v>62</v>
      </c>
      <c r="O193" s="2" t="s">
        <v>57</v>
      </c>
      <c r="P193" s="2" t="s">
        <v>642</v>
      </c>
      <c r="Q193" s="2" t="s">
        <v>640</v>
      </c>
      <c r="R193" s="2"/>
    </row>
    <row r="194" spans="1:18">
      <c r="A194" s="2" t="s">
        <v>643</v>
      </c>
      <c r="B194" s="2" t="s">
        <v>644</v>
      </c>
      <c r="C194" s="2" t="s">
        <v>550</v>
      </c>
      <c r="D194" s="2">
        <v>172502372.71</v>
      </c>
      <c r="E194" s="2">
        <v>1</v>
      </c>
      <c r="F194" s="3">
        <f>IF(COUNT(D194,E194)=2,D194*E194,NA())</f>
        <v>172502372.71</v>
      </c>
      <c r="G194" s="2" t="s">
        <v>50</v>
      </c>
      <c r="H194" s="2" t="s">
        <v>51</v>
      </c>
      <c r="I194" s="2" t="s">
        <v>52</v>
      </c>
      <c r="J194" s="2" t="s">
        <v>53</v>
      </c>
      <c r="K194" s="2" t="s">
        <v>391</v>
      </c>
      <c r="L194" s="2" t="s">
        <v>54</v>
      </c>
      <c r="M194" s="2" t="s">
        <v>392</v>
      </c>
      <c r="N194" s="2" t="s">
        <v>56</v>
      </c>
      <c r="O194" s="2" t="s">
        <v>57</v>
      </c>
      <c r="P194" s="2" t="s">
        <v>645</v>
      </c>
      <c r="Q194" s="2" t="s">
        <v>646</v>
      </c>
      <c r="R194" s="2"/>
    </row>
    <row r="195" spans="1:18">
      <c r="A195" s="2" t="s">
        <v>647</v>
      </c>
      <c r="B195" s="2" t="s">
        <v>644</v>
      </c>
      <c r="C195" s="2" t="s">
        <v>550</v>
      </c>
      <c r="D195" s="2">
        <v>251676662.29</v>
      </c>
      <c r="E195" s="2">
        <v>1</v>
      </c>
      <c r="F195" s="3">
        <f>IF(COUNT(D195,E195)=2,D195*E195,NA())</f>
        <v>251676662.29</v>
      </c>
      <c r="G195" s="2" t="s">
        <v>50</v>
      </c>
      <c r="H195" s="2" t="s">
        <v>51</v>
      </c>
      <c r="I195" s="2" t="s">
        <v>52</v>
      </c>
      <c r="J195" s="2" t="s">
        <v>53</v>
      </c>
      <c r="K195" s="2" t="s">
        <v>396</v>
      </c>
      <c r="L195" s="2" t="s">
        <v>61</v>
      </c>
      <c r="M195" s="2" t="s">
        <v>392</v>
      </c>
      <c r="N195" s="2" t="s">
        <v>62</v>
      </c>
      <c r="O195" s="2" t="s">
        <v>57</v>
      </c>
      <c r="P195" s="2" t="s">
        <v>648</v>
      </c>
      <c r="Q195" s="2" t="s">
        <v>646</v>
      </c>
      <c r="R195" s="2"/>
    </row>
    <row r="196" spans="1:18">
      <c r="A196" s="2" t="s">
        <v>649</v>
      </c>
      <c r="B196" s="2" t="s">
        <v>650</v>
      </c>
      <c r="C196" s="2" t="s">
        <v>550</v>
      </c>
      <c r="D196" s="2">
        <v>4220633627.5</v>
      </c>
      <c r="E196" s="2">
        <v>1</v>
      </c>
      <c r="F196" s="3">
        <f>IF(COUNT(D196,E196)=2,D196*E196,NA())</f>
        <v>4220633627.5</v>
      </c>
      <c r="G196" s="2" t="s">
        <v>50</v>
      </c>
      <c r="H196" s="2" t="s">
        <v>51</v>
      </c>
      <c r="I196" s="2" t="s">
        <v>52</v>
      </c>
      <c r="J196" s="2" t="s">
        <v>53</v>
      </c>
      <c r="K196" s="2" t="s">
        <v>391</v>
      </c>
      <c r="L196" s="2" t="s">
        <v>54</v>
      </c>
      <c r="M196" s="2" t="s">
        <v>392</v>
      </c>
      <c r="N196" s="2" t="s">
        <v>56</v>
      </c>
      <c r="O196" s="2" t="s">
        <v>57</v>
      </c>
      <c r="P196" s="2" t="s">
        <v>651</v>
      </c>
      <c r="Q196" s="2" t="s">
        <v>652</v>
      </c>
      <c r="R196" s="2"/>
    </row>
    <row r="197" spans="1:18">
      <c r="A197" s="2" t="s">
        <v>653</v>
      </c>
      <c r="B197" s="2" t="s">
        <v>650</v>
      </c>
      <c r="C197" s="2" t="s">
        <v>550</v>
      </c>
      <c r="D197" s="2">
        <v>4152800867.05</v>
      </c>
      <c r="E197" s="2">
        <v>1</v>
      </c>
      <c r="F197" s="3">
        <f>IF(COUNT(D197,E197)=2,D197*E197,NA())</f>
        <v>4152800867.05</v>
      </c>
      <c r="G197" s="2" t="s">
        <v>50</v>
      </c>
      <c r="H197" s="2" t="s">
        <v>51</v>
      </c>
      <c r="I197" s="2" t="s">
        <v>52</v>
      </c>
      <c r="J197" s="2" t="s">
        <v>53</v>
      </c>
      <c r="K197" s="2" t="s">
        <v>396</v>
      </c>
      <c r="L197" s="2" t="s">
        <v>61</v>
      </c>
      <c r="M197" s="2" t="s">
        <v>392</v>
      </c>
      <c r="N197" s="2" t="s">
        <v>62</v>
      </c>
      <c r="O197" s="2" t="s">
        <v>57</v>
      </c>
      <c r="P197" s="2" t="s">
        <v>654</v>
      </c>
      <c r="Q197" s="2" t="s">
        <v>652</v>
      </c>
      <c r="R197" s="2"/>
    </row>
    <row r="198" spans="1:18">
      <c r="A198" s="2" t="s">
        <v>655</v>
      </c>
      <c r="B198" s="2" t="s">
        <v>656</v>
      </c>
      <c r="C198" s="2" t="s">
        <v>550</v>
      </c>
      <c r="D198" s="2">
        <v>82000000</v>
      </c>
      <c r="E198" s="2">
        <v>1</v>
      </c>
      <c r="F198" s="3">
        <f>IF(COUNT(D198,E198)=2,D198*E198,NA())</f>
        <v>82000000.0</v>
      </c>
      <c r="G198" s="2" t="s">
        <v>50</v>
      </c>
      <c r="H198" s="2" t="s">
        <v>51</v>
      </c>
      <c r="I198" s="2" t="s">
        <v>52</v>
      </c>
      <c r="J198" s="2" t="s">
        <v>53</v>
      </c>
      <c r="K198" s="2" t="s">
        <v>391</v>
      </c>
      <c r="L198" s="2" t="s">
        <v>54</v>
      </c>
      <c r="M198" s="2" t="s">
        <v>392</v>
      </c>
      <c r="N198" s="2" t="s">
        <v>56</v>
      </c>
      <c r="O198" s="2" t="s">
        <v>57</v>
      </c>
      <c r="P198" s="2" t="s">
        <v>657</v>
      </c>
      <c r="Q198" s="2" t="s">
        <v>658</v>
      </c>
      <c r="R198" s="2"/>
    </row>
    <row r="199" spans="1:18">
      <c r="A199" s="2" t="s">
        <v>659</v>
      </c>
      <c r="B199" s="2" t="s">
        <v>656</v>
      </c>
      <c r="C199" s="2" t="s">
        <v>550</v>
      </c>
      <c r="D199" s="2">
        <v>10000</v>
      </c>
      <c r="E199" s="2">
        <v>1</v>
      </c>
      <c r="F199" s="3">
        <f>IF(COUNT(D199,E199)=2,D199*E199,NA())</f>
        <v>10000.0</v>
      </c>
      <c r="G199" s="2" t="s">
        <v>50</v>
      </c>
      <c r="H199" s="2" t="s">
        <v>51</v>
      </c>
      <c r="I199" s="2" t="s">
        <v>52</v>
      </c>
      <c r="J199" s="2" t="s">
        <v>53</v>
      </c>
      <c r="K199" s="2" t="s">
        <v>396</v>
      </c>
      <c r="L199" s="2" t="s">
        <v>61</v>
      </c>
      <c r="M199" s="2" t="s">
        <v>392</v>
      </c>
      <c r="N199" s="2" t="s">
        <v>62</v>
      </c>
      <c r="O199" s="2" t="s">
        <v>57</v>
      </c>
      <c r="P199" s="2" t="s">
        <v>660</v>
      </c>
      <c r="Q199" s="2" t="s">
        <v>658</v>
      </c>
      <c r="R199" s="2"/>
    </row>
    <row r="200" spans="1:18">
      <c r="A200" s="2" t="s">
        <v>661</v>
      </c>
      <c r="B200" s="2" t="s">
        <v>662</v>
      </c>
      <c r="C200" s="2" t="s">
        <v>550</v>
      </c>
      <c r="D200" s="2">
        <v>115259825.2</v>
      </c>
      <c r="E200" s="2">
        <v>1</v>
      </c>
      <c r="F200" s="3">
        <f>IF(COUNT(D200,E200)=2,D200*E200,NA())</f>
        <v>115259825.2</v>
      </c>
      <c r="G200" s="2" t="s">
        <v>50</v>
      </c>
      <c r="H200" s="2" t="s">
        <v>51</v>
      </c>
      <c r="I200" s="2" t="s">
        <v>52</v>
      </c>
      <c r="J200" s="2" t="s">
        <v>53</v>
      </c>
      <c r="K200" s="2" t="s">
        <v>391</v>
      </c>
      <c r="L200" s="2" t="s">
        <v>54</v>
      </c>
      <c r="M200" s="2" t="s">
        <v>392</v>
      </c>
      <c r="N200" s="2" t="s">
        <v>56</v>
      </c>
      <c r="O200" s="2" t="s">
        <v>57</v>
      </c>
      <c r="P200" s="2" t="s">
        <v>663</v>
      </c>
      <c r="Q200" s="2" t="s">
        <v>664</v>
      </c>
      <c r="R200" s="2"/>
    </row>
    <row r="201" spans="1:18">
      <c r="A201" s="2" t="s">
        <v>665</v>
      </c>
      <c r="B201" s="2" t="s">
        <v>662</v>
      </c>
      <c r="C201" s="2" t="s">
        <v>550</v>
      </c>
      <c r="D201" s="2">
        <v>87504678.53</v>
      </c>
      <c r="E201" s="2">
        <v>1</v>
      </c>
      <c r="F201" s="3">
        <f>IF(COUNT(D201,E201)=2,D201*E201,NA())</f>
        <v>87504678.53</v>
      </c>
      <c r="G201" s="2" t="s">
        <v>50</v>
      </c>
      <c r="H201" s="2" t="s">
        <v>51</v>
      </c>
      <c r="I201" s="2" t="s">
        <v>52</v>
      </c>
      <c r="J201" s="2" t="s">
        <v>53</v>
      </c>
      <c r="K201" s="2" t="s">
        <v>396</v>
      </c>
      <c r="L201" s="2" t="s">
        <v>61</v>
      </c>
      <c r="M201" s="2" t="s">
        <v>392</v>
      </c>
      <c r="N201" s="2" t="s">
        <v>62</v>
      </c>
      <c r="O201" s="2" t="s">
        <v>57</v>
      </c>
      <c r="P201" s="2" t="s">
        <v>666</v>
      </c>
      <c r="Q201" s="2" t="s">
        <v>664</v>
      </c>
      <c r="R201" s="2"/>
    </row>
    <row r="202" spans="1:18">
      <c r="A202" s="2" t="s">
        <v>667</v>
      </c>
      <c r="B202" s="2" t="s">
        <v>668</v>
      </c>
      <c r="C202" s="2" t="s">
        <v>550</v>
      </c>
      <c r="D202" s="2">
        <v>4590395825.41</v>
      </c>
      <c r="E202" s="2">
        <v>1</v>
      </c>
      <c r="F202" s="3">
        <f>IF(COUNT(D202,E202)=2,D202*E202,NA())</f>
        <v>4590395825.41</v>
      </c>
      <c r="G202" s="2" t="s">
        <v>50</v>
      </c>
      <c r="H202" s="2" t="s">
        <v>51</v>
      </c>
      <c r="I202" s="2" t="s">
        <v>52</v>
      </c>
      <c r="J202" s="2" t="s">
        <v>53</v>
      </c>
      <c r="K202" s="2" t="s">
        <v>391</v>
      </c>
      <c r="L202" s="2" t="s">
        <v>54</v>
      </c>
      <c r="M202" s="2" t="s">
        <v>392</v>
      </c>
      <c r="N202" s="2" t="s">
        <v>56</v>
      </c>
      <c r="O202" s="2" t="s">
        <v>57</v>
      </c>
      <c r="P202" s="2" t="s">
        <v>669</v>
      </c>
      <c r="Q202" s="2" t="s">
        <v>670</v>
      </c>
      <c r="R202" s="2"/>
    </row>
    <row r="203" spans="1:18">
      <c r="A203" s="2" t="s">
        <v>671</v>
      </c>
      <c r="B203" s="2" t="s">
        <v>668</v>
      </c>
      <c r="C203" s="2" t="s">
        <v>550</v>
      </c>
      <c r="D203" s="2">
        <v>4491992207.87</v>
      </c>
      <c r="E203" s="2">
        <v>1</v>
      </c>
      <c r="F203" s="3">
        <f>IF(COUNT(D203,E203)=2,D203*E203,NA())</f>
        <v>4491992207.87</v>
      </c>
      <c r="G203" s="2" t="s">
        <v>50</v>
      </c>
      <c r="H203" s="2" t="s">
        <v>51</v>
      </c>
      <c r="I203" s="2" t="s">
        <v>52</v>
      </c>
      <c r="J203" s="2" t="s">
        <v>53</v>
      </c>
      <c r="K203" s="2" t="s">
        <v>396</v>
      </c>
      <c r="L203" s="2" t="s">
        <v>61</v>
      </c>
      <c r="M203" s="2" t="s">
        <v>392</v>
      </c>
      <c r="N203" s="2" t="s">
        <v>62</v>
      </c>
      <c r="O203" s="2" t="s">
        <v>57</v>
      </c>
      <c r="P203" s="2" t="s">
        <v>672</v>
      </c>
      <c r="Q203" s="2" t="s">
        <v>670</v>
      </c>
      <c r="R203" s="2"/>
    </row>
    <row r="204" spans="1:18">
      <c r="A204" s="2" t="s">
        <v>673</v>
      </c>
      <c r="B204" s="2" t="s">
        <v>674</v>
      </c>
      <c r="C204" s="2" t="s">
        <v>550</v>
      </c>
      <c r="D204" s="2">
        <v>-433307536.06</v>
      </c>
      <c r="E204" s="2">
        <v>1</v>
      </c>
      <c r="F204" s="3">
        <f>IF(COUNT(D204,E204)=2,D204*E204,NA())</f>
        <v>-433307536.06</v>
      </c>
      <c r="G204" s="2" t="s">
        <v>50</v>
      </c>
      <c r="H204" s="2" t="s">
        <v>51</v>
      </c>
      <c r="I204" s="2" t="s">
        <v>52</v>
      </c>
      <c r="J204" s="2" t="s">
        <v>53</v>
      </c>
      <c r="K204" s="2" t="s">
        <v>391</v>
      </c>
      <c r="L204" s="2" t="s">
        <v>54</v>
      </c>
      <c r="M204" s="2" t="s">
        <v>392</v>
      </c>
      <c r="N204" s="2" t="s">
        <v>56</v>
      </c>
      <c r="O204" s="2" t="s">
        <v>57</v>
      </c>
      <c r="P204" s="2" t="s">
        <v>675</v>
      </c>
      <c r="Q204" s="2" t="s">
        <v>676</v>
      </c>
      <c r="R204" s="2"/>
    </row>
    <row r="205" spans="1:18">
      <c r="A205" s="2" t="s">
        <v>677</v>
      </c>
      <c r="B205" s="2" t="s">
        <v>674</v>
      </c>
      <c r="C205" s="2" t="s">
        <v>550</v>
      </c>
      <c r="D205" s="2">
        <v>913277804.4299999</v>
      </c>
      <c r="E205" s="2">
        <v>1</v>
      </c>
      <c r="F205" s="3">
        <f>IF(COUNT(D205,E205)=2,D205*E205,NA())</f>
        <v>913277804.43</v>
      </c>
      <c r="G205" s="2" t="s">
        <v>50</v>
      </c>
      <c r="H205" s="2" t="s">
        <v>51</v>
      </c>
      <c r="I205" s="2" t="s">
        <v>52</v>
      </c>
      <c r="J205" s="2" t="s">
        <v>53</v>
      </c>
      <c r="K205" s="2" t="s">
        <v>396</v>
      </c>
      <c r="L205" s="2" t="s">
        <v>61</v>
      </c>
      <c r="M205" s="2" t="s">
        <v>392</v>
      </c>
      <c r="N205" s="2" t="s">
        <v>62</v>
      </c>
      <c r="O205" s="2" t="s">
        <v>57</v>
      </c>
      <c r="P205" s="2" t="s">
        <v>678</v>
      </c>
      <c r="Q205" s="2" t="s">
        <v>676</v>
      </c>
      <c r="R205" s="2"/>
    </row>
    <row r="206" spans="1:18">
      <c r="A206" s="2" t="s">
        <v>679</v>
      </c>
      <c r="B206" s="2" t="s">
        <v>680</v>
      </c>
      <c r="C206" s="2" t="s">
        <v>550</v>
      </c>
      <c r="D206" s="2">
        <v>3400000</v>
      </c>
      <c r="E206" s="2">
        <v>1</v>
      </c>
      <c r="F206" s="3">
        <f>IF(COUNT(D206,E206)=2,D206*E206,NA())</f>
        <v>3400000.0</v>
      </c>
      <c r="G206" s="2" t="s">
        <v>50</v>
      </c>
      <c r="H206" s="2" t="s">
        <v>51</v>
      </c>
      <c r="I206" s="2" t="s">
        <v>52</v>
      </c>
      <c r="J206" s="2" t="s">
        <v>53</v>
      </c>
      <c r="K206" s="2" t="s">
        <v>391</v>
      </c>
      <c r="L206" s="2" t="s">
        <v>54</v>
      </c>
      <c r="M206" s="2" t="s">
        <v>392</v>
      </c>
      <c r="N206" s="2" t="s">
        <v>56</v>
      </c>
      <c r="O206" s="2" t="s">
        <v>57</v>
      </c>
      <c r="P206" s="2" t="s">
        <v>681</v>
      </c>
      <c r="Q206" s="2" t="s">
        <v>682</v>
      </c>
      <c r="R206" s="2"/>
    </row>
    <row r="207" spans="1:18">
      <c r="A207" s="2" t="s">
        <v>683</v>
      </c>
      <c r="B207" s="2" t="s">
        <v>680</v>
      </c>
      <c r="C207" s="2" t="s">
        <v>550</v>
      </c>
      <c r="D207" s="2">
        <v>15490000</v>
      </c>
      <c r="E207" s="2">
        <v>1</v>
      </c>
      <c r="F207" s="3">
        <f>IF(COUNT(D207,E207)=2,D207*E207,NA())</f>
        <v>15490000.0</v>
      </c>
      <c r="G207" s="2" t="s">
        <v>50</v>
      </c>
      <c r="H207" s="2" t="s">
        <v>51</v>
      </c>
      <c r="I207" s="2" t="s">
        <v>52</v>
      </c>
      <c r="J207" s="2" t="s">
        <v>53</v>
      </c>
      <c r="K207" s="2" t="s">
        <v>396</v>
      </c>
      <c r="L207" s="2" t="s">
        <v>61</v>
      </c>
      <c r="M207" s="2" t="s">
        <v>392</v>
      </c>
      <c r="N207" s="2" t="s">
        <v>62</v>
      </c>
      <c r="O207" s="2" t="s">
        <v>57</v>
      </c>
      <c r="P207" s="2" t="s">
        <v>684</v>
      </c>
      <c r="Q207" s="2" t="s">
        <v>682</v>
      </c>
      <c r="R207" s="2"/>
    </row>
    <row r="208" spans="1:18">
      <c r="A208" s="2" t="s">
        <v>685</v>
      </c>
      <c r="B208" s="2" t="s">
        <v>686</v>
      </c>
      <c r="C208" s="2" t="s">
        <v>550</v>
      </c>
      <c r="D208" s="2">
        <v>667504481.87</v>
      </c>
      <c r="E208" s="2">
        <v>1</v>
      </c>
      <c r="F208" s="3">
        <f>IF(COUNT(D208,E208)=2,D208*E208,NA())</f>
        <v>667504481.87</v>
      </c>
      <c r="G208" s="2" t="s">
        <v>50</v>
      </c>
      <c r="H208" s="2" t="s">
        <v>51</v>
      </c>
      <c r="I208" s="2" t="s">
        <v>52</v>
      </c>
      <c r="J208" s="2" t="s">
        <v>53</v>
      </c>
      <c r="K208" s="2" t="s">
        <v>391</v>
      </c>
      <c r="L208" s="2" t="s">
        <v>54</v>
      </c>
      <c r="M208" s="2" t="s">
        <v>392</v>
      </c>
      <c r="N208" s="2" t="s">
        <v>56</v>
      </c>
      <c r="O208" s="2" t="s">
        <v>57</v>
      </c>
      <c r="P208" s="2" t="s">
        <v>687</v>
      </c>
      <c r="Q208" s="2" t="s">
        <v>688</v>
      </c>
      <c r="R208" s="2"/>
    </row>
    <row r="209" spans="1:18">
      <c r="A209" s="2" t="s">
        <v>689</v>
      </c>
      <c r="B209" s="2" t="s">
        <v>686</v>
      </c>
      <c r="C209" s="2" t="s">
        <v>550</v>
      </c>
      <c r="D209" s="2">
        <v>1052547308.66</v>
      </c>
      <c r="E209" s="2">
        <v>1</v>
      </c>
      <c r="F209" s="3">
        <f>IF(COUNT(D209,E209)=2,D209*E209,NA())</f>
        <v>1052547308.66</v>
      </c>
      <c r="G209" s="2" t="s">
        <v>50</v>
      </c>
      <c r="H209" s="2" t="s">
        <v>51</v>
      </c>
      <c r="I209" s="2" t="s">
        <v>52</v>
      </c>
      <c r="J209" s="2" t="s">
        <v>53</v>
      </c>
      <c r="K209" s="2" t="s">
        <v>396</v>
      </c>
      <c r="L209" s="2" t="s">
        <v>61</v>
      </c>
      <c r="M209" s="2" t="s">
        <v>392</v>
      </c>
      <c r="N209" s="2" t="s">
        <v>62</v>
      </c>
      <c r="O209" s="2" t="s">
        <v>57</v>
      </c>
      <c r="P209" s="2" t="s">
        <v>690</v>
      </c>
      <c r="Q209" s="2" t="s">
        <v>688</v>
      </c>
      <c r="R209" s="2"/>
    </row>
    <row r="210" spans="1:18">
      <c r="A210" s="2" t="s">
        <v>691</v>
      </c>
      <c r="B210" s="2" t="s">
        <v>692</v>
      </c>
      <c r="C210" s="2" t="s">
        <v>550</v>
      </c>
      <c r="D210" s="2">
        <v>1018762534.01</v>
      </c>
      <c r="E210" s="2">
        <v>1</v>
      </c>
      <c r="F210" s="3">
        <f>IF(COUNT(D210,E210)=2,D210*E210,NA())</f>
        <v>1018762534.01</v>
      </c>
      <c r="G210" s="2" t="s">
        <v>50</v>
      </c>
      <c r="H210" s="2" t="s">
        <v>51</v>
      </c>
      <c r="I210" s="2" t="s">
        <v>52</v>
      </c>
      <c r="J210" s="2" t="s">
        <v>53</v>
      </c>
      <c r="K210" s="2" t="s">
        <v>391</v>
      </c>
      <c r="L210" s="2" t="s">
        <v>54</v>
      </c>
      <c r="M210" s="2" t="s">
        <v>392</v>
      </c>
      <c r="N210" s="2" t="s">
        <v>56</v>
      </c>
      <c r="O210" s="2" t="s">
        <v>57</v>
      </c>
      <c r="P210" s="2" t="s">
        <v>693</v>
      </c>
      <c r="Q210" s="2" t="s">
        <v>694</v>
      </c>
      <c r="R210" s="2"/>
    </row>
    <row r="211" spans="1:18">
      <c r="A211" s="2" t="s">
        <v>695</v>
      </c>
      <c r="B211" s="2" t="s">
        <v>692</v>
      </c>
      <c r="C211" s="2" t="s">
        <v>550</v>
      </c>
      <c r="D211" s="2">
        <v>1160106008.12</v>
      </c>
      <c r="E211" s="2">
        <v>1</v>
      </c>
      <c r="F211" s="3">
        <f>IF(COUNT(D211,E211)=2,D211*E211,NA())</f>
        <v>1160106008.12</v>
      </c>
      <c r="G211" s="2" t="s">
        <v>50</v>
      </c>
      <c r="H211" s="2" t="s">
        <v>51</v>
      </c>
      <c r="I211" s="2" t="s">
        <v>52</v>
      </c>
      <c r="J211" s="2" t="s">
        <v>53</v>
      </c>
      <c r="K211" s="2" t="s">
        <v>396</v>
      </c>
      <c r="L211" s="2" t="s">
        <v>61</v>
      </c>
      <c r="M211" s="2" t="s">
        <v>392</v>
      </c>
      <c r="N211" s="2" t="s">
        <v>62</v>
      </c>
      <c r="O211" s="2" t="s">
        <v>57</v>
      </c>
      <c r="P211" s="2" t="s">
        <v>696</v>
      </c>
      <c r="Q211" s="2" t="s">
        <v>694</v>
      </c>
      <c r="R211" s="2"/>
    </row>
    <row r="212" spans="1:18">
      <c r="A212" s="2" t="s">
        <v>697</v>
      </c>
      <c r="B212" s="2" t="s">
        <v>698</v>
      </c>
      <c r="C212" s="2" t="s">
        <v>550</v>
      </c>
      <c r="D212" s="2">
        <v>1689667015.88</v>
      </c>
      <c r="E212" s="2">
        <v>1</v>
      </c>
      <c r="F212" s="3">
        <f>IF(COUNT(D212,E212)=2,D212*E212,NA())</f>
        <v>1689667015.88</v>
      </c>
      <c r="G212" s="2" t="s">
        <v>50</v>
      </c>
      <c r="H212" s="2" t="s">
        <v>51</v>
      </c>
      <c r="I212" s="2" t="s">
        <v>52</v>
      </c>
      <c r="J212" s="2" t="s">
        <v>53</v>
      </c>
      <c r="K212" s="2" t="s">
        <v>391</v>
      </c>
      <c r="L212" s="2" t="s">
        <v>54</v>
      </c>
      <c r="M212" s="2" t="s">
        <v>392</v>
      </c>
      <c r="N212" s="2" t="s">
        <v>56</v>
      </c>
      <c r="O212" s="2" t="s">
        <v>57</v>
      </c>
      <c r="P212" s="2" t="s">
        <v>699</v>
      </c>
      <c r="Q212" s="2" t="s">
        <v>700</v>
      </c>
      <c r="R212" s="2"/>
    </row>
    <row r="213" spans="1:18">
      <c r="A213" s="2" t="s">
        <v>701</v>
      </c>
      <c r="B213" s="2" t="s">
        <v>698</v>
      </c>
      <c r="C213" s="2" t="s">
        <v>550</v>
      </c>
      <c r="D213" s="2">
        <v>2228143316.78</v>
      </c>
      <c r="E213" s="2">
        <v>1</v>
      </c>
      <c r="F213" s="3">
        <f>IF(COUNT(D213,E213)=2,D213*E213,NA())</f>
        <v>2228143316.78</v>
      </c>
      <c r="G213" s="2" t="s">
        <v>50</v>
      </c>
      <c r="H213" s="2" t="s">
        <v>51</v>
      </c>
      <c r="I213" s="2" t="s">
        <v>52</v>
      </c>
      <c r="J213" s="2" t="s">
        <v>53</v>
      </c>
      <c r="K213" s="2" t="s">
        <v>396</v>
      </c>
      <c r="L213" s="2" t="s">
        <v>61</v>
      </c>
      <c r="M213" s="2" t="s">
        <v>392</v>
      </c>
      <c r="N213" s="2" t="s">
        <v>62</v>
      </c>
      <c r="O213" s="2" t="s">
        <v>57</v>
      </c>
      <c r="P213" s="2" t="s">
        <v>702</v>
      </c>
      <c r="Q213" s="2" t="s">
        <v>700</v>
      </c>
      <c r="R213" s="2"/>
    </row>
    <row r="214" spans="1:18">
      <c r="A214" s="2" t="s">
        <v>703</v>
      </c>
      <c r="B214" s="2" t="s">
        <v>704</v>
      </c>
      <c r="C214" s="2" t="s">
        <v>550</v>
      </c>
      <c r="D214" s="2">
        <v>739675308.66</v>
      </c>
      <c r="E214" s="2">
        <v>1</v>
      </c>
      <c r="F214" s="3">
        <f>IF(COUNT(D214,E214)=2,D214*E214,NA())</f>
        <v>739675308.66</v>
      </c>
      <c r="G214" s="2" t="s">
        <v>50</v>
      </c>
      <c r="H214" s="2" t="s">
        <v>51</v>
      </c>
      <c r="I214" s="2" t="s">
        <v>52</v>
      </c>
      <c r="J214" s="2" t="s">
        <v>53</v>
      </c>
      <c r="K214" s="2" t="s">
        <v>391</v>
      </c>
      <c r="L214" s="2" t="s">
        <v>54</v>
      </c>
      <c r="M214" s="2" t="s">
        <v>392</v>
      </c>
      <c r="N214" s="2" t="s">
        <v>56</v>
      </c>
      <c r="O214" s="2" t="s">
        <v>57</v>
      </c>
      <c r="P214" s="2" t="s">
        <v>705</v>
      </c>
      <c r="Q214" s="2" t="s">
        <v>706</v>
      </c>
      <c r="R214" s="2"/>
    </row>
    <row r="215" spans="1:18">
      <c r="A215" s="2" t="s">
        <v>707</v>
      </c>
      <c r="B215" s="2" t="s">
        <v>704</v>
      </c>
      <c r="C215" s="2" t="s">
        <v>550</v>
      </c>
      <c r="D215" s="2">
        <v>1055536000</v>
      </c>
      <c r="E215" s="2">
        <v>1</v>
      </c>
      <c r="F215" s="3">
        <f>IF(COUNT(D215,E215)=2,D215*E215,NA())</f>
        <v>1055536000.0</v>
      </c>
      <c r="G215" s="2" t="s">
        <v>50</v>
      </c>
      <c r="H215" s="2" t="s">
        <v>51</v>
      </c>
      <c r="I215" s="2" t="s">
        <v>52</v>
      </c>
      <c r="J215" s="2" t="s">
        <v>53</v>
      </c>
      <c r="K215" s="2" t="s">
        <v>396</v>
      </c>
      <c r="L215" s="2" t="s">
        <v>61</v>
      </c>
      <c r="M215" s="2" t="s">
        <v>392</v>
      </c>
      <c r="N215" s="2" t="s">
        <v>62</v>
      </c>
      <c r="O215" s="2" t="s">
        <v>57</v>
      </c>
      <c r="P215" s="2" t="s">
        <v>708</v>
      </c>
      <c r="Q215" s="2" t="s">
        <v>706</v>
      </c>
      <c r="R215" s="2"/>
    </row>
    <row r="216" spans="1:18">
      <c r="A216" s="2" t="s">
        <v>709</v>
      </c>
      <c r="B216" s="2" t="s">
        <v>710</v>
      </c>
      <c r="C216" s="2" t="s">
        <v>550</v>
      </c>
      <c r="D216" s="2">
        <v>429768234.11</v>
      </c>
      <c r="E216" s="2">
        <v>1</v>
      </c>
      <c r="F216" s="3">
        <f>IF(COUNT(D216,E216)=2,D216*E216,NA())</f>
        <v>429768234.11</v>
      </c>
      <c r="G216" s="2" t="s">
        <v>50</v>
      </c>
      <c r="H216" s="2" t="s">
        <v>51</v>
      </c>
      <c r="I216" s="2" t="s">
        <v>52</v>
      </c>
      <c r="J216" s="2" t="s">
        <v>53</v>
      </c>
      <c r="K216" s="2" t="s">
        <v>391</v>
      </c>
      <c r="L216" s="2" t="s">
        <v>54</v>
      </c>
      <c r="M216" s="2" t="s">
        <v>392</v>
      </c>
      <c r="N216" s="2" t="s">
        <v>56</v>
      </c>
      <c r="O216" s="2" t="s">
        <v>57</v>
      </c>
      <c r="P216" s="2" t="s">
        <v>711</v>
      </c>
      <c r="Q216" s="2" t="s">
        <v>712</v>
      </c>
      <c r="R216" s="2"/>
    </row>
    <row r="217" spans="1:18">
      <c r="A217" s="2" t="s">
        <v>713</v>
      </c>
      <c r="B217" s="2" t="s">
        <v>710</v>
      </c>
      <c r="C217" s="2" t="s">
        <v>550</v>
      </c>
      <c r="D217" s="2">
        <v>135057204.44</v>
      </c>
      <c r="E217" s="2">
        <v>1</v>
      </c>
      <c r="F217" s="3">
        <f>IF(COUNT(D217,E217)=2,D217*E217,NA())</f>
        <v>135057204.44</v>
      </c>
      <c r="G217" s="2" t="s">
        <v>50</v>
      </c>
      <c r="H217" s="2" t="s">
        <v>51</v>
      </c>
      <c r="I217" s="2" t="s">
        <v>52</v>
      </c>
      <c r="J217" s="2" t="s">
        <v>53</v>
      </c>
      <c r="K217" s="2" t="s">
        <v>396</v>
      </c>
      <c r="L217" s="2" t="s">
        <v>61</v>
      </c>
      <c r="M217" s="2" t="s">
        <v>392</v>
      </c>
      <c r="N217" s="2" t="s">
        <v>62</v>
      </c>
      <c r="O217" s="2" t="s">
        <v>57</v>
      </c>
      <c r="P217" s="2" t="s">
        <v>714</v>
      </c>
      <c r="Q217" s="2" t="s">
        <v>712</v>
      </c>
      <c r="R217" s="2"/>
    </row>
    <row r="218" spans="1:18">
      <c r="A218" s="2" t="s">
        <v>715</v>
      </c>
      <c r="B218" s="2" t="s">
        <v>716</v>
      </c>
      <c r="C218" s="2" t="s">
        <v>550</v>
      </c>
      <c r="D218" s="2">
        <v>1121322895.45</v>
      </c>
      <c r="E218" s="2">
        <v>1</v>
      </c>
      <c r="F218" s="3">
        <f>IF(COUNT(D218,E218)=2,D218*E218,NA())</f>
        <v>1121322895.45</v>
      </c>
      <c r="G218" s="2" t="s">
        <v>50</v>
      </c>
      <c r="H218" s="2" t="s">
        <v>51</v>
      </c>
      <c r="I218" s="2" t="s">
        <v>52</v>
      </c>
      <c r="J218" s="2" t="s">
        <v>53</v>
      </c>
      <c r="K218" s="2" t="s">
        <v>391</v>
      </c>
      <c r="L218" s="2" t="s">
        <v>54</v>
      </c>
      <c r="M218" s="2" t="s">
        <v>392</v>
      </c>
      <c r="N218" s="2" t="s">
        <v>56</v>
      </c>
      <c r="O218" s="2" t="s">
        <v>57</v>
      </c>
      <c r="P218" s="2" t="s">
        <v>717</v>
      </c>
      <c r="Q218" s="2" t="s">
        <v>718</v>
      </c>
      <c r="R218" s="2"/>
    </row>
    <row r="219" spans="1:18">
      <c r="A219" s="2" t="s">
        <v>719</v>
      </c>
      <c r="B219" s="2" t="s">
        <v>716</v>
      </c>
      <c r="C219" s="2" t="s">
        <v>550</v>
      </c>
      <c r="D219" s="2">
        <v>1935339816.67</v>
      </c>
      <c r="E219" s="2">
        <v>1</v>
      </c>
      <c r="F219" s="3">
        <f>IF(COUNT(D219,E219)=2,D219*E219,NA())</f>
        <v>1935339816.67</v>
      </c>
      <c r="G219" s="2" t="s">
        <v>50</v>
      </c>
      <c r="H219" s="2" t="s">
        <v>51</v>
      </c>
      <c r="I219" s="2" t="s">
        <v>52</v>
      </c>
      <c r="J219" s="2" t="s">
        <v>53</v>
      </c>
      <c r="K219" s="2" t="s">
        <v>396</v>
      </c>
      <c r="L219" s="2" t="s">
        <v>61</v>
      </c>
      <c r="M219" s="2" t="s">
        <v>392</v>
      </c>
      <c r="N219" s="2" t="s">
        <v>62</v>
      </c>
      <c r="O219" s="2" t="s">
        <v>57</v>
      </c>
      <c r="P219" s="2" t="s">
        <v>720</v>
      </c>
      <c r="Q219" s="2" t="s">
        <v>718</v>
      </c>
      <c r="R219" s="2"/>
    </row>
    <row r="220" spans="1:18">
      <c r="A220" s="2" t="s">
        <v>721</v>
      </c>
      <c r="B220" s="2" t="s">
        <v>722</v>
      </c>
      <c r="C220" s="2" t="s">
        <v>550</v>
      </c>
      <c r="D220" s="2">
        <v>2290766438.22</v>
      </c>
      <c r="E220" s="2">
        <v>1</v>
      </c>
      <c r="F220" s="3">
        <f>IF(COUNT(D220,E220)=2,D220*E220,NA())</f>
        <v>2290766438.22</v>
      </c>
      <c r="G220" s="2" t="s">
        <v>50</v>
      </c>
      <c r="H220" s="2" t="s">
        <v>51</v>
      </c>
      <c r="I220" s="2" t="s">
        <v>52</v>
      </c>
      <c r="J220" s="2" t="s">
        <v>53</v>
      </c>
      <c r="K220" s="2" t="s">
        <v>391</v>
      </c>
      <c r="L220" s="2" t="s">
        <v>54</v>
      </c>
      <c r="M220" s="2" t="s">
        <v>392</v>
      </c>
      <c r="N220" s="2" t="s">
        <v>56</v>
      </c>
      <c r="O220" s="2" t="s">
        <v>57</v>
      </c>
      <c r="P220" s="2" t="s">
        <v>723</v>
      </c>
      <c r="Q220" s="2" t="s">
        <v>724</v>
      </c>
      <c r="R220" s="2"/>
    </row>
    <row r="221" spans="1:18">
      <c r="A221" s="2" t="s">
        <v>725</v>
      </c>
      <c r="B221" s="2" t="s">
        <v>722</v>
      </c>
      <c r="C221" s="2" t="s">
        <v>550</v>
      </c>
      <c r="D221" s="2">
        <v>3125933021.11</v>
      </c>
      <c r="E221" s="2">
        <v>1</v>
      </c>
      <c r="F221" s="3">
        <f>IF(COUNT(D221,E221)=2,D221*E221,NA())</f>
        <v>3125933021.11</v>
      </c>
      <c r="G221" s="2" t="s">
        <v>50</v>
      </c>
      <c r="H221" s="2" t="s">
        <v>51</v>
      </c>
      <c r="I221" s="2" t="s">
        <v>52</v>
      </c>
      <c r="J221" s="2" t="s">
        <v>53</v>
      </c>
      <c r="K221" s="2" t="s">
        <v>396</v>
      </c>
      <c r="L221" s="2" t="s">
        <v>61</v>
      </c>
      <c r="M221" s="2" t="s">
        <v>392</v>
      </c>
      <c r="N221" s="2" t="s">
        <v>62</v>
      </c>
      <c r="O221" s="2" t="s">
        <v>57</v>
      </c>
      <c r="P221" s="2" t="s">
        <v>726</v>
      </c>
      <c r="Q221" s="2" t="s">
        <v>724</v>
      </c>
      <c r="R221" s="2"/>
    </row>
    <row r="222" spans="1:18">
      <c r="A222" s="2" t="s">
        <v>727</v>
      </c>
      <c r="B222" s="2" t="s">
        <v>728</v>
      </c>
      <c r="C222" s="2" t="s">
        <v>550</v>
      </c>
      <c r="D222" s="2">
        <v>-601099422.34</v>
      </c>
      <c r="E222" s="2">
        <v>1</v>
      </c>
      <c r="F222" s="3">
        <f>IF(COUNT(D222,E222)=2,D222*E222,NA())</f>
        <v>-601099422.34</v>
      </c>
      <c r="G222" s="2" t="s">
        <v>50</v>
      </c>
      <c r="H222" s="2" t="s">
        <v>51</v>
      </c>
      <c r="I222" s="2" t="s">
        <v>52</v>
      </c>
      <c r="J222" s="2" t="s">
        <v>53</v>
      </c>
      <c r="K222" s="2" t="s">
        <v>391</v>
      </c>
      <c r="L222" s="2" t="s">
        <v>54</v>
      </c>
      <c r="M222" s="2" t="s">
        <v>392</v>
      </c>
      <c r="N222" s="2" t="s">
        <v>56</v>
      </c>
      <c r="O222" s="2" t="s">
        <v>57</v>
      </c>
      <c r="P222" s="2" t="s">
        <v>729</v>
      </c>
      <c r="Q222" s="2" t="s">
        <v>730</v>
      </c>
      <c r="R222" s="2"/>
    </row>
    <row r="223" spans="1:18">
      <c r="A223" s="2" t="s">
        <v>731</v>
      </c>
      <c r="B223" s="2" t="s">
        <v>728</v>
      </c>
      <c r="C223" s="2" t="s">
        <v>550</v>
      </c>
      <c r="D223" s="2">
        <v>-897789704.33</v>
      </c>
      <c r="E223" s="2">
        <v>1</v>
      </c>
      <c r="F223" s="3">
        <f>IF(COUNT(D223,E223)=2,D223*E223,NA())</f>
        <v>-897789704.33</v>
      </c>
      <c r="G223" s="2" t="s">
        <v>50</v>
      </c>
      <c r="H223" s="2" t="s">
        <v>51</v>
      </c>
      <c r="I223" s="2" t="s">
        <v>52</v>
      </c>
      <c r="J223" s="2" t="s">
        <v>53</v>
      </c>
      <c r="K223" s="2" t="s">
        <v>396</v>
      </c>
      <c r="L223" s="2" t="s">
        <v>61</v>
      </c>
      <c r="M223" s="2" t="s">
        <v>392</v>
      </c>
      <c r="N223" s="2" t="s">
        <v>62</v>
      </c>
      <c r="O223" s="2" t="s">
        <v>57</v>
      </c>
      <c r="P223" s="2" t="s">
        <v>732</v>
      </c>
      <c r="Q223" s="2" t="s">
        <v>730</v>
      </c>
      <c r="R223" s="2"/>
    </row>
    <row r="224" spans="1:18">
      <c r="A224" s="2" t="s">
        <v>733</v>
      </c>
      <c r="B224" s="2" t="s">
        <v>734</v>
      </c>
      <c r="C224" s="2" t="s">
        <v>550</v>
      </c>
      <c r="D224" s="2">
        <v>-7063603.36</v>
      </c>
      <c r="E224" s="2">
        <v>1</v>
      </c>
      <c r="F224" s="3">
        <f>IF(COUNT(D224,E224)=2,D224*E224,NA())</f>
        <v>-7063603.36</v>
      </c>
      <c r="G224" s="2" t="s">
        <v>50</v>
      </c>
      <c r="H224" s="2" t="s">
        <v>51</v>
      </c>
      <c r="I224" s="2" t="s">
        <v>52</v>
      </c>
      <c r="J224" s="2" t="s">
        <v>53</v>
      </c>
      <c r="K224" s="2" t="s">
        <v>391</v>
      </c>
      <c r="L224" s="2" t="s">
        <v>54</v>
      </c>
      <c r="M224" s="2" t="s">
        <v>392</v>
      </c>
      <c r="N224" s="2" t="s">
        <v>56</v>
      </c>
      <c r="O224" s="2" t="s">
        <v>57</v>
      </c>
      <c r="P224" s="2" t="s">
        <v>735</v>
      </c>
      <c r="Q224" s="2" t="s">
        <v>736</v>
      </c>
      <c r="R224" s="2"/>
    </row>
    <row r="225" spans="1:18">
      <c r="A225" s="2" t="s">
        <v>737</v>
      </c>
      <c r="B225" s="2" t="s">
        <v>734</v>
      </c>
      <c r="C225" s="2" t="s">
        <v>550</v>
      </c>
      <c r="D225" s="2">
        <v>2591522.59</v>
      </c>
      <c r="E225" s="2">
        <v>1</v>
      </c>
      <c r="F225" s="3">
        <f>IF(COUNT(D225,E225)=2,D225*E225,NA())</f>
        <v>2591522.59</v>
      </c>
      <c r="G225" s="2" t="s">
        <v>50</v>
      </c>
      <c r="H225" s="2" t="s">
        <v>51</v>
      </c>
      <c r="I225" s="2" t="s">
        <v>52</v>
      </c>
      <c r="J225" s="2" t="s">
        <v>53</v>
      </c>
      <c r="K225" s="2" t="s">
        <v>396</v>
      </c>
      <c r="L225" s="2" t="s">
        <v>61</v>
      </c>
      <c r="M225" s="2" t="s">
        <v>392</v>
      </c>
      <c r="N225" s="2" t="s">
        <v>62</v>
      </c>
      <c r="O225" s="2" t="s">
        <v>57</v>
      </c>
      <c r="P225" s="2" t="s">
        <v>738</v>
      </c>
      <c r="Q225" s="2" t="s">
        <v>736</v>
      </c>
      <c r="R225" s="2"/>
    </row>
    <row r="226" spans="1:18">
      <c r="A226" s="2" t="s">
        <v>739</v>
      </c>
      <c r="B226" s="2" t="s">
        <v>740</v>
      </c>
      <c r="C226" s="2" t="s">
        <v>550</v>
      </c>
      <c r="D226" s="2">
        <v>-721842541.11</v>
      </c>
      <c r="E226" s="2">
        <v>1</v>
      </c>
      <c r="F226" s="3">
        <f>IF(COUNT(D226,E226)=2,D226*E226,NA())</f>
        <v>-721842541.11</v>
      </c>
      <c r="G226" s="2" t="s">
        <v>50</v>
      </c>
      <c r="H226" s="2" t="s">
        <v>51</v>
      </c>
      <c r="I226" s="2" t="s">
        <v>52</v>
      </c>
      <c r="J226" s="2" t="s">
        <v>53</v>
      </c>
      <c r="K226" s="2" t="s">
        <v>391</v>
      </c>
      <c r="L226" s="2" t="s">
        <v>54</v>
      </c>
      <c r="M226" s="2" t="s">
        <v>392</v>
      </c>
      <c r="N226" s="2" t="s">
        <v>56</v>
      </c>
      <c r="O226" s="2" t="s">
        <v>57</v>
      </c>
      <c r="P226" s="2" t="s">
        <v>741</v>
      </c>
      <c r="Q226" s="2" t="s">
        <v>742</v>
      </c>
      <c r="R226" s="2"/>
    </row>
    <row r="227" spans="1:18">
      <c r="A227" s="2" t="s">
        <v>743</v>
      </c>
      <c r="B227" s="2" t="s">
        <v>740</v>
      </c>
      <c r="C227" s="2" t="s">
        <v>550</v>
      </c>
      <c r="D227" s="2">
        <v>333170458.62</v>
      </c>
      <c r="E227" s="2">
        <v>1</v>
      </c>
      <c r="F227" s="3">
        <f>IF(COUNT(D227,E227)=2,D227*E227,NA())</f>
        <v>333170458.62</v>
      </c>
      <c r="G227" s="2" t="s">
        <v>50</v>
      </c>
      <c r="H227" s="2" t="s">
        <v>51</v>
      </c>
      <c r="I227" s="2" t="s">
        <v>52</v>
      </c>
      <c r="J227" s="2" t="s">
        <v>53</v>
      </c>
      <c r="K227" s="2" t="s">
        <v>396</v>
      </c>
      <c r="L227" s="2" t="s">
        <v>61</v>
      </c>
      <c r="M227" s="2" t="s">
        <v>392</v>
      </c>
      <c r="N227" s="2" t="s">
        <v>62</v>
      </c>
      <c r="O227" s="2" t="s">
        <v>57</v>
      </c>
      <c r="P227" s="2" t="s">
        <v>744</v>
      </c>
      <c r="Q227" s="2" t="s">
        <v>742</v>
      </c>
      <c r="R227" s="2"/>
    </row>
    <row r="228" spans="1:18">
      <c r="A228" s="2" t="s">
        <v>745</v>
      </c>
      <c r="B228" s="2" t="s">
        <v>746</v>
      </c>
      <c r="C228" s="2" t="s">
        <v>747</v>
      </c>
      <c r="D228" s="2">
        <v>1607718678.61</v>
      </c>
      <c r="E228" s="2">
        <v>1</v>
      </c>
      <c r="F228" s="3">
        <f>IF(COUNT(D228,E228)=2,D228*E228,NA())</f>
        <v>1607718678.61</v>
      </c>
      <c r="G228" s="2" t="s">
        <v>50</v>
      </c>
      <c r="H228" s="2" t="s">
        <v>51</v>
      </c>
      <c r="I228" s="2" t="s">
        <v>52</v>
      </c>
      <c r="J228" s="2" t="s">
        <v>53</v>
      </c>
      <c r="K228" s="2"/>
      <c r="L228" s="2" t="s">
        <v>54</v>
      </c>
      <c r="M228" s="2" t="s">
        <v>55</v>
      </c>
      <c r="N228" s="2" t="s">
        <v>56</v>
      </c>
      <c r="O228" s="2" t="s">
        <v>57</v>
      </c>
      <c r="P228" s="2" t="s">
        <v>748</v>
      </c>
      <c r="Q228" s="2" t="s">
        <v>749</v>
      </c>
      <c r="R228" s="2"/>
    </row>
    <row r="229" spans="1:18">
      <c r="A229" s="2" t="s">
        <v>750</v>
      </c>
      <c r="B229" s="2" t="s">
        <v>746</v>
      </c>
      <c r="C229" s="2" t="s">
        <v>747</v>
      </c>
      <c r="D229" s="2">
        <v>2329561219.72</v>
      </c>
      <c r="E229" s="2">
        <v>1</v>
      </c>
      <c r="F229" s="3">
        <f>IF(COUNT(D229,E229)=2,D229*E229,NA())</f>
        <v>2329561219.72</v>
      </c>
      <c r="G229" s="2" t="s">
        <v>50</v>
      </c>
      <c r="H229" s="2" t="s">
        <v>51</v>
      </c>
      <c r="I229" s="2" t="s">
        <v>52</v>
      </c>
      <c r="J229" s="2" t="s">
        <v>53</v>
      </c>
      <c r="K229" s="2"/>
      <c r="L229" s="2" t="s">
        <v>61</v>
      </c>
      <c r="M229" s="2" t="s">
        <v>55</v>
      </c>
      <c r="N229" s="2" t="s">
        <v>62</v>
      </c>
      <c r="O229" s="2" t="s">
        <v>57</v>
      </c>
      <c r="P229" s="2" t="s">
        <v>751</v>
      </c>
      <c r="Q229" s="2" t="s">
        <v>749</v>
      </c>
      <c r="R229" s="2"/>
    </row>
    <row r="230" spans="1:18">
      <c r="A230" s="2" t="s">
        <v>752</v>
      </c>
      <c r="B230" s="2" t="s">
        <v>753</v>
      </c>
      <c r="C230" s="2" t="s">
        <v>747</v>
      </c>
      <c r="D230" s="2">
        <v>711687547.01</v>
      </c>
      <c r="E230" s="2">
        <v>1</v>
      </c>
      <c r="F230" s="3">
        <f>IF(COUNT(D230,E230)=2,D230*E230,NA())</f>
        <v>711687547.01</v>
      </c>
      <c r="G230" s="2" t="s">
        <v>50</v>
      </c>
      <c r="H230" s="2" t="s">
        <v>51</v>
      </c>
      <c r="I230" s="2" t="s">
        <v>52</v>
      </c>
      <c r="J230" s="2" t="s">
        <v>53</v>
      </c>
      <c r="K230" s="2"/>
      <c r="L230" s="2" t="s">
        <v>54</v>
      </c>
      <c r="M230" s="2" t="s">
        <v>55</v>
      </c>
      <c r="N230" s="2" t="s">
        <v>56</v>
      </c>
      <c r="O230" s="2" t="s">
        <v>57</v>
      </c>
      <c r="P230" s="2" t="s">
        <v>754</v>
      </c>
      <c r="Q230" s="2" t="s">
        <v>755</v>
      </c>
      <c r="R230" s="2"/>
    </row>
    <row r="231" spans="1:18">
      <c r="A231" s="2" t="s">
        <v>756</v>
      </c>
      <c r="B231" s="2" t="s">
        <v>753</v>
      </c>
      <c r="C231" s="2" t="s">
        <v>747</v>
      </c>
      <c r="D231" s="2">
        <v>1086517625.11</v>
      </c>
      <c r="E231" s="2">
        <v>1</v>
      </c>
      <c r="F231" s="3">
        <f>IF(COUNT(D231,E231)=2,D231*E231,NA())</f>
        <v>1086517625.11</v>
      </c>
      <c r="G231" s="2" t="s">
        <v>50</v>
      </c>
      <c r="H231" s="2" t="s">
        <v>51</v>
      </c>
      <c r="I231" s="2" t="s">
        <v>52</v>
      </c>
      <c r="J231" s="2" t="s">
        <v>53</v>
      </c>
      <c r="K231" s="2"/>
      <c r="L231" s="2" t="s">
        <v>61</v>
      </c>
      <c r="M231" s="2" t="s">
        <v>55</v>
      </c>
      <c r="N231" s="2" t="s">
        <v>62</v>
      </c>
      <c r="O231" s="2" t="s">
        <v>57</v>
      </c>
      <c r="P231" s="2" t="s">
        <v>757</v>
      </c>
      <c r="Q231" s="2" t="s">
        <v>755</v>
      </c>
      <c r="R231" s="2"/>
    </row>
    <row r="232" spans="1:18">
      <c r="A232" s="2" t="s">
        <v>758</v>
      </c>
      <c r="B232" s="2" t="s">
        <v>759</v>
      </c>
      <c r="C232" s="2" t="s">
        <v>747</v>
      </c>
      <c r="D232" s="2">
        <v>15883847.54</v>
      </c>
      <c r="E232" s="2">
        <v>1</v>
      </c>
      <c r="F232" s="3">
        <f>IF(COUNT(D232,E232)=2,D232*E232,NA())</f>
        <v>15883847.54</v>
      </c>
      <c r="G232" s="2" t="s">
        <v>50</v>
      </c>
      <c r="H232" s="2" t="s">
        <v>51</v>
      </c>
      <c r="I232" s="2" t="s">
        <v>52</v>
      </c>
      <c r="J232" s="2" t="s">
        <v>53</v>
      </c>
      <c r="K232" s="2"/>
      <c r="L232" s="2" t="s">
        <v>54</v>
      </c>
      <c r="M232" s="2" t="s">
        <v>55</v>
      </c>
      <c r="N232" s="2" t="s">
        <v>56</v>
      </c>
      <c r="O232" s="2" t="s">
        <v>57</v>
      </c>
      <c r="P232" s="2" t="s">
        <v>760</v>
      </c>
      <c r="Q232" s="2" t="s">
        <v>761</v>
      </c>
      <c r="R232" s="2"/>
    </row>
    <row r="233" spans="1:18">
      <c r="A233" s="2" t="s">
        <v>762</v>
      </c>
      <c r="B233" s="2" t="s">
        <v>759</v>
      </c>
      <c r="C233" s="2" t="s">
        <v>747</v>
      </c>
      <c r="D233" s="2">
        <v>25198074.93</v>
      </c>
      <c r="E233" s="2">
        <v>1</v>
      </c>
      <c r="F233" s="3">
        <f>IF(COUNT(D233,E233)=2,D233*E233,NA())</f>
        <v>25198074.93</v>
      </c>
      <c r="G233" s="2" t="s">
        <v>50</v>
      </c>
      <c r="H233" s="2" t="s">
        <v>51</v>
      </c>
      <c r="I233" s="2" t="s">
        <v>52</v>
      </c>
      <c r="J233" s="2" t="s">
        <v>53</v>
      </c>
      <c r="K233" s="2"/>
      <c r="L233" s="2" t="s">
        <v>61</v>
      </c>
      <c r="M233" s="2" t="s">
        <v>55</v>
      </c>
      <c r="N233" s="2" t="s">
        <v>62</v>
      </c>
      <c r="O233" s="2" t="s">
        <v>57</v>
      </c>
      <c r="P233" s="2" t="s">
        <v>763</v>
      </c>
      <c r="Q233" s="2" t="s">
        <v>761</v>
      </c>
      <c r="R233" s="2"/>
    </row>
    <row r="234" spans="1:18">
      <c r="A234" s="2" t="s">
        <v>764</v>
      </c>
      <c r="B234" s="2" t="s">
        <v>765</v>
      </c>
      <c r="C234" s="2" t="s">
        <v>747</v>
      </c>
      <c r="D234" s="2">
        <v>423522048</v>
      </c>
      <c r="E234" s="2">
        <v>1</v>
      </c>
      <c r="F234" s="3">
        <f>IF(COUNT(D234,E234)=2,D234*E234,NA())</f>
        <v>423522048.0</v>
      </c>
      <c r="G234" s="2" t="s">
        <v>50</v>
      </c>
      <c r="H234" s="2" t="s">
        <v>51</v>
      </c>
      <c r="I234" s="2" t="s">
        <v>52</v>
      </c>
      <c r="J234" s="2" t="s">
        <v>53</v>
      </c>
      <c r="K234" s="2"/>
      <c r="L234" s="2" t="s">
        <v>54</v>
      </c>
      <c r="M234" s="2" t="s">
        <v>55</v>
      </c>
      <c r="N234" s="2" t="s">
        <v>56</v>
      </c>
      <c r="O234" s="2" t="s">
        <v>57</v>
      </c>
      <c r="P234" s="2" t="s">
        <v>766</v>
      </c>
      <c r="Q234" s="2" t="s">
        <v>767</v>
      </c>
      <c r="R234" s="2"/>
    </row>
    <row r="235" spans="1:18">
      <c r="A235" s="2" t="s">
        <v>768</v>
      </c>
      <c r="B235" s="2" t="s">
        <v>765</v>
      </c>
      <c r="C235" s="2" t="s">
        <v>747</v>
      </c>
      <c r="D235" s="2">
        <v>582826000</v>
      </c>
      <c r="E235" s="2">
        <v>1</v>
      </c>
      <c r="F235" s="3">
        <f>IF(COUNT(D235,E235)=2,D235*E235,NA())</f>
        <v>582826000.0</v>
      </c>
      <c r="G235" s="2" t="s">
        <v>50</v>
      </c>
      <c r="H235" s="2" t="s">
        <v>51</v>
      </c>
      <c r="I235" s="2" t="s">
        <v>52</v>
      </c>
      <c r="J235" s="2" t="s">
        <v>53</v>
      </c>
      <c r="K235" s="2"/>
      <c r="L235" s="2" t="s">
        <v>61</v>
      </c>
      <c r="M235" s="2" t="s">
        <v>55</v>
      </c>
      <c r="N235" s="2" t="s">
        <v>62</v>
      </c>
      <c r="O235" s="2" t="s">
        <v>57</v>
      </c>
      <c r="P235" s="2" t="s">
        <v>769</v>
      </c>
      <c r="Q235" s="2" t="s">
        <v>767</v>
      </c>
      <c r="R235" s="2"/>
    </row>
    <row r="236" spans="1:18">
      <c r="A236" s="2" t="s">
        <v>770</v>
      </c>
      <c r="B236" s="2" t="s">
        <v>771</v>
      </c>
      <c r="C236" s="2" t="s">
        <v>747</v>
      </c>
      <c r="D236" s="2">
        <v>19327216.39</v>
      </c>
      <c r="E236" s="2">
        <v>1</v>
      </c>
      <c r="F236" s="3">
        <f>IF(COUNT(D236,E236)=2,D236*E236,NA())</f>
        <v>19327216.39</v>
      </c>
      <c r="G236" s="2" t="s">
        <v>50</v>
      </c>
      <c r="H236" s="2" t="s">
        <v>51</v>
      </c>
      <c r="I236" s="2" t="s">
        <v>52</v>
      </c>
      <c r="J236" s="2" t="s">
        <v>53</v>
      </c>
      <c r="K236" s="2"/>
      <c r="L236" s="2" t="s">
        <v>54</v>
      </c>
      <c r="M236" s="2" t="s">
        <v>55</v>
      </c>
      <c r="N236" s="2" t="s">
        <v>56</v>
      </c>
      <c r="O236" s="2" t="s">
        <v>57</v>
      </c>
      <c r="P236" s="2" t="s">
        <v>772</v>
      </c>
      <c r="Q236" s="2" t="s">
        <v>773</v>
      </c>
      <c r="R236" s="2"/>
    </row>
    <row r="237" spans="1:18">
      <c r="A237" s="2" t="s">
        <v>774</v>
      </c>
      <c r="B237" s="2" t="s">
        <v>771</v>
      </c>
      <c r="C237" s="2" t="s">
        <v>747</v>
      </c>
      <c r="D237" s="2">
        <v>15284768.1</v>
      </c>
      <c r="E237" s="2">
        <v>1</v>
      </c>
      <c r="F237" s="3">
        <f>IF(COUNT(D237,E237)=2,D237*E237,NA())</f>
        <v>15284768.1</v>
      </c>
      <c r="G237" s="2" t="s">
        <v>50</v>
      </c>
      <c r="H237" s="2" t="s">
        <v>51</v>
      </c>
      <c r="I237" s="2" t="s">
        <v>52</v>
      </c>
      <c r="J237" s="2" t="s">
        <v>53</v>
      </c>
      <c r="K237" s="2"/>
      <c r="L237" s="2" t="s">
        <v>61</v>
      </c>
      <c r="M237" s="2" t="s">
        <v>55</v>
      </c>
      <c r="N237" s="2" t="s">
        <v>62</v>
      </c>
      <c r="O237" s="2" t="s">
        <v>57</v>
      </c>
      <c r="P237" s="2" t="s">
        <v>775</v>
      </c>
      <c r="Q237" s="2" t="s">
        <v>773</v>
      </c>
      <c r="R237" s="2"/>
    </row>
    <row r="238" spans="1:18">
      <c r="A238" s="2" t="s">
        <v>776</v>
      </c>
      <c r="B238" s="2" t="s">
        <v>777</v>
      </c>
      <c r="C238" s="2" t="s">
        <v>747</v>
      </c>
      <c r="D238" s="2">
        <v>194673433.05</v>
      </c>
      <c r="E238" s="2">
        <v>1</v>
      </c>
      <c r="F238" s="3">
        <f>IF(COUNT(D238,E238)=2,D238*E238,NA())</f>
        <v>194673433.05</v>
      </c>
      <c r="G238" s="2" t="s">
        <v>50</v>
      </c>
      <c r="H238" s="2" t="s">
        <v>51</v>
      </c>
      <c r="I238" s="2" t="s">
        <v>52</v>
      </c>
      <c r="J238" s="2" t="s">
        <v>53</v>
      </c>
      <c r="K238" s="2"/>
      <c r="L238" s="2" t="s">
        <v>54</v>
      </c>
      <c r="M238" s="2" t="s">
        <v>55</v>
      </c>
      <c r="N238" s="2" t="s">
        <v>56</v>
      </c>
      <c r="O238" s="2" t="s">
        <v>57</v>
      </c>
      <c r="P238" s="2" t="s">
        <v>778</v>
      </c>
      <c r="Q238" s="2" t="s">
        <v>779</v>
      </c>
      <c r="R238" s="2"/>
    </row>
    <row r="239" spans="1:18">
      <c r="A239" s="2" t="s">
        <v>780</v>
      </c>
      <c r="B239" s="2" t="s">
        <v>777</v>
      </c>
      <c r="C239" s="2" t="s">
        <v>747</v>
      </c>
      <c r="D239" s="2">
        <v>391553468.37</v>
      </c>
      <c r="E239" s="2">
        <v>1</v>
      </c>
      <c r="F239" s="3">
        <f>IF(COUNT(D239,E239)=2,D239*E239,NA())</f>
        <v>391553468.37</v>
      </c>
      <c r="G239" s="2" t="s">
        <v>50</v>
      </c>
      <c r="H239" s="2" t="s">
        <v>51</v>
      </c>
      <c r="I239" s="2" t="s">
        <v>52</v>
      </c>
      <c r="J239" s="2" t="s">
        <v>53</v>
      </c>
      <c r="K239" s="2"/>
      <c r="L239" s="2" t="s">
        <v>61</v>
      </c>
      <c r="M239" s="2" t="s">
        <v>55</v>
      </c>
      <c r="N239" s="2" t="s">
        <v>62</v>
      </c>
      <c r="O239" s="2" t="s">
        <v>57</v>
      </c>
      <c r="P239" s="2" t="s">
        <v>781</v>
      </c>
      <c r="Q239" s="2" t="s">
        <v>779</v>
      </c>
      <c r="R239" s="2"/>
    </row>
    <row r="240" spans="1:18">
      <c r="A240" s="2" t="s">
        <v>782</v>
      </c>
      <c r="B240" s="2" t="s">
        <v>783</v>
      </c>
      <c r="C240" s="2" t="s">
        <v>747</v>
      </c>
      <c r="D240" s="2">
        <v>57563270</v>
      </c>
      <c r="E240" s="2">
        <v>1</v>
      </c>
      <c r="F240" s="3">
        <f>IF(COUNT(D240,E240)=2,D240*E240,NA())</f>
        <v>57563270.0</v>
      </c>
      <c r="G240" s="2" t="s">
        <v>50</v>
      </c>
      <c r="H240" s="2" t="s">
        <v>51</v>
      </c>
      <c r="I240" s="2" t="s">
        <v>52</v>
      </c>
      <c r="J240" s="2" t="s">
        <v>53</v>
      </c>
      <c r="K240" s="2"/>
      <c r="L240" s="2" t="s">
        <v>54</v>
      </c>
      <c r="M240" s="2" t="s">
        <v>55</v>
      </c>
      <c r="N240" s="2" t="s">
        <v>56</v>
      </c>
      <c r="O240" s="2" t="s">
        <v>57</v>
      </c>
      <c r="P240" s="2" t="s">
        <v>784</v>
      </c>
      <c r="Q240" s="2" t="s">
        <v>785</v>
      </c>
      <c r="R240" s="2"/>
    </row>
    <row r="241" spans="1:18">
      <c r="A241" s="2" t="s">
        <v>786</v>
      </c>
      <c r="B241" s="2" t="s">
        <v>783</v>
      </c>
      <c r="C241" s="2" t="s">
        <v>747</v>
      </c>
      <c r="D241" s="2">
        <v>70937581.68000001</v>
      </c>
      <c r="E241" s="2">
        <v>1</v>
      </c>
      <c r="F241" s="3">
        <f>IF(COUNT(D241,E241)=2,D241*E241,NA())</f>
        <v>70937581.68</v>
      </c>
      <c r="G241" s="2" t="s">
        <v>50</v>
      </c>
      <c r="H241" s="2" t="s">
        <v>51</v>
      </c>
      <c r="I241" s="2" t="s">
        <v>52</v>
      </c>
      <c r="J241" s="2" t="s">
        <v>53</v>
      </c>
      <c r="K241" s="2"/>
      <c r="L241" s="2" t="s">
        <v>61</v>
      </c>
      <c r="M241" s="2" t="s">
        <v>55</v>
      </c>
      <c r="N241" s="2" t="s">
        <v>62</v>
      </c>
      <c r="O241" s="2" t="s">
        <v>57</v>
      </c>
      <c r="P241" s="2" t="s">
        <v>787</v>
      </c>
      <c r="Q241" s="2" t="s">
        <v>785</v>
      </c>
      <c r="R241" s="2"/>
    </row>
    <row r="242" spans="1:18">
      <c r="A242" s="2" t="s">
        <v>788</v>
      </c>
      <c r="B242" s="2" t="s">
        <v>789</v>
      </c>
      <c r="C242" s="2" t="s">
        <v>747</v>
      </c>
      <c r="D242" s="2">
        <v>649732.03</v>
      </c>
      <c r="E242" s="2">
        <v>1</v>
      </c>
      <c r="F242" s="3">
        <f>IF(COUNT(D242,E242)=2,D242*E242,NA())</f>
        <v>649732.03</v>
      </c>
      <c r="G242" s="2" t="s">
        <v>50</v>
      </c>
      <c r="H242" s="2" t="s">
        <v>51</v>
      </c>
      <c r="I242" s="2" t="s">
        <v>52</v>
      </c>
      <c r="J242" s="2" t="s">
        <v>53</v>
      </c>
      <c r="K242" s="2"/>
      <c r="L242" s="2" t="s">
        <v>54</v>
      </c>
      <c r="M242" s="2" t="s">
        <v>55</v>
      </c>
      <c r="N242" s="2" t="s">
        <v>56</v>
      </c>
      <c r="O242" s="2" t="s">
        <v>57</v>
      </c>
      <c r="P242" s="2" t="s">
        <v>790</v>
      </c>
      <c r="Q242" s="2" t="s">
        <v>791</v>
      </c>
      <c r="R242" s="2"/>
    </row>
    <row r="243" spans="1:18">
      <c r="A243" s="2" t="s">
        <v>792</v>
      </c>
      <c r="B243" s="2" t="s">
        <v>789</v>
      </c>
      <c r="C243" s="2" t="s">
        <v>747</v>
      </c>
      <c r="D243" s="2">
        <v>649732.03</v>
      </c>
      <c r="E243" s="2">
        <v>1</v>
      </c>
      <c r="F243" s="3">
        <f>IF(COUNT(D243,E243)=2,D243*E243,NA())</f>
        <v>649732.03</v>
      </c>
      <c r="G243" s="2" t="s">
        <v>50</v>
      </c>
      <c r="H243" s="2" t="s">
        <v>51</v>
      </c>
      <c r="I243" s="2" t="s">
        <v>52</v>
      </c>
      <c r="J243" s="2" t="s">
        <v>53</v>
      </c>
      <c r="K243" s="2"/>
      <c r="L243" s="2" t="s">
        <v>61</v>
      </c>
      <c r="M243" s="2" t="s">
        <v>55</v>
      </c>
      <c r="N243" s="2" t="s">
        <v>62</v>
      </c>
      <c r="O243" s="2" t="s">
        <v>57</v>
      </c>
      <c r="P243" s="2" t="s">
        <v>793</v>
      </c>
      <c r="Q243" s="2" t="s">
        <v>791</v>
      </c>
      <c r="R243" s="2"/>
    </row>
    <row r="244" spans="1:18">
      <c r="A244" s="2" t="s">
        <v>794</v>
      </c>
      <c r="B244" s="2" t="s">
        <v>795</v>
      </c>
      <c r="C244" s="2" t="s">
        <v>747</v>
      </c>
      <c r="D244" s="2">
        <v>68000</v>
      </c>
      <c r="E244" s="2">
        <v>1</v>
      </c>
      <c r="F244" s="3">
        <f>IF(COUNT(D244,E244)=2,D244*E244,NA())</f>
        <v>68000.0</v>
      </c>
      <c r="G244" s="2" t="s">
        <v>50</v>
      </c>
      <c r="H244" s="2" t="s">
        <v>51</v>
      </c>
      <c r="I244" s="2" t="s">
        <v>52</v>
      </c>
      <c r="J244" s="2" t="s">
        <v>53</v>
      </c>
      <c r="K244" s="2"/>
      <c r="L244" s="2" t="s">
        <v>54</v>
      </c>
      <c r="M244" s="2" t="s">
        <v>55</v>
      </c>
      <c r="N244" s="2" t="s">
        <v>56</v>
      </c>
      <c r="O244" s="2" t="s">
        <v>57</v>
      </c>
      <c r="P244" s="2" t="s">
        <v>796</v>
      </c>
      <c r="Q244" s="2" t="s">
        <v>797</v>
      </c>
      <c r="R244" s="2"/>
    </row>
    <row r="245" spans="1:18">
      <c r="A245" s="2" t="s">
        <v>798</v>
      </c>
      <c r="B245" s="2" t="s">
        <v>795</v>
      </c>
      <c r="C245" s="2" t="s">
        <v>747</v>
      </c>
      <c r="D245" s="2">
        <v>68000</v>
      </c>
      <c r="E245" s="2">
        <v>1</v>
      </c>
      <c r="F245" s="3">
        <f>IF(COUNT(D245,E245)=2,D245*E245,NA())</f>
        <v>68000.0</v>
      </c>
      <c r="G245" s="2" t="s">
        <v>50</v>
      </c>
      <c r="H245" s="2" t="s">
        <v>51</v>
      </c>
      <c r="I245" s="2" t="s">
        <v>52</v>
      </c>
      <c r="J245" s="2" t="s">
        <v>53</v>
      </c>
      <c r="K245" s="2"/>
      <c r="L245" s="2" t="s">
        <v>61</v>
      </c>
      <c r="M245" s="2" t="s">
        <v>55</v>
      </c>
      <c r="N245" s="2" t="s">
        <v>62</v>
      </c>
      <c r="O245" s="2" t="s">
        <v>57</v>
      </c>
      <c r="P245" s="2" t="s">
        <v>799</v>
      </c>
      <c r="Q245" s="2" t="s">
        <v>797</v>
      </c>
      <c r="R245" s="2"/>
    </row>
    <row r="246" spans="1:18">
      <c r="A246" s="2" t="s">
        <v>800</v>
      </c>
      <c r="B246" s="2" t="s">
        <v>801</v>
      </c>
      <c r="C246" s="2" t="s">
        <v>747</v>
      </c>
      <c r="D246" s="2">
        <v>38944902.32</v>
      </c>
      <c r="E246" s="2">
        <v>1</v>
      </c>
      <c r="F246" s="3">
        <f>IF(COUNT(D246,E246)=2,D246*E246,NA())</f>
        <v>38944902.32</v>
      </c>
      <c r="G246" s="2" t="s">
        <v>50</v>
      </c>
      <c r="H246" s="2" t="s">
        <v>51</v>
      </c>
      <c r="I246" s="2" t="s">
        <v>52</v>
      </c>
      <c r="J246" s="2" t="s">
        <v>53</v>
      </c>
      <c r="K246" s="2"/>
      <c r="L246" s="2" t="s">
        <v>54</v>
      </c>
      <c r="M246" s="2" t="s">
        <v>55</v>
      </c>
      <c r="N246" s="2" t="s">
        <v>56</v>
      </c>
      <c r="O246" s="2" t="s">
        <v>57</v>
      </c>
      <c r="P246" s="2" t="s">
        <v>802</v>
      </c>
      <c r="Q246" s="2" t="s">
        <v>803</v>
      </c>
      <c r="R246" s="2"/>
    </row>
    <row r="247" spans="1:18">
      <c r="A247" s="2" t="s">
        <v>804</v>
      </c>
      <c r="B247" s="2" t="s">
        <v>801</v>
      </c>
      <c r="C247" s="2" t="s">
        <v>747</v>
      </c>
      <c r="D247" s="2">
        <v>57156478.42</v>
      </c>
      <c r="E247" s="2">
        <v>1</v>
      </c>
      <c r="F247" s="3">
        <f>IF(COUNT(D247,E247)=2,D247*E247,NA())</f>
        <v>57156478.42</v>
      </c>
      <c r="G247" s="2" t="s">
        <v>50</v>
      </c>
      <c r="H247" s="2" t="s">
        <v>51</v>
      </c>
      <c r="I247" s="2" t="s">
        <v>52</v>
      </c>
      <c r="J247" s="2" t="s">
        <v>53</v>
      </c>
      <c r="K247" s="2"/>
      <c r="L247" s="2" t="s">
        <v>61</v>
      </c>
      <c r="M247" s="2" t="s">
        <v>55</v>
      </c>
      <c r="N247" s="2" t="s">
        <v>62</v>
      </c>
      <c r="O247" s="2" t="s">
        <v>57</v>
      </c>
      <c r="P247" s="2" t="s">
        <v>805</v>
      </c>
      <c r="Q247" s="2" t="s">
        <v>803</v>
      </c>
      <c r="R247" s="2"/>
    </row>
    <row r="248" spans="1:18">
      <c r="A248" s="2" t="s">
        <v>806</v>
      </c>
      <c r="B248" s="2" t="s">
        <v>807</v>
      </c>
      <c r="C248" s="2" t="s">
        <v>747</v>
      </c>
      <c r="D248" s="2">
        <v>899782875.8200001</v>
      </c>
      <c r="E248" s="2">
        <v>1</v>
      </c>
      <c r="F248" s="3">
        <f>IF(COUNT(D248,E248)=2,D248*E248,NA())</f>
        <v>899782875.82</v>
      </c>
      <c r="G248" s="2" t="s">
        <v>50</v>
      </c>
      <c r="H248" s="2" t="s">
        <v>51</v>
      </c>
      <c r="I248" s="2" t="s">
        <v>52</v>
      </c>
      <c r="J248" s="2" t="s">
        <v>53</v>
      </c>
      <c r="K248" s="2"/>
      <c r="L248" s="2" t="s">
        <v>54</v>
      </c>
      <c r="M248" s="2" t="s">
        <v>55</v>
      </c>
      <c r="N248" s="2" t="s">
        <v>56</v>
      </c>
      <c r="O248" s="2" t="s">
        <v>57</v>
      </c>
      <c r="P248" s="2" t="s">
        <v>808</v>
      </c>
      <c r="Q248" s="2" t="s">
        <v>809</v>
      </c>
      <c r="R248" s="2"/>
    </row>
    <row r="249" spans="1:18">
      <c r="A249" s="2" t="s">
        <v>810</v>
      </c>
      <c r="B249" s="2" t="s">
        <v>807</v>
      </c>
      <c r="C249" s="2" t="s">
        <v>747</v>
      </c>
      <c r="D249" s="2">
        <v>1267388320.38</v>
      </c>
      <c r="E249" s="2">
        <v>1</v>
      </c>
      <c r="F249" s="3">
        <f>IF(COUNT(D249,E249)=2,D249*E249,NA())</f>
        <v>1267388320.38</v>
      </c>
      <c r="G249" s="2" t="s">
        <v>50</v>
      </c>
      <c r="H249" s="2" t="s">
        <v>51</v>
      </c>
      <c r="I249" s="2" t="s">
        <v>52</v>
      </c>
      <c r="J249" s="2" t="s">
        <v>53</v>
      </c>
      <c r="K249" s="2"/>
      <c r="L249" s="2" t="s">
        <v>61</v>
      </c>
      <c r="M249" s="2" t="s">
        <v>55</v>
      </c>
      <c r="N249" s="2" t="s">
        <v>62</v>
      </c>
      <c r="O249" s="2" t="s">
        <v>57</v>
      </c>
      <c r="P249" s="2" t="s">
        <v>811</v>
      </c>
      <c r="Q249" s="2" t="s">
        <v>809</v>
      </c>
      <c r="R249" s="2"/>
    </row>
    <row r="250" spans="1:18">
      <c r="A250" s="2" t="s">
        <v>812</v>
      </c>
      <c r="B250" s="2" t="s">
        <v>813</v>
      </c>
      <c r="C250" s="2" t="s">
        <v>550</v>
      </c>
      <c r="D250" s="2">
        <v>1996390761.1</v>
      </c>
      <c r="E250" s="2">
        <v>1</v>
      </c>
      <c r="F250" s="3">
        <f>IF(COUNT(D250,E250)=2,D250*E250,NA())</f>
        <v>1996390761.1</v>
      </c>
      <c r="G250" s="2" t="s">
        <v>50</v>
      </c>
      <c r="H250" s="2" t="s">
        <v>51</v>
      </c>
      <c r="I250" s="2" t="s">
        <v>52</v>
      </c>
      <c r="J250" s="2" t="s">
        <v>53</v>
      </c>
      <c r="K250" s="2"/>
      <c r="L250" s="2" t="s">
        <v>814</v>
      </c>
      <c r="M250" s="2" t="s">
        <v>55</v>
      </c>
      <c r="N250" s="2" t="s">
        <v>62</v>
      </c>
      <c r="O250" s="2" t="s">
        <v>57</v>
      </c>
      <c r="P250" s="2"/>
      <c r="Q250" s="2" t="s">
        <v>749</v>
      </c>
      <c r="R250" s="2"/>
    </row>
    <row r="251" spans="1:18">
      <c r="A251" s="2" t="s">
        <v>815</v>
      </c>
      <c r="B251" s="2" t="s">
        <v>816</v>
      </c>
      <c r="C251" s="2" t="s">
        <v>817</v>
      </c>
      <c r="D251" s="2">
        <v>406899970.48</v>
      </c>
      <c r="E251" s="2">
        <v>1</v>
      </c>
      <c r="F251" s="3">
        <f>IF(COUNT(D251,E251)=2,D251*E251,NA())</f>
        <v>406899970.48</v>
      </c>
      <c r="G251" s="2" t="s">
        <v>50</v>
      </c>
      <c r="H251" s="2" t="s">
        <v>51</v>
      </c>
      <c r="I251" s="2" t="s">
        <v>52</v>
      </c>
      <c r="J251" s="2" t="s">
        <v>53</v>
      </c>
      <c r="K251" s="2"/>
      <c r="L251" s="2" t="s">
        <v>54</v>
      </c>
      <c r="M251" s="2" t="s">
        <v>55</v>
      </c>
      <c r="N251" s="2" t="s">
        <v>56</v>
      </c>
      <c r="O251" s="2" t="s">
        <v>57</v>
      </c>
      <c r="P251" s="2" t="s">
        <v>818</v>
      </c>
      <c r="Q251" s="2" t="s">
        <v>819</v>
      </c>
      <c r="R251" s="2"/>
    </row>
    <row r="252" spans="1:18">
      <c r="A252" s="2" t="s">
        <v>820</v>
      </c>
      <c r="B252" s="2" t="s">
        <v>816</v>
      </c>
      <c r="C252" s="2" t="s">
        <v>817</v>
      </c>
      <c r="D252" s="2">
        <v>288396609.88</v>
      </c>
      <c r="E252" s="2">
        <v>1</v>
      </c>
      <c r="F252" s="3">
        <f>IF(COUNT(D252,E252)=2,D252*E252,NA())</f>
        <v>288396609.88</v>
      </c>
      <c r="G252" s="2" t="s">
        <v>50</v>
      </c>
      <c r="H252" s="2" t="s">
        <v>51</v>
      </c>
      <c r="I252" s="2" t="s">
        <v>52</v>
      </c>
      <c r="J252" s="2" t="s">
        <v>53</v>
      </c>
      <c r="K252" s="2"/>
      <c r="L252" s="2" t="s">
        <v>61</v>
      </c>
      <c r="M252" s="2" t="s">
        <v>55</v>
      </c>
      <c r="N252" s="2" t="s">
        <v>62</v>
      </c>
      <c r="O252" s="2" t="s">
        <v>57</v>
      </c>
      <c r="P252" s="2" t="s">
        <v>821</v>
      </c>
      <c r="Q252" s="2" t="s">
        <v>819</v>
      </c>
      <c r="R252" s="2"/>
    </row>
    <row r="253" spans="1:18">
      <c r="A253" s="2" t="s">
        <v>822</v>
      </c>
      <c r="B253" s="2" t="s">
        <v>823</v>
      </c>
      <c r="C253" s="2" t="s">
        <v>817</v>
      </c>
      <c r="D253" s="2">
        <v>11001813.71</v>
      </c>
      <c r="E253" s="2">
        <v>1</v>
      </c>
      <c r="F253" s="3">
        <f>IF(COUNT(D253,E253)=2,D253*E253,NA())</f>
        <v>11001813.71</v>
      </c>
      <c r="G253" s="2" t="s">
        <v>50</v>
      </c>
      <c r="H253" s="2" t="s">
        <v>51</v>
      </c>
      <c r="I253" s="2" t="s">
        <v>52</v>
      </c>
      <c r="J253" s="2" t="s">
        <v>53</v>
      </c>
      <c r="K253" s="2"/>
      <c r="L253" s="2" t="s">
        <v>54</v>
      </c>
      <c r="M253" s="2" t="s">
        <v>55</v>
      </c>
      <c r="N253" s="2" t="s">
        <v>56</v>
      </c>
      <c r="O253" s="2" t="s">
        <v>57</v>
      </c>
      <c r="P253" s="2" t="s">
        <v>824</v>
      </c>
      <c r="Q253" s="2" t="s">
        <v>825</v>
      </c>
      <c r="R253" s="2"/>
    </row>
    <row r="254" spans="1:18">
      <c r="A254" s="2" t="s">
        <v>826</v>
      </c>
      <c r="B254" s="2" t="s">
        <v>823</v>
      </c>
      <c r="C254" s="2" t="s">
        <v>817</v>
      </c>
      <c r="D254" s="2">
        <v>6443340.52</v>
      </c>
      <c r="E254" s="2">
        <v>1</v>
      </c>
      <c r="F254" s="3">
        <f>IF(COUNT(D254,E254)=2,D254*E254,NA())</f>
        <v>6443340.52</v>
      </c>
      <c r="G254" s="2" t="s">
        <v>50</v>
      </c>
      <c r="H254" s="2" t="s">
        <v>51</v>
      </c>
      <c r="I254" s="2" t="s">
        <v>52</v>
      </c>
      <c r="J254" s="2" t="s">
        <v>53</v>
      </c>
      <c r="K254" s="2"/>
      <c r="L254" s="2" t="s">
        <v>61</v>
      </c>
      <c r="M254" s="2" t="s">
        <v>55</v>
      </c>
      <c r="N254" s="2" t="s">
        <v>62</v>
      </c>
      <c r="O254" s="2" t="s">
        <v>57</v>
      </c>
      <c r="P254" s="2" t="s">
        <v>827</v>
      </c>
      <c r="Q254" s="2" t="s">
        <v>825</v>
      </c>
      <c r="R254" s="2"/>
    </row>
    <row r="255" spans="1:18">
      <c r="A255" s="2" t="s">
        <v>828</v>
      </c>
      <c r="B255" s="2" t="s">
        <v>829</v>
      </c>
      <c r="C255" s="2" t="s">
        <v>817</v>
      </c>
      <c r="D255" s="2">
        <v>17792864.1</v>
      </c>
      <c r="E255" s="2">
        <v>1</v>
      </c>
      <c r="F255" s="3">
        <f>IF(COUNT(D255,E255)=2,D255*E255,NA())</f>
        <v>17792864.1</v>
      </c>
      <c r="G255" s="2" t="s">
        <v>50</v>
      </c>
      <c r="H255" s="2" t="s">
        <v>51</v>
      </c>
      <c r="I255" s="2" t="s">
        <v>52</v>
      </c>
      <c r="J255" s="2" t="s">
        <v>53</v>
      </c>
      <c r="K255" s="2"/>
      <c r="L255" s="2" t="s">
        <v>61</v>
      </c>
      <c r="M255" s="2" t="s">
        <v>55</v>
      </c>
      <c r="N255" s="2" t="s">
        <v>62</v>
      </c>
      <c r="O255" s="2" t="s">
        <v>57</v>
      </c>
      <c r="P255" s="2" t="s">
        <v>830</v>
      </c>
      <c r="Q255" s="2" t="s">
        <v>831</v>
      </c>
      <c r="R255" s="2"/>
    </row>
    <row r="256" spans="1:18">
      <c r="A256" s="2" t="s">
        <v>832</v>
      </c>
      <c r="B256" s="2" t="s">
        <v>833</v>
      </c>
      <c r="C256" s="2" t="s">
        <v>817</v>
      </c>
      <c r="D256" s="2">
        <v>22530890.53</v>
      </c>
      <c r="E256" s="2">
        <v>1</v>
      </c>
      <c r="F256" s="3">
        <f>IF(COUNT(D256,E256)=2,D256*E256,NA())</f>
        <v>22530890.53</v>
      </c>
      <c r="G256" s="2" t="s">
        <v>50</v>
      </c>
      <c r="H256" s="2" t="s">
        <v>51</v>
      </c>
      <c r="I256" s="2" t="s">
        <v>52</v>
      </c>
      <c r="J256" s="2" t="s">
        <v>53</v>
      </c>
      <c r="K256" s="2"/>
      <c r="L256" s="2" t="s">
        <v>54</v>
      </c>
      <c r="M256" s="2" t="s">
        <v>55</v>
      </c>
      <c r="N256" s="2" t="s">
        <v>56</v>
      </c>
      <c r="O256" s="2" t="s">
        <v>57</v>
      </c>
      <c r="P256" s="2" t="s">
        <v>834</v>
      </c>
      <c r="Q256" s="2" t="s">
        <v>835</v>
      </c>
      <c r="R256" s="2"/>
    </row>
    <row r="257" spans="1:18">
      <c r="A257" s="2" t="s">
        <v>836</v>
      </c>
      <c r="B257" s="2" t="s">
        <v>833</v>
      </c>
      <c r="C257" s="2" t="s">
        <v>817</v>
      </c>
      <c r="D257" s="2">
        <v>14908045.35</v>
      </c>
      <c r="E257" s="2">
        <v>1</v>
      </c>
      <c r="F257" s="3">
        <f>IF(COUNT(D257,E257)=2,D257*E257,NA())</f>
        <v>14908045.35</v>
      </c>
      <c r="G257" s="2" t="s">
        <v>50</v>
      </c>
      <c r="H257" s="2" t="s">
        <v>51</v>
      </c>
      <c r="I257" s="2" t="s">
        <v>52</v>
      </c>
      <c r="J257" s="2" t="s">
        <v>53</v>
      </c>
      <c r="K257" s="2"/>
      <c r="L257" s="2" t="s">
        <v>61</v>
      </c>
      <c r="M257" s="2" t="s">
        <v>55</v>
      </c>
      <c r="N257" s="2" t="s">
        <v>62</v>
      </c>
      <c r="O257" s="2" t="s">
        <v>57</v>
      </c>
      <c r="P257" s="2" t="s">
        <v>837</v>
      </c>
      <c r="Q257" s="2" t="s">
        <v>835</v>
      </c>
      <c r="R257" s="2"/>
    </row>
    <row r="258" spans="1:18">
      <c r="A258" s="2" t="s">
        <v>838</v>
      </c>
      <c r="B258" s="2" t="s">
        <v>839</v>
      </c>
      <c r="C258" s="2" t="s">
        <v>817</v>
      </c>
      <c r="D258" s="2">
        <v>1803643.83</v>
      </c>
      <c r="E258" s="2">
        <v>1</v>
      </c>
      <c r="F258" s="3">
        <f>IF(COUNT(D258,E258)=2,D258*E258,NA())</f>
        <v>1803643.83</v>
      </c>
      <c r="G258" s="2" t="s">
        <v>50</v>
      </c>
      <c r="H258" s="2" t="s">
        <v>51</v>
      </c>
      <c r="I258" s="2" t="s">
        <v>52</v>
      </c>
      <c r="J258" s="2" t="s">
        <v>53</v>
      </c>
      <c r="K258" s="2"/>
      <c r="L258" s="2" t="s">
        <v>54</v>
      </c>
      <c r="M258" s="2" t="s">
        <v>55</v>
      </c>
      <c r="N258" s="2" t="s">
        <v>56</v>
      </c>
      <c r="O258" s="2" t="s">
        <v>57</v>
      </c>
      <c r="P258" s="2" t="s">
        <v>840</v>
      </c>
      <c r="Q258" s="2" t="s">
        <v>841</v>
      </c>
      <c r="R258" s="2"/>
    </row>
    <row r="259" spans="1:18">
      <c r="A259" s="2" t="s">
        <v>842</v>
      </c>
      <c r="B259" s="2" t="s">
        <v>839</v>
      </c>
      <c r="C259" s="2" t="s">
        <v>817</v>
      </c>
      <c r="D259" s="2">
        <v>10000000</v>
      </c>
      <c r="E259" s="2">
        <v>1</v>
      </c>
      <c r="F259" s="3">
        <f>IF(COUNT(D259,E259)=2,D259*E259,NA())</f>
        <v>10000000.0</v>
      </c>
      <c r="G259" s="2" t="s">
        <v>50</v>
      </c>
      <c r="H259" s="2" t="s">
        <v>51</v>
      </c>
      <c r="I259" s="2" t="s">
        <v>52</v>
      </c>
      <c r="J259" s="2" t="s">
        <v>53</v>
      </c>
      <c r="K259" s="2"/>
      <c r="L259" s="2" t="s">
        <v>61</v>
      </c>
      <c r="M259" s="2" t="s">
        <v>55</v>
      </c>
      <c r="N259" s="2" t="s">
        <v>62</v>
      </c>
      <c r="O259" s="2" t="s">
        <v>57</v>
      </c>
      <c r="P259" s="2" t="s">
        <v>843</v>
      </c>
      <c r="Q259" s="2" t="s">
        <v>841</v>
      </c>
      <c r="R259" s="2"/>
    </row>
    <row r="260" spans="1:18">
      <c r="A260" s="2" t="s">
        <v>844</v>
      </c>
      <c r="B260" s="2" t="s">
        <v>845</v>
      </c>
      <c r="C260" s="2" t="s">
        <v>817</v>
      </c>
      <c r="D260" s="2">
        <v>366141565.74</v>
      </c>
      <c r="E260" s="2">
        <v>1</v>
      </c>
      <c r="F260" s="3">
        <f>IF(COUNT(D260,E260)=2,D260*E260,NA())</f>
        <v>366141565.74</v>
      </c>
      <c r="G260" s="2" t="s">
        <v>50</v>
      </c>
      <c r="H260" s="2" t="s">
        <v>51</v>
      </c>
      <c r="I260" s="2" t="s">
        <v>52</v>
      </c>
      <c r="J260" s="2" t="s">
        <v>53</v>
      </c>
      <c r="K260" s="2"/>
      <c r="L260" s="2" t="s">
        <v>54</v>
      </c>
      <c r="M260" s="2" t="s">
        <v>55</v>
      </c>
      <c r="N260" s="2" t="s">
        <v>56</v>
      </c>
      <c r="O260" s="2" t="s">
        <v>57</v>
      </c>
      <c r="P260" s="2" t="s">
        <v>846</v>
      </c>
      <c r="Q260" s="2" t="s">
        <v>847</v>
      </c>
      <c r="R260" s="2"/>
    </row>
    <row r="261" spans="1:18">
      <c r="A261" s="2" t="s">
        <v>848</v>
      </c>
      <c r="B261" s="2" t="s">
        <v>845</v>
      </c>
      <c r="C261" s="2" t="s">
        <v>817</v>
      </c>
      <c r="D261" s="2">
        <v>289472862.3</v>
      </c>
      <c r="E261" s="2">
        <v>1</v>
      </c>
      <c r="F261" s="3">
        <f>IF(COUNT(D261,E261)=2,D261*E261,NA())</f>
        <v>289472862.3</v>
      </c>
      <c r="G261" s="2" t="s">
        <v>50</v>
      </c>
      <c r="H261" s="2" t="s">
        <v>51</v>
      </c>
      <c r="I261" s="2" t="s">
        <v>52</v>
      </c>
      <c r="J261" s="2" t="s">
        <v>53</v>
      </c>
      <c r="K261" s="2"/>
      <c r="L261" s="2" t="s">
        <v>61</v>
      </c>
      <c r="M261" s="2" t="s">
        <v>55</v>
      </c>
      <c r="N261" s="2" t="s">
        <v>62</v>
      </c>
      <c r="O261" s="2" t="s">
        <v>57</v>
      </c>
      <c r="P261" s="2" t="s">
        <v>849</v>
      </c>
      <c r="Q261" s="2" t="s">
        <v>847</v>
      </c>
      <c r="R261" s="2"/>
    </row>
    <row r="262" spans="1:18">
      <c r="A262" s="2" t="s">
        <v>850</v>
      </c>
      <c r="B262" s="2" t="s">
        <v>851</v>
      </c>
      <c r="C262" s="2" t="s">
        <v>817</v>
      </c>
      <c r="D262" s="2">
        <v>154949650.12</v>
      </c>
      <c r="E262" s="2">
        <v>1</v>
      </c>
      <c r="F262" s="3">
        <f>IF(COUNT(D262,E262)=2,D262*E262,NA())</f>
        <v>154949650.12</v>
      </c>
      <c r="G262" s="2" t="s">
        <v>50</v>
      </c>
      <c r="H262" s="2" t="s">
        <v>51</v>
      </c>
      <c r="I262" s="2" t="s">
        <v>52</v>
      </c>
      <c r="J262" s="2" t="s">
        <v>53</v>
      </c>
      <c r="K262" s="2"/>
      <c r="L262" s="2" t="s">
        <v>54</v>
      </c>
      <c r="M262" s="2" t="s">
        <v>55</v>
      </c>
      <c r="N262" s="2" t="s">
        <v>56</v>
      </c>
      <c r="O262" s="2" t="s">
        <v>57</v>
      </c>
      <c r="P262" s="2" t="s">
        <v>852</v>
      </c>
      <c r="Q262" s="2" t="s">
        <v>853</v>
      </c>
      <c r="R262" s="2"/>
    </row>
    <row r="263" spans="1:18">
      <c r="A263" s="2" t="s">
        <v>854</v>
      </c>
      <c r="B263" s="2" t="s">
        <v>851</v>
      </c>
      <c r="C263" s="2" t="s">
        <v>817</v>
      </c>
      <c r="D263" s="2">
        <v>194326552.6</v>
      </c>
      <c r="E263" s="2">
        <v>1</v>
      </c>
      <c r="F263" s="3">
        <f>IF(COUNT(D263,E263)=2,D263*E263,NA())</f>
        <v>194326552.6</v>
      </c>
      <c r="G263" s="2" t="s">
        <v>50</v>
      </c>
      <c r="H263" s="2" t="s">
        <v>51</v>
      </c>
      <c r="I263" s="2" t="s">
        <v>52</v>
      </c>
      <c r="J263" s="2" t="s">
        <v>53</v>
      </c>
      <c r="K263" s="2"/>
      <c r="L263" s="2" t="s">
        <v>61</v>
      </c>
      <c r="M263" s="2" t="s">
        <v>55</v>
      </c>
      <c r="N263" s="2" t="s">
        <v>62</v>
      </c>
      <c r="O263" s="2" t="s">
        <v>57</v>
      </c>
      <c r="P263" s="2" t="s">
        <v>855</v>
      </c>
      <c r="Q263" s="2" t="s">
        <v>853</v>
      </c>
      <c r="R263" s="2"/>
    </row>
    <row r="264" spans="1:18">
      <c r="A264" s="2" t="s">
        <v>856</v>
      </c>
      <c r="B264" s="2" t="s">
        <v>857</v>
      </c>
      <c r="C264" s="2" t="s">
        <v>858</v>
      </c>
      <c r="D264" s="2">
        <v>5161349798.41</v>
      </c>
      <c r="E264" s="2">
        <v>1</v>
      </c>
      <c r="F264" s="3">
        <f>IF(COUNT(D264,E264)=2,D264*E264,NA())</f>
        <v>5161349798.41</v>
      </c>
      <c r="G264" s="2" t="s">
        <v>50</v>
      </c>
      <c r="H264" s="2" t="s">
        <v>51</v>
      </c>
      <c r="I264" s="2" t="s">
        <v>52</v>
      </c>
      <c r="J264" s="2" t="s">
        <v>53</v>
      </c>
      <c r="K264" s="2"/>
      <c r="L264" s="2" t="s">
        <v>54</v>
      </c>
      <c r="M264" s="2" t="s">
        <v>55</v>
      </c>
      <c r="N264" s="2" t="s">
        <v>56</v>
      </c>
      <c r="O264" s="2" t="s">
        <v>57</v>
      </c>
      <c r="P264" s="2" t="s">
        <v>859</v>
      </c>
      <c r="Q264" s="2" t="s">
        <v>860</v>
      </c>
      <c r="R264" s="2"/>
    </row>
    <row r="265" spans="1:18">
      <c r="A265" s="2" t="s">
        <v>861</v>
      </c>
      <c r="B265" s="2" t="s">
        <v>857</v>
      </c>
      <c r="C265" s="2" t="s">
        <v>858</v>
      </c>
      <c r="D265" s="2">
        <v>5617470349.39</v>
      </c>
      <c r="E265" s="2">
        <v>1</v>
      </c>
      <c r="F265" s="3">
        <f>IF(COUNT(D265,E265)=2,D265*E265,NA())</f>
        <v>5617470349.39</v>
      </c>
      <c r="G265" s="2" t="s">
        <v>50</v>
      </c>
      <c r="H265" s="2" t="s">
        <v>51</v>
      </c>
      <c r="I265" s="2" t="s">
        <v>52</v>
      </c>
      <c r="J265" s="2" t="s">
        <v>53</v>
      </c>
      <c r="K265" s="2"/>
      <c r="L265" s="2" t="s">
        <v>61</v>
      </c>
      <c r="M265" s="2" t="s">
        <v>55</v>
      </c>
      <c r="N265" s="2" t="s">
        <v>62</v>
      </c>
      <c r="O265" s="2" t="s">
        <v>57</v>
      </c>
      <c r="P265" s="2" t="s">
        <v>862</v>
      </c>
      <c r="Q265" s="2" t="s">
        <v>860</v>
      </c>
      <c r="R265" s="2"/>
    </row>
    <row r="266" spans="1:18">
      <c r="A266" s="2" t="s">
        <v>863</v>
      </c>
      <c r="B266" s="2" t="s">
        <v>864</v>
      </c>
      <c r="C266" s="2" t="s">
        <v>858</v>
      </c>
      <c r="D266" s="2">
        <v>1866833839.21</v>
      </c>
      <c r="E266" s="2">
        <v>1</v>
      </c>
      <c r="F266" s="3">
        <f>IF(COUNT(D266,E266)=2,D266*E266,NA())</f>
        <v>1866833839.21</v>
      </c>
      <c r="G266" s="2" t="s">
        <v>50</v>
      </c>
      <c r="H266" s="2" t="s">
        <v>51</v>
      </c>
      <c r="I266" s="2" t="s">
        <v>52</v>
      </c>
      <c r="J266" s="2" t="s">
        <v>53</v>
      </c>
      <c r="K266" s="2"/>
      <c r="L266" s="2" t="s">
        <v>54</v>
      </c>
      <c r="M266" s="2" t="s">
        <v>55</v>
      </c>
      <c r="N266" s="2" t="s">
        <v>56</v>
      </c>
      <c r="O266" s="2" t="s">
        <v>57</v>
      </c>
      <c r="P266" s="2" t="s">
        <v>865</v>
      </c>
      <c r="Q266" s="2" t="s">
        <v>866</v>
      </c>
      <c r="R266" s="2"/>
    </row>
    <row r="267" spans="1:18">
      <c r="A267" s="2" t="s">
        <v>867</v>
      </c>
      <c r="B267" s="2" t="s">
        <v>864</v>
      </c>
      <c r="C267" s="2" t="s">
        <v>858</v>
      </c>
      <c r="D267" s="2">
        <v>1544676924.28</v>
      </c>
      <c r="E267" s="2">
        <v>1</v>
      </c>
      <c r="F267" s="3">
        <f>IF(COUNT(D267,E267)=2,D267*E267,NA())</f>
        <v>1544676924.28</v>
      </c>
      <c r="G267" s="2" t="s">
        <v>50</v>
      </c>
      <c r="H267" s="2" t="s">
        <v>51</v>
      </c>
      <c r="I267" s="2" t="s">
        <v>52</v>
      </c>
      <c r="J267" s="2" t="s">
        <v>53</v>
      </c>
      <c r="K267" s="2"/>
      <c r="L267" s="2" t="s">
        <v>61</v>
      </c>
      <c r="M267" s="2" t="s">
        <v>55</v>
      </c>
      <c r="N267" s="2" t="s">
        <v>62</v>
      </c>
      <c r="O267" s="2" t="s">
        <v>57</v>
      </c>
      <c r="P267" s="2" t="s">
        <v>868</v>
      </c>
      <c r="Q267" s="2" t="s">
        <v>866</v>
      </c>
      <c r="R267" s="2"/>
    </row>
    <row r="268" spans="1:18">
      <c r="A268" s="2" t="s">
        <v>869</v>
      </c>
      <c r="B268" s="2" t="s">
        <v>870</v>
      </c>
      <c r="C268" s="2" t="s">
        <v>858</v>
      </c>
      <c r="D268" s="2">
        <v>1670586320.58</v>
      </c>
      <c r="E268" s="2">
        <v>1</v>
      </c>
      <c r="F268" s="3">
        <f>IF(COUNT(D268,E268)=2,D268*E268,NA())</f>
        <v>1670586320.58</v>
      </c>
      <c r="G268" s="2" t="s">
        <v>50</v>
      </c>
      <c r="H268" s="2" t="s">
        <v>51</v>
      </c>
      <c r="I268" s="2" t="s">
        <v>52</v>
      </c>
      <c r="J268" s="2" t="s">
        <v>53</v>
      </c>
      <c r="K268" s="2"/>
      <c r="L268" s="2" t="s">
        <v>54</v>
      </c>
      <c r="M268" s="2" t="s">
        <v>55</v>
      </c>
      <c r="N268" s="2" t="s">
        <v>56</v>
      </c>
      <c r="O268" s="2" t="s">
        <v>57</v>
      </c>
      <c r="P268" s="2" t="s">
        <v>871</v>
      </c>
      <c r="Q268" s="2" t="s">
        <v>872</v>
      </c>
      <c r="R268" s="2"/>
    </row>
    <row r="269" spans="1:18">
      <c r="A269" s="2" t="s">
        <v>873</v>
      </c>
      <c r="B269" s="2" t="s">
        <v>870</v>
      </c>
      <c r="C269" s="2" t="s">
        <v>858</v>
      </c>
      <c r="D269" s="2">
        <v>2243552257.23</v>
      </c>
      <c r="E269" s="2">
        <v>1</v>
      </c>
      <c r="F269" s="3">
        <f>IF(COUNT(D269,E269)=2,D269*E269,NA())</f>
        <v>2243552257.23</v>
      </c>
      <c r="G269" s="2" t="s">
        <v>50</v>
      </c>
      <c r="H269" s="2" t="s">
        <v>51</v>
      </c>
      <c r="I269" s="2" t="s">
        <v>52</v>
      </c>
      <c r="J269" s="2" t="s">
        <v>53</v>
      </c>
      <c r="K269" s="2"/>
      <c r="L269" s="2" t="s">
        <v>61</v>
      </c>
      <c r="M269" s="2" t="s">
        <v>55</v>
      </c>
      <c r="N269" s="2" t="s">
        <v>62</v>
      </c>
      <c r="O269" s="2" t="s">
        <v>57</v>
      </c>
      <c r="P269" s="2" t="s">
        <v>874</v>
      </c>
      <c r="Q269" s="2" t="s">
        <v>872</v>
      </c>
      <c r="R269" s="2"/>
    </row>
    <row r="270" spans="1:18">
      <c r="A270" s="2" t="s">
        <v>875</v>
      </c>
      <c r="B270" s="2" t="s">
        <v>876</v>
      </c>
      <c r="C270" s="2" t="s">
        <v>858</v>
      </c>
      <c r="D270" s="2">
        <v>972390895.14</v>
      </c>
      <c r="E270" s="2">
        <v>1</v>
      </c>
      <c r="F270" s="3">
        <f>IF(COUNT(D270,E270)=2,D270*E270,NA())</f>
        <v>972390895.14</v>
      </c>
      <c r="G270" s="2" t="s">
        <v>50</v>
      </c>
      <c r="H270" s="2" t="s">
        <v>51</v>
      </c>
      <c r="I270" s="2" t="s">
        <v>52</v>
      </c>
      <c r="J270" s="2" t="s">
        <v>53</v>
      </c>
      <c r="K270" s="2"/>
      <c r="L270" s="2" t="s">
        <v>54</v>
      </c>
      <c r="M270" s="2" t="s">
        <v>55</v>
      </c>
      <c r="N270" s="2" t="s">
        <v>56</v>
      </c>
      <c r="O270" s="2" t="s">
        <v>57</v>
      </c>
      <c r="P270" s="2" t="s">
        <v>877</v>
      </c>
      <c r="Q270" s="2" t="s">
        <v>878</v>
      </c>
      <c r="R270" s="2"/>
    </row>
    <row r="271" spans="1:18">
      <c r="A271" s="2" t="s">
        <v>879</v>
      </c>
      <c r="B271" s="2" t="s">
        <v>876</v>
      </c>
      <c r="C271" s="2" t="s">
        <v>858</v>
      </c>
      <c r="D271" s="2">
        <v>1257375830.96</v>
      </c>
      <c r="E271" s="2">
        <v>1</v>
      </c>
      <c r="F271" s="3">
        <f>IF(COUNT(D271,E271)=2,D271*E271,NA())</f>
        <v>1257375830.96</v>
      </c>
      <c r="G271" s="2" t="s">
        <v>50</v>
      </c>
      <c r="H271" s="2" t="s">
        <v>51</v>
      </c>
      <c r="I271" s="2" t="s">
        <v>52</v>
      </c>
      <c r="J271" s="2" t="s">
        <v>53</v>
      </c>
      <c r="K271" s="2"/>
      <c r="L271" s="2" t="s">
        <v>61</v>
      </c>
      <c r="M271" s="2" t="s">
        <v>55</v>
      </c>
      <c r="N271" s="2" t="s">
        <v>62</v>
      </c>
      <c r="O271" s="2" t="s">
        <v>57</v>
      </c>
      <c r="P271" s="2" t="s">
        <v>880</v>
      </c>
      <c r="Q271" s="2" t="s">
        <v>878</v>
      </c>
      <c r="R271" s="2"/>
    </row>
    <row r="272" spans="1:18">
      <c r="A272" s="2" t="s">
        <v>881</v>
      </c>
      <c r="B272" s="2" t="s">
        <v>882</v>
      </c>
      <c r="C272" s="2" t="s">
        <v>858</v>
      </c>
      <c r="D272" s="2">
        <v>838045604.61</v>
      </c>
      <c r="E272" s="2">
        <v>1</v>
      </c>
      <c r="F272" s="3">
        <f>IF(COUNT(D272,E272)=2,D272*E272,NA())</f>
        <v>838045604.61</v>
      </c>
      <c r="G272" s="2" t="s">
        <v>50</v>
      </c>
      <c r="H272" s="2" t="s">
        <v>51</v>
      </c>
      <c r="I272" s="2" t="s">
        <v>52</v>
      </c>
      <c r="J272" s="2" t="s">
        <v>53</v>
      </c>
      <c r="K272" s="2"/>
      <c r="L272" s="2" t="s">
        <v>54</v>
      </c>
      <c r="M272" s="2" t="s">
        <v>55</v>
      </c>
      <c r="N272" s="2" t="s">
        <v>56</v>
      </c>
      <c r="O272" s="2" t="s">
        <v>57</v>
      </c>
      <c r="P272" s="2" t="s">
        <v>883</v>
      </c>
      <c r="Q272" s="2" t="s">
        <v>884</v>
      </c>
      <c r="R272" s="2"/>
    </row>
    <row r="273" spans="1:18">
      <c r="A273" s="2" t="s">
        <v>885</v>
      </c>
      <c r="B273" s="2" t="s">
        <v>882</v>
      </c>
      <c r="C273" s="2" t="s">
        <v>858</v>
      </c>
      <c r="D273" s="2">
        <v>780677482.95</v>
      </c>
      <c r="E273" s="2">
        <v>1</v>
      </c>
      <c r="F273" s="3">
        <f>IF(COUNT(D273,E273)=2,D273*E273,NA())</f>
        <v>780677482.95</v>
      </c>
      <c r="G273" s="2" t="s">
        <v>50</v>
      </c>
      <c r="H273" s="2" t="s">
        <v>51</v>
      </c>
      <c r="I273" s="2" t="s">
        <v>52</v>
      </c>
      <c r="J273" s="2" t="s">
        <v>53</v>
      </c>
      <c r="K273" s="2"/>
      <c r="L273" s="2" t="s">
        <v>61</v>
      </c>
      <c r="M273" s="2" t="s">
        <v>55</v>
      </c>
      <c r="N273" s="2" t="s">
        <v>62</v>
      </c>
      <c r="O273" s="2" t="s">
        <v>57</v>
      </c>
      <c r="P273" s="2" t="s">
        <v>886</v>
      </c>
      <c r="Q273" s="2" t="s">
        <v>884</v>
      </c>
      <c r="R273" s="2"/>
    </row>
    <row r="274" spans="1:18">
      <c r="A274" s="2" t="s">
        <v>887</v>
      </c>
      <c r="B274" s="2" t="s">
        <v>888</v>
      </c>
      <c r="C274" s="2" t="s">
        <v>858</v>
      </c>
      <c r="D274" s="2">
        <v>1680326978.08</v>
      </c>
      <c r="E274" s="2">
        <v>1</v>
      </c>
      <c r="F274" s="3">
        <f>IF(COUNT(D274,E274)=2,D274*E274,NA())</f>
        <v>1680326978.08</v>
      </c>
      <c r="G274" s="2" t="s">
        <v>50</v>
      </c>
      <c r="H274" s="2" t="s">
        <v>51</v>
      </c>
      <c r="I274" s="2" t="s">
        <v>52</v>
      </c>
      <c r="J274" s="2" t="s">
        <v>53</v>
      </c>
      <c r="K274" s="2"/>
      <c r="L274" s="2" t="s">
        <v>54</v>
      </c>
      <c r="M274" s="2" t="s">
        <v>55</v>
      </c>
      <c r="N274" s="2" t="s">
        <v>56</v>
      </c>
      <c r="O274" s="2" t="s">
        <v>57</v>
      </c>
      <c r="P274" s="2" t="s">
        <v>889</v>
      </c>
      <c r="Q274" s="2" t="s">
        <v>890</v>
      </c>
      <c r="R274" s="2"/>
    </row>
    <row r="275" spans="1:18">
      <c r="A275" s="2" t="s">
        <v>891</v>
      </c>
      <c r="B275" s="2" t="s">
        <v>888</v>
      </c>
      <c r="C275" s="2" t="s">
        <v>858</v>
      </c>
      <c r="D275" s="2">
        <v>1335864778.25</v>
      </c>
      <c r="E275" s="2">
        <v>1</v>
      </c>
      <c r="F275" s="3">
        <f>IF(COUNT(D275,E275)=2,D275*E275,NA())</f>
        <v>1335864778.25</v>
      </c>
      <c r="G275" s="2" t="s">
        <v>50</v>
      </c>
      <c r="H275" s="2" t="s">
        <v>51</v>
      </c>
      <c r="I275" s="2" t="s">
        <v>52</v>
      </c>
      <c r="J275" s="2" t="s">
        <v>53</v>
      </c>
      <c r="K275" s="2"/>
      <c r="L275" s="2" t="s">
        <v>61</v>
      </c>
      <c r="M275" s="2" t="s">
        <v>55</v>
      </c>
      <c r="N275" s="2" t="s">
        <v>62</v>
      </c>
      <c r="O275" s="2" t="s">
        <v>57</v>
      </c>
      <c r="P275" s="2" t="s">
        <v>892</v>
      </c>
      <c r="Q275" s="2" t="s">
        <v>890</v>
      </c>
      <c r="R275" s="2"/>
    </row>
    <row r="276" spans="1:18">
      <c r="A276" s="2" t="s">
        <v>893</v>
      </c>
      <c r="B276" s="2" t="s">
        <v>894</v>
      </c>
      <c r="C276" s="2" t="s">
        <v>858</v>
      </c>
      <c r="D276" s="2">
        <v>563243856.76</v>
      </c>
      <c r="E276" s="2">
        <v>1</v>
      </c>
      <c r="F276" s="3">
        <f>IF(COUNT(D276,E276)=2,D276*E276,NA())</f>
        <v>563243856.76</v>
      </c>
      <c r="G276" s="2" t="s">
        <v>50</v>
      </c>
      <c r="H276" s="2" t="s">
        <v>51</v>
      </c>
      <c r="I276" s="2" t="s">
        <v>52</v>
      </c>
      <c r="J276" s="2" t="s">
        <v>53</v>
      </c>
      <c r="K276" s="2"/>
      <c r="L276" s="2" t="s">
        <v>54</v>
      </c>
      <c r="M276" s="2" t="s">
        <v>55</v>
      </c>
      <c r="N276" s="2" t="s">
        <v>56</v>
      </c>
      <c r="O276" s="2" t="s">
        <v>57</v>
      </c>
      <c r="P276" s="2" t="s">
        <v>895</v>
      </c>
      <c r="Q276" s="2" t="s">
        <v>896</v>
      </c>
      <c r="R276" s="2"/>
    </row>
    <row r="277" spans="1:18">
      <c r="A277" s="2" t="s">
        <v>897</v>
      </c>
      <c r="B277" s="2" t="s">
        <v>894</v>
      </c>
      <c r="C277" s="2" t="s">
        <v>858</v>
      </c>
      <c r="D277" s="2">
        <v>759681301.65</v>
      </c>
      <c r="E277" s="2">
        <v>1</v>
      </c>
      <c r="F277" s="3">
        <f>IF(COUNT(D277,E277)=2,D277*E277,NA())</f>
        <v>759681301.65</v>
      </c>
      <c r="G277" s="2" t="s">
        <v>50</v>
      </c>
      <c r="H277" s="2" t="s">
        <v>51</v>
      </c>
      <c r="I277" s="2" t="s">
        <v>52</v>
      </c>
      <c r="J277" s="2" t="s">
        <v>53</v>
      </c>
      <c r="K277" s="2"/>
      <c r="L277" s="2" t="s">
        <v>61</v>
      </c>
      <c r="M277" s="2" t="s">
        <v>55</v>
      </c>
      <c r="N277" s="2" t="s">
        <v>62</v>
      </c>
      <c r="O277" s="2" t="s">
        <v>57</v>
      </c>
      <c r="P277" s="2" t="s">
        <v>898</v>
      </c>
      <c r="Q277" s="2" t="s">
        <v>896</v>
      </c>
      <c r="R277" s="2"/>
    </row>
    <row r="278" spans="1:18">
      <c r="A278" s="2" t="s">
        <v>899</v>
      </c>
      <c r="B278" s="2" t="s">
        <v>900</v>
      </c>
      <c r="C278" s="2" t="s">
        <v>858</v>
      </c>
      <c r="D278" s="2">
        <v>664850022.8099999</v>
      </c>
      <c r="E278" s="2">
        <v>1</v>
      </c>
      <c r="F278" s="3">
        <f>IF(COUNT(D278,E278)=2,D278*E278,NA())</f>
        <v>664850022.81</v>
      </c>
      <c r="G278" s="2" t="s">
        <v>50</v>
      </c>
      <c r="H278" s="2" t="s">
        <v>51</v>
      </c>
      <c r="I278" s="2" t="s">
        <v>52</v>
      </c>
      <c r="J278" s="2" t="s">
        <v>53</v>
      </c>
      <c r="K278" s="2"/>
      <c r="L278" s="2" t="s">
        <v>54</v>
      </c>
      <c r="M278" s="2" t="s">
        <v>55</v>
      </c>
      <c r="N278" s="2" t="s">
        <v>56</v>
      </c>
      <c r="O278" s="2" t="s">
        <v>57</v>
      </c>
      <c r="P278" s="2" t="s">
        <v>901</v>
      </c>
      <c r="Q278" s="2" t="s">
        <v>902</v>
      </c>
      <c r="R278" s="2"/>
    </row>
    <row r="279" spans="1:18">
      <c r="A279" s="2" t="s">
        <v>903</v>
      </c>
      <c r="B279" s="2" t="s">
        <v>900</v>
      </c>
      <c r="C279" s="2" t="s">
        <v>858</v>
      </c>
      <c r="D279" s="2">
        <v>373230996.58</v>
      </c>
      <c r="E279" s="2">
        <v>1</v>
      </c>
      <c r="F279" s="3">
        <f>IF(COUNT(D279,E279)=2,D279*E279,NA())</f>
        <v>373230996.58</v>
      </c>
      <c r="G279" s="2" t="s">
        <v>50</v>
      </c>
      <c r="H279" s="2" t="s">
        <v>51</v>
      </c>
      <c r="I279" s="2" t="s">
        <v>52</v>
      </c>
      <c r="J279" s="2" t="s">
        <v>53</v>
      </c>
      <c r="K279" s="2"/>
      <c r="L279" s="2" t="s">
        <v>61</v>
      </c>
      <c r="M279" s="2" t="s">
        <v>55</v>
      </c>
      <c r="N279" s="2" t="s">
        <v>62</v>
      </c>
      <c r="O279" s="2" t="s">
        <v>57</v>
      </c>
      <c r="P279" s="2" t="s">
        <v>904</v>
      </c>
      <c r="Q279" s="2" t="s">
        <v>902</v>
      </c>
      <c r="R279" s="2"/>
    </row>
    <row r="280" spans="1:18">
      <c r="A280" s="2" t="s">
        <v>905</v>
      </c>
      <c r="B280" s="2" t="s">
        <v>906</v>
      </c>
      <c r="C280" s="2" t="s">
        <v>858</v>
      </c>
      <c r="D280" s="2">
        <v>452233098.51</v>
      </c>
      <c r="E280" s="2">
        <v>1</v>
      </c>
      <c r="F280" s="3">
        <f>IF(COUNT(D280,E280)=2,D280*E280,NA())</f>
        <v>452233098.51</v>
      </c>
      <c r="G280" s="2" t="s">
        <v>50</v>
      </c>
      <c r="H280" s="2" t="s">
        <v>51</v>
      </c>
      <c r="I280" s="2" t="s">
        <v>52</v>
      </c>
      <c r="J280" s="2" t="s">
        <v>53</v>
      </c>
      <c r="K280" s="2"/>
      <c r="L280" s="2" t="s">
        <v>54</v>
      </c>
      <c r="M280" s="2" t="s">
        <v>55</v>
      </c>
      <c r="N280" s="2" t="s">
        <v>56</v>
      </c>
      <c r="O280" s="2" t="s">
        <v>57</v>
      </c>
      <c r="P280" s="2" t="s">
        <v>907</v>
      </c>
      <c r="Q280" s="2" t="s">
        <v>908</v>
      </c>
      <c r="R280" s="2"/>
    </row>
    <row r="281" spans="1:18">
      <c r="A281" s="2" t="s">
        <v>909</v>
      </c>
      <c r="B281" s="2" t="s">
        <v>906</v>
      </c>
      <c r="C281" s="2" t="s">
        <v>858</v>
      </c>
      <c r="D281" s="2">
        <v>202952480.02</v>
      </c>
      <c r="E281" s="2">
        <v>1</v>
      </c>
      <c r="F281" s="3">
        <f>IF(COUNT(D281,E281)=2,D281*E281,NA())</f>
        <v>202952480.02</v>
      </c>
      <c r="G281" s="2" t="s">
        <v>50</v>
      </c>
      <c r="H281" s="2" t="s">
        <v>51</v>
      </c>
      <c r="I281" s="2" t="s">
        <v>52</v>
      </c>
      <c r="J281" s="2" t="s">
        <v>53</v>
      </c>
      <c r="K281" s="2"/>
      <c r="L281" s="2" t="s">
        <v>61</v>
      </c>
      <c r="M281" s="2" t="s">
        <v>55</v>
      </c>
      <c r="N281" s="2" t="s">
        <v>62</v>
      </c>
      <c r="O281" s="2" t="s">
        <v>57</v>
      </c>
      <c r="P281" s="2" t="s">
        <v>910</v>
      </c>
      <c r="Q281" s="2" t="s">
        <v>908</v>
      </c>
      <c r="R281" s="2"/>
    </row>
    <row r="282" spans="1:18">
      <c r="A282" s="2" t="s">
        <v>911</v>
      </c>
      <c r="B282" s="2" t="s">
        <v>912</v>
      </c>
      <c r="C282" s="2" t="s">
        <v>858</v>
      </c>
      <c r="D282" s="2">
        <v>1153688108.46</v>
      </c>
      <c r="E282" s="2">
        <v>1</v>
      </c>
      <c r="F282" s="3">
        <f>IF(COUNT(D282,E282)=2,D282*E282,NA())</f>
        <v>1153688108.46</v>
      </c>
      <c r="G282" s="2" t="s">
        <v>50</v>
      </c>
      <c r="H282" s="2" t="s">
        <v>51</v>
      </c>
      <c r="I282" s="2" t="s">
        <v>52</v>
      </c>
      <c r="J282" s="2" t="s">
        <v>53</v>
      </c>
      <c r="K282" s="2"/>
      <c r="L282" s="2" t="s">
        <v>54</v>
      </c>
      <c r="M282" s="2" t="s">
        <v>55</v>
      </c>
      <c r="N282" s="2" t="s">
        <v>56</v>
      </c>
      <c r="O282" s="2" t="s">
        <v>57</v>
      </c>
      <c r="P282" s="2" t="s">
        <v>913</v>
      </c>
      <c r="Q282" s="2" t="s">
        <v>914</v>
      </c>
      <c r="R282" s="2"/>
    </row>
    <row r="283" spans="1:18">
      <c r="A283" s="2" t="s">
        <v>915</v>
      </c>
      <c r="B283" s="2" t="s">
        <v>912</v>
      </c>
      <c r="C283" s="2" t="s">
        <v>858</v>
      </c>
      <c r="D283" s="2">
        <v>1193876832.54</v>
      </c>
      <c r="E283" s="2">
        <v>1</v>
      </c>
      <c r="F283" s="3">
        <f>IF(COUNT(D283,E283)=2,D283*E283,NA())</f>
        <v>1193876832.54</v>
      </c>
      <c r="G283" s="2" t="s">
        <v>50</v>
      </c>
      <c r="H283" s="2" t="s">
        <v>51</v>
      </c>
      <c r="I283" s="2" t="s">
        <v>52</v>
      </c>
      <c r="J283" s="2" t="s">
        <v>53</v>
      </c>
      <c r="K283" s="2"/>
      <c r="L283" s="2" t="s">
        <v>61</v>
      </c>
      <c r="M283" s="2" t="s">
        <v>55</v>
      </c>
      <c r="N283" s="2" t="s">
        <v>62</v>
      </c>
      <c r="O283" s="2" t="s">
        <v>57</v>
      </c>
      <c r="P283" s="2" t="s">
        <v>916</v>
      </c>
      <c r="Q283" s="2" t="s">
        <v>914</v>
      </c>
      <c r="R283" s="2"/>
    </row>
    <row r="284" spans="1:18">
      <c r="A284" s="2" t="s">
        <v>917</v>
      </c>
      <c r="B284" s="2" t="s">
        <v>918</v>
      </c>
      <c r="C284" s="2" t="s">
        <v>858</v>
      </c>
      <c r="D284" s="2">
        <v>927278953.47</v>
      </c>
      <c r="E284" s="2">
        <v>1</v>
      </c>
      <c r="F284" s="3">
        <f>IF(COUNT(D284,E284)=2,D284*E284,NA())</f>
        <v>927278953.47</v>
      </c>
      <c r="G284" s="2" t="s">
        <v>50</v>
      </c>
      <c r="H284" s="2" t="s">
        <v>51</v>
      </c>
      <c r="I284" s="2" t="s">
        <v>52</v>
      </c>
      <c r="J284" s="2" t="s">
        <v>53</v>
      </c>
      <c r="K284" s="2"/>
      <c r="L284" s="2" t="s">
        <v>54</v>
      </c>
      <c r="M284" s="2" t="s">
        <v>55</v>
      </c>
      <c r="N284" s="2" t="s">
        <v>56</v>
      </c>
      <c r="O284" s="2" t="s">
        <v>57</v>
      </c>
      <c r="P284" s="2" t="s">
        <v>919</v>
      </c>
      <c r="Q284" s="2" t="s">
        <v>920</v>
      </c>
      <c r="R284" s="2"/>
    </row>
    <row r="285" spans="1:18">
      <c r="A285" s="2" t="s">
        <v>921</v>
      </c>
      <c r="B285" s="2" t="s">
        <v>918</v>
      </c>
      <c r="C285" s="2" t="s">
        <v>858</v>
      </c>
      <c r="D285" s="2">
        <v>756527141.5700001</v>
      </c>
      <c r="E285" s="2">
        <v>1</v>
      </c>
      <c r="F285" s="3">
        <f>IF(COUNT(D285,E285)=2,D285*E285,NA())</f>
        <v>756527141.57</v>
      </c>
      <c r="G285" s="2" t="s">
        <v>50</v>
      </c>
      <c r="H285" s="2" t="s">
        <v>51</v>
      </c>
      <c r="I285" s="2" t="s">
        <v>52</v>
      </c>
      <c r="J285" s="2" t="s">
        <v>53</v>
      </c>
      <c r="K285" s="2"/>
      <c r="L285" s="2" t="s">
        <v>61</v>
      </c>
      <c r="M285" s="2" t="s">
        <v>55</v>
      </c>
      <c r="N285" s="2" t="s">
        <v>62</v>
      </c>
      <c r="O285" s="2" t="s">
        <v>57</v>
      </c>
      <c r="P285" s="2" t="s">
        <v>922</v>
      </c>
      <c r="Q285" s="2" t="s">
        <v>920</v>
      </c>
      <c r="R285" s="2"/>
    </row>
    <row r="286" spans="1:18">
      <c r="A286" s="2" t="s">
        <v>923</v>
      </c>
      <c r="B286" s="2" t="s">
        <v>924</v>
      </c>
      <c r="C286" s="2" t="s">
        <v>858</v>
      </c>
      <c r="D286" s="2">
        <v>4007661689.95</v>
      </c>
      <c r="E286" s="2">
        <v>1</v>
      </c>
      <c r="F286" s="3">
        <f>IF(COUNT(D286,E286)=2,D286*E286,NA())</f>
        <v>4007661689.95</v>
      </c>
      <c r="G286" s="2" t="s">
        <v>50</v>
      </c>
      <c r="H286" s="2" t="s">
        <v>51</v>
      </c>
      <c r="I286" s="2" t="s">
        <v>52</v>
      </c>
      <c r="J286" s="2" t="s">
        <v>53</v>
      </c>
      <c r="K286" s="2"/>
      <c r="L286" s="2" t="s">
        <v>54</v>
      </c>
      <c r="M286" s="2" t="s">
        <v>55</v>
      </c>
      <c r="N286" s="2" t="s">
        <v>56</v>
      </c>
      <c r="O286" s="2" t="s">
        <v>57</v>
      </c>
      <c r="P286" s="2" t="s">
        <v>925</v>
      </c>
      <c r="Q286" s="2" t="s">
        <v>926</v>
      </c>
      <c r="R286" s="2"/>
    </row>
    <row r="287" spans="1:18">
      <c r="A287" s="2" t="s">
        <v>927</v>
      </c>
      <c r="B287" s="2" t="s">
        <v>924</v>
      </c>
      <c r="C287" s="2" t="s">
        <v>858</v>
      </c>
      <c r="D287" s="2">
        <v>4423593516.85</v>
      </c>
      <c r="E287" s="2">
        <v>1</v>
      </c>
      <c r="F287" s="3">
        <f>IF(COUNT(D287,E287)=2,D287*E287,NA())</f>
        <v>4423593516.85</v>
      </c>
      <c r="G287" s="2" t="s">
        <v>50</v>
      </c>
      <c r="H287" s="2" t="s">
        <v>51</v>
      </c>
      <c r="I287" s="2" t="s">
        <v>52</v>
      </c>
      <c r="J287" s="2" t="s">
        <v>53</v>
      </c>
      <c r="K287" s="2"/>
      <c r="L287" s="2" t="s">
        <v>61</v>
      </c>
      <c r="M287" s="2" t="s">
        <v>55</v>
      </c>
      <c r="N287" s="2" t="s">
        <v>62</v>
      </c>
      <c r="O287" s="2" t="s">
        <v>57</v>
      </c>
      <c r="P287" s="2" t="s">
        <v>928</v>
      </c>
      <c r="Q287" s="2" t="s">
        <v>926</v>
      </c>
      <c r="R287" s="2"/>
    </row>
    <row r="288" spans="1:18">
      <c r="A288" s="2" t="s">
        <v>929</v>
      </c>
      <c r="B288" s="2" t="s">
        <v>930</v>
      </c>
      <c r="C288" s="2" t="s">
        <v>858</v>
      </c>
      <c r="D288" s="2">
        <v>939554885.74</v>
      </c>
      <c r="E288" s="2">
        <v>1</v>
      </c>
      <c r="F288" s="3">
        <f>IF(COUNT(D288,E288)=2,D288*E288,NA())</f>
        <v>939554885.74</v>
      </c>
      <c r="G288" s="2" t="s">
        <v>50</v>
      </c>
      <c r="H288" s="2" t="s">
        <v>51</v>
      </c>
      <c r="I288" s="2" t="s">
        <v>52</v>
      </c>
      <c r="J288" s="2" t="s">
        <v>53</v>
      </c>
      <c r="K288" s="2"/>
      <c r="L288" s="2" t="s">
        <v>54</v>
      </c>
      <c r="M288" s="2" t="s">
        <v>55</v>
      </c>
      <c r="N288" s="2" t="s">
        <v>56</v>
      </c>
      <c r="O288" s="2" t="s">
        <v>57</v>
      </c>
      <c r="P288" s="2" t="s">
        <v>931</v>
      </c>
      <c r="Q288" s="2" t="s">
        <v>932</v>
      </c>
      <c r="R288" s="2"/>
    </row>
    <row r="289" spans="1:18">
      <c r="A289" s="2" t="s">
        <v>933</v>
      </c>
      <c r="B289" s="2" t="s">
        <v>930</v>
      </c>
      <c r="C289" s="2" t="s">
        <v>858</v>
      </c>
      <c r="D289" s="2">
        <v>788149782.71</v>
      </c>
      <c r="E289" s="2">
        <v>1</v>
      </c>
      <c r="F289" s="3">
        <f>IF(COUNT(D289,E289)=2,D289*E289,NA())</f>
        <v>788149782.71</v>
      </c>
      <c r="G289" s="2" t="s">
        <v>50</v>
      </c>
      <c r="H289" s="2" t="s">
        <v>51</v>
      </c>
      <c r="I289" s="2" t="s">
        <v>52</v>
      </c>
      <c r="J289" s="2" t="s">
        <v>53</v>
      </c>
      <c r="K289" s="2"/>
      <c r="L289" s="2" t="s">
        <v>61</v>
      </c>
      <c r="M289" s="2" t="s">
        <v>55</v>
      </c>
      <c r="N289" s="2" t="s">
        <v>62</v>
      </c>
      <c r="O289" s="2" t="s">
        <v>57</v>
      </c>
      <c r="P289" s="2" t="s">
        <v>934</v>
      </c>
      <c r="Q289" s="2" t="s">
        <v>932</v>
      </c>
      <c r="R289" s="2"/>
    </row>
    <row r="290" spans="1:18">
      <c r="A290" s="2" t="s">
        <v>935</v>
      </c>
      <c r="B290" s="2" t="s">
        <v>936</v>
      </c>
      <c r="C290" s="2" t="s">
        <v>937</v>
      </c>
      <c r="D290" s="2">
        <v>503173450.39</v>
      </c>
      <c r="E290" s="2">
        <v>1</v>
      </c>
      <c r="F290" s="3">
        <f>IF(COUNT(D290,E290)=2,D290*E290,NA())</f>
        <v>503173450.39</v>
      </c>
      <c r="G290" s="2" t="s">
        <v>50</v>
      </c>
      <c r="H290" s="2" t="s">
        <v>51</v>
      </c>
      <c r="I290" s="2" t="s">
        <v>52</v>
      </c>
      <c r="J290" s="2" t="s">
        <v>53</v>
      </c>
      <c r="K290" s="2"/>
      <c r="L290" s="2" t="s">
        <v>54</v>
      </c>
      <c r="M290" s="2" t="s">
        <v>55</v>
      </c>
      <c r="N290" s="2" t="s">
        <v>56</v>
      </c>
      <c r="O290" s="2" t="s">
        <v>57</v>
      </c>
      <c r="P290" s="2" t="s">
        <v>938</v>
      </c>
      <c r="Q290" s="2" t="s">
        <v>939</v>
      </c>
      <c r="R290" s="2"/>
    </row>
    <row r="291" spans="1:18">
      <c r="A291" s="2" t="s">
        <v>940</v>
      </c>
      <c r="B291" s="2" t="s">
        <v>936</v>
      </c>
      <c r="C291" s="2" t="s">
        <v>937</v>
      </c>
      <c r="D291" s="2">
        <v>454998441.29</v>
      </c>
      <c r="E291" s="2">
        <v>1</v>
      </c>
      <c r="F291" s="3">
        <f>IF(COUNT(D291,E291)=2,D291*E291,NA())</f>
        <v>454998441.29</v>
      </c>
      <c r="G291" s="2" t="s">
        <v>50</v>
      </c>
      <c r="H291" s="2" t="s">
        <v>51</v>
      </c>
      <c r="I291" s="2" t="s">
        <v>52</v>
      </c>
      <c r="J291" s="2" t="s">
        <v>53</v>
      </c>
      <c r="K291" s="2"/>
      <c r="L291" s="2" t="s">
        <v>61</v>
      </c>
      <c r="M291" s="2" t="s">
        <v>55</v>
      </c>
      <c r="N291" s="2" t="s">
        <v>62</v>
      </c>
      <c r="O291" s="2" t="s">
        <v>57</v>
      </c>
      <c r="P291" s="2" t="s">
        <v>941</v>
      </c>
      <c r="Q291" s="2" t="s">
        <v>939</v>
      </c>
      <c r="R291" s="2"/>
    </row>
    <row r="292" spans="1:18">
      <c r="A292" s="2" t="s">
        <v>942</v>
      </c>
      <c r="B292" s="2" t="s">
        <v>943</v>
      </c>
      <c r="C292" s="2" t="s">
        <v>937</v>
      </c>
      <c r="D292" s="2">
        <v>111870860.48</v>
      </c>
      <c r="E292" s="2">
        <v>1</v>
      </c>
      <c r="F292" s="3">
        <f>IF(COUNT(D292,E292)=2,D292*E292,NA())</f>
        <v>111870860.48</v>
      </c>
      <c r="G292" s="2" t="s">
        <v>50</v>
      </c>
      <c r="H292" s="2" t="s">
        <v>51</v>
      </c>
      <c r="I292" s="2" t="s">
        <v>52</v>
      </c>
      <c r="J292" s="2" t="s">
        <v>53</v>
      </c>
      <c r="K292" s="2"/>
      <c r="L292" s="2" t="s">
        <v>54</v>
      </c>
      <c r="M292" s="2" t="s">
        <v>55</v>
      </c>
      <c r="N292" s="2" t="s">
        <v>56</v>
      </c>
      <c r="O292" s="2" t="s">
        <v>57</v>
      </c>
      <c r="P292" s="2" t="s">
        <v>944</v>
      </c>
      <c r="Q292" s="2" t="s">
        <v>945</v>
      </c>
      <c r="R292" s="2"/>
    </row>
    <row r="293" spans="1:18">
      <c r="A293" s="2" t="s">
        <v>946</v>
      </c>
      <c r="B293" s="2" t="s">
        <v>943</v>
      </c>
      <c r="C293" s="2" t="s">
        <v>937</v>
      </c>
      <c r="D293" s="2">
        <v>80000520.65000001</v>
      </c>
      <c r="E293" s="2">
        <v>1</v>
      </c>
      <c r="F293" s="3">
        <f>IF(COUNT(D293,E293)=2,D293*E293,NA())</f>
        <v>80000520.65</v>
      </c>
      <c r="G293" s="2" t="s">
        <v>50</v>
      </c>
      <c r="H293" s="2" t="s">
        <v>51</v>
      </c>
      <c r="I293" s="2" t="s">
        <v>52</v>
      </c>
      <c r="J293" s="2" t="s">
        <v>53</v>
      </c>
      <c r="K293" s="2"/>
      <c r="L293" s="2" t="s">
        <v>61</v>
      </c>
      <c r="M293" s="2" t="s">
        <v>55</v>
      </c>
      <c r="N293" s="2" t="s">
        <v>62</v>
      </c>
      <c r="O293" s="2" t="s">
        <v>57</v>
      </c>
      <c r="P293" s="2" t="s">
        <v>947</v>
      </c>
      <c r="Q293" s="2" t="s">
        <v>945</v>
      </c>
      <c r="R293" s="2"/>
    </row>
    <row r="294" spans="1:18">
      <c r="A294" s="2" t="s">
        <v>948</v>
      </c>
      <c r="B294" s="2" t="s">
        <v>949</v>
      </c>
      <c r="C294" s="2" t="s">
        <v>937</v>
      </c>
      <c r="D294" s="2">
        <v>95494156.15000001</v>
      </c>
      <c r="E294" s="2">
        <v>1</v>
      </c>
      <c r="F294" s="3">
        <f>IF(COUNT(D294,E294)=2,D294*E294,NA())</f>
        <v>95494156.15</v>
      </c>
      <c r="G294" s="2" t="s">
        <v>50</v>
      </c>
      <c r="H294" s="2" t="s">
        <v>51</v>
      </c>
      <c r="I294" s="2" t="s">
        <v>52</v>
      </c>
      <c r="J294" s="2" t="s">
        <v>53</v>
      </c>
      <c r="K294" s="2"/>
      <c r="L294" s="2" t="s">
        <v>54</v>
      </c>
      <c r="M294" s="2" t="s">
        <v>55</v>
      </c>
      <c r="N294" s="2" t="s">
        <v>56</v>
      </c>
      <c r="O294" s="2" t="s">
        <v>57</v>
      </c>
      <c r="P294" s="2" t="s">
        <v>950</v>
      </c>
      <c r="Q294" s="2" t="s">
        <v>951</v>
      </c>
      <c r="R294" s="2"/>
    </row>
    <row r="295" spans="1:18">
      <c r="A295" s="2" t="s">
        <v>952</v>
      </c>
      <c r="B295" s="2" t="s">
        <v>949</v>
      </c>
      <c r="C295" s="2" t="s">
        <v>937</v>
      </c>
      <c r="D295" s="2">
        <v>99066645.90000001</v>
      </c>
      <c r="E295" s="2">
        <v>1</v>
      </c>
      <c r="F295" s="3">
        <f>IF(COUNT(D295,E295)=2,D295*E295,NA())</f>
        <v>99066645.9</v>
      </c>
      <c r="G295" s="2" t="s">
        <v>50</v>
      </c>
      <c r="H295" s="2" t="s">
        <v>51</v>
      </c>
      <c r="I295" s="2" t="s">
        <v>52</v>
      </c>
      <c r="J295" s="2" t="s">
        <v>53</v>
      </c>
      <c r="K295" s="2"/>
      <c r="L295" s="2" t="s">
        <v>61</v>
      </c>
      <c r="M295" s="2" t="s">
        <v>55</v>
      </c>
      <c r="N295" s="2" t="s">
        <v>62</v>
      </c>
      <c r="O295" s="2" t="s">
        <v>57</v>
      </c>
      <c r="P295" s="2" t="s">
        <v>953</v>
      </c>
      <c r="Q295" s="2" t="s">
        <v>951</v>
      </c>
      <c r="R295" s="2"/>
    </row>
    <row r="296" spans="1:18">
      <c r="A296" s="2" t="s">
        <v>954</v>
      </c>
      <c r="B296" s="2" t="s">
        <v>955</v>
      </c>
      <c r="C296" s="2" t="s">
        <v>937</v>
      </c>
      <c r="D296" s="2">
        <v>11656472.34</v>
      </c>
      <c r="E296" s="2">
        <v>1</v>
      </c>
      <c r="F296" s="3">
        <f>IF(COUNT(D296,E296)=2,D296*E296,NA())</f>
        <v>11656472.34</v>
      </c>
      <c r="G296" s="2" t="s">
        <v>50</v>
      </c>
      <c r="H296" s="2" t="s">
        <v>51</v>
      </c>
      <c r="I296" s="2" t="s">
        <v>52</v>
      </c>
      <c r="J296" s="2" t="s">
        <v>53</v>
      </c>
      <c r="K296" s="2"/>
      <c r="L296" s="2" t="s">
        <v>54</v>
      </c>
      <c r="M296" s="2" t="s">
        <v>55</v>
      </c>
      <c r="N296" s="2" t="s">
        <v>56</v>
      </c>
      <c r="O296" s="2" t="s">
        <v>57</v>
      </c>
      <c r="P296" s="2" t="s">
        <v>956</v>
      </c>
      <c r="Q296" s="2" t="s">
        <v>957</v>
      </c>
      <c r="R296" s="2"/>
    </row>
    <row r="297" spans="1:18">
      <c r="A297" s="2" t="s">
        <v>958</v>
      </c>
      <c r="B297" s="2" t="s">
        <v>955</v>
      </c>
      <c r="C297" s="2" t="s">
        <v>937</v>
      </c>
      <c r="D297" s="2">
        <v>10325705.75</v>
      </c>
      <c r="E297" s="2">
        <v>1</v>
      </c>
      <c r="F297" s="3">
        <f>IF(COUNT(D297,E297)=2,D297*E297,NA())</f>
        <v>10325705.75</v>
      </c>
      <c r="G297" s="2" t="s">
        <v>50</v>
      </c>
      <c r="H297" s="2" t="s">
        <v>51</v>
      </c>
      <c r="I297" s="2" t="s">
        <v>52</v>
      </c>
      <c r="J297" s="2" t="s">
        <v>53</v>
      </c>
      <c r="K297" s="2"/>
      <c r="L297" s="2" t="s">
        <v>61</v>
      </c>
      <c r="M297" s="2" t="s">
        <v>55</v>
      </c>
      <c r="N297" s="2" t="s">
        <v>62</v>
      </c>
      <c r="O297" s="2" t="s">
        <v>57</v>
      </c>
      <c r="P297" s="2" t="s">
        <v>959</v>
      </c>
      <c r="Q297" s="2" t="s">
        <v>957</v>
      </c>
      <c r="R297" s="2"/>
    </row>
    <row r="298" spans="1:18">
      <c r="A298" s="2" t="s">
        <v>960</v>
      </c>
      <c r="B298" s="2" t="s">
        <v>961</v>
      </c>
      <c r="C298" s="2" t="s">
        <v>937</v>
      </c>
      <c r="D298" s="2">
        <v>83837683.81</v>
      </c>
      <c r="E298" s="2">
        <v>1</v>
      </c>
      <c r="F298" s="3">
        <f>IF(COUNT(D298,E298)=2,D298*E298,NA())</f>
        <v>83837683.81</v>
      </c>
      <c r="G298" s="2" t="s">
        <v>50</v>
      </c>
      <c r="H298" s="2" t="s">
        <v>51</v>
      </c>
      <c r="I298" s="2" t="s">
        <v>52</v>
      </c>
      <c r="J298" s="2" t="s">
        <v>53</v>
      </c>
      <c r="K298" s="2"/>
      <c r="L298" s="2" t="s">
        <v>54</v>
      </c>
      <c r="M298" s="2" t="s">
        <v>55</v>
      </c>
      <c r="N298" s="2" t="s">
        <v>56</v>
      </c>
      <c r="O298" s="2" t="s">
        <v>57</v>
      </c>
      <c r="P298" s="2" t="s">
        <v>962</v>
      </c>
      <c r="Q298" s="2" t="s">
        <v>963</v>
      </c>
      <c r="R298" s="2"/>
    </row>
    <row r="299" spans="1:18">
      <c r="A299" s="2" t="s">
        <v>964</v>
      </c>
      <c r="B299" s="2" t="s">
        <v>961</v>
      </c>
      <c r="C299" s="2" t="s">
        <v>937</v>
      </c>
      <c r="D299" s="2">
        <v>88740940.15000001</v>
      </c>
      <c r="E299" s="2">
        <v>1</v>
      </c>
      <c r="F299" s="3">
        <f>IF(COUNT(D299,E299)=2,D299*E299,NA())</f>
        <v>88740940.15</v>
      </c>
      <c r="G299" s="2" t="s">
        <v>50</v>
      </c>
      <c r="H299" s="2" t="s">
        <v>51</v>
      </c>
      <c r="I299" s="2" t="s">
        <v>52</v>
      </c>
      <c r="J299" s="2" t="s">
        <v>53</v>
      </c>
      <c r="K299" s="2"/>
      <c r="L299" s="2" t="s">
        <v>61</v>
      </c>
      <c r="M299" s="2" t="s">
        <v>55</v>
      </c>
      <c r="N299" s="2" t="s">
        <v>62</v>
      </c>
      <c r="O299" s="2" t="s">
        <v>57</v>
      </c>
      <c r="P299" s="2" t="s">
        <v>965</v>
      </c>
      <c r="Q299" s="2" t="s">
        <v>963</v>
      </c>
      <c r="R299" s="2"/>
    </row>
    <row r="300" spans="1:18">
      <c r="A300" s="2" t="s">
        <v>966</v>
      </c>
      <c r="B300" s="2" t="s">
        <v>967</v>
      </c>
      <c r="C300" s="2" t="s">
        <v>937</v>
      </c>
      <c r="D300" s="2">
        <v>598667606.54</v>
      </c>
      <c r="E300" s="2">
        <v>1</v>
      </c>
      <c r="F300" s="3">
        <f>IF(COUNT(D300,E300)=2,D300*E300,NA())</f>
        <v>598667606.54</v>
      </c>
      <c r="G300" s="2" t="s">
        <v>50</v>
      </c>
      <c r="H300" s="2" t="s">
        <v>51</v>
      </c>
      <c r="I300" s="2" t="s">
        <v>52</v>
      </c>
      <c r="J300" s="2" t="s">
        <v>53</v>
      </c>
      <c r="K300" s="2"/>
      <c r="L300" s="2" t="s">
        <v>54</v>
      </c>
      <c r="M300" s="2" t="s">
        <v>55</v>
      </c>
      <c r="N300" s="2" t="s">
        <v>56</v>
      </c>
      <c r="O300" s="2" t="s">
        <v>57</v>
      </c>
      <c r="P300" s="2" t="s">
        <v>968</v>
      </c>
      <c r="Q300" s="2" t="s">
        <v>969</v>
      </c>
      <c r="R300" s="2"/>
    </row>
    <row r="301" spans="1:18">
      <c r="A301" s="2" t="s">
        <v>970</v>
      </c>
      <c r="B301" s="2" t="s">
        <v>967</v>
      </c>
      <c r="C301" s="2" t="s">
        <v>937</v>
      </c>
      <c r="D301" s="2">
        <v>554065087.1900001</v>
      </c>
      <c r="E301" s="2">
        <v>1</v>
      </c>
      <c r="F301" s="3">
        <f>IF(COUNT(D301,E301)=2,D301*E301,NA())</f>
        <v>554065087.19</v>
      </c>
      <c r="G301" s="2" t="s">
        <v>50</v>
      </c>
      <c r="H301" s="2" t="s">
        <v>51</v>
      </c>
      <c r="I301" s="2" t="s">
        <v>52</v>
      </c>
      <c r="J301" s="2" t="s">
        <v>53</v>
      </c>
      <c r="K301" s="2"/>
      <c r="L301" s="2" t="s">
        <v>61</v>
      </c>
      <c r="M301" s="2" t="s">
        <v>55</v>
      </c>
      <c r="N301" s="2" t="s">
        <v>62</v>
      </c>
      <c r="O301" s="2" t="s">
        <v>57</v>
      </c>
      <c r="P301" s="2" t="s">
        <v>971</v>
      </c>
      <c r="Q301" s="2" t="s">
        <v>969</v>
      </c>
      <c r="R301" s="2"/>
    </row>
    <row r="302" spans="1:18">
      <c r="A302" s="2" t="s">
        <v>972</v>
      </c>
      <c r="B302" s="2" t="s">
        <v>973</v>
      </c>
      <c r="C302" s="2" t="s">
        <v>937</v>
      </c>
      <c r="D302" s="2">
        <v>123527332.82</v>
      </c>
      <c r="E302" s="2">
        <v>1</v>
      </c>
      <c r="F302" s="3">
        <f>IF(COUNT(D302,E302)=2,D302*E302,NA())</f>
        <v>123527332.82</v>
      </c>
      <c r="G302" s="2" t="s">
        <v>50</v>
      </c>
      <c r="H302" s="2" t="s">
        <v>51</v>
      </c>
      <c r="I302" s="2" t="s">
        <v>52</v>
      </c>
      <c r="J302" s="2" t="s">
        <v>53</v>
      </c>
      <c r="K302" s="2"/>
      <c r="L302" s="2" t="s">
        <v>54</v>
      </c>
      <c r="M302" s="2" t="s">
        <v>55</v>
      </c>
      <c r="N302" s="2" t="s">
        <v>56</v>
      </c>
      <c r="O302" s="2" t="s">
        <v>57</v>
      </c>
      <c r="P302" s="2" t="s">
        <v>974</v>
      </c>
      <c r="Q302" s="2" t="s">
        <v>975</v>
      </c>
      <c r="R302" s="2"/>
    </row>
    <row r="303" spans="1:18">
      <c r="A303" s="2" t="s">
        <v>976</v>
      </c>
      <c r="B303" s="2" t="s">
        <v>973</v>
      </c>
      <c r="C303" s="2" t="s">
        <v>937</v>
      </c>
      <c r="D303" s="2">
        <v>90326226.40000001</v>
      </c>
      <c r="E303" s="2">
        <v>1</v>
      </c>
      <c r="F303" s="3">
        <f>IF(COUNT(D303,E303)=2,D303*E303,NA())</f>
        <v>90326226.4</v>
      </c>
      <c r="G303" s="2" t="s">
        <v>50</v>
      </c>
      <c r="H303" s="2" t="s">
        <v>51</v>
      </c>
      <c r="I303" s="2" t="s">
        <v>52</v>
      </c>
      <c r="J303" s="2" t="s">
        <v>53</v>
      </c>
      <c r="K303" s="2"/>
      <c r="L303" s="2" t="s">
        <v>61</v>
      </c>
      <c r="M303" s="2" t="s">
        <v>55</v>
      </c>
      <c r="N303" s="2" t="s">
        <v>62</v>
      </c>
      <c r="O303" s="2" t="s">
        <v>57</v>
      </c>
      <c r="P303" s="2" t="s">
        <v>977</v>
      </c>
      <c r="Q303" s="2" t="s">
        <v>975</v>
      </c>
      <c r="R303" s="2"/>
    </row>
    <row r="304" spans="1:18">
      <c r="A304" s="2" t="s">
        <v>978</v>
      </c>
      <c r="B304" s="2" t="s">
        <v>979</v>
      </c>
      <c r="C304" s="2" t="s">
        <v>980</v>
      </c>
      <c r="D304" s="2">
        <v>625926809.46</v>
      </c>
      <c r="E304" s="2">
        <v>1</v>
      </c>
      <c r="F304" s="3">
        <f>IF(COUNT(D304,E304)=2,D304*E304,NA())</f>
        <v>625926809.46</v>
      </c>
      <c r="G304" s="2" t="s">
        <v>50</v>
      </c>
      <c r="H304" s="2" t="s">
        <v>51</v>
      </c>
      <c r="I304" s="2" t="s">
        <v>52</v>
      </c>
      <c r="J304" s="2" t="s">
        <v>53</v>
      </c>
      <c r="K304" s="2"/>
      <c r="L304" s="2" t="s">
        <v>54</v>
      </c>
      <c r="M304" s="2" t="s">
        <v>55</v>
      </c>
      <c r="N304" s="2" t="s">
        <v>56</v>
      </c>
      <c r="O304" s="2" t="s">
        <v>57</v>
      </c>
      <c r="P304" s="2" t="s">
        <v>981</v>
      </c>
      <c r="Q304" s="2" t="s">
        <v>982</v>
      </c>
      <c r="R304" s="2"/>
    </row>
    <row r="305" spans="1:18">
      <c r="A305" s="2" t="s">
        <v>983</v>
      </c>
      <c r="B305" s="2" t="s">
        <v>979</v>
      </c>
      <c r="C305" s="2" t="s">
        <v>980</v>
      </c>
      <c r="D305" s="2">
        <v>482940460</v>
      </c>
      <c r="E305" s="2">
        <v>1</v>
      </c>
      <c r="F305" s="3">
        <f>IF(COUNT(D305,E305)=2,D305*E305,NA())</f>
        <v>482940460.0</v>
      </c>
      <c r="G305" s="2" t="s">
        <v>50</v>
      </c>
      <c r="H305" s="2" t="s">
        <v>51</v>
      </c>
      <c r="I305" s="2" t="s">
        <v>52</v>
      </c>
      <c r="J305" s="2" t="s">
        <v>53</v>
      </c>
      <c r="K305" s="2"/>
      <c r="L305" s="2" t="s">
        <v>61</v>
      </c>
      <c r="M305" s="2" t="s">
        <v>55</v>
      </c>
      <c r="N305" s="2" t="s">
        <v>62</v>
      </c>
      <c r="O305" s="2" t="s">
        <v>57</v>
      </c>
      <c r="P305" s="2" t="s">
        <v>984</v>
      </c>
      <c r="Q305" s="2" t="s">
        <v>982</v>
      </c>
      <c r="R305" s="2"/>
    </row>
    <row r="306" spans="1:18">
      <c r="A306" s="2" t="s">
        <v>985</v>
      </c>
      <c r="B306" s="2" t="s">
        <v>986</v>
      </c>
      <c r="C306" s="2" t="s">
        <v>980</v>
      </c>
      <c r="D306" s="2">
        <v>286261649.71</v>
      </c>
      <c r="E306" s="2">
        <v>1</v>
      </c>
      <c r="F306" s="3">
        <f>IF(COUNT(D306,E306)=2,D306*E306,NA())</f>
        <v>286261649.71</v>
      </c>
      <c r="G306" s="2" t="s">
        <v>50</v>
      </c>
      <c r="H306" s="2" t="s">
        <v>51</v>
      </c>
      <c r="I306" s="2" t="s">
        <v>52</v>
      </c>
      <c r="J306" s="2" t="s">
        <v>53</v>
      </c>
      <c r="K306" s="2"/>
      <c r="L306" s="2" t="s">
        <v>54</v>
      </c>
      <c r="M306" s="2" t="s">
        <v>55</v>
      </c>
      <c r="N306" s="2" t="s">
        <v>56</v>
      </c>
      <c r="O306" s="2" t="s">
        <v>57</v>
      </c>
      <c r="P306" s="2" t="s">
        <v>987</v>
      </c>
      <c r="Q306" s="2" t="s">
        <v>988</v>
      </c>
      <c r="R306" s="2"/>
    </row>
    <row r="307" spans="1:18">
      <c r="A307" s="2" t="s">
        <v>989</v>
      </c>
      <c r="B307" s="2" t="s">
        <v>986</v>
      </c>
      <c r="C307" s="2" t="s">
        <v>980</v>
      </c>
      <c r="D307" s="2">
        <v>144549770.7</v>
      </c>
      <c r="E307" s="2">
        <v>1</v>
      </c>
      <c r="F307" s="3">
        <f>IF(COUNT(D307,E307)=2,D307*E307,NA())</f>
        <v>144549770.7</v>
      </c>
      <c r="G307" s="2" t="s">
        <v>50</v>
      </c>
      <c r="H307" s="2" t="s">
        <v>51</v>
      </c>
      <c r="I307" s="2" t="s">
        <v>52</v>
      </c>
      <c r="J307" s="2" t="s">
        <v>53</v>
      </c>
      <c r="K307" s="2"/>
      <c r="L307" s="2" t="s">
        <v>61</v>
      </c>
      <c r="M307" s="2" t="s">
        <v>55</v>
      </c>
      <c r="N307" s="2" t="s">
        <v>62</v>
      </c>
      <c r="O307" s="2" t="s">
        <v>57</v>
      </c>
      <c r="P307" s="2" t="s">
        <v>990</v>
      </c>
      <c r="Q307" s="2" t="s">
        <v>988</v>
      </c>
      <c r="R307" s="2"/>
    </row>
    <row r="308" spans="1:18">
      <c r="A308" s="2" t="s">
        <v>991</v>
      </c>
      <c r="B308" s="2" t="s">
        <v>992</v>
      </c>
      <c r="C308" s="2" t="s">
        <v>980</v>
      </c>
      <c r="D308" s="2">
        <v>117550000</v>
      </c>
      <c r="E308" s="2">
        <v>1</v>
      </c>
      <c r="F308" s="3">
        <f>IF(COUNT(D308,E308)=2,D308*E308,NA())</f>
        <v>117550000.0</v>
      </c>
      <c r="G308" s="2" t="s">
        <v>50</v>
      </c>
      <c r="H308" s="2" t="s">
        <v>51</v>
      </c>
      <c r="I308" s="2" t="s">
        <v>52</v>
      </c>
      <c r="J308" s="2" t="s">
        <v>53</v>
      </c>
      <c r="K308" s="2"/>
      <c r="L308" s="2" t="s">
        <v>54</v>
      </c>
      <c r="M308" s="2" t="s">
        <v>55</v>
      </c>
      <c r="N308" s="2" t="s">
        <v>56</v>
      </c>
      <c r="O308" s="2" t="s">
        <v>57</v>
      </c>
      <c r="P308" s="2" t="s">
        <v>993</v>
      </c>
      <c r="Q308" s="2" t="s">
        <v>994</v>
      </c>
      <c r="R308" s="2"/>
    </row>
    <row r="309" spans="1:18">
      <c r="A309" s="2" t="s">
        <v>995</v>
      </c>
      <c r="B309" s="2" t="s">
        <v>992</v>
      </c>
      <c r="C309" s="2" t="s">
        <v>980</v>
      </c>
      <c r="D309" s="2">
        <v>117550000</v>
      </c>
      <c r="E309" s="2">
        <v>1</v>
      </c>
      <c r="F309" s="3">
        <f>IF(COUNT(D309,E309)=2,D309*E309,NA())</f>
        <v>117550000.0</v>
      </c>
      <c r="G309" s="2" t="s">
        <v>50</v>
      </c>
      <c r="H309" s="2" t="s">
        <v>51</v>
      </c>
      <c r="I309" s="2" t="s">
        <v>52</v>
      </c>
      <c r="J309" s="2" t="s">
        <v>53</v>
      </c>
      <c r="K309" s="2"/>
      <c r="L309" s="2" t="s">
        <v>61</v>
      </c>
      <c r="M309" s="2" t="s">
        <v>55</v>
      </c>
      <c r="N309" s="2" t="s">
        <v>62</v>
      </c>
      <c r="O309" s="2" t="s">
        <v>57</v>
      </c>
      <c r="P309" s="2" t="s">
        <v>996</v>
      </c>
      <c r="Q309" s="2" t="s">
        <v>994</v>
      </c>
      <c r="R309" s="2"/>
    </row>
    <row r="310" spans="1:18">
      <c r="A310" s="2" t="s">
        <v>997</v>
      </c>
      <c r="B310" s="2" t="s">
        <v>998</v>
      </c>
      <c r="C310" s="2" t="s">
        <v>980</v>
      </c>
      <c r="D310" s="2">
        <v>94040000</v>
      </c>
      <c r="E310" s="2">
        <v>1</v>
      </c>
      <c r="F310" s="3">
        <f>IF(COUNT(D310,E310)=2,D310*E310,NA())</f>
        <v>94040000.0</v>
      </c>
      <c r="G310" s="2" t="s">
        <v>50</v>
      </c>
      <c r="H310" s="2" t="s">
        <v>51</v>
      </c>
      <c r="I310" s="2" t="s">
        <v>52</v>
      </c>
      <c r="J310" s="2" t="s">
        <v>53</v>
      </c>
      <c r="K310" s="2"/>
      <c r="L310" s="2" t="s">
        <v>54</v>
      </c>
      <c r="M310" s="2" t="s">
        <v>55</v>
      </c>
      <c r="N310" s="2" t="s">
        <v>56</v>
      </c>
      <c r="O310" s="2" t="s">
        <v>57</v>
      </c>
      <c r="P310" s="2" t="s">
        <v>999</v>
      </c>
      <c r="Q310" s="2" t="s">
        <v>1000</v>
      </c>
      <c r="R310" s="2"/>
    </row>
    <row r="311" spans="1:18">
      <c r="A311" s="2" t="s">
        <v>1001</v>
      </c>
      <c r="B311" s="2" t="s">
        <v>998</v>
      </c>
      <c r="C311" s="2" t="s">
        <v>980</v>
      </c>
      <c r="D311" s="2">
        <v>35265000</v>
      </c>
      <c r="E311" s="2">
        <v>1</v>
      </c>
      <c r="F311" s="3">
        <f>IF(COUNT(D311,E311)=2,D311*E311,NA())</f>
        <v>35265000.0</v>
      </c>
      <c r="G311" s="2" t="s">
        <v>50</v>
      </c>
      <c r="H311" s="2" t="s">
        <v>51</v>
      </c>
      <c r="I311" s="2" t="s">
        <v>52</v>
      </c>
      <c r="J311" s="2" t="s">
        <v>53</v>
      </c>
      <c r="K311" s="2"/>
      <c r="L311" s="2" t="s">
        <v>61</v>
      </c>
      <c r="M311" s="2" t="s">
        <v>55</v>
      </c>
      <c r="N311" s="2" t="s">
        <v>62</v>
      </c>
      <c r="O311" s="2" t="s">
        <v>57</v>
      </c>
      <c r="P311" s="2" t="s">
        <v>1002</v>
      </c>
      <c r="Q311" s="2" t="s">
        <v>1000</v>
      </c>
      <c r="R311" s="2"/>
    </row>
    <row r="312" spans="1:18">
      <c r="A312" s="2" t="s">
        <v>1003</v>
      </c>
      <c r="B312" s="2" t="s">
        <v>1004</v>
      </c>
      <c r="C312" s="2" t="s">
        <v>1005</v>
      </c>
      <c r="D312" s="2">
        <v>467554042.12</v>
      </c>
      <c r="E312" s="2">
        <v>1</v>
      </c>
      <c r="F312" s="3">
        <f>IF(COUNT(D312,E312)=2,D312*E312,NA())</f>
        <v>467554042.12</v>
      </c>
      <c r="G312" s="2" t="s">
        <v>50</v>
      </c>
      <c r="H312" s="2" t="s">
        <v>51</v>
      </c>
      <c r="I312" s="2" t="s">
        <v>52</v>
      </c>
      <c r="J312" s="2" t="s">
        <v>53</v>
      </c>
      <c r="K312" s="2"/>
      <c r="L312" s="2" t="s">
        <v>54</v>
      </c>
      <c r="M312" s="2" t="s">
        <v>55</v>
      </c>
      <c r="N312" s="2" t="s">
        <v>56</v>
      </c>
      <c r="O312" s="2" t="s">
        <v>57</v>
      </c>
      <c r="P312" s="2" t="s">
        <v>1006</v>
      </c>
      <c r="Q312" s="2" t="s">
        <v>1007</v>
      </c>
      <c r="R312" s="2"/>
    </row>
    <row r="313" spans="1:18">
      <c r="A313" s="2" t="s">
        <v>1008</v>
      </c>
      <c r="B313" s="2" t="s">
        <v>1004</v>
      </c>
      <c r="C313" s="2" t="s">
        <v>1005</v>
      </c>
      <c r="D313" s="2">
        <v>535416478.31</v>
      </c>
      <c r="E313" s="2">
        <v>1</v>
      </c>
      <c r="F313" s="3">
        <f>IF(COUNT(D313,E313)=2,D313*E313,NA())</f>
        <v>535416478.31</v>
      </c>
      <c r="G313" s="2" t="s">
        <v>50</v>
      </c>
      <c r="H313" s="2" t="s">
        <v>51</v>
      </c>
      <c r="I313" s="2" t="s">
        <v>52</v>
      </c>
      <c r="J313" s="2" t="s">
        <v>53</v>
      </c>
      <c r="K313" s="2"/>
      <c r="L313" s="2" t="s">
        <v>61</v>
      </c>
      <c r="M313" s="2" t="s">
        <v>55</v>
      </c>
      <c r="N313" s="2" t="s">
        <v>62</v>
      </c>
      <c r="O313" s="2" t="s">
        <v>57</v>
      </c>
      <c r="P313" s="2" t="s">
        <v>1009</v>
      </c>
      <c r="Q313" s="2" t="s">
        <v>1007</v>
      </c>
      <c r="R313" s="2"/>
    </row>
    <row r="314" spans="1:18">
      <c r="A314" s="2" t="s">
        <v>1010</v>
      </c>
      <c r="B314" s="2" t="s">
        <v>1011</v>
      </c>
      <c r="C314" s="2" t="s">
        <v>1005</v>
      </c>
      <c r="D314" s="2">
        <v>43384280.77</v>
      </c>
      <c r="E314" s="2">
        <v>1</v>
      </c>
      <c r="F314" s="3">
        <f>IF(COUNT(D314,E314)=2,D314*E314,NA())</f>
        <v>43384280.77</v>
      </c>
      <c r="G314" s="2" t="s">
        <v>50</v>
      </c>
      <c r="H314" s="2" t="s">
        <v>51</v>
      </c>
      <c r="I314" s="2" t="s">
        <v>52</v>
      </c>
      <c r="J314" s="2" t="s">
        <v>53</v>
      </c>
      <c r="K314" s="2"/>
      <c r="L314" s="2" t="s">
        <v>54</v>
      </c>
      <c r="M314" s="2" t="s">
        <v>55</v>
      </c>
      <c r="N314" s="2" t="s">
        <v>56</v>
      </c>
      <c r="O314" s="2" t="s">
        <v>57</v>
      </c>
      <c r="P314" s="2" t="s">
        <v>1012</v>
      </c>
      <c r="Q314" s="2" t="s">
        <v>1013</v>
      </c>
      <c r="R314" s="2"/>
    </row>
    <row r="315" spans="1:18">
      <c r="A315" s="2" t="s">
        <v>1014</v>
      </c>
      <c r="B315" s="2" t="s">
        <v>1011</v>
      </c>
      <c r="C315" s="2" t="s">
        <v>1005</v>
      </c>
      <c r="D315" s="2">
        <v>33440666.09</v>
      </c>
      <c r="E315" s="2">
        <v>1</v>
      </c>
      <c r="F315" s="3">
        <f>IF(COUNT(D315,E315)=2,D315*E315,NA())</f>
        <v>33440666.09</v>
      </c>
      <c r="G315" s="2" t="s">
        <v>50</v>
      </c>
      <c r="H315" s="2" t="s">
        <v>51</v>
      </c>
      <c r="I315" s="2" t="s">
        <v>52</v>
      </c>
      <c r="J315" s="2" t="s">
        <v>53</v>
      </c>
      <c r="K315" s="2"/>
      <c r="L315" s="2" t="s">
        <v>61</v>
      </c>
      <c r="M315" s="2" t="s">
        <v>55</v>
      </c>
      <c r="N315" s="2" t="s">
        <v>62</v>
      </c>
      <c r="O315" s="2" t="s">
        <v>57</v>
      </c>
      <c r="P315" s="2" t="s">
        <v>1015</v>
      </c>
      <c r="Q315" s="2" t="s">
        <v>1013</v>
      </c>
      <c r="R315" s="2"/>
    </row>
    <row r="316" spans="1:18">
      <c r="A316" s="2" t="s">
        <v>1016</v>
      </c>
      <c r="B316" s="2" t="s">
        <v>1017</v>
      </c>
      <c r="C316" s="2" t="s">
        <v>1018</v>
      </c>
      <c r="D316" s="2">
        <v>882916645.17</v>
      </c>
      <c r="E316" s="2">
        <v>1</v>
      </c>
      <c r="F316" s="3">
        <f>IF(COUNT(D316,E316)=2,D316*E316,NA())</f>
        <v>882916645.17</v>
      </c>
      <c r="G316" s="2" t="s">
        <v>50</v>
      </c>
      <c r="H316" s="2" t="s">
        <v>51</v>
      </c>
      <c r="I316" s="2" t="s">
        <v>52</v>
      </c>
      <c r="J316" s="2" t="s">
        <v>53</v>
      </c>
      <c r="K316" s="2"/>
      <c r="L316" s="2" t="s">
        <v>54</v>
      </c>
      <c r="M316" s="2" t="s">
        <v>55</v>
      </c>
      <c r="N316" s="2" t="s">
        <v>56</v>
      </c>
      <c r="O316" s="2" t="s">
        <v>57</v>
      </c>
      <c r="P316" s="2" t="s">
        <v>1019</v>
      </c>
      <c r="Q316" s="2" t="s">
        <v>1020</v>
      </c>
      <c r="R316" s="2"/>
    </row>
    <row r="317" spans="1:18">
      <c r="A317" s="2" t="s">
        <v>1021</v>
      </c>
      <c r="B317" s="2" t="s">
        <v>1017</v>
      </c>
      <c r="C317" s="2" t="s">
        <v>1018</v>
      </c>
      <c r="D317" s="2">
        <v>552029316.5599999</v>
      </c>
      <c r="E317" s="2">
        <v>1</v>
      </c>
      <c r="F317" s="3">
        <f>IF(COUNT(D317,E317)=2,D317*E317,NA())</f>
        <v>552029316.56</v>
      </c>
      <c r="G317" s="2" t="s">
        <v>50</v>
      </c>
      <c r="H317" s="2" t="s">
        <v>51</v>
      </c>
      <c r="I317" s="2" t="s">
        <v>52</v>
      </c>
      <c r="J317" s="2" t="s">
        <v>53</v>
      </c>
      <c r="K317" s="2"/>
      <c r="L317" s="2" t="s">
        <v>61</v>
      </c>
      <c r="M317" s="2" t="s">
        <v>55</v>
      </c>
      <c r="N317" s="2" t="s">
        <v>62</v>
      </c>
      <c r="O317" s="2" t="s">
        <v>57</v>
      </c>
      <c r="P317" s="2" t="s">
        <v>1022</v>
      </c>
      <c r="Q317" s="2" t="s">
        <v>1020</v>
      </c>
      <c r="R317" s="2"/>
    </row>
    <row r="318" spans="1:18">
      <c r="A318" s="2" t="s">
        <v>1023</v>
      </c>
      <c r="B318" s="2" t="s">
        <v>1024</v>
      </c>
      <c r="C318" s="2" t="s">
        <v>1018</v>
      </c>
      <c r="D318" s="2">
        <v>96775205.78</v>
      </c>
      <c r="E318" s="2">
        <v>1</v>
      </c>
      <c r="F318" s="3">
        <f>IF(COUNT(D318,E318)=2,D318*E318,NA())</f>
        <v>96775205.78</v>
      </c>
      <c r="G318" s="2" t="s">
        <v>50</v>
      </c>
      <c r="H318" s="2" t="s">
        <v>51</v>
      </c>
      <c r="I318" s="2" t="s">
        <v>52</v>
      </c>
      <c r="J318" s="2" t="s">
        <v>53</v>
      </c>
      <c r="K318" s="2"/>
      <c r="L318" s="2" t="s">
        <v>54</v>
      </c>
      <c r="M318" s="2" t="s">
        <v>55</v>
      </c>
      <c r="N318" s="2" t="s">
        <v>56</v>
      </c>
      <c r="O318" s="2" t="s">
        <v>57</v>
      </c>
      <c r="P318" s="2" t="s">
        <v>1025</v>
      </c>
      <c r="Q318" s="2" t="s">
        <v>1026</v>
      </c>
      <c r="R318" s="2"/>
    </row>
    <row r="319" spans="1:18">
      <c r="A319" s="2" t="s">
        <v>1027</v>
      </c>
      <c r="B319" s="2" t="s">
        <v>1024</v>
      </c>
      <c r="C319" s="2" t="s">
        <v>1018</v>
      </c>
      <c r="D319" s="2">
        <v>20992106.57</v>
      </c>
      <c r="E319" s="2">
        <v>1</v>
      </c>
      <c r="F319" s="3">
        <f>IF(COUNT(D319,E319)=2,D319*E319,NA())</f>
        <v>20992106.57</v>
      </c>
      <c r="G319" s="2" t="s">
        <v>50</v>
      </c>
      <c r="H319" s="2" t="s">
        <v>51</v>
      </c>
      <c r="I319" s="2" t="s">
        <v>52</v>
      </c>
      <c r="J319" s="2" t="s">
        <v>53</v>
      </c>
      <c r="K319" s="2"/>
      <c r="L319" s="2" t="s">
        <v>61</v>
      </c>
      <c r="M319" s="2" t="s">
        <v>55</v>
      </c>
      <c r="N319" s="2" t="s">
        <v>62</v>
      </c>
      <c r="O319" s="2" t="s">
        <v>57</v>
      </c>
      <c r="P319" s="2" t="s">
        <v>1028</v>
      </c>
      <c r="Q319" s="2" t="s">
        <v>1026</v>
      </c>
      <c r="R319" s="2"/>
    </row>
    <row r="320" spans="1:18">
      <c r="A320" s="2" t="s">
        <v>1029</v>
      </c>
      <c r="B320" s="2" t="s">
        <v>1030</v>
      </c>
      <c r="C320" s="2" t="s">
        <v>1018</v>
      </c>
      <c r="D320" s="2">
        <v>786141439.39</v>
      </c>
      <c r="E320" s="2">
        <v>1</v>
      </c>
      <c r="F320" s="3">
        <f>IF(COUNT(D320,E320)=2,D320*E320,NA())</f>
        <v>786141439.39</v>
      </c>
      <c r="G320" s="2" t="s">
        <v>50</v>
      </c>
      <c r="H320" s="2" t="s">
        <v>51</v>
      </c>
      <c r="I320" s="2" t="s">
        <v>52</v>
      </c>
      <c r="J320" s="2" t="s">
        <v>53</v>
      </c>
      <c r="K320" s="2"/>
      <c r="L320" s="2" t="s">
        <v>54</v>
      </c>
      <c r="M320" s="2" t="s">
        <v>55</v>
      </c>
      <c r="N320" s="2" t="s">
        <v>56</v>
      </c>
      <c r="O320" s="2" t="s">
        <v>57</v>
      </c>
      <c r="P320" s="2" t="s">
        <v>1031</v>
      </c>
      <c r="Q320" s="2" t="s">
        <v>1032</v>
      </c>
      <c r="R320" s="2"/>
    </row>
    <row r="321" spans="1:18">
      <c r="A321" s="2" t="s">
        <v>1033</v>
      </c>
      <c r="B321" s="2" t="s">
        <v>1030</v>
      </c>
      <c r="C321" s="2" t="s">
        <v>1018</v>
      </c>
      <c r="D321" s="2">
        <v>531037209.99</v>
      </c>
      <c r="E321" s="2">
        <v>1</v>
      </c>
      <c r="F321" s="3">
        <f>IF(COUNT(D321,E321)=2,D321*E321,NA())</f>
        <v>531037209.99</v>
      </c>
      <c r="G321" s="2" t="s">
        <v>50</v>
      </c>
      <c r="H321" s="2" t="s">
        <v>51</v>
      </c>
      <c r="I321" s="2" t="s">
        <v>52</v>
      </c>
      <c r="J321" s="2" t="s">
        <v>53</v>
      </c>
      <c r="K321" s="2"/>
      <c r="L321" s="2" t="s">
        <v>61</v>
      </c>
      <c r="M321" s="2" t="s">
        <v>55</v>
      </c>
      <c r="N321" s="2" t="s">
        <v>62</v>
      </c>
      <c r="O321" s="2" t="s">
        <v>57</v>
      </c>
      <c r="P321" s="2" t="s">
        <v>1034</v>
      </c>
      <c r="Q321" s="2" t="s">
        <v>1032</v>
      </c>
      <c r="R321" s="2"/>
    </row>
    <row r="322" spans="1:18">
      <c r="A322" s="2" t="s">
        <v>1035</v>
      </c>
      <c r="B322" s="2" t="s">
        <v>1036</v>
      </c>
      <c r="C322" s="2" t="s">
        <v>1018</v>
      </c>
      <c r="D322" s="2">
        <v>3467081100.22</v>
      </c>
      <c r="E322" s="2">
        <v>1</v>
      </c>
      <c r="F322" s="3">
        <f>IF(COUNT(D322,E322)=2,D322*E322,NA())</f>
        <v>3467081100.22</v>
      </c>
      <c r="G322" s="2" t="s">
        <v>50</v>
      </c>
      <c r="H322" s="2" t="s">
        <v>51</v>
      </c>
      <c r="I322" s="2" t="s">
        <v>52</v>
      </c>
      <c r="J322" s="2" t="s">
        <v>53</v>
      </c>
      <c r="K322" s="2"/>
      <c r="L322" s="2" t="s">
        <v>54</v>
      </c>
      <c r="M322" s="2" t="s">
        <v>55</v>
      </c>
      <c r="N322" s="2" t="s">
        <v>56</v>
      </c>
      <c r="O322" s="2" t="s">
        <v>57</v>
      </c>
      <c r="P322" s="2" t="s">
        <v>1037</v>
      </c>
      <c r="Q322" s="2" t="s">
        <v>1038</v>
      </c>
      <c r="R322" s="2"/>
    </row>
    <row r="323" spans="1:18">
      <c r="A323" s="2" t="s">
        <v>1039</v>
      </c>
      <c r="B323" s="2" t="s">
        <v>1036</v>
      </c>
      <c r="C323" s="2" t="s">
        <v>1018</v>
      </c>
      <c r="D323" s="2">
        <v>3411055710.86</v>
      </c>
      <c r="E323" s="2">
        <v>1</v>
      </c>
      <c r="F323" s="3">
        <f>IF(COUNT(D323,E323)=2,D323*E323,NA())</f>
        <v>3411055710.86</v>
      </c>
      <c r="G323" s="2" t="s">
        <v>50</v>
      </c>
      <c r="H323" s="2" t="s">
        <v>51</v>
      </c>
      <c r="I323" s="2" t="s">
        <v>52</v>
      </c>
      <c r="J323" s="2" t="s">
        <v>53</v>
      </c>
      <c r="K323" s="2"/>
      <c r="L323" s="2" t="s">
        <v>61</v>
      </c>
      <c r="M323" s="2" t="s">
        <v>55</v>
      </c>
      <c r="N323" s="2" t="s">
        <v>62</v>
      </c>
      <c r="O323" s="2" t="s">
        <v>57</v>
      </c>
      <c r="P323" s="2" t="s">
        <v>1040</v>
      </c>
      <c r="Q323" s="2" t="s">
        <v>1038</v>
      </c>
      <c r="R323" s="2"/>
    </row>
    <row r="324" spans="1:18">
      <c r="A324" s="2" t="s">
        <v>1041</v>
      </c>
      <c r="B324" s="2" t="s">
        <v>1042</v>
      </c>
      <c r="C324" s="2" t="s">
        <v>1018</v>
      </c>
      <c r="D324" s="2">
        <v>1219258212.39</v>
      </c>
      <c r="E324" s="2">
        <v>1</v>
      </c>
      <c r="F324" s="3">
        <f>IF(COUNT(D324,E324)=2,D324*E324,NA())</f>
        <v>1219258212.39</v>
      </c>
      <c r="G324" s="2" t="s">
        <v>50</v>
      </c>
      <c r="H324" s="2" t="s">
        <v>51</v>
      </c>
      <c r="I324" s="2" t="s">
        <v>52</v>
      </c>
      <c r="J324" s="2" t="s">
        <v>53</v>
      </c>
      <c r="K324" s="2"/>
      <c r="L324" s="2" t="s">
        <v>54</v>
      </c>
      <c r="M324" s="2" t="s">
        <v>55</v>
      </c>
      <c r="N324" s="2" t="s">
        <v>56</v>
      </c>
      <c r="O324" s="2" t="s">
        <v>57</v>
      </c>
      <c r="P324" s="2" t="s">
        <v>1043</v>
      </c>
      <c r="Q324" s="2" t="s">
        <v>1044</v>
      </c>
      <c r="R324" s="2"/>
    </row>
    <row r="325" spans="1:18">
      <c r="A325" s="2" t="s">
        <v>1045</v>
      </c>
      <c r="B325" s="2" t="s">
        <v>1042</v>
      </c>
      <c r="C325" s="2" t="s">
        <v>1018</v>
      </c>
      <c r="D325" s="2">
        <v>1009122262.76</v>
      </c>
      <c r="E325" s="2">
        <v>1</v>
      </c>
      <c r="F325" s="3">
        <f>IF(COUNT(D325,E325)=2,D325*E325,NA())</f>
        <v>1009122262.76</v>
      </c>
      <c r="G325" s="2" t="s">
        <v>50</v>
      </c>
      <c r="H325" s="2" t="s">
        <v>51</v>
      </c>
      <c r="I325" s="2" t="s">
        <v>52</v>
      </c>
      <c r="J325" s="2" t="s">
        <v>53</v>
      </c>
      <c r="K325" s="2"/>
      <c r="L325" s="2" t="s">
        <v>61</v>
      </c>
      <c r="M325" s="2" t="s">
        <v>55</v>
      </c>
      <c r="N325" s="2" t="s">
        <v>62</v>
      </c>
      <c r="O325" s="2" t="s">
        <v>57</v>
      </c>
      <c r="P325" s="2" t="s">
        <v>1046</v>
      </c>
      <c r="Q325" s="2" t="s">
        <v>1044</v>
      </c>
      <c r="R325" s="2"/>
    </row>
    <row r="326" spans="1:18">
      <c r="A326" s="2" t="s">
        <v>1047</v>
      </c>
      <c r="B326" s="2" t="s">
        <v>1048</v>
      </c>
      <c r="C326" s="2" t="s">
        <v>1018</v>
      </c>
      <c r="D326" s="2">
        <v>45754097.75</v>
      </c>
      <c r="E326" s="2">
        <v>1</v>
      </c>
      <c r="F326" s="3">
        <f>IF(COUNT(D326,E326)=2,D326*E326,NA())</f>
        <v>45754097.75</v>
      </c>
      <c r="G326" s="2" t="s">
        <v>50</v>
      </c>
      <c r="H326" s="2" t="s">
        <v>51</v>
      </c>
      <c r="I326" s="2" t="s">
        <v>52</v>
      </c>
      <c r="J326" s="2" t="s">
        <v>53</v>
      </c>
      <c r="K326" s="2"/>
      <c r="L326" s="2" t="s">
        <v>54</v>
      </c>
      <c r="M326" s="2" t="s">
        <v>55</v>
      </c>
      <c r="N326" s="2" t="s">
        <v>56</v>
      </c>
      <c r="O326" s="2" t="s">
        <v>57</v>
      </c>
      <c r="P326" s="2" t="s">
        <v>1049</v>
      </c>
      <c r="Q326" s="2" t="s">
        <v>1050</v>
      </c>
      <c r="R326" s="2"/>
    </row>
    <row r="327" spans="1:18">
      <c r="A327" s="2" t="s">
        <v>1051</v>
      </c>
      <c r="B327" s="2" t="s">
        <v>1048</v>
      </c>
      <c r="C327" s="2" t="s">
        <v>1018</v>
      </c>
      <c r="D327" s="2">
        <v>10217606.71</v>
      </c>
      <c r="E327" s="2">
        <v>1</v>
      </c>
      <c r="F327" s="3">
        <f>IF(COUNT(D327,E327)=2,D327*E327,NA())</f>
        <v>10217606.71</v>
      </c>
      <c r="G327" s="2" t="s">
        <v>50</v>
      </c>
      <c r="H327" s="2" t="s">
        <v>51</v>
      </c>
      <c r="I327" s="2" t="s">
        <v>52</v>
      </c>
      <c r="J327" s="2" t="s">
        <v>53</v>
      </c>
      <c r="K327" s="2"/>
      <c r="L327" s="2" t="s">
        <v>61</v>
      </c>
      <c r="M327" s="2" t="s">
        <v>55</v>
      </c>
      <c r="N327" s="2" t="s">
        <v>62</v>
      </c>
      <c r="O327" s="2" t="s">
        <v>57</v>
      </c>
      <c r="P327" s="2" t="s">
        <v>1052</v>
      </c>
      <c r="Q327" s="2" t="s">
        <v>1050</v>
      </c>
      <c r="R327" s="2"/>
    </row>
    <row r="328" spans="1:18">
      <c r="A328" s="2" t="s">
        <v>1053</v>
      </c>
      <c r="B328" s="2" t="s">
        <v>1054</v>
      </c>
      <c r="C328" s="2" t="s">
        <v>1018</v>
      </c>
      <c r="D328" s="2">
        <v>536817370.37</v>
      </c>
      <c r="E328" s="2">
        <v>1</v>
      </c>
      <c r="F328" s="3">
        <f>IF(COUNT(D328,E328)=2,D328*E328,NA())</f>
        <v>536817370.37</v>
      </c>
      <c r="G328" s="2" t="s">
        <v>50</v>
      </c>
      <c r="H328" s="2" t="s">
        <v>51</v>
      </c>
      <c r="I328" s="2" t="s">
        <v>52</v>
      </c>
      <c r="J328" s="2" t="s">
        <v>53</v>
      </c>
      <c r="K328" s="2"/>
      <c r="L328" s="2" t="s">
        <v>54</v>
      </c>
      <c r="M328" s="2" t="s">
        <v>55</v>
      </c>
      <c r="N328" s="2" t="s">
        <v>56</v>
      </c>
      <c r="O328" s="2" t="s">
        <v>57</v>
      </c>
      <c r="P328" s="2" t="s">
        <v>1055</v>
      </c>
      <c r="Q328" s="2" t="s">
        <v>1056</v>
      </c>
      <c r="R328" s="2"/>
    </row>
    <row r="329" spans="1:18">
      <c r="A329" s="2" t="s">
        <v>1057</v>
      </c>
      <c r="B329" s="2" t="s">
        <v>1054</v>
      </c>
      <c r="C329" s="2" t="s">
        <v>1018</v>
      </c>
      <c r="D329" s="2">
        <v>443944713.69</v>
      </c>
      <c r="E329" s="2">
        <v>1</v>
      </c>
      <c r="F329" s="3">
        <f>IF(COUNT(D329,E329)=2,D329*E329,NA())</f>
        <v>443944713.69</v>
      </c>
      <c r="G329" s="2" t="s">
        <v>50</v>
      </c>
      <c r="H329" s="2" t="s">
        <v>51</v>
      </c>
      <c r="I329" s="2" t="s">
        <v>52</v>
      </c>
      <c r="J329" s="2" t="s">
        <v>53</v>
      </c>
      <c r="K329" s="2"/>
      <c r="L329" s="2" t="s">
        <v>61</v>
      </c>
      <c r="M329" s="2" t="s">
        <v>55</v>
      </c>
      <c r="N329" s="2" t="s">
        <v>62</v>
      </c>
      <c r="O329" s="2" t="s">
        <v>57</v>
      </c>
      <c r="P329" s="2" t="s">
        <v>1058</v>
      </c>
      <c r="Q329" s="2" t="s">
        <v>1056</v>
      </c>
      <c r="R329" s="2"/>
    </row>
    <row r="330" spans="1:18">
      <c r="A330" s="2" t="s">
        <v>1059</v>
      </c>
      <c r="B330" s="2" t="s">
        <v>1060</v>
      </c>
      <c r="C330" s="2" t="s">
        <v>1061</v>
      </c>
      <c r="D330" s="2">
        <v>3071546311.9</v>
      </c>
      <c r="E330" s="2">
        <v>1</v>
      </c>
      <c r="F330" s="3">
        <f>IF(COUNT(D330,E330)=2,D330*E330,NA())</f>
        <v>3071546311.9</v>
      </c>
      <c r="G330" s="2" t="s">
        <v>50</v>
      </c>
      <c r="H330" s="2" t="s">
        <v>51</v>
      </c>
      <c r="I330" s="2" t="s">
        <v>52</v>
      </c>
      <c r="J330" s="2" t="s">
        <v>53</v>
      </c>
      <c r="K330" s="2" t="s">
        <v>391</v>
      </c>
      <c r="L330" s="2" t="s">
        <v>54</v>
      </c>
      <c r="M330" s="2" t="s">
        <v>392</v>
      </c>
      <c r="N330" s="2" t="s">
        <v>56</v>
      </c>
      <c r="O330" s="2" t="s">
        <v>57</v>
      </c>
      <c r="P330" s="2" t="s">
        <v>1062</v>
      </c>
      <c r="Q330" s="2" t="s">
        <v>1063</v>
      </c>
      <c r="R330" s="2"/>
    </row>
    <row r="331" spans="1:18">
      <c r="A331" s="2" t="s">
        <v>1064</v>
      </c>
      <c r="B331" s="2" t="s">
        <v>1060</v>
      </c>
      <c r="C331" s="2" t="s">
        <v>1061</v>
      </c>
      <c r="D331" s="2">
        <v>3555232856.16</v>
      </c>
      <c r="E331" s="2">
        <v>1</v>
      </c>
      <c r="F331" s="3">
        <f>IF(COUNT(D331,E331)=2,D331*E331,NA())</f>
        <v>3555232856.16</v>
      </c>
      <c r="G331" s="2" t="s">
        <v>50</v>
      </c>
      <c r="H331" s="2" t="s">
        <v>51</v>
      </c>
      <c r="I331" s="2" t="s">
        <v>52</v>
      </c>
      <c r="J331" s="2" t="s">
        <v>53</v>
      </c>
      <c r="K331" s="2" t="s">
        <v>396</v>
      </c>
      <c r="L331" s="2" t="s">
        <v>61</v>
      </c>
      <c r="M331" s="2" t="s">
        <v>392</v>
      </c>
      <c r="N331" s="2" t="s">
        <v>62</v>
      </c>
      <c r="O331" s="2" t="s">
        <v>57</v>
      </c>
      <c r="P331" s="2" t="s">
        <v>1065</v>
      </c>
      <c r="Q331" s="2" t="s">
        <v>1063</v>
      </c>
      <c r="R331" s="2"/>
    </row>
    <row r="332" spans="1:18">
      <c r="A332" s="2" t="s">
        <v>1066</v>
      </c>
      <c r="B332" s="2" t="s">
        <v>1067</v>
      </c>
      <c r="C332" s="2" t="s">
        <v>1061</v>
      </c>
      <c r="D332" s="2">
        <v>2326860274.61</v>
      </c>
      <c r="E332" s="2">
        <v>1</v>
      </c>
      <c r="F332" s="3">
        <f>IF(COUNT(D332,E332)=2,D332*E332,NA())</f>
        <v>2326860274.61</v>
      </c>
      <c r="G332" s="2" t="s">
        <v>50</v>
      </c>
      <c r="H332" s="2" t="s">
        <v>51</v>
      </c>
      <c r="I332" s="2" t="s">
        <v>52</v>
      </c>
      <c r="J332" s="2" t="s">
        <v>53</v>
      </c>
      <c r="K332" s="2" t="s">
        <v>391</v>
      </c>
      <c r="L332" s="2" t="s">
        <v>54</v>
      </c>
      <c r="M332" s="2" t="s">
        <v>392</v>
      </c>
      <c r="N332" s="2" t="s">
        <v>56</v>
      </c>
      <c r="O332" s="2" t="s">
        <v>57</v>
      </c>
      <c r="P332" s="2" t="s">
        <v>1068</v>
      </c>
      <c r="Q332" s="2" t="s">
        <v>1069</v>
      </c>
      <c r="R332" s="2"/>
    </row>
    <row r="333" spans="1:18">
      <c r="A333" s="2" t="s">
        <v>1070</v>
      </c>
      <c r="B333" s="2" t="s">
        <v>1067</v>
      </c>
      <c r="C333" s="2" t="s">
        <v>1061</v>
      </c>
      <c r="D333" s="2">
        <v>2871725482.13</v>
      </c>
      <c r="E333" s="2">
        <v>1</v>
      </c>
      <c r="F333" s="3">
        <f>IF(COUNT(D333,E333)=2,D333*E333,NA())</f>
        <v>2871725482.13</v>
      </c>
      <c r="G333" s="2" t="s">
        <v>50</v>
      </c>
      <c r="H333" s="2" t="s">
        <v>51</v>
      </c>
      <c r="I333" s="2" t="s">
        <v>52</v>
      </c>
      <c r="J333" s="2" t="s">
        <v>53</v>
      </c>
      <c r="K333" s="2" t="s">
        <v>396</v>
      </c>
      <c r="L333" s="2" t="s">
        <v>61</v>
      </c>
      <c r="M333" s="2" t="s">
        <v>392</v>
      </c>
      <c r="N333" s="2" t="s">
        <v>62</v>
      </c>
      <c r="O333" s="2" t="s">
        <v>57</v>
      </c>
      <c r="P333" s="2" t="s">
        <v>1071</v>
      </c>
      <c r="Q333" s="2" t="s">
        <v>1069</v>
      </c>
      <c r="R333" s="2"/>
    </row>
    <row r="334" spans="1:18">
      <c r="A334" s="2" t="s">
        <v>1072</v>
      </c>
      <c r="B334" s="2" t="s">
        <v>1073</v>
      </c>
      <c r="C334" s="2" t="s">
        <v>1061</v>
      </c>
      <c r="D334" s="2">
        <v>1587983607.78</v>
      </c>
      <c r="E334" s="2">
        <v>1</v>
      </c>
      <c r="F334" s="3">
        <f>IF(COUNT(D334,E334)=2,D334*E334,NA())</f>
        <v>1587983607.78</v>
      </c>
      <c r="G334" s="2" t="s">
        <v>50</v>
      </c>
      <c r="H334" s="2" t="s">
        <v>51</v>
      </c>
      <c r="I334" s="2" t="s">
        <v>52</v>
      </c>
      <c r="J334" s="2" t="s">
        <v>53</v>
      </c>
      <c r="K334" s="2" t="s">
        <v>391</v>
      </c>
      <c r="L334" s="2" t="s">
        <v>54</v>
      </c>
      <c r="M334" s="2" t="s">
        <v>392</v>
      </c>
      <c r="N334" s="2" t="s">
        <v>56</v>
      </c>
      <c r="O334" s="2" t="s">
        <v>57</v>
      </c>
      <c r="P334" s="2" t="s">
        <v>1074</v>
      </c>
      <c r="Q334" s="2" t="s">
        <v>1075</v>
      </c>
      <c r="R334" s="2"/>
    </row>
    <row r="335" spans="1:18">
      <c r="A335" s="2" t="s">
        <v>1076</v>
      </c>
      <c r="B335" s="2" t="s">
        <v>1073</v>
      </c>
      <c r="C335" s="2" t="s">
        <v>1061</v>
      </c>
      <c r="D335" s="2">
        <v>1786928335</v>
      </c>
      <c r="E335" s="2">
        <v>1</v>
      </c>
      <c r="F335" s="3">
        <f>IF(COUNT(D335,E335)=2,D335*E335,NA())</f>
        <v>1786928335.0</v>
      </c>
      <c r="G335" s="2" t="s">
        <v>50</v>
      </c>
      <c r="H335" s="2" t="s">
        <v>51</v>
      </c>
      <c r="I335" s="2" t="s">
        <v>52</v>
      </c>
      <c r="J335" s="2" t="s">
        <v>53</v>
      </c>
      <c r="K335" s="2" t="s">
        <v>396</v>
      </c>
      <c r="L335" s="2" t="s">
        <v>61</v>
      </c>
      <c r="M335" s="2" t="s">
        <v>392</v>
      </c>
      <c r="N335" s="2" t="s">
        <v>62</v>
      </c>
      <c r="O335" s="2" t="s">
        <v>57</v>
      </c>
      <c r="P335" s="2" t="s">
        <v>1077</v>
      </c>
      <c r="Q335" s="2" t="s">
        <v>1075</v>
      </c>
      <c r="R335" s="2"/>
    </row>
    <row r="336" spans="1:18">
      <c r="A336" s="2" t="s">
        <v>1078</v>
      </c>
      <c r="B336" s="2" t="s">
        <v>1079</v>
      </c>
      <c r="C336" s="2" t="s">
        <v>1061</v>
      </c>
      <c r="D336" s="2">
        <v>997013975.17</v>
      </c>
      <c r="E336" s="2">
        <v>1</v>
      </c>
      <c r="F336" s="3">
        <f>IF(COUNT(D336,E336)=2,D336*E336,NA())</f>
        <v>997013975.17</v>
      </c>
      <c r="G336" s="2" t="s">
        <v>50</v>
      </c>
      <c r="H336" s="2" t="s">
        <v>51</v>
      </c>
      <c r="I336" s="2" t="s">
        <v>52</v>
      </c>
      <c r="J336" s="2" t="s">
        <v>53</v>
      </c>
      <c r="K336" s="2" t="s">
        <v>391</v>
      </c>
      <c r="L336" s="2" t="s">
        <v>54</v>
      </c>
      <c r="M336" s="2" t="s">
        <v>392</v>
      </c>
      <c r="N336" s="2" t="s">
        <v>56</v>
      </c>
      <c r="O336" s="2" t="s">
        <v>57</v>
      </c>
      <c r="P336" s="2" t="s">
        <v>1080</v>
      </c>
      <c r="Q336" s="2" t="s">
        <v>1081</v>
      </c>
      <c r="R336" s="2"/>
    </row>
    <row r="337" spans="1:18">
      <c r="A337" s="2" t="s">
        <v>1082</v>
      </c>
      <c r="B337" s="2" t="s">
        <v>1079</v>
      </c>
      <c r="C337" s="2" t="s">
        <v>1061</v>
      </c>
      <c r="D337" s="2">
        <v>1185191166.19</v>
      </c>
      <c r="E337" s="2">
        <v>1</v>
      </c>
      <c r="F337" s="3">
        <f>IF(COUNT(D337,E337)=2,D337*E337,NA())</f>
        <v>1185191166.19</v>
      </c>
      <c r="G337" s="2" t="s">
        <v>50</v>
      </c>
      <c r="H337" s="2" t="s">
        <v>51</v>
      </c>
      <c r="I337" s="2" t="s">
        <v>52</v>
      </c>
      <c r="J337" s="2" t="s">
        <v>53</v>
      </c>
      <c r="K337" s="2" t="s">
        <v>396</v>
      </c>
      <c r="L337" s="2" t="s">
        <v>61</v>
      </c>
      <c r="M337" s="2" t="s">
        <v>392</v>
      </c>
      <c r="N337" s="2" t="s">
        <v>62</v>
      </c>
      <c r="O337" s="2" t="s">
        <v>57</v>
      </c>
      <c r="P337" s="2" t="s">
        <v>1083</v>
      </c>
      <c r="Q337" s="2" t="s">
        <v>1081</v>
      </c>
      <c r="R337" s="2"/>
    </row>
    <row r="338" spans="1:18">
      <c r="A338" s="2" t="s">
        <v>1084</v>
      </c>
      <c r="B338" s="2" t="s">
        <v>1085</v>
      </c>
      <c r="C338" s="2" t="s">
        <v>1061</v>
      </c>
      <c r="D338" s="2">
        <v>1084199413.32</v>
      </c>
      <c r="E338" s="2">
        <v>1</v>
      </c>
      <c r="F338" s="3">
        <f>IF(COUNT(D338,E338)=2,D338*E338,NA())</f>
        <v>1084199413.32</v>
      </c>
      <c r="G338" s="2" t="s">
        <v>50</v>
      </c>
      <c r="H338" s="2" t="s">
        <v>51</v>
      </c>
      <c r="I338" s="2" t="s">
        <v>52</v>
      </c>
      <c r="J338" s="2" t="s">
        <v>53</v>
      </c>
      <c r="K338" s="2" t="s">
        <v>391</v>
      </c>
      <c r="L338" s="2" t="s">
        <v>54</v>
      </c>
      <c r="M338" s="2" t="s">
        <v>392</v>
      </c>
      <c r="N338" s="2" t="s">
        <v>56</v>
      </c>
      <c r="O338" s="2" t="s">
        <v>57</v>
      </c>
      <c r="P338" s="2" t="s">
        <v>1086</v>
      </c>
      <c r="Q338" s="2" t="s">
        <v>1087</v>
      </c>
      <c r="R338" s="2"/>
    </row>
    <row r="339" spans="1:18">
      <c r="A339" s="2" t="s">
        <v>1088</v>
      </c>
      <c r="B339" s="2" t="s">
        <v>1085</v>
      </c>
      <c r="C339" s="2" t="s">
        <v>1061</v>
      </c>
      <c r="D339" s="2">
        <v>1213798246.1</v>
      </c>
      <c r="E339" s="2">
        <v>1</v>
      </c>
      <c r="F339" s="3">
        <f>IF(COUNT(D339,E339)=2,D339*E339,NA())</f>
        <v>1213798246.1</v>
      </c>
      <c r="G339" s="2" t="s">
        <v>50</v>
      </c>
      <c r="H339" s="2" t="s">
        <v>51</v>
      </c>
      <c r="I339" s="2" t="s">
        <v>52</v>
      </c>
      <c r="J339" s="2" t="s">
        <v>53</v>
      </c>
      <c r="K339" s="2" t="s">
        <v>396</v>
      </c>
      <c r="L339" s="2" t="s">
        <v>61</v>
      </c>
      <c r="M339" s="2" t="s">
        <v>392</v>
      </c>
      <c r="N339" s="2" t="s">
        <v>62</v>
      </c>
      <c r="O339" s="2" t="s">
        <v>57</v>
      </c>
      <c r="P339" s="2" t="s">
        <v>1089</v>
      </c>
      <c r="Q339" s="2" t="s">
        <v>1087</v>
      </c>
      <c r="R339" s="2"/>
    </row>
    <row r="340" spans="1:18">
      <c r="A340" s="2" t="s">
        <v>1090</v>
      </c>
      <c r="B340" s="2" t="s">
        <v>1091</v>
      </c>
      <c r="C340" s="2" t="s">
        <v>1061</v>
      </c>
      <c r="D340" s="2">
        <v>1016446869.93</v>
      </c>
      <c r="E340" s="2">
        <v>1</v>
      </c>
      <c r="F340" s="3">
        <f>IF(COUNT(D340,E340)=2,D340*E340,NA())</f>
        <v>1016446869.93</v>
      </c>
      <c r="G340" s="2" t="s">
        <v>50</v>
      </c>
      <c r="H340" s="2" t="s">
        <v>51</v>
      </c>
      <c r="I340" s="2" t="s">
        <v>52</v>
      </c>
      <c r="J340" s="2" t="s">
        <v>53</v>
      </c>
      <c r="K340" s="2" t="s">
        <v>391</v>
      </c>
      <c r="L340" s="2" t="s">
        <v>54</v>
      </c>
      <c r="M340" s="2" t="s">
        <v>392</v>
      </c>
      <c r="N340" s="2" t="s">
        <v>56</v>
      </c>
      <c r="O340" s="2" t="s">
        <v>57</v>
      </c>
      <c r="P340" s="2" t="s">
        <v>1092</v>
      </c>
      <c r="Q340" s="2" t="s">
        <v>1093</v>
      </c>
      <c r="R340" s="2"/>
    </row>
    <row r="341" spans="1:18">
      <c r="A341" s="2" t="s">
        <v>1094</v>
      </c>
      <c r="B341" s="2" t="s">
        <v>1091</v>
      </c>
      <c r="C341" s="2" t="s">
        <v>1061</v>
      </c>
      <c r="D341" s="2">
        <v>1075202335.46</v>
      </c>
      <c r="E341" s="2">
        <v>1</v>
      </c>
      <c r="F341" s="3">
        <f>IF(COUNT(D341,E341)=2,D341*E341,NA())</f>
        <v>1075202335.46</v>
      </c>
      <c r="G341" s="2" t="s">
        <v>50</v>
      </c>
      <c r="H341" s="2" t="s">
        <v>51</v>
      </c>
      <c r="I341" s="2" t="s">
        <v>52</v>
      </c>
      <c r="J341" s="2" t="s">
        <v>53</v>
      </c>
      <c r="K341" s="2" t="s">
        <v>396</v>
      </c>
      <c r="L341" s="2" t="s">
        <v>61</v>
      </c>
      <c r="M341" s="2" t="s">
        <v>392</v>
      </c>
      <c r="N341" s="2" t="s">
        <v>62</v>
      </c>
      <c r="O341" s="2" t="s">
        <v>57</v>
      </c>
      <c r="P341" s="2" t="s">
        <v>1095</v>
      </c>
      <c r="Q341" s="2" t="s">
        <v>1093</v>
      </c>
      <c r="R341" s="2"/>
    </row>
    <row r="342" spans="1:18">
      <c r="A342" s="2" t="s">
        <v>1096</v>
      </c>
      <c r="B342" s="2" t="s">
        <v>1097</v>
      </c>
      <c r="C342" s="2" t="s">
        <v>1061</v>
      </c>
      <c r="D342" s="2">
        <v>160946272.69</v>
      </c>
      <c r="E342" s="2">
        <v>1</v>
      </c>
      <c r="F342" s="3">
        <f>IF(COUNT(D342,E342)=2,D342*E342,NA())</f>
        <v>160946272.69</v>
      </c>
      <c r="G342" s="2" t="s">
        <v>50</v>
      </c>
      <c r="H342" s="2" t="s">
        <v>51</v>
      </c>
      <c r="I342" s="2" t="s">
        <v>52</v>
      </c>
      <c r="J342" s="2" t="s">
        <v>53</v>
      </c>
      <c r="K342" s="2" t="s">
        <v>391</v>
      </c>
      <c r="L342" s="2" t="s">
        <v>54</v>
      </c>
      <c r="M342" s="2" t="s">
        <v>392</v>
      </c>
      <c r="N342" s="2" t="s">
        <v>56</v>
      </c>
      <c r="O342" s="2" t="s">
        <v>57</v>
      </c>
      <c r="P342" s="2" t="s">
        <v>1098</v>
      </c>
      <c r="Q342" s="2" t="s">
        <v>1099</v>
      </c>
      <c r="R342" s="2"/>
    </row>
    <row r="343" spans="1:18">
      <c r="A343" s="2" t="s">
        <v>1100</v>
      </c>
      <c r="B343" s="2" t="s">
        <v>1097</v>
      </c>
      <c r="C343" s="2" t="s">
        <v>1061</v>
      </c>
      <c r="D343" s="2">
        <v>114218789.59</v>
      </c>
      <c r="E343" s="2">
        <v>1</v>
      </c>
      <c r="F343" s="3">
        <f>IF(COUNT(D343,E343)=2,D343*E343,NA())</f>
        <v>114218789.59</v>
      </c>
      <c r="G343" s="2" t="s">
        <v>50</v>
      </c>
      <c r="H343" s="2" t="s">
        <v>51</v>
      </c>
      <c r="I343" s="2" t="s">
        <v>52</v>
      </c>
      <c r="J343" s="2" t="s">
        <v>53</v>
      </c>
      <c r="K343" s="2" t="s">
        <v>396</v>
      </c>
      <c r="L343" s="2" t="s">
        <v>61</v>
      </c>
      <c r="M343" s="2" t="s">
        <v>392</v>
      </c>
      <c r="N343" s="2" t="s">
        <v>62</v>
      </c>
      <c r="O343" s="2" t="s">
        <v>57</v>
      </c>
      <c r="P343" s="2" t="s">
        <v>1101</v>
      </c>
      <c r="Q343" s="2" t="s">
        <v>1099</v>
      </c>
      <c r="R343" s="2"/>
    </row>
    <row r="344" spans="1:18">
      <c r="A344" s="2" t="s">
        <v>1102</v>
      </c>
      <c r="B344" s="2" t="s">
        <v>1103</v>
      </c>
      <c r="C344" s="2" t="s">
        <v>1061</v>
      </c>
      <c r="D344" s="2">
        <v>142619742.36</v>
      </c>
      <c r="E344" s="2">
        <v>1</v>
      </c>
      <c r="F344" s="3">
        <f>IF(COUNT(D344,E344)=2,D344*E344,NA())</f>
        <v>142619742.36</v>
      </c>
      <c r="G344" s="2" t="s">
        <v>50</v>
      </c>
      <c r="H344" s="2" t="s">
        <v>51</v>
      </c>
      <c r="I344" s="2" t="s">
        <v>52</v>
      </c>
      <c r="J344" s="2" t="s">
        <v>53</v>
      </c>
      <c r="K344" s="2" t="s">
        <v>391</v>
      </c>
      <c r="L344" s="2" t="s">
        <v>54</v>
      </c>
      <c r="M344" s="2" t="s">
        <v>392</v>
      </c>
      <c r="N344" s="2" t="s">
        <v>56</v>
      </c>
      <c r="O344" s="2" t="s">
        <v>57</v>
      </c>
      <c r="P344" s="2" t="s">
        <v>1104</v>
      </c>
      <c r="Q344" s="2" t="s">
        <v>1105</v>
      </c>
      <c r="R344" s="2"/>
    </row>
    <row r="345" spans="1:18">
      <c r="A345" s="2" t="s">
        <v>1106</v>
      </c>
      <c r="B345" s="2" t="s">
        <v>1103</v>
      </c>
      <c r="C345" s="2" t="s">
        <v>1061</v>
      </c>
      <c r="D345" s="2">
        <v>100320659.21</v>
      </c>
      <c r="E345" s="2">
        <v>1</v>
      </c>
      <c r="F345" s="3">
        <f>IF(COUNT(D345,E345)=2,D345*E345,NA())</f>
        <v>100320659.21</v>
      </c>
      <c r="G345" s="2" t="s">
        <v>50</v>
      </c>
      <c r="H345" s="2" t="s">
        <v>51</v>
      </c>
      <c r="I345" s="2" t="s">
        <v>52</v>
      </c>
      <c r="J345" s="2" t="s">
        <v>53</v>
      </c>
      <c r="K345" s="2" t="s">
        <v>396</v>
      </c>
      <c r="L345" s="2" t="s">
        <v>61</v>
      </c>
      <c r="M345" s="2" t="s">
        <v>392</v>
      </c>
      <c r="N345" s="2" t="s">
        <v>62</v>
      </c>
      <c r="O345" s="2" t="s">
        <v>57</v>
      </c>
      <c r="P345" s="2" t="s">
        <v>1107</v>
      </c>
      <c r="Q345" s="2" t="s">
        <v>1105</v>
      </c>
      <c r="R345" s="2"/>
    </row>
    <row r="346" spans="1:18">
      <c r="A346" s="2" t="s">
        <v>1108</v>
      </c>
      <c r="B346" s="2" t="s">
        <v>1109</v>
      </c>
      <c r="C346" s="2" t="s">
        <v>1061</v>
      </c>
      <c r="D346" s="2">
        <v>69865917.23</v>
      </c>
      <c r="E346" s="2">
        <v>1</v>
      </c>
      <c r="F346" s="3">
        <f>IF(COUNT(D346,E346)=2,D346*E346,NA())</f>
        <v>69865917.23</v>
      </c>
      <c r="G346" s="2" t="s">
        <v>50</v>
      </c>
      <c r="H346" s="2" t="s">
        <v>51</v>
      </c>
      <c r="I346" s="2" t="s">
        <v>52</v>
      </c>
      <c r="J346" s="2" t="s">
        <v>53</v>
      </c>
      <c r="K346" s="2" t="s">
        <v>391</v>
      </c>
      <c r="L346" s="2" t="s">
        <v>54</v>
      </c>
      <c r="M346" s="2" t="s">
        <v>392</v>
      </c>
      <c r="N346" s="2" t="s">
        <v>56</v>
      </c>
      <c r="O346" s="2" t="s">
        <v>57</v>
      </c>
      <c r="P346" s="2" t="s">
        <v>1110</v>
      </c>
      <c r="Q346" s="2" t="s">
        <v>1111</v>
      </c>
      <c r="R346" s="2"/>
    </row>
    <row r="347" spans="1:18">
      <c r="A347" s="2" t="s">
        <v>1112</v>
      </c>
      <c r="B347" s="2" t="s">
        <v>1109</v>
      </c>
      <c r="C347" s="2" t="s">
        <v>1061</v>
      </c>
      <c r="D347" s="2">
        <v>107473661.26</v>
      </c>
      <c r="E347" s="2">
        <v>1</v>
      </c>
      <c r="F347" s="3">
        <f>IF(COUNT(D347,E347)=2,D347*E347,NA())</f>
        <v>107473661.26</v>
      </c>
      <c r="G347" s="2" t="s">
        <v>50</v>
      </c>
      <c r="H347" s="2" t="s">
        <v>51</v>
      </c>
      <c r="I347" s="2" t="s">
        <v>52</v>
      </c>
      <c r="J347" s="2" t="s">
        <v>53</v>
      </c>
      <c r="K347" s="2" t="s">
        <v>396</v>
      </c>
      <c r="L347" s="2" t="s">
        <v>61</v>
      </c>
      <c r="M347" s="2" t="s">
        <v>392</v>
      </c>
      <c r="N347" s="2" t="s">
        <v>62</v>
      </c>
      <c r="O347" s="2" t="s">
        <v>57</v>
      </c>
      <c r="P347" s="2" t="s">
        <v>1113</v>
      </c>
      <c r="Q347" s="2" t="s">
        <v>1111</v>
      </c>
      <c r="R347" s="2"/>
    </row>
    <row r="348" spans="1:18">
      <c r="A348" s="2" t="s">
        <v>1114</v>
      </c>
      <c r="B348" s="2" t="s">
        <v>1115</v>
      </c>
      <c r="C348" s="2" t="s">
        <v>1061</v>
      </c>
      <c r="D348" s="2">
        <v>44705003.44</v>
      </c>
      <c r="E348" s="2">
        <v>1</v>
      </c>
      <c r="F348" s="3">
        <f>IF(COUNT(D348,E348)=2,D348*E348,NA())</f>
        <v>44705003.44</v>
      </c>
      <c r="G348" s="2" t="s">
        <v>50</v>
      </c>
      <c r="H348" s="2" t="s">
        <v>51</v>
      </c>
      <c r="I348" s="2" t="s">
        <v>52</v>
      </c>
      <c r="J348" s="2" t="s">
        <v>53</v>
      </c>
      <c r="K348" s="2" t="s">
        <v>391</v>
      </c>
      <c r="L348" s="2" t="s">
        <v>54</v>
      </c>
      <c r="M348" s="2" t="s">
        <v>392</v>
      </c>
      <c r="N348" s="2" t="s">
        <v>56</v>
      </c>
      <c r="O348" s="2" t="s">
        <v>57</v>
      </c>
      <c r="P348" s="2" t="s">
        <v>1116</v>
      </c>
      <c r="Q348" s="2" t="s">
        <v>1117</v>
      </c>
      <c r="R348" s="2"/>
    </row>
    <row r="349" spans="1:18">
      <c r="A349" s="2" t="s">
        <v>1118</v>
      </c>
      <c r="B349" s="2" t="s">
        <v>1115</v>
      </c>
      <c r="C349" s="2" t="s">
        <v>1061</v>
      </c>
      <c r="D349" s="2">
        <v>76652910.94</v>
      </c>
      <c r="E349" s="2">
        <v>1</v>
      </c>
      <c r="F349" s="3">
        <f>IF(COUNT(D349,E349)=2,D349*E349,NA())</f>
        <v>76652910.94</v>
      </c>
      <c r="G349" s="2" t="s">
        <v>50</v>
      </c>
      <c r="H349" s="2" t="s">
        <v>51</v>
      </c>
      <c r="I349" s="2" t="s">
        <v>52</v>
      </c>
      <c r="J349" s="2" t="s">
        <v>53</v>
      </c>
      <c r="K349" s="2" t="s">
        <v>396</v>
      </c>
      <c r="L349" s="2" t="s">
        <v>61</v>
      </c>
      <c r="M349" s="2" t="s">
        <v>392</v>
      </c>
      <c r="N349" s="2" t="s">
        <v>62</v>
      </c>
      <c r="O349" s="2" t="s">
        <v>57</v>
      </c>
      <c r="P349" s="2" t="s">
        <v>1119</v>
      </c>
      <c r="Q349" s="2" t="s">
        <v>1117</v>
      </c>
      <c r="R349" s="2"/>
    </row>
    <row r="350" spans="1:18">
      <c r="A350" s="2" t="s">
        <v>1120</v>
      </c>
      <c r="B350" s="2" t="s">
        <v>1121</v>
      </c>
      <c r="C350" s="2" t="s">
        <v>1061</v>
      </c>
      <c r="D350" s="2">
        <v>69583270.48999999</v>
      </c>
      <c r="E350" s="2">
        <v>1</v>
      </c>
      <c r="F350" s="3">
        <f>IF(COUNT(D350,E350)=2,D350*E350,NA())</f>
        <v>69583270.49</v>
      </c>
      <c r="G350" s="2" t="s">
        <v>50</v>
      </c>
      <c r="H350" s="2" t="s">
        <v>51</v>
      </c>
      <c r="I350" s="2" t="s">
        <v>52</v>
      </c>
      <c r="J350" s="2" t="s">
        <v>53</v>
      </c>
      <c r="K350" s="2" t="s">
        <v>391</v>
      </c>
      <c r="L350" s="2" t="s">
        <v>54</v>
      </c>
      <c r="M350" s="2" t="s">
        <v>392</v>
      </c>
      <c r="N350" s="2" t="s">
        <v>56</v>
      </c>
      <c r="O350" s="2" t="s">
        <v>57</v>
      </c>
      <c r="P350" s="2" t="s">
        <v>1122</v>
      </c>
      <c r="Q350" s="2" t="s">
        <v>1123</v>
      </c>
      <c r="R350" s="2"/>
    </row>
    <row r="351" spans="1:18">
      <c r="A351" s="2" t="s">
        <v>1124</v>
      </c>
      <c r="B351" s="2" t="s">
        <v>1121</v>
      </c>
      <c r="C351" s="2" t="s">
        <v>1061</v>
      </c>
      <c r="D351" s="2">
        <v>51151439.59</v>
      </c>
      <c r="E351" s="2">
        <v>1</v>
      </c>
      <c r="F351" s="3">
        <f>IF(COUNT(D351,E351)=2,D351*E351,NA())</f>
        <v>51151439.59</v>
      </c>
      <c r="G351" s="2" t="s">
        <v>50</v>
      </c>
      <c r="H351" s="2" t="s">
        <v>51</v>
      </c>
      <c r="I351" s="2" t="s">
        <v>52</v>
      </c>
      <c r="J351" s="2" t="s">
        <v>53</v>
      </c>
      <c r="K351" s="2" t="s">
        <v>396</v>
      </c>
      <c r="L351" s="2" t="s">
        <v>61</v>
      </c>
      <c r="M351" s="2" t="s">
        <v>392</v>
      </c>
      <c r="N351" s="2" t="s">
        <v>62</v>
      </c>
      <c r="O351" s="2" t="s">
        <v>57</v>
      </c>
      <c r="P351" s="2" t="s">
        <v>1125</v>
      </c>
      <c r="Q351" s="2" t="s">
        <v>1123</v>
      </c>
      <c r="R351" s="2"/>
    </row>
    <row r="352" spans="1:18">
      <c r="A352" s="2" t="s">
        <v>1126</v>
      </c>
      <c r="B352" s="2" t="s">
        <v>1127</v>
      </c>
      <c r="C352" s="2" t="s">
        <v>1061</v>
      </c>
      <c r="D352" s="2">
        <v>53727397.97</v>
      </c>
      <c r="E352" s="2">
        <v>1</v>
      </c>
      <c r="F352" s="3">
        <f>IF(COUNT(D352,E352)=2,D352*E352,NA())</f>
        <v>53727397.97</v>
      </c>
      <c r="G352" s="2" t="s">
        <v>50</v>
      </c>
      <c r="H352" s="2" t="s">
        <v>51</v>
      </c>
      <c r="I352" s="2" t="s">
        <v>52</v>
      </c>
      <c r="J352" s="2" t="s">
        <v>53</v>
      </c>
      <c r="K352" s="2" t="s">
        <v>391</v>
      </c>
      <c r="L352" s="2" t="s">
        <v>54</v>
      </c>
      <c r="M352" s="2" t="s">
        <v>392</v>
      </c>
      <c r="N352" s="2" t="s">
        <v>56</v>
      </c>
      <c r="O352" s="2" t="s">
        <v>57</v>
      </c>
      <c r="P352" s="2" t="s">
        <v>1128</v>
      </c>
      <c r="Q352" s="2" t="s">
        <v>1129</v>
      </c>
      <c r="R352" s="2"/>
    </row>
    <row r="353" spans="1:18">
      <c r="A353" s="2" t="s">
        <v>1130</v>
      </c>
      <c r="B353" s="2" t="s">
        <v>1127</v>
      </c>
      <c r="C353" s="2" t="s">
        <v>1061</v>
      </c>
      <c r="D353" s="2">
        <v>33150829.15</v>
      </c>
      <c r="E353" s="2">
        <v>1</v>
      </c>
      <c r="F353" s="3">
        <f>IF(COUNT(D353,E353)=2,D353*E353,NA())</f>
        <v>33150829.15</v>
      </c>
      <c r="G353" s="2" t="s">
        <v>50</v>
      </c>
      <c r="H353" s="2" t="s">
        <v>51</v>
      </c>
      <c r="I353" s="2" t="s">
        <v>52</v>
      </c>
      <c r="J353" s="2" t="s">
        <v>53</v>
      </c>
      <c r="K353" s="2" t="s">
        <v>396</v>
      </c>
      <c r="L353" s="2" t="s">
        <v>61</v>
      </c>
      <c r="M353" s="2" t="s">
        <v>392</v>
      </c>
      <c r="N353" s="2" t="s">
        <v>62</v>
      </c>
      <c r="O353" s="2" t="s">
        <v>57</v>
      </c>
      <c r="P353" s="2" t="s">
        <v>1131</v>
      </c>
      <c r="Q353" s="2" t="s">
        <v>1129</v>
      </c>
      <c r="R353" s="2"/>
    </row>
    <row r="354" spans="1:18">
      <c r="A354" s="2" t="s">
        <v>1132</v>
      </c>
      <c r="B354" s="2" t="s">
        <v>1133</v>
      </c>
      <c r="C354" s="2" t="s">
        <v>1061</v>
      </c>
      <c r="D354" s="2">
        <v>195388952.44</v>
      </c>
      <c r="E354" s="2">
        <v>1</v>
      </c>
      <c r="F354" s="3">
        <f>IF(COUNT(D354,E354)=2,D354*E354,NA())</f>
        <v>195388952.44</v>
      </c>
      <c r="G354" s="2" t="s">
        <v>50</v>
      </c>
      <c r="H354" s="2" t="s">
        <v>51</v>
      </c>
      <c r="I354" s="2" t="s">
        <v>52</v>
      </c>
      <c r="J354" s="2" t="s">
        <v>53</v>
      </c>
      <c r="K354" s="2" t="s">
        <v>391</v>
      </c>
      <c r="L354" s="2" t="s">
        <v>54</v>
      </c>
      <c r="M354" s="2" t="s">
        <v>392</v>
      </c>
      <c r="N354" s="2" t="s">
        <v>56</v>
      </c>
      <c r="O354" s="2" t="s">
        <v>57</v>
      </c>
      <c r="P354" s="2" t="s">
        <v>1134</v>
      </c>
      <c r="Q354" s="2" t="s">
        <v>1135</v>
      </c>
      <c r="R354" s="2"/>
    </row>
    <row r="355" spans="1:18">
      <c r="A355" s="2" t="s">
        <v>1136</v>
      </c>
      <c r="B355" s="2" t="s">
        <v>1133</v>
      </c>
      <c r="C355" s="2" t="s">
        <v>1061</v>
      </c>
      <c r="D355" s="2">
        <v>136658158.03</v>
      </c>
      <c r="E355" s="2">
        <v>1</v>
      </c>
      <c r="F355" s="3">
        <f>IF(COUNT(D355,E355)=2,D355*E355,NA())</f>
        <v>136658158.03</v>
      </c>
      <c r="G355" s="2" t="s">
        <v>50</v>
      </c>
      <c r="H355" s="2" t="s">
        <v>51</v>
      </c>
      <c r="I355" s="2" t="s">
        <v>52</v>
      </c>
      <c r="J355" s="2" t="s">
        <v>53</v>
      </c>
      <c r="K355" s="2" t="s">
        <v>396</v>
      </c>
      <c r="L355" s="2" t="s">
        <v>61</v>
      </c>
      <c r="M355" s="2" t="s">
        <v>392</v>
      </c>
      <c r="N355" s="2" t="s">
        <v>62</v>
      </c>
      <c r="O355" s="2" t="s">
        <v>57</v>
      </c>
      <c r="P355" s="2" t="s">
        <v>1137</v>
      </c>
      <c r="Q355" s="2" t="s">
        <v>1135</v>
      </c>
      <c r="R355" s="2"/>
    </row>
    <row r="356" spans="1:18">
      <c r="A356" s="2" t="s">
        <v>1138</v>
      </c>
      <c r="B356" s="2" t="s">
        <v>1139</v>
      </c>
      <c r="C356" s="2" t="s">
        <v>1061</v>
      </c>
      <c r="D356" s="2">
        <v>138436457.23</v>
      </c>
      <c r="E356" s="2">
        <v>1</v>
      </c>
      <c r="F356" s="3">
        <f>IF(COUNT(D356,E356)=2,D356*E356,NA())</f>
        <v>138436457.23</v>
      </c>
      <c r="G356" s="2" t="s">
        <v>50</v>
      </c>
      <c r="H356" s="2" t="s">
        <v>51</v>
      </c>
      <c r="I356" s="2" t="s">
        <v>52</v>
      </c>
      <c r="J356" s="2" t="s">
        <v>53</v>
      </c>
      <c r="K356" s="2" t="s">
        <v>391</v>
      </c>
      <c r="L356" s="2" t="s">
        <v>54</v>
      </c>
      <c r="M356" s="2" t="s">
        <v>392</v>
      </c>
      <c r="N356" s="2" t="s">
        <v>56</v>
      </c>
      <c r="O356" s="2" t="s">
        <v>57</v>
      </c>
      <c r="P356" s="2" t="s">
        <v>1140</v>
      </c>
      <c r="Q356" s="2" t="s">
        <v>1141</v>
      </c>
      <c r="R356" s="2"/>
    </row>
    <row r="357" spans="1:18">
      <c r="A357" s="2" t="s">
        <v>1142</v>
      </c>
      <c r="B357" s="2" t="s">
        <v>1139</v>
      </c>
      <c r="C357" s="2" t="s">
        <v>1061</v>
      </c>
      <c r="D357" s="2">
        <v>101477955.58</v>
      </c>
      <c r="E357" s="2">
        <v>1</v>
      </c>
      <c r="F357" s="3">
        <f>IF(COUNT(D357,E357)=2,D357*E357,NA())</f>
        <v>101477955.58</v>
      </c>
      <c r="G357" s="2" t="s">
        <v>50</v>
      </c>
      <c r="H357" s="2" t="s">
        <v>51</v>
      </c>
      <c r="I357" s="2" t="s">
        <v>52</v>
      </c>
      <c r="J357" s="2" t="s">
        <v>53</v>
      </c>
      <c r="K357" s="2" t="s">
        <v>396</v>
      </c>
      <c r="L357" s="2" t="s">
        <v>61</v>
      </c>
      <c r="M357" s="2" t="s">
        <v>392</v>
      </c>
      <c r="N357" s="2" t="s">
        <v>62</v>
      </c>
      <c r="O357" s="2" t="s">
        <v>57</v>
      </c>
      <c r="P357" s="2" t="s">
        <v>1143</v>
      </c>
      <c r="Q357" s="2" t="s">
        <v>1141</v>
      </c>
      <c r="R357" s="2"/>
    </row>
    <row r="358" spans="1:18">
      <c r="A358" s="2" t="s">
        <v>1144</v>
      </c>
      <c r="B358" s="2" t="s">
        <v>1145</v>
      </c>
      <c r="C358" s="2" t="s">
        <v>1061</v>
      </c>
      <c r="D358" s="2">
        <v>126953877.08</v>
      </c>
      <c r="E358" s="2">
        <v>1</v>
      </c>
      <c r="F358" s="3">
        <f>IF(COUNT(D358,E358)=2,D358*E358,NA())</f>
        <v>126953877.08</v>
      </c>
      <c r="G358" s="2" t="s">
        <v>50</v>
      </c>
      <c r="H358" s="2" t="s">
        <v>51</v>
      </c>
      <c r="I358" s="2" t="s">
        <v>52</v>
      </c>
      <c r="J358" s="2" t="s">
        <v>53</v>
      </c>
      <c r="K358" s="2" t="s">
        <v>391</v>
      </c>
      <c r="L358" s="2" t="s">
        <v>54</v>
      </c>
      <c r="M358" s="2" t="s">
        <v>392</v>
      </c>
      <c r="N358" s="2" t="s">
        <v>56</v>
      </c>
      <c r="O358" s="2" t="s">
        <v>57</v>
      </c>
      <c r="P358" s="2" t="s">
        <v>1146</v>
      </c>
      <c r="Q358" s="2" t="s">
        <v>1147</v>
      </c>
      <c r="R358" s="2"/>
    </row>
    <row r="359" spans="1:18">
      <c r="A359" s="2" t="s">
        <v>1148</v>
      </c>
      <c r="B359" s="2" t="s">
        <v>1145</v>
      </c>
      <c r="C359" s="2" t="s">
        <v>1061</v>
      </c>
      <c r="D359" s="2">
        <v>150991590.6</v>
      </c>
      <c r="E359" s="2">
        <v>1</v>
      </c>
      <c r="F359" s="3">
        <f>IF(COUNT(D359,E359)=2,D359*E359,NA())</f>
        <v>150991590.6</v>
      </c>
      <c r="G359" s="2" t="s">
        <v>50</v>
      </c>
      <c r="H359" s="2" t="s">
        <v>51</v>
      </c>
      <c r="I359" s="2" t="s">
        <v>52</v>
      </c>
      <c r="J359" s="2" t="s">
        <v>53</v>
      </c>
      <c r="K359" s="2" t="s">
        <v>396</v>
      </c>
      <c r="L359" s="2" t="s">
        <v>61</v>
      </c>
      <c r="M359" s="2" t="s">
        <v>392</v>
      </c>
      <c r="N359" s="2" t="s">
        <v>62</v>
      </c>
      <c r="O359" s="2" t="s">
        <v>57</v>
      </c>
      <c r="P359" s="2" t="s">
        <v>1149</v>
      </c>
      <c r="Q359" s="2" t="s">
        <v>1147</v>
      </c>
      <c r="R359" s="2"/>
    </row>
    <row r="360" spans="1:18">
      <c r="A360" s="2" t="s">
        <v>1150</v>
      </c>
      <c r="B360" s="2" t="s">
        <v>1151</v>
      </c>
      <c r="C360" s="2" t="s">
        <v>1061</v>
      </c>
      <c r="D360" s="2">
        <v>27350627.54</v>
      </c>
      <c r="E360" s="2">
        <v>1</v>
      </c>
      <c r="F360" s="3">
        <f>IF(COUNT(D360,E360)=2,D360*E360,NA())</f>
        <v>27350627.54</v>
      </c>
      <c r="G360" s="2" t="s">
        <v>50</v>
      </c>
      <c r="H360" s="2" t="s">
        <v>51</v>
      </c>
      <c r="I360" s="2" t="s">
        <v>52</v>
      </c>
      <c r="J360" s="2" t="s">
        <v>53</v>
      </c>
      <c r="K360" s="2" t="s">
        <v>391</v>
      </c>
      <c r="L360" s="2" t="s">
        <v>54</v>
      </c>
      <c r="M360" s="2" t="s">
        <v>392</v>
      </c>
      <c r="N360" s="2" t="s">
        <v>56</v>
      </c>
      <c r="O360" s="2" t="s">
        <v>57</v>
      </c>
      <c r="P360" s="2" t="s">
        <v>1152</v>
      </c>
      <c r="Q360" s="2" t="s">
        <v>1153</v>
      </c>
      <c r="R360" s="2"/>
    </row>
    <row r="361" spans="1:18">
      <c r="A361" s="2" t="s">
        <v>1154</v>
      </c>
      <c r="B361" s="2" t="s">
        <v>1151</v>
      </c>
      <c r="C361" s="2" t="s">
        <v>1061</v>
      </c>
      <c r="D361" s="2">
        <v>42385421.33</v>
      </c>
      <c r="E361" s="2">
        <v>1</v>
      </c>
      <c r="F361" s="3">
        <f>IF(COUNT(D361,E361)=2,D361*E361,NA())</f>
        <v>42385421.33</v>
      </c>
      <c r="G361" s="2" t="s">
        <v>50</v>
      </c>
      <c r="H361" s="2" t="s">
        <v>51</v>
      </c>
      <c r="I361" s="2" t="s">
        <v>52</v>
      </c>
      <c r="J361" s="2" t="s">
        <v>53</v>
      </c>
      <c r="K361" s="2" t="s">
        <v>396</v>
      </c>
      <c r="L361" s="2" t="s">
        <v>61</v>
      </c>
      <c r="M361" s="2" t="s">
        <v>392</v>
      </c>
      <c r="N361" s="2" t="s">
        <v>62</v>
      </c>
      <c r="O361" s="2" t="s">
        <v>57</v>
      </c>
      <c r="P361" s="2" t="s">
        <v>1155</v>
      </c>
      <c r="Q361" s="2" t="s">
        <v>1153</v>
      </c>
      <c r="R361" s="2"/>
    </row>
    <row r="362" spans="1:18">
      <c r="A362" s="2" t="s">
        <v>1156</v>
      </c>
      <c r="B362" s="2" t="s">
        <v>1157</v>
      </c>
      <c r="C362" s="2" t="s">
        <v>1061</v>
      </c>
      <c r="D362" s="2">
        <v>2257122.42</v>
      </c>
      <c r="E362" s="2">
        <v>1</v>
      </c>
      <c r="F362" s="3">
        <f>IF(COUNT(D362,E362)=2,D362*E362,NA())</f>
        <v>2257122.42</v>
      </c>
      <c r="G362" s="2" t="s">
        <v>50</v>
      </c>
      <c r="H362" s="2" t="s">
        <v>51</v>
      </c>
      <c r="I362" s="2" t="s">
        <v>52</v>
      </c>
      <c r="J362" s="2" t="s">
        <v>53</v>
      </c>
      <c r="K362" s="2" t="s">
        <v>391</v>
      </c>
      <c r="L362" s="2" t="s">
        <v>54</v>
      </c>
      <c r="M362" s="2" t="s">
        <v>392</v>
      </c>
      <c r="N362" s="2" t="s">
        <v>56</v>
      </c>
      <c r="O362" s="2" t="s">
        <v>57</v>
      </c>
      <c r="P362" s="2" t="s">
        <v>1158</v>
      </c>
      <c r="Q362" s="2" t="s">
        <v>1159</v>
      </c>
      <c r="R362" s="2"/>
    </row>
    <row r="363" spans="1:18">
      <c r="A363" s="2" t="s">
        <v>1160</v>
      </c>
      <c r="B363" s="2" t="s">
        <v>1157</v>
      </c>
      <c r="C363" s="2" t="s">
        <v>1061</v>
      </c>
      <c r="D363" s="2">
        <v>161393884.69</v>
      </c>
      <c r="E363" s="2">
        <v>1</v>
      </c>
      <c r="F363" s="3">
        <f>IF(COUNT(D363,E363)=2,D363*E363,NA())</f>
        <v>161393884.69</v>
      </c>
      <c r="G363" s="2" t="s">
        <v>50</v>
      </c>
      <c r="H363" s="2" t="s">
        <v>51</v>
      </c>
      <c r="I363" s="2" t="s">
        <v>52</v>
      </c>
      <c r="J363" s="2" t="s">
        <v>53</v>
      </c>
      <c r="K363" s="2" t="s">
        <v>396</v>
      </c>
      <c r="L363" s="2" t="s">
        <v>61</v>
      </c>
      <c r="M363" s="2" t="s">
        <v>392</v>
      </c>
      <c r="N363" s="2" t="s">
        <v>62</v>
      </c>
      <c r="O363" s="2" t="s">
        <v>57</v>
      </c>
      <c r="P363" s="2" t="s">
        <v>1161</v>
      </c>
      <c r="Q363" s="2" t="s">
        <v>1159</v>
      </c>
      <c r="R363" s="2"/>
    </row>
    <row r="364" spans="1:18">
      <c r="A364" s="2" t="s">
        <v>1162</v>
      </c>
      <c r="B364" s="2" t="s">
        <v>1163</v>
      </c>
      <c r="C364" s="2" t="s">
        <v>1164</v>
      </c>
      <c r="D364" s="2">
        <v>786900289.59</v>
      </c>
      <c r="E364" s="2">
        <v>1</v>
      </c>
      <c r="F364" s="3">
        <f>IF(COUNT(D364,E364)=2,D364*E364,NA())</f>
        <v>786900289.59</v>
      </c>
      <c r="G364" s="2" t="s">
        <v>50</v>
      </c>
      <c r="H364" s="2" t="s">
        <v>51</v>
      </c>
      <c r="I364" s="2" t="s">
        <v>52</v>
      </c>
      <c r="J364" s="2" t="s">
        <v>53</v>
      </c>
      <c r="K364" s="2" t="s">
        <v>391</v>
      </c>
      <c r="L364" s="2" t="s">
        <v>54</v>
      </c>
      <c r="M364" s="2" t="s">
        <v>392</v>
      </c>
      <c r="N364" s="2" t="s">
        <v>56</v>
      </c>
      <c r="O364" s="2" t="s">
        <v>57</v>
      </c>
      <c r="P364" s="2" t="s">
        <v>1165</v>
      </c>
      <c r="Q364" s="2" t="s">
        <v>1166</v>
      </c>
      <c r="R364" s="2"/>
    </row>
    <row r="365" spans="1:18">
      <c r="A365" s="2" t="s">
        <v>1167</v>
      </c>
      <c r="B365" s="2" t="s">
        <v>1163</v>
      </c>
      <c r="C365" s="2" t="s">
        <v>1164</v>
      </c>
      <c r="D365" s="2">
        <v>309766254.03</v>
      </c>
      <c r="E365" s="2">
        <v>1</v>
      </c>
      <c r="F365" s="3">
        <f>IF(COUNT(D365,E365)=2,D365*E365,NA())</f>
        <v>309766254.03</v>
      </c>
      <c r="G365" s="2" t="s">
        <v>50</v>
      </c>
      <c r="H365" s="2" t="s">
        <v>51</v>
      </c>
      <c r="I365" s="2" t="s">
        <v>52</v>
      </c>
      <c r="J365" s="2" t="s">
        <v>53</v>
      </c>
      <c r="K365" s="2" t="s">
        <v>396</v>
      </c>
      <c r="L365" s="2" t="s">
        <v>61</v>
      </c>
      <c r="M365" s="2" t="s">
        <v>392</v>
      </c>
      <c r="N365" s="2" t="s">
        <v>62</v>
      </c>
      <c r="O365" s="2" t="s">
        <v>57</v>
      </c>
      <c r="P365" s="2" t="s">
        <v>1168</v>
      </c>
      <c r="Q365" s="2" t="s">
        <v>1166</v>
      </c>
      <c r="R365" s="2"/>
    </row>
    <row r="366" spans="1:18">
      <c r="A366" s="2" t="s">
        <v>1169</v>
      </c>
      <c r="B366" s="2" t="s">
        <v>1170</v>
      </c>
      <c r="C366" s="2" t="s">
        <v>1164</v>
      </c>
      <c r="D366" s="2">
        <v>253723564.1</v>
      </c>
      <c r="E366" s="2">
        <v>1</v>
      </c>
      <c r="F366" s="3">
        <f>IF(COUNT(D366,E366)=2,D366*E366,NA())</f>
        <v>253723564.1</v>
      </c>
      <c r="G366" s="2" t="s">
        <v>50</v>
      </c>
      <c r="H366" s="2" t="s">
        <v>51</v>
      </c>
      <c r="I366" s="2" t="s">
        <v>52</v>
      </c>
      <c r="J366" s="2" t="s">
        <v>53</v>
      </c>
      <c r="K366" s="2" t="s">
        <v>391</v>
      </c>
      <c r="L366" s="2" t="s">
        <v>54</v>
      </c>
      <c r="M366" s="2" t="s">
        <v>392</v>
      </c>
      <c r="N366" s="2" t="s">
        <v>56</v>
      </c>
      <c r="O366" s="2" t="s">
        <v>57</v>
      </c>
      <c r="P366" s="2" t="s">
        <v>1171</v>
      </c>
      <c r="Q366" s="2" t="s">
        <v>1172</v>
      </c>
      <c r="R366" s="2"/>
    </row>
    <row r="367" spans="1:18">
      <c r="A367" s="2" t="s">
        <v>1173</v>
      </c>
      <c r="B367" s="2" t="s">
        <v>1170</v>
      </c>
      <c r="C367" s="2" t="s">
        <v>1164</v>
      </c>
      <c r="D367" s="2">
        <v>251376243.18</v>
      </c>
      <c r="E367" s="2">
        <v>1</v>
      </c>
      <c r="F367" s="3">
        <f>IF(COUNT(D367,E367)=2,D367*E367,NA())</f>
        <v>251376243.18</v>
      </c>
      <c r="G367" s="2" t="s">
        <v>50</v>
      </c>
      <c r="H367" s="2" t="s">
        <v>51</v>
      </c>
      <c r="I367" s="2" t="s">
        <v>52</v>
      </c>
      <c r="J367" s="2" t="s">
        <v>53</v>
      </c>
      <c r="K367" s="2" t="s">
        <v>396</v>
      </c>
      <c r="L367" s="2" t="s">
        <v>61</v>
      </c>
      <c r="M367" s="2" t="s">
        <v>392</v>
      </c>
      <c r="N367" s="2" t="s">
        <v>62</v>
      </c>
      <c r="O367" s="2" t="s">
        <v>57</v>
      </c>
      <c r="P367" s="2" t="s">
        <v>1174</v>
      </c>
      <c r="Q367" s="2" t="s">
        <v>1172</v>
      </c>
      <c r="R367" s="2"/>
    </row>
    <row r="368" spans="1:18">
      <c r="A368" s="2" t="s">
        <v>1175</v>
      </c>
      <c r="B368" s="2" t="s">
        <v>1176</v>
      </c>
      <c r="C368" s="2" t="s">
        <v>1164</v>
      </c>
      <c r="D368" s="2">
        <v>11071812.88</v>
      </c>
      <c r="E368" s="2">
        <v>1</v>
      </c>
      <c r="F368" s="3">
        <f>IF(COUNT(D368,E368)=2,D368*E368,NA())</f>
        <v>11071812.88</v>
      </c>
      <c r="G368" s="2" t="s">
        <v>50</v>
      </c>
      <c r="H368" s="2" t="s">
        <v>51</v>
      </c>
      <c r="I368" s="2" t="s">
        <v>52</v>
      </c>
      <c r="J368" s="2" t="s">
        <v>53</v>
      </c>
      <c r="K368" s="2" t="s">
        <v>391</v>
      </c>
      <c r="L368" s="2" t="s">
        <v>54</v>
      </c>
      <c r="M368" s="2" t="s">
        <v>392</v>
      </c>
      <c r="N368" s="2" t="s">
        <v>56</v>
      </c>
      <c r="O368" s="2" t="s">
        <v>57</v>
      </c>
      <c r="P368" s="2" t="s">
        <v>1177</v>
      </c>
      <c r="Q368" s="2" t="s">
        <v>1178</v>
      </c>
      <c r="R368" s="2"/>
    </row>
    <row r="369" spans="1:18">
      <c r="A369" s="2" t="s">
        <v>1179</v>
      </c>
      <c r="B369" s="2" t="s">
        <v>1176</v>
      </c>
      <c r="C369" s="2" t="s">
        <v>1164</v>
      </c>
      <c r="D369" s="2">
        <v>12121184.06</v>
      </c>
      <c r="E369" s="2">
        <v>1</v>
      </c>
      <c r="F369" s="3">
        <f>IF(COUNT(D369,E369)=2,D369*E369,NA())</f>
        <v>12121184.06</v>
      </c>
      <c r="G369" s="2" t="s">
        <v>50</v>
      </c>
      <c r="H369" s="2" t="s">
        <v>51</v>
      </c>
      <c r="I369" s="2" t="s">
        <v>52</v>
      </c>
      <c r="J369" s="2" t="s">
        <v>53</v>
      </c>
      <c r="K369" s="2" t="s">
        <v>396</v>
      </c>
      <c r="L369" s="2" t="s">
        <v>61</v>
      </c>
      <c r="M369" s="2" t="s">
        <v>392</v>
      </c>
      <c r="N369" s="2" t="s">
        <v>62</v>
      </c>
      <c r="O369" s="2" t="s">
        <v>57</v>
      </c>
      <c r="P369" s="2" t="s">
        <v>1180</v>
      </c>
      <c r="Q369" s="2" t="s">
        <v>1178</v>
      </c>
      <c r="R369" s="2"/>
    </row>
    <row r="370" spans="1:18">
      <c r="A370" s="2" t="s">
        <v>1181</v>
      </c>
      <c r="B370" s="2" t="s">
        <v>1182</v>
      </c>
      <c r="C370" s="2" t="s">
        <v>1164</v>
      </c>
      <c r="D370" s="2">
        <v>15967455.66</v>
      </c>
      <c r="E370" s="2">
        <v>1</v>
      </c>
      <c r="F370" s="3">
        <f>IF(COUNT(D370,E370)=2,D370*E370,NA())</f>
        <v>15967455.66</v>
      </c>
      <c r="G370" s="2" t="s">
        <v>50</v>
      </c>
      <c r="H370" s="2" t="s">
        <v>51</v>
      </c>
      <c r="I370" s="2" t="s">
        <v>52</v>
      </c>
      <c r="J370" s="2" t="s">
        <v>53</v>
      </c>
      <c r="K370" s="2" t="s">
        <v>391</v>
      </c>
      <c r="L370" s="2" t="s">
        <v>54</v>
      </c>
      <c r="M370" s="2" t="s">
        <v>392</v>
      </c>
      <c r="N370" s="2" t="s">
        <v>56</v>
      </c>
      <c r="O370" s="2" t="s">
        <v>57</v>
      </c>
      <c r="P370" s="2" t="s">
        <v>1183</v>
      </c>
      <c r="Q370" s="2" t="s">
        <v>1184</v>
      </c>
      <c r="R370" s="2"/>
    </row>
    <row r="371" spans="1:18">
      <c r="A371" s="2" t="s">
        <v>1185</v>
      </c>
      <c r="B371" s="2" t="s">
        <v>1182</v>
      </c>
      <c r="C371" s="2" t="s">
        <v>1164</v>
      </c>
      <c r="D371" s="2">
        <v>13916714.87</v>
      </c>
      <c r="E371" s="2">
        <v>1</v>
      </c>
      <c r="F371" s="3">
        <f>IF(COUNT(D371,E371)=2,D371*E371,NA())</f>
        <v>13916714.87</v>
      </c>
      <c r="G371" s="2" t="s">
        <v>50</v>
      </c>
      <c r="H371" s="2" t="s">
        <v>51</v>
      </c>
      <c r="I371" s="2" t="s">
        <v>52</v>
      </c>
      <c r="J371" s="2" t="s">
        <v>53</v>
      </c>
      <c r="K371" s="2" t="s">
        <v>396</v>
      </c>
      <c r="L371" s="2" t="s">
        <v>61</v>
      </c>
      <c r="M371" s="2" t="s">
        <v>392</v>
      </c>
      <c r="N371" s="2" t="s">
        <v>62</v>
      </c>
      <c r="O371" s="2" t="s">
        <v>57</v>
      </c>
      <c r="P371" s="2" t="s">
        <v>1186</v>
      </c>
      <c r="Q371" s="2" t="s">
        <v>1184</v>
      </c>
      <c r="R371" s="2"/>
    </row>
    <row r="372" spans="1:18">
      <c r="A372" s="2" t="s">
        <v>1187</v>
      </c>
      <c r="B372" s="2" t="s">
        <v>1188</v>
      </c>
      <c r="C372" s="2" t="s">
        <v>1164</v>
      </c>
      <c r="D372" s="2">
        <v>918695.3100000001</v>
      </c>
      <c r="E372" s="2">
        <v>1</v>
      </c>
      <c r="F372" s="3">
        <f>IF(COUNT(D372,E372)=2,D372*E372,NA())</f>
        <v>918695.31</v>
      </c>
      <c r="G372" s="2" t="s">
        <v>50</v>
      </c>
      <c r="H372" s="2" t="s">
        <v>51</v>
      </c>
      <c r="I372" s="2" t="s">
        <v>52</v>
      </c>
      <c r="J372" s="2" t="s">
        <v>53</v>
      </c>
      <c r="K372" s="2" t="s">
        <v>391</v>
      </c>
      <c r="L372" s="2" t="s">
        <v>54</v>
      </c>
      <c r="M372" s="2" t="s">
        <v>392</v>
      </c>
      <c r="N372" s="2" t="s">
        <v>56</v>
      </c>
      <c r="O372" s="2" t="s">
        <v>57</v>
      </c>
      <c r="P372" s="2" t="s">
        <v>1189</v>
      </c>
      <c r="Q372" s="2" t="s">
        <v>1190</v>
      </c>
      <c r="R372" s="2"/>
    </row>
    <row r="373" spans="1:18">
      <c r="A373" s="2" t="s">
        <v>1191</v>
      </c>
      <c r="B373" s="2" t="s">
        <v>1188</v>
      </c>
      <c r="C373" s="2" t="s">
        <v>1164</v>
      </c>
      <c r="D373" s="2">
        <v>1210262.57</v>
      </c>
      <c r="E373" s="2">
        <v>1</v>
      </c>
      <c r="F373" s="3">
        <f>IF(COUNT(D373,E373)=2,D373*E373,NA())</f>
        <v>1210262.57</v>
      </c>
      <c r="G373" s="2" t="s">
        <v>50</v>
      </c>
      <c r="H373" s="2" t="s">
        <v>51</v>
      </c>
      <c r="I373" s="2" t="s">
        <v>52</v>
      </c>
      <c r="J373" s="2" t="s">
        <v>53</v>
      </c>
      <c r="K373" s="2" t="s">
        <v>396</v>
      </c>
      <c r="L373" s="2" t="s">
        <v>61</v>
      </c>
      <c r="M373" s="2" t="s">
        <v>392</v>
      </c>
      <c r="N373" s="2" t="s">
        <v>62</v>
      </c>
      <c r="O373" s="2" t="s">
        <v>57</v>
      </c>
      <c r="P373" s="2" t="s">
        <v>1192</v>
      </c>
      <c r="Q373" s="2" t="s">
        <v>1190</v>
      </c>
      <c r="R373" s="2"/>
    </row>
    <row r="374" spans="1:18">
      <c r="A374" s="2" t="s">
        <v>1193</v>
      </c>
      <c r="B374" s="2" t="s">
        <v>1194</v>
      </c>
      <c r="C374" s="2" t="s">
        <v>1164</v>
      </c>
      <c r="D374" s="2">
        <v>-95900.89999999999</v>
      </c>
      <c r="E374" s="2">
        <v>1</v>
      </c>
      <c r="F374" s="3">
        <f>IF(COUNT(D374,E374)=2,D374*E374,NA())</f>
        <v>-95900.9</v>
      </c>
      <c r="G374" s="2" t="s">
        <v>50</v>
      </c>
      <c r="H374" s="2" t="s">
        <v>51</v>
      </c>
      <c r="I374" s="2" t="s">
        <v>52</v>
      </c>
      <c r="J374" s="2" t="s">
        <v>53</v>
      </c>
      <c r="K374" s="2" t="s">
        <v>391</v>
      </c>
      <c r="L374" s="2" t="s">
        <v>54</v>
      </c>
      <c r="M374" s="2" t="s">
        <v>392</v>
      </c>
      <c r="N374" s="2" t="s">
        <v>56</v>
      </c>
      <c r="O374" s="2" t="s">
        <v>57</v>
      </c>
      <c r="P374" s="2" t="s">
        <v>1195</v>
      </c>
      <c r="Q374" s="2" t="s">
        <v>1196</v>
      </c>
      <c r="R374" s="2"/>
    </row>
    <row r="375" spans="1:18">
      <c r="A375" s="2" t="s">
        <v>1197</v>
      </c>
      <c r="B375" s="2" t="s">
        <v>1194</v>
      </c>
      <c r="C375" s="2" t="s">
        <v>1164</v>
      </c>
      <c r="D375" s="2">
        <v>-31246.02</v>
      </c>
      <c r="E375" s="2">
        <v>1</v>
      </c>
      <c r="F375" s="3">
        <f>IF(COUNT(D375,E375)=2,D375*E375,NA())</f>
        <v>-31246.02</v>
      </c>
      <c r="G375" s="2" t="s">
        <v>50</v>
      </c>
      <c r="H375" s="2" t="s">
        <v>51</v>
      </c>
      <c r="I375" s="2" t="s">
        <v>52</v>
      </c>
      <c r="J375" s="2" t="s">
        <v>53</v>
      </c>
      <c r="K375" s="2" t="s">
        <v>396</v>
      </c>
      <c r="L375" s="2" t="s">
        <v>61</v>
      </c>
      <c r="M375" s="2" t="s">
        <v>392</v>
      </c>
      <c r="N375" s="2" t="s">
        <v>62</v>
      </c>
      <c r="O375" s="2" t="s">
        <v>57</v>
      </c>
      <c r="P375" s="2" t="s">
        <v>1198</v>
      </c>
      <c r="Q375" s="2" t="s">
        <v>1196</v>
      </c>
      <c r="R375" s="2"/>
    </row>
    <row r="376" spans="1:18">
      <c r="A376" s="2" t="s">
        <v>1199</v>
      </c>
      <c r="B376" s="2" t="s">
        <v>1200</v>
      </c>
      <c r="C376" s="2" t="s">
        <v>1164</v>
      </c>
      <c r="D376" s="2">
        <v>8822605.199999999</v>
      </c>
      <c r="E376" s="2">
        <v>1</v>
      </c>
      <c r="F376" s="3">
        <f>IF(COUNT(D376,E376)=2,D376*E376,NA())</f>
        <v>8822605.2</v>
      </c>
      <c r="G376" s="2" t="s">
        <v>50</v>
      </c>
      <c r="H376" s="2" t="s">
        <v>51</v>
      </c>
      <c r="I376" s="2" t="s">
        <v>52</v>
      </c>
      <c r="J376" s="2" t="s">
        <v>53</v>
      </c>
      <c r="K376" s="2" t="s">
        <v>391</v>
      </c>
      <c r="L376" s="2" t="s">
        <v>54</v>
      </c>
      <c r="M376" s="2" t="s">
        <v>392</v>
      </c>
      <c r="N376" s="2" t="s">
        <v>56</v>
      </c>
      <c r="O376" s="2" t="s">
        <v>57</v>
      </c>
      <c r="P376" s="2" t="s">
        <v>1201</v>
      </c>
      <c r="Q376" s="2" t="s">
        <v>1202</v>
      </c>
      <c r="R376" s="2"/>
    </row>
    <row r="377" spans="1:18">
      <c r="A377" s="2" t="s">
        <v>1203</v>
      </c>
      <c r="B377" s="2" t="s">
        <v>1200</v>
      </c>
      <c r="C377" s="2" t="s">
        <v>1164</v>
      </c>
      <c r="D377" s="2">
        <v>2992198.89</v>
      </c>
      <c r="E377" s="2">
        <v>1</v>
      </c>
      <c r="F377" s="3">
        <f>IF(COUNT(D377,E377)=2,D377*E377,NA())</f>
        <v>2992198.89</v>
      </c>
      <c r="G377" s="2" t="s">
        <v>50</v>
      </c>
      <c r="H377" s="2" t="s">
        <v>51</v>
      </c>
      <c r="I377" s="2" t="s">
        <v>52</v>
      </c>
      <c r="J377" s="2" t="s">
        <v>53</v>
      </c>
      <c r="K377" s="2" t="s">
        <v>396</v>
      </c>
      <c r="L377" s="2" t="s">
        <v>61</v>
      </c>
      <c r="M377" s="2" t="s">
        <v>392</v>
      </c>
      <c r="N377" s="2" t="s">
        <v>62</v>
      </c>
      <c r="O377" s="2" t="s">
        <v>57</v>
      </c>
      <c r="P377" s="2" t="s">
        <v>1204</v>
      </c>
      <c r="Q377" s="2" t="s">
        <v>1202</v>
      </c>
      <c r="R377" s="2"/>
    </row>
    <row r="378" spans="1:18">
      <c r="A378" s="2" t="s">
        <v>1205</v>
      </c>
      <c r="B378" s="2" t="s">
        <v>1206</v>
      </c>
      <c r="C378" s="2" t="s">
        <v>1164</v>
      </c>
      <c r="D378" s="2">
        <v>4649032.54</v>
      </c>
      <c r="E378" s="2">
        <v>1</v>
      </c>
      <c r="F378" s="3">
        <f>IF(COUNT(D378,E378)=2,D378*E378,NA())</f>
        <v>4649032.54</v>
      </c>
      <c r="G378" s="2" t="s">
        <v>50</v>
      </c>
      <c r="H378" s="2" t="s">
        <v>51</v>
      </c>
      <c r="I378" s="2" t="s">
        <v>52</v>
      </c>
      <c r="J378" s="2" t="s">
        <v>53</v>
      </c>
      <c r="K378" s="2" t="s">
        <v>391</v>
      </c>
      <c r="L378" s="2" t="s">
        <v>54</v>
      </c>
      <c r="M378" s="2" t="s">
        <v>392</v>
      </c>
      <c r="N378" s="2" t="s">
        <v>56</v>
      </c>
      <c r="O378" s="2" t="s">
        <v>57</v>
      </c>
      <c r="P378" s="2" t="s">
        <v>1207</v>
      </c>
      <c r="Q378" s="2" t="s">
        <v>1208</v>
      </c>
      <c r="R378" s="2"/>
    </row>
    <row r="379" spans="1:18">
      <c r="A379" s="2" t="s">
        <v>1209</v>
      </c>
      <c r="B379" s="2" t="s">
        <v>1206</v>
      </c>
      <c r="C379" s="2" t="s">
        <v>1164</v>
      </c>
      <c r="D379" s="2">
        <v>-152471970.46</v>
      </c>
      <c r="E379" s="2">
        <v>1</v>
      </c>
      <c r="F379" s="3">
        <f>IF(COUNT(D379,E379)=2,D379*E379,NA())</f>
        <v>-152471970.46</v>
      </c>
      <c r="G379" s="2" t="s">
        <v>50</v>
      </c>
      <c r="H379" s="2" t="s">
        <v>51</v>
      </c>
      <c r="I379" s="2" t="s">
        <v>52</v>
      </c>
      <c r="J379" s="2" t="s">
        <v>53</v>
      </c>
      <c r="K379" s="2" t="s">
        <v>396</v>
      </c>
      <c r="L379" s="2" t="s">
        <v>61</v>
      </c>
      <c r="M379" s="2" t="s">
        <v>392</v>
      </c>
      <c r="N379" s="2" t="s">
        <v>62</v>
      </c>
      <c r="O379" s="2" t="s">
        <v>57</v>
      </c>
      <c r="P379" s="2" t="s">
        <v>1210</v>
      </c>
      <c r="Q379" s="2" t="s">
        <v>1208</v>
      </c>
      <c r="R379" s="2"/>
    </row>
    <row r="380" spans="1:18">
      <c r="A380" s="2" t="s">
        <v>1211</v>
      </c>
      <c r="B380" s="2" t="s">
        <v>1212</v>
      </c>
      <c r="C380" s="2" t="s">
        <v>1164</v>
      </c>
      <c r="D380" s="2">
        <v>105777839.05</v>
      </c>
      <c r="E380" s="2">
        <v>1</v>
      </c>
      <c r="F380" s="3">
        <f>IF(COUNT(D380,E380)=2,D380*E380,NA())</f>
        <v>105777839.05</v>
      </c>
      <c r="G380" s="2" t="s">
        <v>50</v>
      </c>
      <c r="H380" s="2" t="s">
        <v>51</v>
      </c>
      <c r="I380" s="2" t="s">
        <v>52</v>
      </c>
      <c r="J380" s="2" t="s">
        <v>53</v>
      </c>
      <c r="K380" s="2" t="s">
        <v>391</v>
      </c>
      <c r="L380" s="2" t="s">
        <v>54</v>
      </c>
      <c r="M380" s="2" t="s">
        <v>392</v>
      </c>
      <c r="N380" s="2" t="s">
        <v>56</v>
      </c>
      <c r="O380" s="2" t="s">
        <v>57</v>
      </c>
      <c r="P380" s="2" t="s">
        <v>1213</v>
      </c>
      <c r="Q380" s="2" t="s">
        <v>1214</v>
      </c>
      <c r="R380" s="2"/>
    </row>
    <row r="381" spans="1:18">
      <c r="A381" s="2" t="s">
        <v>1215</v>
      </c>
      <c r="B381" s="2" t="s">
        <v>1212</v>
      </c>
      <c r="C381" s="2" t="s">
        <v>1164</v>
      </c>
      <c r="D381" s="2">
        <v>106421488.15</v>
      </c>
      <c r="E381" s="2">
        <v>1</v>
      </c>
      <c r="F381" s="3">
        <f>IF(COUNT(D381,E381)=2,D381*E381,NA())</f>
        <v>106421488.15</v>
      </c>
      <c r="G381" s="2" t="s">
        <v>50</v>
      </c>
      <c r="H381" s="2" t="s">
        <v>51</v>
      </c>
      <c r="I381" s="2" t="s">
        <v>52</v>
      </c>
      <c r="J381" s="2" t="s">
        <v>53</v>
      </c>
      <c r="K381" s="2" t="s">
        <v>396</v>
      </c>
      <c r="L381" s="2" t="s">
        <v>61</v>
      </c>
      <c r="M381" s="2" t="s">
        <v>392</v>
      </c>
      <c r="N381" s="2" t="s">
        <v>62</v>
      </c>
      <c r="O381" s="2" t="s">
        <v>57</v>
      </c>
      <c r="P381" s="2" t="s">
        <v>1216</v>
      </c>
      <c r="Q381" s="2" t="s">
        <v>1214</v>
      </c>
      <c r="R381" s="2"/>
    </row>
    <row r="382" spans="1:18">
      <c r="A382" s="2" t="s">
        <v>1217</v>
      </c>
      <c r="B382" s="2" t="s">
        <v>1218</v>
      </c>
      <c r="C382" s="2" t="s">
        <v>1164</v>
      </c>
      <c r="D382" s="2">
        <v>-1028843.35</v>
      </c>
      <c r="E382" s="2">
        <v>1</v>
      </c>
      <c r="F382" s="3">
        <f>IF(COUNT(D382,E382)=2,D382*E382,NA())</f>
        <v>-1028843.35</v>
      </c>
      <c r="G382" s="2" t="s">
        <v>50</v>
      </c>
      <c r="H382" s="2" t="s">
        <v>51</v>
      </c>
      <c r="I382" s="2" t="s">
        <v>52</v>
      </c>
      <c r="J382" s="2" t="s">
        <v>53</v>
      </c>
      <c r="K382" s="2" t="s">
        <v>391</v>
      </c>
      <c r="L382" s="2" t="s">
        <v>54</v>
      </c>
      <c r="M382" s="2" t="s">
        <v>392</v>
      </c>
      <c r="N382" s="2" t="s">
        <v>56</v>
      </c>
      <c r="O382" s="2" t="s">
        <v>57</v>
      </c>
      <c r="P382" s="2" t="s">
        <v>1219</v>
      </c>
      <c r="Q382" s="2" t="s">
        <v>1220</v>
      </c>
      <c r="R382" s="2"/>
    </row>
    <row r="383" spans="1:18">
      <c r="A383" s="2" t="s">
        <v>1221</v>
      </c>
      <c r="B383" s="2" t="s">
        <v>1218</v>
      </c>
      <c r="C383" s="2" t="s">
        <v>1164</v>
      </c>
      <c r="D383" s="2">
        <v>-21758678.98</v>
      </c>
      <c r="E383" s="2">
        <v>1</v>
      </c>
      <c r="F383" s="3">
        <f>IF(COUNT(D383,E383)=2,D383*E383,NA())</f>
        <v>-21758678.98</v>
      </c>
      <c r="G383" s="2" t="s">
        <v>50</v>
      </c>
      <c r="H383" s="2" t="s">
        <v>51</v>
      </c>
      <c r="I383" s="2" t="s">
        <v>52</v>
      </c>
      <c r="J383" s="2" t="s">
        <v>53</v>
      </c>
      <c r="K383" s="2" t="s">
        <v>396</v>
      </c>
      <c r="L383" s="2" t="s">
        <v>61</v>
      </c>
      <c r="M383" s="2" t="s">
        <v>392</v>
      </c>
      <c r="N383" s="2" t="s">
        <v>62</v>
      </c>
      <c r="O383" s="2" t="s">
        <v>57</v>
      </c>
      <c r="P383" s="2" t="s">
        <v>1222</v>
      </c>
      <c r="Q383" s="2" t="s">
        <v>1220</v>
      </c>
      <c r="R383" s="2"/>
    </row>
    <row r="384" spans="1:18">
      <c r="A384" s="2" t="s">
        <v>1223</v>
      </c>
      <c r="B384" s="2" t="s">
        <v>1224</v>
      </c>
      <c r="C384" s="2" t="s">
        <v>1164</v>
      </c>
      <c r="D384" s="2">
        <v>-93797042.59999999</v>
      </c>
      <c r="E384" s="2">
        <v>1</v>
      </c>
      <c r="F384" s="3">
        <f>IF(COUNT(D384,E384)=2,D384*E384,NA())</f>
        <v>-93797042.6</v>
      </c>
      <c r="G384" s="2" t="s">
        <v>50</v>
      </c>
      <c r="H384" s="2" t="s">
        <v>51</v>
      </c>
      <c r="I384" s="2" t="s">
        <v>52</v>
      </c>
      <c r="J384" s="2" t="s">
        <v>53</v>
      </c>
      <c r="K384" s="2" t="s">
        <v>391</v>
      </c>
      <c r="L384" s="2" t="s">
        <v>54</v>
      </c>
      <c r="M384" s="2" t="s">
        <v>392</v>
      </c>
      <c r="N384" s="2" t="s">
        <v>56</v>
      </c>
      <c r="O384" s="2" t="s">
        <v>57</v>
      </c>
      <c r="P384" s="2" t="s">
        <v>1225</v>
      </c>
      <c r="Q384" s="2" t="s">
        <v>1226</v>
      </c>
      <c r="R384" s="2"/>
    </row>
    <row r="385" spans="1:18">
      <c r="A385" s="2" t="s">
        <v>1227</v>
      </c>
      <c r="B385" s="2" t="s">
        <v>1224</v>
      </c>
      <c r="C385" s="2" t="s">
        <v>1164</v>
      </c>
      <c r="D385" s="2">
        <v>-33709490.19</v>
      </c>
      <c r="E385" s="2">
        <v>1</v>
      </c>
      <c r="F385" s="3">
        <f>IF(COUNT(D385,E385)=2,D385*E385,NA())</f>
        <v>-33709490.19</v>
      </c>
      <c r="G385" s="2" t="s">
        <v>50</v>
      </c>
      <c r="H385" s="2" t="s">
        <v>51</v>
      </c>
      <c r="I385" s="2" t="s">
        <v>52</v>
      </c>
      <c r="J385" s="2" t="s">
        <v>53</v>
      </c>
      <c r="K385" s="2" t="s">
        <v>396</v>
      </c>
      <c r="L385" s="2" t="s">
        <v>61</v>
      </c>
      <c r="M385" s="2" t="s">
        <v>392</v>
      </c>
      <c r="N385" s="2" t="s">
        <v>62</v>
      </c>
      <c r="O385" s="2" t="s">
        <v>57</v>
      </c>
      <c r="P385" s="2" t="s">
        <v>1228</v>
      </c>
      <c r="Q385" s="2" t="s">
        <v>1226</v>
      </c>
      <c r="R385" s="2"/>
    </row>
    <row r="386" spans="1:18">
      <c r="A386" s="2" t="s">
        <v>1229</v>
      </c>
      <c r="B386" s="2" t="s">
        <v>1230</v>
      </c>
      <c r="C386" s="2" t="s">
        <v>1164</v>
      </c>
      <c r="D386" s="2">
        <v>-2555900.67</v>
      </c>
      <c r="E386" s="2">
        <v>1</v>
      </c>
      <c r="F386" s="3">
        <f>IF(COUNT(D386,E386)=2,D386*E386,NA())</f>
        <v>-2555900.67</v>
      </c>
      <c r="G386" s="2" t="s">
        <v>50</v>
      </c>
      <c r="H386" s="2" t="s">
        <v>51</v>
      </c>
      <c r="I386" s="2" t="s">
        <v>52</v>
      </c>
      <c r="J386" s="2" t="s">
        <v>53</v>
      </c>
      <c r="K386" s="2" t="s">
        <v>391</v>
      </c>
      <c r="L386" s="2" t="s">
        <v>54</v>
      </c>
      <c r="M386" s="2" t="s">
        <v>392</v>
      </c>
      <c r="N386" s="2" t="s">
        <v>56</v>
      </c>
      <c r="O386" s="2" t="s">
        <v>57</v>
      </c>
      <c r="P386" s="2" t="s">
        <v>1231</v>
      </c>
      <c r="Q386" s="2" t="s">
        <v>1232</v>
      </c>
      <c r="R386" s="2"/>
    </row>
    <row r="387" spans="1:18">
      <c r="A387" s="2" t="s">
        <v>1233</v>
      </c>
      <c r="B387" s="2" t="s">
        <v>1230</v>
      </c>
      <c r="C387" s="2" t="s">
        <v>1164</v>
      </c>
      <c r="D387" s="2">
        <v>-2333115.95</v>
      </c>
      <c r="E387" s="2">
        <v>1</v>
      </c>
      <c r="F387" s="3">
        <f>IF(COUNT(D387,E387)=2,D387*E387,NA())</f>
        <v>-2333115.95</v>
      </c>
      <c r="G387" s="2" t="s">
        <v>50</v>
      </c>
      <c r="H387" s="2" t="s">
        <v>51</v>
      </c>
      <c r="I387" s="2" t="s">
        <v>52</v>
      </c>
      <c r="J387" s="2" t="s">
        <v>53</v>
      </c>
      <c r="K387" s="2" t="s">
        <v>396</v>
      </c>
      <c r="L387" s="2" t="s">
        <v>61</v>
      </c>
      <c r="M387" s="2" t="s">
        <v>392</v>
      </c>
      <c r="N387" s="2" t="s">
        <v>62</v>
      </c>
      <c r="O387" s="2" t="s">
        <v>57</v>
      </c>
      <c r="P387" s="2" t="s">
        <v>1234</v>
      </c>
      <c r="Q387" s="2" t="s">
        <v>1232</v>
      </c>
      <c r="R387" s="2"/>
    </row>
    <row r="388" spans="1:18">
      <c r="A388" s="2" t="s">
        <v>1235</v>
      </c>
      <c r="B388" s="2" t="s">
        <v>1236</v>
      </c>
      <c r="C388" s="2" t="s">
        <v>1164</v>
      </c>
      <c r="D388" s="2">
        <v>54041312.14</v>
      </c>
      <c r="E388" s="2">
        <v>1</v>
      </c>
      <c r="F388" s="3">
        <f>IF(COUNT(D388,E388)=2,D388*E388,NA())</f>
        <v>54041312.14</v>
      </c>
      <c r="G388" s="2" t="s">
        <v>50</v>
      </c>
      <c r="H388" s="2" t="s">
        <v>51</v>
      </c>
      <c r="I388" s="2" t="s">
        <v>52</v>
      </c>
      <c r="J388" s="2" t="s">
        <v>53</v>
      </c>
      <c r="K388" s="2" t="s">
        <v>391</v>
      </c>
      <c r="L388" s="2" t="s">
        <v>54</v>
      </c>
      <c r="M388" s="2" t="s">
        <v>392</v>
      </c>
      <c r="N388" s="2" t="s">
        <v>56</v>
      </c>
      <c r="O388" s="2" t="s">
        <v>57</v>
      </c>
      <c r="P388" s="2" t="s">
        <v>1237</v>
      </c>
      <c r="Q388" s="2" t="s">
        <v>1238</v>
      </c>
      <c r="R388" s="2"/>
    </row>
    <row r="389" spans="1:18">
      <c r="A389" s="2" t="s">
        <v>1239</v>
      </c>
      <c r="B389" s="2" t="s">
        <v>1236</v>
      </c>
      <c r="C389" s="2" t="s">
        <v>1164</v>
      </c>
      <c r="D389" s="2">
        <v>-1450302.65</v>
      </c>
      <c r="E389" s="2">
        <v>1</v>
      </c>
      <c r="F389" s="3">
        <f>IF(COUNT(D389,E389)=2,D389*E389,NA())</f>
        <v>-1450302.65</v>
      </c>
      <c r="G389" s="2" t="s">
        <v>50</v>
      </c>
      <c r="H389" s="2" t="s">
        <v>51</v>
      </c>
      <c r="I389" s="2" t="s">
        <v>52</v>
      </c>
      <c r="J389" s="2" t="s">
        <v>53</v>
      </c>
      <c r="K389" s="2" t="s">
        <v>396</v>
      </c>
      <c r="L389" s="2" t="s">
        <v>61</v>
      </c>
      <c r="M389" s="2" t="s">
        <v>392</v>
      </c>
      <c r="N389" s="2" t="s">
        <v>62</v>
      </c>
      <c r="O389" s="2" t="s">
        <v>57</v>
      </c>
      <c r="P389" s="2" t="s">
        <v>1240</v>
      </c>
      <c r="Q389" s="2" t="s">
        <v>1238</v>
      </c>
      <c r="R389" s="2"/>
    </row>
    <row r="390" spans="1:18">
      <c r="A390" s="2" t="s">
        <v>1241</v>
      </c>
      <c r="B390" s="2" t="s">
        <v>1242</v>
      </c>
      <c r="C390" s="2" t="s">
        <v>1164</v>
      </c>
      <c r="D390" s="2">
        <v>-564319169.14</v>
      </c>
      <c r="E390" s="2">
        <v>1</v>
      </c>
      <c r="F390" s="3">
        <f>IF(COUNT(D390,E390)=2,D390*E390,NA())</f>
        <v>-564319169.14</v>
      </c>
      <c r="G390" s="2" t="s">
        <v>50</v>
      </c>
      <c r="H390" s="2" t="s">
        <v>51</v>
      </c>
      <c r="I390" s="2" t="s">
        <v>52</v>
      </c>
      <c r="J390" s="2" t="s">
        <v>53</v>
      </c>
      <c r="K390" s="2" t="s">
        <v>391</v>
      </c>
      <c r="L390" s="2" t="s">
        <v>54</v>
      </c>
      <c r="M390" s="2" t="s">
        <v>392</v>
      </c>
      <c r="N390" s="2" t="s">
        <v>56</v>
      </c>
      <c r="O390" s="2" t="s">
        <v>57</v>
      </c>
      <c r="P390" s="2" t="s">
        <v>1243</v>
      </c>
      <c r="Q390" s="2" t="s">
        <v>1244</v>
      </c>
      <c r="R390" s="2"/>
    </row>
    <row r="391" spans="1:18">
      <c r="A391" s="2" t="s">
        <v>1245</v>
      </c>
      <c r="B391" s="2" t="s">
        <v>1242</v>
      </c>
      <c r="C391" s="2" t="s">
        <v>1164</v>
      </c>
      <c r="D391" s="2">
        <v>-623466577.3</v>
      </c>
      <c r="E391" s="2">
        <v>1</v>
      </c>
      <c r="F391" s="3">
        <f>IF(COUNT(D391,E391)=2,D391*E391,NA())</f>
        <v>-623466577.3</v>
      </c>
      <c r="G391" s="2" t="s">
        <v>50</v>
      </c>
      <c r="H391" s="2" t="s">
        <v>51</v>
      </c>
      <c r="I391" s="2" t="s">
        <v>52</v>
      </c>
      <c r="J391" s="2" t="s">
        <v>53</v>
      </c>
      <c r="K391" s="2" t="s">
        <v>396</v>
      </c>
      <c r="L391" s="2" t="s">
        <v>61</v>
      </c>
      <c r="M391" s="2" t="s">
        <v>392</v>
      </c>
      <c r="N391" s="2" t="s">
        <v>62</v>
      </c>
      <c r="O391" s="2" t="s">
        <v>57</v>
      </c>
      <c r="P391" s="2" t="s">
        <v>1246</v>
      </c>
      <c r="Q391" s="2" t="s">
        <v>1244</v>
      </c>
      <c r="R391" s="2"/>
    </row>
    <row r="392" spans="1:18">
      <c r="A392" s="2" t="s">
        <v>1247</v>
      </c>
      <c r="B392" s="2" t="s">
        <v>1248</v>
      </c>
      <c r="C392" s="2" t="s">
        <v>1164</v>
      </c>
      <c r="D392" s="2">
        <v>270035536.6</v>
      </c>
      <c r="E392" s="2">
        <v>1</v>
      </c>
      <c r="F392" s="3">
        <f>IF(COUNT(D392,E392)=2,D392*E392,NA())</f>
        <v>270035536.6</v>
      </c>
      <c r="G392" s="2" t="s">
        <v>50</v>
      </c>
      <c r="H392" s="2" t="s">
        <v>51</v>
      </c>
      <c r="I392" s="2" t="s">
        <v>52</v>
      </c>
      <c r="J392" s="2" t="s">
        <v>53</v>
      </c>
      <c r="K392" s="2" t="s">
        <v>391</v>
      </c>
      <c r="L392" s="2" t="s">
        <v>54</v>
      </c>
      <c r="M392" s="2" t="s">
        <v>392</v>
      </c>
      <c r="N392" s="2" t="s">
        <v>56</v>
      </c>
      <c r="O392" s="2" t="s">
        <v>57</v>
      </c>
      <c r="P392" s="2" t="s">
        <v>1249</v>
      </c>
      <c r="Q392" s="2" t="s">
        <v>1250</v>
      </c>
      <c r="R392" s="2"/>
    </row>
    <row r="393" spans="1:18">
      <c r="A393" s="2" t="s">
        <v>1251</v>
      </c>
      <c r="B393" s="2" t="s">
        <v>1248</v>
      </c>
      <c r="C393" s="2" t="s">
        <v>1164</v>
      </c>
      <c r="D393" s="2">
        <v>405068726.98</v>
      </c>
      <c r="E393" s="2">
        <v>1</v>
      </c>
      <c r="F393" s="3">
        <f>IF(COUNT(D393,E393)=2,D393*E393,NA())</f>
        <v>405068726.98</v>
      </c>
      <c r="G393" s="2" t="s">
        <v>50</v>
      </c>
      <c r="H393" s="2" t="s">
        <v>51</v>
      </c>
      <c r="I393" s="2" t="s">
        <v>52</v>
      </c>
      <c r="J393" s="2" t="s">
        <v>53</v>
      </c>
      <c r="K393" s="2" t="s">
        <v>396</v>
      </c>
      <c r="L393" s="2" t="s">
        <v>61</v>
      </c>
      <c r="M393" s="2" t="s">
        <v>392</v>
      </c>
      <c r="N393" s="2" t="s">
        <v>62</v>
      </c>
      <c r="O393" s="2" t="s">
        <v>57</v>
      </c>
      <c r="P393" s="2" t="s">
        <v>1252</v>
      </c>
      <c r="Q393" s="2" t="s">
        <v>1250</v>
      </c>
      <c r="R393" s="2"/>
    </row>
    <row r="394" spans="1:18">
      <c r="A394" s="2" t="s">
        <v>1253</v>
      </c>
      <c r="B394" s="2" t="s">
        <v>1254</v>
      </c>
      <c r="C394" s="2" t="s">
        <v>1164</v>
      </c>
      <c r="D394" s="2">
        <v>17311949.79</v>
      </c>
      <c r="E394" s="2">
        <v>1</v>
      </c>
      <c r="F394" s="3">
        <f>IF(COUNT(D394,E394)=2,D394*E394,NA())</f>
        <v>17311949.79</v>
      </c>
      <c r="G394" s="2" t="s">
        <v>50</v>
      </c>
      <c r="H394" s="2" t="s">
        <v>51</v>
      </c>
      <c r="I394" s="2" t="s">
        <v>52</v>
      </c>
      <c r="J394" s="2" t="s">
        <v>53</v>
      </c>
      <c r="K394" s="2" t="s">
        <v>391</v>
      </c>
      <c r="L394" s="2" t="s">
        <v>54</v>
      </c>
      <c r="M394" s="2" t="s">
        <v>392</v>
      </c>
      <c r="N394" s="2" t="s">
        <v>56</v>
      </c>
      <c r="O394" s="2" t="s">
        <v>57</v>
      </c>
      <c r="P394" s="2" t="s">
        <v>1255</v>
      </c>
      <c r="Q394" s="2" t="s">
        <v>1256</v>
      </c>
      <c r="R394" s="2"/>
    </row>
    <row r="395" spans="1:18">
      <c r="A395" s="2" t="s">
        <v>1257</v>
      </c>
      <c r="B395" s="2" t="s">
        <v>1254</v>
      </c>
      <c r="C395" s="2" t="s">
        <v>1164</v>
      </c>
      <c r="D395" s="2">
        <v>24433005.7</v>
      </c>
      <c r="E395" s="2">
        <v>1</v>
      </c>
      <c r="F395" s="3">
        <f>IF(COUNT(D395,E395)=2,D395*E395,NA())</f>
        <v>24433005.7</v>
      </c>
      <c r="G395" s="2" t="s">
        <v>50</v>
      </c>
      <c r="H395" s="2" t="s">
        <v>51</v>
      </c>
      <c r="I395" s="2" t="s">
        <v>52</v>
      </c>
      <c r="J395" s="2" t="s">
        <v>53</v>
      </c>
      <c r="K395" s="2" t="s">
        <v>396</v>
      </c>
      <c r="L395" s="2" t="s">
        <v>61</v>
      </c>
      <c r="M395" s="2" t="s">
        <v>392</v>
      </c>
      <c r="N395" s="2" t="s">
        <v>62</v>
      </c>
      <c r="O395" s="2" t="s">
        <v>57</v>
      </c>
      <c r="P395" s="2" t="s">
        <v>1258</v>
      </c>
      <c r="Q395" s="2" t="s">
        <v>1256</v>
      </c>
      <c r="R395" s="2"/>
    </row>
    <row r="396" spans="1:18">
      <c r="A396" s="2" t="s">
        <v>1259</v>
      </c>
      <c r="B396" s="2" t="s">
        <v>1260</v>
      </c>
      <c r="C396" s="2" t="s">
        <v>1261</v>
      </c>
      <c r="D396" s="2">
        <v>460079528.49</v>
      </c>
      <c r="E396" s="2">
        <v>1</v>
      </c>
      <c r="F396" s="3">
        <f>IF(COUNT(D396,E396)=2,D396*E396,NA())</f>
        <v>460079528.49</v>
      </c>
      <c r="G396" s="2" t="s">
        <v>50</v>
      </c>
      <c r="H396" s="2" t="s">
        <v>51</v>
      </c>
      <c r="I396" s="2" t="s">
        <v>52</v>
      </c>
      <c r="J396" s="2" t="s">
        <v>53</v>
      </c>
      <c r="K396" s="2"/>
      <c r="L396" s="2" t="s">
        <v>54</v>
      </c>
      <c r="M396" s="2" t="s">
        <v>55</v>
      </c>
      <c r="N396" s="2" t="s">
        <v>56</v>
      </c>
      <c r="O396" s="2" t="s">
        <v>57</v>
      </c>
      <c r="P396" s="2" t="s">
        <v>1262</v>
      </c>
      <c r="Q396" s="2" t="s">
        <v>1263</v>
      </c>
      <c r="R396" s="2"/>
    </row>
    <row r="397" spans="1:18">
      <c r="A397" s="2" t="s">
        <v>1264</v>
      </c>
      <c r="B397" s="2" t="s">
        <v>1260</v>
      </c>
      <c r="C397" s="2" t="s">
        <v>1261</v>
      </c>
      <c r="D397" s="2">
        <v>148176934.86</v>
      </c>
      <c r="E397" s="2">
        <v>1</v>
      </c>
      <c r="F397" s="3">
        <f>IF(COUNT(D397,E397)=2,D397*E397,NA())</f>
        <v>148176934.86</v>
      </c>
      <c r="G397" s="2" t="s">
        <v>50</v>
      </c>
      <c r="H397" s="2" t="s">
        <v>51</v>
      </c>
      <c r="I397" s="2" t="s">
        <v>52</v>
      </c>
      <c r="J397" s="2" t="s">
        <v>53</v>
      </c>
      <c r="K397" s="2"/>
      <c r="L397" s="2" t="s">
        <v>61</v>
      </c>
      <c r="M397" s="2" t="s">
        <v>55</v>
      </c>
      <c r="N397" s="2" t="s">
        <v>62</v>
      </c>
      <c r="O397" s="2" t="s">
        <v>57</v>
      </c>
      <c r="P397" s="2" t="s">
        <v>1265</v>
      </c>
      <c r="Q397" s="2" t="s">
        <v>1263</v>
      </c>
      <c r="R397" s="2"/>
    </row>
    <row r="398" spans="1:18">
      <c r="A398" s="2" t="s">
        <v>1266</v>
      </c>
      <c r="B398" s="2" t="s">
        <v>1267</v>
      </c>
      <c r="C398" s="2" t="s">
        <v>1261</v>
      </c>
      <c r="D398" s="2">
        <v>177472695.96</v>
      </c>
      <c r="E398" s="2">
        <v>1</v>
      </c>
      <c r="F398" s="3">
        <f>IF(COUNT(D398,E398)=2,D398*E398,NA())</f>
        <v>177472695.96</v>
      </c>
      <c r="G398" s="2" t="s">
        <v>50</v>
      </c>
      <c r="H398" s="2" t="s">
        <v>51</v>
      </c>
      <c r="I398" s="2" t="s">
        <v>52</v>
      </c>
      <c r="J398" s="2" t="s">
        <v>53</v>
      </c>
      <c r="K398" s="2"/>
      <c r="L398" s="2" t="s">
        <v>54</v>
      </c>
      <c r="M398" s="2" t="s">
        <v>55</v>
      </c>
      <c r="N398" s="2" t="s">
        <v>56</v>
      </c>
      <c r="O398" s="2" t="s">
        <v>57</v>
      </c>
      <c r="P398" s="2" t="s">
        <v>1268</v>
      </c>
      <c r="Q398" s="2" t="s">
        <v>1269</v>
      </c>
      <c r="R398" s="2"/>
    </row>
    <row r="399" spans="1:18">
      <c r="A399" s="2" t="s">
        <v>1270</v>
      </c>
      <c r="B399" s="2" t="s">
        <v>1267</v>
      </c>
      <c r="C399" s="2" t="s">
        <v>1261</v>
      </c>
      <c r="D399" s="2">
        <v>98176934.86</v>
      </c>
      <c r="E399" s="2">
        <v>1</v>
      </c>
      <c r="F399" s="3">
        <f>IF(COUNT(D399,E399)=2,D399*E399,NA())</f>
        <v>98176934.86</v>
      </c>
      <c r="G399" s="2" t="s">
        <v>50</v>
      </c>
      <c r="H399" s="2" t="s">
        <v>51</v>
      </c>
      <c r="I399" s="2" t="s">
        <v>52</v>
      </c>
      <c r="J399" s="2" t="s">
        <v>53</v>
      </c>
      <c r="K399" s="2"/>
      <c r="L399" s="2" t="s">
        <v>61</v>
      </c>
      <c r="M399" s="2" t="s">
        <v>55</v>
      </c>
      <c r="N399" s="2" t="s">
        <v>62</v>
      </c>
      <c r="O399" s="2" t="s">
        <v>57</v>
      </c>
      <c r="P399" s="2" t="s">
        <v>1271</v>
      </c>
      <c r="Q399" s="2" t="s">
        <v>1269</v>
      </c>
      <c r="R399" s="2"/>
    </row>
    <row r="400" spans="1:18">
      <c r="A400" s="2" t="s">
        <v>1272</v>
      </c>
      <c r="B400" s="2" t="s">
        <v>1273</v>
      </c>
      <c r="C400" s="2" t="s">
        <v>1261</v>
      </c>
      <c r="D400" s="2">
        <v>282606832.53</v>
      </c>
      <c r="E400" s="2">
        <v>1</v>
      </c>
      <c r="F400" s="3">
        <f>IF(COUNT(D400,E400)=2,D400*E400,NA())</f>
        <v>282606832.53</v>
      </c>
      <c r="G400" s="2" t="s">
        <v>50</v>
      </c>
      <c r="H400" s="2" t="s">
        <v>51</v>
      </c>
      <c r="I400" s="2" t="s">
        <v>52</v>
      </c>
      <c r="J400" s="2" t="s">
        <v>53</v>
      </c>
      <c r="K400" s="2"/>
      <c r="L400" s="2" t="s">
        <v>54</v>
      </c>
      <c r="M400" s="2" t="s">
        <v>55</v>
      </c>
      <c r="N400" s="2" t="s">
        <v>56</v>
      </c>
      <c r="O400" s="2" t="s">
        <v>57</v>
      </c>
      <c r="P400" s="2" t="s">
        <v>1274</v>
      </c>
      <c r="Q400" s="2" t="s">
        <v>1275</v>
      </c>
      <c r="R400" s="2"/>
    </row>
    <row r="401" spans="1:18">
      <c r="A401" s="2" t="s">
        <v>1276</v>
      </c>
      <c r="B401" s="2" t="s">
        <v>1273</v>
      </c>
      <c r="C401" s="2" t="s">
        <v>1261</v>
      </c>
      <c r="D401" s="2">
        <v>50000000</v>
      </c>
      <c r="E401" s="2">
        <v>1</v>
      </c>
      <c r="F401" s="3">
        <f>IF(COUNT(D401,E401)=2,D401*E401,NA())</f>
        <v>50000000.0</v>
      </c>
      <c r="G401" s="2" t="s">
        <v>50</v>
      </c>
      <c r="H401" s="2" t="s">
        <v>51</v>
      </c>
      <c r="I401" s="2" t="s">
        <v>52</v>
      </c>
      <c r="J401" s="2" t="s">
        <v>53</v>
      </c>
      <c r="K401" s="2"/>
      <c r="L401" s="2" t="s">
        <v>61</v>
      </c>
      <c r="M401" s="2" t="s">
        <v>55</v>
      </c>
      <c r="N401" s="2" t="s">
        <v>62</v>
      </c>
      <c r="O401" s="2" t="s">
        <v>57</v>
      </c>
      <c r="P401" s="2" t="s">
        <v>1277</v>
      </c>
      <c r="Q401" s="2" t="s">
        <v>1275</v>
      </c>
      <c r="R401" s="2"/>
    </row>
    <row r="402" spans="1:18">
      <c r="A402" s="2" t="s">
        <v>1278</v>
      </c>
      <c r="B402" s="2" t="s">
        <v>1279</v>
      </c>
      <c r="C402" s="2" t="s">
        <v>1261</v>
      </c>
      <c r="D402" s="2">
        <v>282606832.53</v>
      </c>
      <c r="E402" s="2">
        <v>1</v>
      </c>
      <c r="F402" s="3">
        <f>IF(COUNT(D402,E402)=2,D402*E402,NA())</f>
        <v>282606832.53</v>
      </c>
      <c r="G402" s="2" t="s">
        <v>50</v>
      </c>
      <c r="H402" s="2" t="s">
        <v>51</v>
      </c>
      <c r="I402" s="2" t="s">
        <v>52</v>
      </c>
      <c r="J402" s="2" t="s">
        <v>53</v>
      </c>
      <c r="K402" s="2"/>
      <c r="L402" s="2" t="s">
        <v>54</v>
      </c>
      <c r="M402" s="2" t="s">
        <v>55</v>
      </c>
      <c r="N402" s="2" t="s">
        <v>56</v>
      </c>
      <c r="O402" s="2" t="s">
        <v>57</v>
      </c>
      <c r="P402" s="2" t="s">
        <v>1280</v>
      </c>
      <c r="Q402" s="2" t="s">
        <v>1281</v>
      </c>
      <c r="R402" s="2"/>
    </row>
    <row r="403" spans="1:18">
      <c r="A403" s="2" t="s">
        <v>1282</v>
      </c>
      <c r="B403" s="2" t="s">
        <v>1279</v>
      </c>
      <c r="C403" s="2" t="s">
        <v>1261</v>
      </c>
      <c r="D403" s="2">
        <v>50000000</v>
      </c>
      <c r="E403" s="2">
        <v>1</v>
      </c>
      <c r="F403" s="3">
        <f>IF(COUNT(D403,E403)=2,D403*E403,NA())</f>
        <v>50000000.0</v>
      </c>
      <c r="G403" s="2" t="s">
        <v>50</v>
      </c>
      <c r="H403" s="2" t="s">
        <v>51</v>
      </c>
      <c r="I403" s="2" t="s">
        <v>52</v>
      </c>
      <c r="J403" s="2" t="s">
        <v>53</v>
      </c>
      <c r="K403" s="2"/>
      <c r="L403" s="2" t="s">
        <v>61</v>
      </c>
      <c r="M403" s="2" t="s">
        <v>55</v>
      </c>
      <c r="N403" s="2" t="s">
        <v>62</v>
      </c>
      <c r="O403" s="2" t="s">
        <v>57</v>
      </c>
      <c r="P403" s="2" t="s">
        <v>1283</v>
      </c>
      <c r="Q403" s="2" t="s">
        <v>1281</v>
      </c>
      <c r="R403" s="2"/>
    </row>
    <row r="404" spans="1:18">
      <c r="A404" s="2" t="s">
        <v>1284</v>
      </c>
      <c r="B404" s="2" t="s">
        <v>1285</v>
      </c>
      <c r="C404" s="2" t="s">
        <v>1286</v>
      </c>
      <c r="D404" s="2">
        <v>4372555720.76</v>
      </c>
      <c r="E404" s="2">
        <v>1</v>
      </c>
      <c r="F404" s="3">
        <f>IF(COUNT(D404,E404)=2,D404*E404,NA())</f>
        <v>4372555720.76</v>
      </c>
      <c r="G404" s="2" t="s">
        <v>50</v>
      </c>
      <c r="H404" s="2" t="s">
        <v>51</v>
      </c>
      <c r="I404" s="2" t="s">
        <v>52</v>
      </c>
      <c r="J404" s="2" t="s">
        <v>53</v>
      </c>
      <c r="K404" s="2"/>
      <c r="L404" s="2" t="s">
        <v>54</v>
      </c>
      <c r="M404" s="2" t="s">
        <v>55</v>
      </c>
      <c r="N404" s="2" t="s">
        <v>56</v>
      </c>
      <c r="O404" s="2" t="s">
        <v>57</v>
      </c>
      <c r="P404" s="2" t="s">
        <v>1287</v>
      </c>
      <c r="Q404" s="2" t="s">
        <v>1288</v>
      </c>
      <c r="R404" s="2"/>
    </row>
    <row r="405" spans="1:18">
      <c r="A405" s="2" t="s">
        <v>1289</v>
      </c>
      <c r="B405" s="2" t="s">
        <v>1285</v>
      </c>
      <c r="C405" s="2" t="s">
        <v>1286</v>
      </c>
      <c r="D405" s="2">
        <v>4441495028.37</v>
      </c>
      <c r="E405" s="2">
        <v>1</v>
      </c>
      <c r="F405" s="3">
        <f>IF(COUNT(D405,E405)=2,D405*E405,NA())</f>
        <v>4441495028.37</v>
      </c>
      <c r="G405" s="2" t="s">
        <v>50</v>
      </c>
      <c r="H405" s="2" t="s">
        <v>51</v>
      </c>
      <c r="I405" s="2" t="s">
        <v>52</v>
      </c>
      <c r="J405" s="2" t="s">
        <v>53</v>
      </c>
      <c r="K405" s="2"/>
      <c r="L405" s="2" t="s">
        <v>61</v>
      </c>
      <c r="M405" s="2" t="s">
        <v>55</v>
      </c>
      <c r="N405" s="2" t="s">
        <v>62</v>
      </c>
      <c r="O405" s="2" t="s">
        <v>57</v>
      </c>
      <c r="P405" s="2" t="s">
        <v>1290</v>
      </c>
      <c r="Q405" s="2" t="s">
        <v>1288</v>
      </c>
      <c r="R405" s="2"/>
    </row>
    <row r="406" spans="1:18">
      <c r="A406" s="2" t="s">
        <v>1291</v>
      </c>
      <c r="B406" s="2" t="s">
        <v>1292</v>
      </c>
      <c r="C406" s="2" t="s">
        <v>1293</v>
      </c>
      <c r="D406" s="2">
        <v>10401170987.71</v>
      </c>
      <c r="E406" s="2">
        <v>1</v>
      </c>
      <c r="F406" s="3">
        <f>IF(COUNT(D406,E406)=2,D406*E406,NA())</f>
        <v>10401170987.71</v>
      </c>
      <c r="G406" s="2" t="s">
        <v>50</v>
      </c>
      <c r="H406" s="2" t="s">
        <v>51</v>
      </c>
      <c r="I406" s="2" t="s">
        <v>52</v>
      </c>
      <c r="J406" s="2" t="s">
        <v>1294</v>
      </c>
      <c r="K406" s="2"/>
      <c r="L406" s="2" t="s">
        <v>54</v>
      </c>
      <c r="M406" s="2" t="s">
        <v>55</v>
      </c>
      <c r="N406" s="2" t="s">
        <v>56</v>
      </c>
      <c r="O406" s="2" t="s">
        <v>57</v>
      </c>
      <c r="P406" s="2" t="s">
        <v>1295</v>
      </c>
      <c r="Q406" s="2" t="s">
        <v>1296</v>
      </c>
      <c r="R406" s="2"/>
    </row>
    <row r="407" spans="1:18">
      <c r="A407" s="2" t="s">
        <v>1297</v>
      </c>
      <c r="B407" s="2" t="s">
        <v>1292</v>
      </c>
      <c r="C407" s="2" t="s">
        <v>1293</v>
      </c>
      <c r="D407" s="2">
        <v>15718736322.89</v>
      </c>
      <c r="E407" s="2">
        <v>1</v>
      </c>
      <c r="F407" s="3">
        <f>IF(COUNT(D407,E407)=2,D407*E407,NA())</f>
        <v>15718736322.89</v>
      </c>
      <c r="G407" s="2" t="s">
        <v>50</v>
      </c>
      <c r="H407" s="2" t="s">
        <v>51</v>
      </c>
      <c r="I407" s="2" t="s">
        <v>52</v>
      </c>
      <c r="J407" s="2" t="s">
        <v>1294</v>
      </c>
      <c r="K407" s="2"/>
      <c r="L407" s="2" t="s">
        <v>61</v>
      </c>
      <c r="M407" s="2" t="s">
        <v>55</v>
      </c>
      <c r="N407" s="2" t="s">
        <v>56</v>
      </c>
      <c r="O407" s="2" t="s">
        <v>57</v>
      </c>
      <c r="P407" s="2" t="s">
        <v>1298</v>
      </c>
      <c r="Q407" s="2" t="s">
        <v>1296</v>
      </c>
      <c r="R407" s="2"/>
    </row>
    <row r="408" spans="1:18">
      <c r="A408" s="2" t="s">
        <v>1299</v>
      </c>
      <c r="B408" s="2" t="s">
        <v>1300</v>
      </c>
      <c r="C408" s="2" t="s">
        <v>1293</v>
      </c>
      <c r="D408" s="2">
        <v>7046375735.63</v>
      </c>
      <c r="E408" s="2">
        <v>1</v>
      </c>
      <c r="F408" s="3">
        <f>IF(COUNT(D408,E408)=2,D408*E408,NA())</f>
        <v>7046375735.63</v>
      </c>
      <c r="G408" s="2" t="s">
        <v>50</v>
      </c>
      <c r="H408" s="2" t="s">
        <v>51</v>
      </c>
      <c r="I408" s="2" t="s">
        <v>52</v>
      </c>
      <c r="J408" s="2" t="s">
        <v>1294</v>
      </c>
      <c r="K408" s="2"/>
      <c r="L408" s="2" t="s">
        <v>54</v>
      </c>
      <c r="M408" s="2" t="s">
        <v>55</v>
      </c>
      <c r="N408" s="2" t="s">
        <v>56</v>
      </c>
      <c r="O408" s="2" t="s">
        <v>57</v>
      </c>
      <c r="P408" s="2" t="s">
        <v>1301</v>
      </c>
      <c r="Q408" s="2" t="s">
        <v>1302</v>
      </c>
      <c r="R408" s="2"/>
    </row>
    <row r="409" spans="1:18">
      <c r="A409" s="2" t="s">
        <v>1303</v>
      </c>
      <c r="B409" s="2" t="s">
        <v>1300</v>
      </c>
      <c r="C409" s="2" t="s">
        <v>1293</v>
      </c>
      <c r="D409" s="2">
        <v>11771443330.25</v>
      </c>
      <c r="E409" s="2">
        <v>1</v>
      </c>
      <c r="F409" s="3">
        <f>IF(COUNT(D409,E409)=2,D409*E409,NA())</f>
        <v>11771443330.25</v>
      </c>
      <c r="G409" s="2" t="s">
        <v>50</v>
      </c>
      <c r="H409" s="2" t="s">
        <v>51</v>
      </c>
      <c r="I409" s="2" t="s">
        <v>52</v>
      </c>
      <c r="J409" s="2" t="s">
        <v>1294</v>
      </c>
      <c r="K409" s="2"/>
      <c r="L409" s="2" t="s">
        <v>61</v>
      </c>
      <c r="M409" s="2" t="s">
        <v>55</v>
      </c>
      <c r="N409" s="2" t="s">
        <v>56</v>
      </c>
      <c r="O409" s="2" t="s">
        <v>57</v>
      </c>
      <c r="P409" s="2" t="s">
        <v>1304</v>
      </c>
      <c r="Q409" s="2" t="s">
        <v>1302</v>
      </c>
      <c r="R409" s="2"/>
    </row>
    <row r="410" spans="1:18">
      <c r="A410" s="2" t="s">
        <v>1305</v>
      </c>
      <c r="B410" s="2" t="s">
        <v>1306</v>
      </c>
      <c r="C410" s="2" t="s">
        <v>1293</v>
      </c>
      <c r="D410" s="2">
        <v>3354795252.08</v>
      </c>
      <c r="E410" s="2">
        <v>1</v>
      </c>
      <c r="F410" s="3">
        <f>IF(COUNT(D410,E410)=2,D410*E410,NA())</f>
        <v>3354795252.08</v>
      </c>
      <c r="G410" s="2" t="s">
        <v>50</v>
      </c>
      <c r="H410" s="2" t="s">
        <v>51</v>
      </c>
      <c r="I410" s="2" t="s">
        <v>52</v>
      </c>
      <c r="J410" s="2" t="s">
        <v>1294</v>
      </c>
      <c r="K410" s="2"/>
      <c r="L410" s="2" t="s">
        <v>54</v>
      </c>
      <c r="M410" s="2" t="s">
        <v>55</v>
      </c>
      <c r="N410" s="2" t="s">
        <v>56</v>
      </c>
      <c r="O410" s="2" t="s">
        <v>57</v>
      </c>
      <c r="P410" s="2" t="s">
        <v>1307</v>
      </c>
      <c r="Q410" s="2" t="s">
        <v>1308</v>
      </c>
      <c r="R410" s="2"/>
    </row>
    <row r="411" spans="1:18">
      <c r="A411" s="2" t="s">
        <v>1309</v>
      </c>
      <c r="B411" s="2" t="s">
        <v>1306</v>
      </c>
      <c r="C411" s="2" t="s">
        <v>1293</v>
      </c>
      <c r="D411" s="2">
        <v>3947292992.64</v>
      </c>
      <c r="E411" s="2">
        <v>1</v>
      </c>
      <c r="F411" s="3">
        <f>IF(COUNT(D411,E411)=2,D411*E411,NA())</f>
        <v>3947292992.64</v>
      </c>
      <c r="G411" s="2" t="s">
        <v>50</v>
      </c>
      <c r="H411" s="2" t="s">
        <v>51</v>
      </c>
      <c r="I411" s="2" t="s">
        <v>52</v>
      </c>
      <c r="J411" s="2" t="s">
        <v>1294</v>
      </c>
      <c r="K411" s="2"/>
      <c r="L411" s="2" t="s">
        <v>61</v>
      </c>
      <c r="M411" s="2" t="s">
        <v>55</v>
      </c>
      <c r="N411" s="2" t="s">
        <v>56</v>
      </c>
      <c r="O411" s="2" t="s">
        <v>57</v>
      </c>
      <c r="P411" s="2" t="s">
        <v>1310</v>
      </c>
      <c r="Q411" s="2" t="s">
        <v>1308</v>
      </c>
      <c r="R411" s="2"/>
    </row>
    <row r="412" spans="1:18">
      <c r="A412" s="2" t="s">
        <v>1311</v>
      </c>
      <c r="B412" s="2" t="s">
        <v>1312</v>
      </c>
      <c r="C412" s="2" t="s">
        <v>1293</v>
      </c>
      <c r="D412" s="2">
        <v>3152190162.65</v>
      </c>
      <c r="E412" s="2">
        <v>1</v>
      </c>
      <c r="F412" s="3">
        <f>IF(COUNT(D412,E412)=2,D412*E412,NA())</f>
        <v>3152190162.65</v>
      </c>
      <c r="G412" s="2" t="s">
        <v>50</v>
      </c>
      <c r="H412" s="2" t="s">
        <v>51</v>
      </c>
      <c r="I412" s="2" t="s">
        <v>52</v>
      </c>
      <c r="J412" s="2" t="s">
        <v>1294</v>
      </c>
      <c r="K412" s="2"/>
      <c r="L412" s="2" t="s">
        <v>54</v>
      </c>
      <c r="M412" s="2" t="s">
        <v>55</v>
      </c>
      <c r="N412" s="2" t="s">
        <v>56</v>
      </c>
      <c r="O412" s="2" t="s">
        <v>57</v>
      </c>
      <c r="P412" s="2" t="s">
        <v>1313</v>
      </c>
      <c r="Q412" s="2" t="s">
        <v>1314</v>
      </c>
      <c r="R412" s="2"/>
    </row>
    <row r="413" spans="1:18">
      <c r="A413" s="2" t="s">
        <v>1315</v>
      </c>
      <c r="B413" s="2" t="s">
        <v>1312</v>
      </c>
      <c r="C413" s="2" t="s">
        <v>1293</v>
      </c>
      <c r="D413" s="2">
        <v>6824086133.65</v>
      </c>
      <c r="E413" s="2">
        <v>1</v>
      </c>
      <c r="F413" s="3">
        <f>IF(COUNT(D413,E413)=2,D413*E413,NA())</f>
        <v>6824086133.65</v>
      </c>
      <c r="G413" s="2" t="s">
        <v>50</v>
      </c>
      <c r="H413" s="2" t="s">
        <v>51</v>
      </c>
      <c r="I413" s="2" t="s">
        <v>52</v>
      </c>
      <c r="J413" s="2" t="s">
        <v>1294</v>
      </c>
      <c r="K413" s="2"/>
      <c r="L413" s="2" t="s">
        <v>61</v>
      </c>
      <c r="M413" s="2" t="s">
        <v>55</v>
      </c>
      <c r="N413" s="2" t="s">
        <v>56</v>
      </c>
      <c r="O413" s="2" t="s">
        <v>57</v>
      </c>
      <c r="P413" s="2" t="s">
        <v>1316</v>
      </c>
      <c r="Q413" s="2" t="s">
        <v>1314</v>
      </c>
      <c r="R413" s="2"/>
    </row>
    <row r="414" spans="1:18">
      <c r="A414" s="2" t="s">
        <v>1317</v>
      </c>
      <c r="B414" s="2" t="s">
        <v>1318</v>
      </c>
      <c r="C414" s="2" t="s">
        <v>1293</v>
      </c>
      <c r="D414" s="2">
        <v>1347201162.78</v>
      </c>
      <c r="E414" s="2">
        <v>1</v>
      </c>
      <c r="F414" s="3">
        <f>IF(COUNT(D414,E414)=2,D414*E414,NA())</f>
        <v>1347201162.78</v>
      </c>
      <c r="G414" s="2" t="s">
        <v>50</v>
      </c>
      <c r="H414" s="2" t="s">
        <v>51</v>
      </c>
      <c r="I414" s="2" t="s">
        <v>52</v>
      </c>
      <c r="J414" s="2" t="s">
        <v>1294</v>
      </c>
      <c r="K414" s="2"/>
      <c r="L414" s="2" t="s">
        <v>54</v>
      </c>
      <c r="M414" s="2" t="s">
        <v>55</v>
      </c>
      <c r="N414" s="2" t="s">
        <v>56</v>
      </c>
      <c r="O414" s="2" t="s">
        <v>57</v>
      </c>
      <c r="P414" s="2" t="s">
        <v>1319</v>
      </c>
      <c r="Q414" s="2" t="s">
        <v>1320</v>
      </c>
      <c r="R414" s="2"/>
    </row>
    <row r="415" spans="1:18">
      <c r="A415" s="2" t="s">
        <v>1321</v>
      </c>
      <c r="B415" s="2" t="s">
        <v>1318</v>
      </c>
      <c r="C415" s="2" t="s">
        <v>1293</v>
      </c>
      <c r="D415" s="2">
        <v>4774541538.87</v>
      </c>
      <c r="E415" s="2">
        <v>1</v>
      </c>
      <c r="F415" s="3">
        <f>IF(COUNT(D415,E415)=2,D415*E415,NA())</f>
        <v>4774541538.87</v>
      </c>
      <c r="G415" s="2" t="s">
        <v>50</v>
      </c>
      <c r="H415" s="2" t="s">
        <v>51</v>
      </c>
      <c r="I415" s="2" t="s">
        <v>52</v>
      </c>
      <c r="J415" s="2" t="s">
        <v>1294</v>
      </c>
      <c r="K415" s="2"/>
      <c r="L415" s="2" t="s">
        <v>61</v>
      </c>
      <c r="M415" s="2" t="s">
        <v>55</v>
      </c>
      <c r="N415" s="2" t="s">
        <v>56</v>
      </c>
      <c r="O415" s="2" t="s">
        <v>57</v>
      </c>
      <c r="P415" s="2" t="s">
        <v>1322</v>
      </c>
      <c r="Q415" s="2" t="s">
        <v>1320</v>
      </c>
      <c r="R415" s="2"/>
    </row>
    <row r="416" spans="1:18">
      <c r="A416" s="2" t="s">
        <v>1323</v>
      </c>
      <c r="B416" s="2" t="s">
        <v>1324</v>
      </c>
      <c r="C416" s="2" t="s">
        <v>1293</v>
      </c>
      <c r="D416" s="2">
        <v>1303353764.78</v>
      </c>
      <c r="E416" s="2">
        <v>1</v>
      </c>
      <c r="F416" s="3">
        <f>IF(COUNT(D416,E416)=2,D416*E416,NA())</f>
        <v>1303353764.78</v>
      </c>
      <c r="G416" s="2" t="s">
        <v>50</v>
      </c>
      <c r="H416" s="2" t="s">
        <v>51</v>
      </c>
      <c r="I416" s="2" t="s">
        <v>52</v>
      </c>
      <c r="J416" s="2" t="s">
        <v>1294</v>
      </c>
      <c r="K416" s="2"/>
      <c r="L416" s="2" t="s">
        <v>54</v>
      </c>
      <c r="M416" s="2" t="s">
        <v>55</v>
      </c>
      <c r="N416" s="2" t="s">
        <v>56</v>
      </c>
      <c r="O416" s="2" t="s">
        <v>57</v>
      </c>
      <c r="P416" s="2" t="s">
        <v>1325</v>
      </c>
      <c r="Q416" s="2" t="s">
        <v>1326</v>
      </c>
      <c r="R416" s="2"/>
    </row>
    <row r="417" spans="1:18">
      <c r="A417" s="2" t="s">
        <v>1327</v>
      </c>
      <c r="B417" s="2" t="s">
        <v>1324</v>
      </c>
      <c r="C417" s="2" t="s">
        <v>1293</v>
      </c>
      <c r="D417" s="2">
        <v>1922694484.73</v>
      </c>
      <c r="E417" s="2">
        <v>1</v>
      </c>
      <c r="F417" s="3">
        <f>IF(COUNT(D417,E417)=2,D417*E417,NA())</f>
        <v>1922694484.73</v>
      </c>
      <c r="G417" s="2" t="s">
        <v>50</v>
      </c>
      <c r="H417" s="2" t="s">
        <v>51</v>
      </c>
      <c r="I417" s="2" t="s">
        <v>52</v>
      </c>
      <c r="J417" s="2" t="s">
        <v>1294</v>
      </c>
      <c r="K417" s="2"/>
      <c r="L417" s="2" t="s">
        <v>61</v>
      </c>
      <c r="M417" s="2" t="s">
        <v>55</v>
      </c>
      <c r="N417" s="2" t="s">
        <v>56</v>
      </c>
      <c r="O417" s="2" t="s">
        <v>57</v>
      </c>
      <c r="P417" s="2" t="s">
        <v>1328</v>
      </c>
      <c r="Q417" s="2" t="s">
        <v>1326</v>
      </c>
      <c r="R417" s="2"/>
    </row>
    <row r="418" spans="1:18">
      <c r="A418" s="2" t="s">
        <v>1329</v>
      </c>
      <c r="B418" s="2" t="s">
        <v>1330</v>
      </c>
      <c r="C418" s="2" t="s">
        <v>1293</v>
      </c>
      <c r="D418" s="2">
        <v>141487997.52</v>
      </c>
      <c r="E418" s="2">
        <v>1</v>
      </c>
      <c r="F418" s="3">
        <f>IF(COUNT(D418,E418)=2,D418*E418,NA())</f>
        <v>141487997.52</v>
      </c>
      <c r="G418" s="2" t="s">
        <v>50</v>
      </c>
      <c r="H418" s="2" t="s">
        <v>51</v>
      </c>
      <c r="I418" s="2" t="s">
        <v>52</v>
      </c>
      <c r="J418" s="2" t="s">
        <v>1294</v>
      </c>
      <c r="K418" s="2" t="s">
        <v>391</v>
      </c>
      <c r="L418" s="2" t="s">
        <v>54</v>
      </c>
      <c r="M418" s="2" t="s">
        <v>392</v>
      </c>
      <c r="N418" s="2" t="s">
        <v>56</v>
      </c>
      <c r="O418" s="2" t="s">
        <v>57</v>
      </c>
      <c r="P418" s="2" t="s">
        <v>1331</v>
      </c>
      <c r="Q418" s="2" t="s">
        <v>1332</v>
      </c>
      <c r="R418" s="2"/>
    </row>
    <row r="419" spans="1:18">
      <c r="A419" s="2" t="s">
        <v>1333</v>
      </c>
      <c r="B419" s="2" t="s">
        <v>1330</v>
      </c>
      <c r="C419" s="2" t="s">
        <v>1293</v>
      </c>
      <c r="D419" s="2">
        <v>397166202.31</v>
      </c>
      <c r="E419" s="2">
        <v>1</v>
      </c>
      <c r="F419" s="3">
        <f>IF(COUNT(D419,E419)=2,D419*E419,NA())</f>
        <v>397166202.31</v>
      </c>
      <c r="G419" s="2" t="s">
        <v>50</v>
      </c>
      <c r="H419" s="2" t="s">
        <v>51</v>
      </c>
      <c r="I419" s="2" t="s">
        <v>52</v>
      </c>
      <c r="J419" s="2" t="s">
        <v>1294</v>
      </c>
      <c r="K419" s="2" t="s">
        <v>396</v>
      </c>
      <c r="L419" s="2" t="s">
        <v>61</v>
      </c>
      <c r="M419" s="2" t="s">
        <v>392</v>
      </c>
      <c r="N419" s="2" t="s">
        <v>56</v>
      </c>
      <c r="O419" s="2" t="s">
        <v>57</v>
      </c>
      <c r="P419" s="2" t="s">
        <v>1334</v>
      </c>
      <c r="Q419" s="2" t="s">
        <v>1332</v>
      </c>
      <c r="R419" s="2"/>
    </row>
    <row r="420" spans="1:18">
      <c r="A420" s="2" t="s">
        <v>1335</v>
      </c>
      <c r="B420" s="2" t="s">
        <v>1336</v>
      </c>
      <c r="C420" s="2" t="s">
        <v>1293</v>
      </c>
      <c r="D420" s="2">
        <v>451163140.88</v>
      </c>
      <c r="E420" s="2">
        <v>1</v>
      </c>
      <c r="F420" s="3">
        <f>IF(COUNT(D420,E420)=2,D420*E420,NA())</f>
        <v>451163140.88</v>
      </c>
      <c r="G420" s="2" t="s">
        <v>50</v>
      </c>
      <c r="H420" s="2" t="s">
        <v>51</v>
      </c>
      <c r="I420" s="2" t="s">
        <v>52</v>
      </c>
      <c r="J420" s="2" t="s">
        <v>1294</v>
      </c>
      <c r="K420" s="2" t="s">
        <v>391</v>
      </c>
      <c r="L420" s="2" t="s">
        <v>54</v>
      </c>
      <c r="M420" s="2" t="s">
        <v>392</v>
      </c>
      <c r="N420" s="2" t="s">
        <v>56</v>
      </c>
      <c r="O420" s="2" t="s">
        <v>57</v>
      </c>
      <c r="P420" s="2" t="s">
        <v>1337</v>
      </c>
      <c r="Q420" s="2" t="s">
        <v>1338</v>
      </c>
      <c r="R420" s="2"/>
    </row>
    <row r="421" spans="1:18">
      <c r="A421" s="2" t="s">
        <v>1339</v>
      </c>
      <c r="B421" s="2" t="s">
        <v>1336</v>
      </c>
      <c r="C421" s="2" t="s">
        <v>1293</v>
      </c>
      <c r="D421" s="2">
        <v>328543144.16</v>
      </c>
      <c r="E421" s="2">
        <v>1</v>
      </c>
      <c r="F421" s="3">
        <f>IF(COUNT(D421,E421)=2,D421*E421,NA())</f>
        <v>328543144.16</v>
      </c>
      <c r="G421" s="2" t="s">
        <v>50</v>
      </c>
      <c r="H421" s="2" t="s">
        <v>51</v>
      </c>
      <c r="I421" s="2" t="s">
        <v>52</v>
      </c>
      <c r="J421" s="2" t="s">
        <v>1294</v>
      </c>
      <c r="K421" s="2" t="s">
        <v>396</v>
      </c>
      <c r="L421" s="2" t="s">
        <v>61</v>
      </c>
      <c r="M421" s="2" t="s">
        <v>392</v>
      </c>
      <c r="N421" s="2" t="s">
        <v>56</v>
      </c>
      <c r="O421" s="2" t="s">
        <v>57</v>
      </c>
      <c r="P421" s="2" t="s">
        <v>1340</v>
      </c>
      <c r="Q421" s="2" t="s">
        <v>1338</v>
      </c>
      <c r="R421" s="2"/>
    </row>
    <row r="422" spans="1:18">
      <c r="A422" s="2" t="s">
        <v>1341</v>
      </c>
      <c r="B422" s="2" t="s">
        <v>1342</v>
      </c>
      <c r="C422" s="2" t="s">
        <v>1293</v>
      </c>
      <c r="D422" s="2">
        <v>-732134335.29</v>
      </c>
      <c r="E422" s="2">
        <v>1</v>
      </c>
      <c r="F422" s="3">
        <f>IF(COUNT(D422,E422)=2,D422*E422,NA())</f>
        <v>-732134335.29</v>
      </c>
      <c r="G422" s="2" t="s">
        <v>50</v>
      </c>
      <c r="H422" s="2" t="s">
        <v>51</v>
      </c>
      <c r="I422" s="2" t="s">
        <v>52</v>
      </c>
      <c r="J422" s="2" t="s">
        <v>1294</v>
      </c>
      <c r="K422" s="2" t="s">
        <v>391</v>
      </c>
      <c r="L422" s="2" t="s">
        <v>54</v>
      </c>
      <c r="M422" s="2" t="s">
        <v>392</v>
      </c>
      <c r="N422" s="2" t="s">
        <v>56</v>
      </c>
      <c r="O422" s="2" t="s">
        <v>57</v>
      </c>
      <c r="P422" s="2" t="s">
        <v>1343</v>
      </c>
      <c r="Q422" s="2" t="s">
        <v>1344</v>
      </c>
      <c r="R422" s="2"/>
    </row>
    <row r="423" spans="1:18">
      <c r="A423" s="2" t="s">
        <v>1345</v>
      </c>
      <c r="B423" s="2" t="s">
        <v>1342</v>
      </c>
      <c r="C423" s="2" t="s">
        <v>1293</v>
      </c>
      <c r="D423" s="2">
        <v>2008108085.1</v>
      </c>
      <c r="E423" s="2">
        <v>1</v>
      </c>
      <c r="F423" s="3">
        <f>IF(COUNT(D423,E423)=2,D423*E423,NA())</f>
        <v>2008108085.1</v>
      </c>
      <c r="G423" s="2" t="s">
        <v>50</v>
      </c>
      <c r="H423" s="2" t="s">
        <v>51</v>
      </c>
      <c r="I423" s="2" t="s">
        <v>52</v>
      </c>
      <c r="J423" s="2" t="s">
        <v>1294</v>
      </c>
      <c r="K423" s="2" t="s">
        <v>396</v>
      </c>
      <c r="L423" s="2" t="s">
        <v>61</v>
      </c>
      <c r="M423" s="2" t="s">
        <v>392</v>
      </c>
      <c r="N423" s="2" t="s">
        <v>56</v>
      </c>
      <c r="O423" s="2" t="s">
        <v>57</v>
      </c>
      <c r="P423" s="2" t="s">
        <v>1346</v>
      </c>
      <c r="Q423" s="2" t="s">
        <v>1344</v>
      </c>
      <c r="R423" s="2"/>
    </row>
    <row r="424" spans="1:18">
      <c r="A424" s="2" t="s">
        <v>1347</v>
      </c>
      <c r="B424" s="2" t="s">
        <v>1348</v>
      </c>
      <c r="C424" s="2" t="s">
        <v>1293</v>
      </c>
      <c r="D424" s="2">
        <v>1872187057.08</v>
      </c>
      <c r="E424" s="2">
        <v>1</v>
      </c>
      <c r="F424" s="3">
        <f>IF(COUNT(D424,E424)=2,D424*E424,NA())</f>
        <v>1872187057.08</v>
      </c>
      <c r="G424" s="2" t="s">
        <v>50</v>
      </c>
      <c r="H424" s="2" t="s">
        <v>51</v>
      </c>
      <c r="I424" s="2" t="s">
        <v>52</v>
      </c>
      <c r="J424" s="2" t="s">
        <v>1294</v>
      </c>
      <c r="K424" s="2" t="s">
        <v>391</v>
      </c>
      <c r="L424" s="2" t="s">
        <v>54</v>
      </c>
      <c r="M424" s="2" t="s">
        <v>392</v>
      </c>
      <c r="N424" s="2" t="s">
        <v>56</v>
      </c>
      <c r="O424" s="2" t="s">
        <v>57</v>
      </c>
      <c r="P424" s="2" t="s">
        <v>1349</v>
      </c>
      <c r="Q424" s="2" t="s">
        <v>1350</v>
      </c>
      <c r="R424" s="2"/>
    </row>
    <row r="425" spans="1:18">
      <c r="A425" s="2" t="s">
        <v>1351</v>
      </c>
      <c r="B425" s="2" t="s">
        <v>1348</v>
      </c>
      <c r="C425" s="2" t="s">
        <v>1293</v>
      </c>
      <c r="D425" s="2">
        <v>-1774748329.31</v>
      </c>
      <c r="E425" s="2">
        <v>1</v>
      </c>
      <c r="F425" s="3">
        <f>IF(COUNT(D425,E425)=2,D425*E425,NA())</f>
        <v>-1774748329.31</v>
      </c>
      <c r="G425" s="2" t="s">
        <v>50</v>
      </c>
      <c r="H425" s="2" t="s">
        <v>51</v>
      </c>
      <c r="I425" s="2" t="s">
        <v>52</v>
      </c>
      <c r="J425" s="2" t="s">
        <v>1294</v>
      </c>
      <c r="K425" s="2" t="s">
        <v>396</v>
      </c>
      <c r="L425" s="2" t="s">
        <v>61</v>
      </c>
      <c r="M425" s="2" t="s">
        <v>392</v>
      </c>
      <c r="N425" s="2" t="s">
        <v>56</v>
      </c>
      <c r="O425" s="2" t="s">
        <v>57</v>
      </c>
      <c r="P425" s="2" t="s">
        <v>1352</v>
      </c>
      <c r="Q425" s="2" t="s">
        <v>1350</v>
      </c>
      <c r="R425" s="2"/>
    </row>
    <row r="426" spans="1:18">
      <c r="A426" s="2" t="s">
        <v>1353</v>
      </c>
      <c r="B426" s="2" t="s">
        <v>1354</v>
      </c>
      <c r="C426" s="2" t="s">
        <v>1293</v>
      </c>
      <c r="D426" s="2">
        <v>-1754171194.11</v>
      </c>
      <c r="E426" s="2">
        <v>1</v>
      </c>
      <c r="F426" s="3">
        <f>IF(COUNT(D426,E426)=2,D426*E426,NA())</f>
        <v>-1754171194.11</v>
      </c>
      <c r="G426" s="2" t="s">
        <v>50</v>
      </c>
      <c r="H426" s="2" t="s">
        <v>51</v>
      </c>
      <c r="I426" s="2" t="s">
        <v>52</v>
      </c>
      <c r="J426" s="2" t="s">
        <v>1294</v>
      </c>
      <c r="K426" s="2" t="s">
        <v>391</v>
      </c>
      <c r="L426" s="2" t="s">
        <v>54</v>
      </c>
      <c r="M426" s="2" t="s">
        <v>392</v>
      </c>
      <c r="N426" s="2" t="s">
        <v>56</v>
      </c>
      <c r="O426" s="2" t="s">
        <v>57</v>
      </c>
      <c r="P426" s="2" t="s">
        <v>1355</v>
      </c>
      <c r="Q426" s="2" t="s">
        <v>1356</v>
      </c>
      <c r="R426" s="2"/>
    </row>
    <row r="427" spans="1:18">
      <c r="A427" s="2" t="s">
        <v>1357</v>
      </c>
      <c r="B427" s="2" t="s">
        <v>1354</v>
      </c>
      <c r="C427" s="2" t="s">
        <v>1293</v>
      </c>
      <c r="D427" s="2">
        <v>115729421.47</v>
      </c>
      <c r="E427" s="2">
        <v>1</v>
      </c>
      <c r="F427" s="3">
        <f>IF(COUNT(D427,E427)=2,D427*E427,NA())</f>
        <v>115729421.47</v>
      </c>
      <c r="G427" s="2" t="s">
        <v>50</v>
      </c>
      <c r="H427" s="2" t="s">
        <v>51</v>
      </c>
      <c r="I427" s="2" t="s">
        <v>52</v>
      </c>
      <c r="J427" s="2" t="s">
        <v>1294</v>
      </c>
      <c r="K427" s="2" t="s">
        <v>396</v>
      </c>
      <c r="L427" s="2" t="s">
        <v>61</v>
      </c>
      <c r="M427" s="2" t="s">
        <v>392</v>
      </c>
      <c r="N427" s="2" t="s">
        <v>56</v>
      </c>
      <c r="O427" s="2" t="s">
        <v>57</v>
      </c>
      <c r="P427" s="2" t="s">
        <v>1358</v>
      </c>
      <c r="Q427" s="2" t="s">
        <v>1356</v>
      </c>
      <c r="R427" s="2"/>
    </row>
    <row r="428" spans="1:18">
      <c r="A428" s="2" t="s">
        <v>1359</v>
      </c>
      <c r="B428" s="2" t="s">
        <v>1360</v>
      </c>
      <c r="C428" s="2" t="s">
        <v>1293</v>
      </c>
      <c r="D428" s="2">
        <v>-5222247.63</v>
      </c>
      <c r="E428" s="2">
        <v>1</v>
      </c>
      <c r="F428" s="3">
        <f>IF(COUNT(D428,E428)=2,D428*E428,NA())</f>
        <v>-5222247.63</v>
      </c>
      <c r="G428" s="2" t="s">
        <v>50</v>
      </c>
      <c r="H428" s="2" t="s">
        <v>51</v>
      </c>
      <c r="I428" s="2" t="s">
        <v>52</v>
      </c>
      <c r="J428" s="2" t="s">
        <v>1294</v>
      </c>
      <c r="K428" s="2" t="s">
        <v>391</v>
      </c>
      <c r="L428" s="2" t="s">
        <v>54</v>
      </c>
      <c r="M428" s="2" t="s">
        <v>392</v>
      </c>
      <c r="N428" s="2" t="s">
        <v>56</v>
      </c>
      <c r="O428" s="2" t="s">
        <v>57</v>
      </c>
      <c r="P428" s="2" t="s">
        <v>1361</v>
      </c>
      <c r="Q428" s="2" t="s">
        <v>1362</v>
      </c>
      <c r="R428" s="2"/>
    </row>
    <row r="429" spans="1:18">
      <c r="A429" s="2" t="s">
        <v>1363</v>
      </c>
      <c r="B429" s="2" t="s">
        <v>1360</v>
      </c>
      <c r="C429" s="2" t="s">
        <v>1293</v>
      </c>
      <c r="D429" s="2">
        <v>1472479.62</v>
      </c>
      <c r="E429" s="2">
        <v>1</v>
      </c>
      <c r="F429" s="3">
        <f>IF(COUNT(D429,E429)=2,D429*E429,NA())</f>
        <v>1472479.62</v>
      </c>
      <c r="G429" s="2" t="s">
        <v>50</v>
      </c>
      <c r="H429" s="2" t="s">
        <v>51</v>
      </c>
      <c r="I429" s="2" t="s">
        <v>52</v>
      </c>
      <c r="J429" s="2" t="s">
        <v>1294</v>
      </c>
      <c r="K429" s="2" t="s">
        <v>396</v>
      </c>
      <c r="L429" s="2" t="s">
        <v>61</v>
      </c>
      <c r="M429" s="2" t="s">
        <v>392</v>
      </c>
      <c r="N429" s="2" t="s">
        <v>56</v>
      </c>
      <c r="O429" s="2" t="s">
        <v>57</v>
      </c>
      <c r="P429" s="2" t="s">
        <v>1364</v>
      </c>
      <c r="Q429" s="2" t="s">
        <v>1362</v>
      </c>
      <c r="R429" s="2"/>
    </row>
    <row r="430" spans="1:18">
      <c r="A430" s="2" t="s">
        <v>1365</v>
      </c>
      <c r="B430" s="2" t="s">
        <v>1366</v>
      </c>
      <c r="C430" s="2" t="s">
        <v>1293</v>
      </c>
      <c r="D430" s="2">
        <v>-619340719.95</v>
      </c>
      <c r="E430" s="2">
        <v>1</v>
      </c>
      <c r="F430" s="3">
        <f>IF(COUNT(D430,E430)=2,D430*E430,NA())</f>
        <v>-619340719.95</v>
      </c>
      <c r="G430" s="2" t="s">
        <v>50</v>
      </c>
      <c r="H430" s="2" t="s">
        <v>51</v>
      </c>
      <c r="I430" s="2" t="s">
        <v>52</v>
      </c>
      <c r="J430" s="2" t="s">
        <v>1294</v>
      </c>
      <c r="K430" s="2" t="s">
        <v>391</v>
      </c>
      <c r="L430" s="2" t="s">
        <v>54</v>
      </c>
      <c r="M430" s="2" t="s">
        <v>392</v>
      </c>
      <c r="N430" s="2" t="s">
        <v>56</v>
      </c>
      <c r="O430" s="2" t="s">
        <v>57</v>
      </c>
      <c r="P430" s="2" t="s">
        <v>1367</v>
      </c>
      <c r="Q430" s="2" t="s">
        <v>1368</v>
      </c>
      <c r="R430" s="2"/>
    </row>
    <row r="431" spans="1:18">
      <c r="A431" s="2" t="s">
        <v>1369</v>
      </c>
      <c r="B431" s="2" t="s">
        <v>1366</v>
      </c>
      <c r="C431" s="2" t="s">
        <v>1293</v>
      </c>
      <c r="D431" s="2">
        <v>350561656.88</v>
      </c>
      <c r="E431" s="2">
        <v>1</v>
      </c>
      <c r="F431" s="3">
        <f>IF(COUNT(D431,E431)=2,D431*E431,NA())</f>
        <v>350561656.88</v>
      </c>
      <c r="G431" s="2" t="s">
        <v>50</v>
      </c>
      <c r="H431" s="2" t="s">
        <v>51</v>
      </c>
      <c r="I431" s="2" t="s">
        <v>52</v>
      </c>
      <c r="J431" s="2" t="s">
        <v>1294</v>
      </c>
      <c r="K431" s="2" t="s">
        <v>396</v>
      </c>
      <c r="L431" s="2" t="s">
        <v>61</v>
      </c>
      <c r="M431" s="2" t="s">
        <v>392</v>
      </c>
      <c r="N431" s="2" t="s">
        <v>56</v>
      </c>
      <c r="O431" s="2" t="s">
        <v>57</v>
      </c>
      <c r="P431" s="2" t="s">
        <v>1370</v>
      </c>
      <c r="Q431" s="2" t="s">
        <v>1368</v>
      </c>
      <c r="R431" s="2"/>
    </row>
    <row r="432" spans="1:18">
      <c r="A432" s="2" t="s">
        <v>1371</v>
      </c>
      <c r="B432" s="2" t="s">
        <v>1372</v>
      </c>
      <c r="C432" s="2" t="s">
        <v>858</v>
      </c>
      <c r="D432" s="2">
        <v>499209029.48</v>
      </c>
      <c r="E432" s="2">
        <v>1</v>
      </c>
      <c r="F432" s="3">
        <f>IF(COUNT(D432,E432)=2,D432*E432,NA())</f>
        <v>499209029.48</v>
      </c>
      <c r="G432" s="2" t="s">
        <v>50</v>
      </c>
      <c r="H432" s="2" t="s">
        <v>51</v>
      </c>
      <c r="I432" s="2" t="s">
        <v>52</v>
      </c>
      <c r="J432" s="2" t="s">
        <v>53</v>
      </c>
      <c r="K432" s="2" t="s">
        <v>391</v>
      </c>
      <c r="L432" s="2" t="s">
        <v>54</v>
      </c>
      <c r="M432" s="2" t="s">
        <v>392</v>
      </c>
      <c r="N432" s="2" t="s">
        <v>56</v>
      </c>
      <c r="O432" s="2" t="s">
        <v>57</v>
      </c>
      <c r="P432" s="2"/>
      <c r="Q432" s="2" t="s">
        <v>79</v>
      </c>
      <c r="R432" s="2"/>
    </row>
    <row r="433" spans="1:18">
      <c r="A433" s="2" t="s">
        <v>1373</v>
      </c>
      <c r="B433" s="2" t="s">
        <v>1374</v>
      </c>
      <c r="C433" s="2" t="s">
        <v>858</v>
      </c>
      <c r="D433" s="2">
        <v>91781789.77</v>
      </c>
      <c r="E433" s="2">
        <v>1</v>
      </c>
      <c r="F433" s="3">
        <f>IF(COUNT(D433,E433)=2,D433*E433,NA())</f>
        <v>91781789.77</v>
      </c>
      <c r="G433" s="2" t="s">
        <v>50</v>
      </c>
      <c r="H433" s="2" t="s">
        <v>51</v>
      </c>
      <c r="I433" s="2" t="s">
        <v>52</v>
      </c>
      <c r="J433" s="2" t="s">
        <v>53</v>
      </c>
      <c r="K433" s="2" t="s">
        <v>391</v>
      </c>
      <c r="L433" s="2" t="s">
        <v>54</v>
      </c>
      <c r="M433" s="2" t="s">
        <v>392</v>
      </c>
      <c r="N433" s="2" t="s">
        <v>56</v>
      </c>
      <c r="O433" s="2" t="s">
        <v>57</v>
      </c>
      <c r="P433" s="2"/>
      <c r="Q433" s="2" t="s">
        <v>79</v>
      </c>
      <c r="R433" s="2"/>
    </row>
    <row r="434" spans="1:18">
      <c r="A434" s="2" t="s">
        <v>1375</v>
      </c>
      <c r="B434" s="2" t="s">
        <v>1376</v>
      </c>
      <c r="C434" s="2" t="s">
        <v>858</v>
      </c>
      <c r="D434" s="2">
        <v>85301540.59999999</v>
      </c>
      <c r="E434" s="2">
        <v>1</v>
      </c>
      <c r="F434" s="3">
        <f>IF(COUNT(D434,E434)=2,D434*E434,NA())</f>
        <v>85301540.6</v>
      </c>
      <c r="G434" s="2" t="s">
        <v>50</v>
      </c>
      <c r="H434" s="2" t="s">
        <v>51</v>
      </c>
      <c r="I434" s="2" t="s">
        <v>52</v>
      </c>
      <c r="J434" s="2" t="s">
        <v>53</v>
      </c>
      <c r="K434" s="2" t="s">
        <v>391</v>
      </c>
      <c r="L434" s="2" t="s">
        <v>54</v>
      </c>
      <c r="M434" s="2" t="s">
        <v>392</v>
      </c>
      <c r="N434" s="2" t="s">
        <v>56</v>
      </c>
      <c r="O434" s="2" t="s">
        <v>57</v>
      </c>
      <c r="P434" s="2"/>
      <c r="Q434" s="2" t="s">
        <v>79</v>
      </c>
      <c r="R434" s="2"/>
    </row>
    <row r="435" spans="1:18">
      <c r="A435" s="2" t="s">
        <v>1377</v>
      </c>
      <c r="B435" s="2" t="s">
        <v>1378</v>
      </c>
      <c r="C435" s="2" t="s">
        <v>858</v>
      </c>
      <c r="D435" s="2">
        <v>-31215.82</v>
      </c>
      <c r="E435" s="2">
        <v>1</v>
      </c>
      <c r="F435" s="3">
        <f>IF(COUNT(D435,E435)=2,D435*E435,NA())</f>
        <v>-31215.82</v>
      </c>
      <c r="G435" s="2" t="s">
        <v>50</v>
      </c>
      <c r="H435" s="2" t="s">
        <v>51</v>
      </c>
      <c r="I435" s="2" t="s">
        <v>52</v>
      </c>
      <c r="J435" s="2" t="s">
        <v>53</v>
      </c>
      <c r="K435" s="2" t="s">
        <v>391</v>
      </c>
      <c r="L435" s="2" t="s">
        <v>54</v>
      </c>
      <c r="M435" s="2" t="s">
        <v>392</v>
      </c>
      <c r="N435" s="2" t="s">
        <v>56</v>
      </c>
      <c r="O435" s="2" t="s">
        <v>57</v>
      </c>
      <c r="P435" s="2"/>
      <c r="Q435" s="2" t="s">
        <v>79</v>
      </c>
      <c r="R435" s="2"/>
    </row>
    <row r="436" spans="1:18">
      <c r="A436" s="2" t="s">
        <v>1379</v>
      </c>
      <c r="B436" s="2" t="s">
        <v>1380</v>
      </c>
      <c r="C436" s="2" t="s">
        <v>980</v>
      </c>
      <c r="D436" s="2">
        <v>144511035.98</v>
      </c>
      <c r="E436" s="2">
        <v>1</v>
      </c>
      <c r="F436" s="3">
        <f>IF(COUNT(D436,E436)=2,D436*E436,NA())</f>
        <v>144511035.98</v>
      </c>
      <c r="G436" s="2" t="s">
        <v>50</v>
      </c>
      <c r="H436" s="2" t="s">
        <v>51</v>
      </c>
      <c r="I436" s="2" t="s">
        <v>52</v>
      </c>
      <c r="J436" s="2" t="s">
        <v>53</v>
      </c>
      <c r="K436" s="2" t="s">
        <v>391</v>
      </c>
      <c r="L436" s="2" t="s">
        <v>54</v>
      </c>
      <c r="M436" s="2" t="s">
        <v>392</v>
      </c>
      <c r="N436" s="2" t="s">
        <v>56</v>
      </c>
      <c r="O436" s="2" t="s">
        <v>57</v>
      </c>
      <c r="P436" s="2"/>
      <c r="Q436" s="2" t="s">
        <v>97</v>
      </c>
      <c r="R436" s="2"/>
    </row>
    <row r="437" spans="1:18">
      <c r="A437" s="2" t="s">
        <v>1381</v>
      </c>
      <c r="B437" s="2" t="s">
        <v>1382</v>
      </c>
      <c r="C437" s="2" t="s">
        <v>980</v>
      </c>
      <c r="D437" s="2">
        <v>2172797</v>
      </c>
      <c r="E437" s="2">
        <v>1</v>
      </c>
      <c r="F437" s="3">
        <f>IF(COUNT(D437,E437)=2,D437*E437,NA())</f>
        <v>2172797.0</v>
      </c>
      <c r="G437" s="2" t="s">
        <v>50</v>
      </c>
      <c r="H437" s="2" t="s">
        <v>51</v>
      </c>
      <c r="I437" s="2" t="s">
        <v>52</v>
      </c>
      <c r="J437" s="2" t="s">
        <v>53</v>
      </c>
      <c r="K437" s="2" t="s">
        <v>391</v>
      </c>
      <c r="L437" s="2" t="s">
        <v>54</v>
      </c>
      <c r="M437" s="2" t="s">
        <v>392</v>
      </c>
      <c r="N437" s="2" t="s">
        <v>56</v>
      </c>
      <c r="O437" s="2" t="s">
        <v>57</v>
      </c>
      <c r="P437" s="2"/>
      <c r="Q437" s="2" t="s">
        <v>97</v>
      </c>
      <c r="R437" s="2"/>
    </row>
    <row r="438" spans="1:18">
      <c r="A438" s="2" t="s">
        <v>1383</v>
      </c>
      <c r="B438" s="2" t="s">
        <v>1384</v>
      </c>
      <c r="C438" s="2" t="s">
        <v>980</v>
      </c>
      <c r="D438" s="2">
        <v>626359.97</v>
      </c>
      <c r="E438" s="2">
        <v>1</v>
      </c>
      <c r="F438" s="3">
        <f>IF(COUNT(D438,E438)=2,D438*E438,NA())</f>
        <v>626359.97</v>
      </c>
      <c r="G438" s="2" t="s">
        <v>50</v>
      </c>
      <c r="H438" s="2" t="s">
        <v>51</v>
      </c>
      <c r="I438" s="2" t="s">
        <v>52</v>
      </c>
      <c r="J438" s="2" t="s">
        <v>53</v>
      </c>
      <c r="K438" s="2" t="s">
        <v>391</v>
      </c>
      <c r="L438" s="2" t="s">
        <v>54</v>
      </c>
      <c r="M438" s="2" t="s">
        <v>392</v>
      </c>
      <c r="N438" s="2" t="s">
        <v>56</v>
      </c>
      <c r="O438" s="2" t="s">
        <v>57</v>
      </c>
      <c r="P438" s="2"/>
      <c r="Q438" s="2" t="s">
        <v>97</v>
      </c>
      <c r="R438" s="2"/>
    </row>
    <row r="439" spans="1:18">
      <c r="A439" s="2" t="s">
        <v>1385</v>
      </c>
      <c r="B439" s="2" t="s">
        <v>1386</v>
      </c>
      <c r="C439" s="2" t="s">
        <v>1005</v>
      </c>
      <c r="D439" s="2">
        <v>25988634.89</v>
      </c>
      <c r="E439" s="2">
        <v>1</v>
      </c>
      <c r="F439" s="3">
        <f>IF(COUNT(D439,E439)=2,D439*E439,NA())</f>
        <v>25988634.89</v>
      </c>
      <c r="G439" s="2" t="s">
        <v>50</v>
      </c>
      <c r="H439" s="2" t="s">
        <v>51</v>
      </c>
      <c r="I439" s="2" t="s">
        <v>52</v>
      </c>
      <c r="J439" s="2" t="s">
        <v>53</v>
      </c>
      <c r="K439" s="2" t="s">
        <v>391</v>
      </c>
      <c r="L439" s="2" t="s">
        <v>54</v>
      </c>
      <c r="M439" s="2" t="s">
        <v>392</v>
      </c>
      <c r="N439" s="2" t="s">
        <v>56</v>
      </c>
      <c r="O439" s="2" t="s">
        <v>57</v>
      </c>
      <c r="P439" s="2"/>
      <c r="Q439" s="2" t="s">
        <v>103</v>
      </c>
      <c r="R439" s="2"/>
    </row>
    <row r="440" spans="1:18">
      <c r="A440" s="2" t="s">
        <v>1387</v>
      </c>
      <c r="B440" s="2" t="s">
        <v>1388</v>
      </c>
      <c r="C440" s="2" t="s">
        <v>1005</v>
      </c>
      <c r="D440" s="2">
        <v>16045020.21</v>
      </c>
      <c r="E440" s="2">
        <v>1</v>
      </c>
      <c r="F440" s="3">
        <f>IF(COUNT(D440,E440)=2,D440*E440,NA())</f>
        <v>16045020.21</v>
      </c>
      <c r="G440" s="2" t="s">
        <v>50</v>
      </c>
      <c r="H440" s="2" t="s">
        <v>51</v>
      </c>
      <c r="I440" s="2" t="s">
        <v>52</v>
      </c>
      <c r="J440" s="2" t="s">
        <v>53</v>
      </c>
      <c r="K440" s="2" t="s">
        <v>391</v>
      </c>
      <c r="L440" s="2" t="s">
        <v>54</v>
      </c>
      <c r="M440" s="2" t="s">
        <v>392</v>
      </c>
      <c r="N440" s="2" t="s">
        <v>56</v>
      </c>
      <c r="O440" s="2" t="s">
        <v>57</v>
      </c>
      <c r="P440" s="2"/>
      <c r="Q440" s="2" t="s">
        <v>103</v>
      </c>
      <c r="R440" s="2"/>
    </row>
    <row r="441" spans="1:18">
      <c r="A441" s="2" t="s">
        <v>1389</v>
      </c>
      <c r="B441" s="2" t="s">
        <v>1390</v>
      </c>
      <c r="C441" s="2" t="s">
        <v>1005</v>
      </c>
      <c r="D441" s="2">
        <v>-24094242.23</v>
      </c>
      <c r="E441" s="2">
        <v>1</v>
      </c>
      <c r="F441" s="3">
        <f>IF(COUNT(D441,E441)=2,D441*E441,NA())</f>
        <v>-24094242.23</v>
      </c>
      <c r="G441" s="2" t="s">
        <v>50</v>
      </c>
      <c r="H441" s="2" t="s">
        <v>51</v>
      </c>
      <c r="I441" s="2" t="s">
        <v>52</v>
      </c>
      <c r="J441" s="2" t="s">
        <v>53</v>
      </c>
      <c r="K441" s="2" t="s">
        <v>391</v>
      </c>
      <c r="L441" s="2" t="s">
        <v>54</v>
      </c>
      <c r="M441" s="2" t="s">
        <v>392</v>
      </c>
      <c r="N441" s="2" t="s">
        <v>56</v>
      </c>
      <c r="O441" s="2" t="s">
        <v>57</v>
      </c>
      <c r="P441" s="2" t="s">
        <v>1391</v>
      </c>
      <c r="Q441" s="2" t="s">
        <v>103</v>
      </c>
      <c r="R441" s="2"/>
    </row>
    <row r="442" spans="1:18">
      <c r="A442" s="2" t="s">
        <v>1392</v>
      </c>
      <c r="B442" s="2" t="s">
        <v>1393</v>
      </c>
      <c r="C442" s="2" t="s">
        <v>858</v>
      </c>
      <c r="D442" s="2">
        <v>2028024511.79</v>
      </c>
      <c r="E442" s="2">
        <v>1</v>
      </c>
      <c r="F442" s="3">
        <f>IF(COUNT(D442,E442)=2,D442*E442,NA())</f>
        <v>2028024511.79</v>
      </c>
      <c r="G442" s="2" t="s">
        <v>50</v>
      </c>
      <c r="H442" s="2" t="s">
        <v>51</v>
      </c>
      <c r="I442" s="2" t="s">
        <v>52</v>
      </c>
      <c r="J442" s="2" t="s">
        <v>53</v>
      </c>
      <c r="K442" s="2"/>
      <c r="L442" s="2" t="s">
        <v>54</v>
      </c>
      <c r="M442" s="2" t="s">
        <v>55</v>
      </c>
      <c r="N442" s="2" t="s">
        <v>56</v>
      </c>
      <c r="O442" s="2" t="s">
        <v>57</v>
      </c>
      <c r="P442" s="2"/>
      <c r="Q442" s="2" t="s">
        <v>79</v>
      </c>
      <c r="R442" s="2"/>
    </row>
    <row r="443" spans="1:18">
      <c r="A443" s="2" t="s">
        <v>1394</v>
      </c>
      <c r="B443" s="2" t="s">
        <v>1395</v>
      </c>
      <c r="C443" s="2" t="s">
        <v>858</v>
      </c>
      <c r="D443" s="2">
        <v>1448807014</v>
      </c>
      <c r="E443" s="2">
        <v>1</v>
      </c>
      <c r="F443" s="3">
        <f>IF(COUNT(D443,E443)=2,D443*E443,NA())</f>
        <v>1448807014.0</v>
      </c>
      <c r="G443" s="2" t="s">
        <v>50</v>
      </c>
      <c r="H443" s="2" t="s">
        <v>51</v>
      </c>
      <c r="I443" s="2" t="s">
        <v>52</v>
      </c>
      <c r="J443" s="2" t="s">
        <v>53</v>
      </c>
      <c r="K443" s="2"/>
      <c r="L443" s="2" t="s">
        <v>54</v>
      </c>
      <c r="M443" s="2" t="s">
        <v>55</v>
      </c>
      <c r="N443" s="2" t="s">
        <v>56</v>
      </c>
      <c r="O443" s="2" t="s">
        <v>57</v>
      </c>
      <c r="P443" s="2"/>
      <c r="Q443" s="2" t="s">
        <v>79</v>
      </c>
      <c r="R443" s="2"/>
    </row>
    <row r="444" spans="1:18">
      <c r="A444" s="2" t="s">
        <v>1396</v>
      </c>
      <c r="B444" s="2" t="s">
        <v>1397</v>
      </c>
      <c r="C444" s="2" t="s">
        <v>858</v>
      </c>
      <c r="D444" s="2">
        <v>228564045.6</v>
      </c>
      <c r="E444" s="2">
        <v>1</v>
      </c>
      <c r="F444" s="3">
        <f>IF(COUNT(D444,E444)=2,D444*E444,NA())</f>
        <v>228564045.6</v>
      </c>
      <c r="G444" s="2" t="s">
        <v>50</v>
      </c>
      <c r="H444" s="2" t="s">
        <v>51</v>
      </c>
      <c r="I444" s="2" t="s">
        <v>52</v>
      </c>
      <c r="J444" s="2" t="s">
        <v>53</v>
      </c>
      <c r="K444" s="2"/>
      <c r="L444" s="2" t="s">
        <v>54</v>
      </c>
      <c r="M444" s="2" t="s">
        <v>55</v>
      </c>
      <c r="N444" s="2" t="s">
        <v>56</v>
      </c>
      <c r="O444" s="2" t="s">
        <v>57</v>
      </c>
      <c r="P444" s="2"/>
      <c r="Q444" s="2" t="s">
        <v>1398</v>
      </c>
      <c r="R444" s="2"/>
    </row>
    <row r="445" spans="1:18">
      <c r="A445" s="2" t="s">
        <v>1399</v>
      </c>
      <c r="B445" s="2" t="s">
        <v>1400</v>
      </c>
      <c r="C445" s="2" t="s">
        <v>1401</v>
      </c>
      <c r="D445" s="2">
        <v>214729914.12</v>
      </c>
      <c r="E445" s="2">
        <v>1</v>
      </c>
      <c r="F445" s="3">
        <f>IF(COUNT(D445,E445)=2,D445*E445,NA())</f>
        <v>214729914.12</v>
      </c>
      <c r="G445" s="2" t="s">
        <v>50</v>
      </c>
      <c r="H445" s="2" t="s">
        <v>51</v>
      </c>
      <c r="I445" s="2" t="s">
        <v>52</v>
      </c>
      <c r="J445" s="2" t="s">
        <v>53</v>
      </c>
      <c r="K445" s="2"/>
      <c r="L445" s="2" t="s">
        <v>54</v>
      </c>
      <c r="M445" s="2" t="s">
        <v>55</v>
      </c>
      <c r="N445" s="2" t="s">
        <v>56</v>
      </c>
      <c r="O445" s="2" t="s">
        <v>57</v>
      </c>
      <c r="P445" s="2"/>
      <c r="Q445" s="2" t="s">
        <v>1402</v>
      </c>
      <c r="R445" s="2"/>
    </row>
    <row r="446" spans="1:18">
      <c r="A446" s="2" t="s">
        <v>1403</v>
      </c>
      <c r="B446" s="2" t="s">
        <v>1404</v>
      </c>
      <c r="C446" s="2" t="s">
        <v>1405</v>
      </c>
      <c r="D446" s="2">
        <v>405562933.95</v>
      </c>
      <c r="E446" s="2">
        <v>1</v>
      </c>
      <c r="F446" s="3">
        <f>IF(COUNT(D446,E446)=2,D446*E446,NA())</f>
        <v>405562933.95</v>
      </c>
      <c r="G446" s="2" t="s">
        <v>50</v>
      </c>
      <c r="H446" s="2" t="s">
        <v>51</v>
      </c>
      <c r="I446" s="2" t="s">
        <v>52</v>
      </c>
      <c r="J446" s="2" t="s">
        <v>53</v>
      </c>
      <c r="K446" s="2" t="s">
        <v>391</v>
      </c>
      <c r="L446" s="2" t="s">
        <v>54</v>
      </c>
      <c r="M446" s="2" t="s">
        <v>392</v>
      </c>
      <c r="N446" s="2" t="s">
        <v>56</v>
      </c>
      <c r="O446" s="2" t="s">
        <v>57</v>
      </c>
      <c r="P446" s="2"/>
      <c r="Q446" s="2" t="s">
        <v>1406</v>
      </c>
      <c r="R446" s="2"/>
    </row>
    <row r="447" spans="1:18">
      <c r="A447" s="2" t="s">
        <v>1407</v>
      </c>
      <c r="B447" s="2" t="s">
        <v>1408</v>
      </c>
      <c r="C447" s="2" t="s">
        <v>1409</v>
      </c>
      <c r="D447" s="2">
        <v>34362731.6</v>
      </c>
      <c r="E447" s="2">
        <v>1</v>
      </c>
      <c r="F447" s="3">
        <f>IF(COUNT(D447,E447)=2,D447*E447,NA())</f>
        <v>34362731.6</v>
      </c>
      <c r="G447" s="2" t="s">
        <v>50</v>
      </c>
      <c r="H447" s="2" t="s">
        <v>51</v>
      </c>
      <c r="I447" s="2" t="s">
        <v>52</v>
      </c>
      <c r="J447" s="2" t="s">
        <v>53</v>
      </c>
      <c r="K447" s="2" t="s">
        <v>391</v>
      </c>
      <c r="L447" s="2" t="s">
        <v>54</v>
      </c>
      <c r="M447" s="2" t="s">
        <v>392</v>
      </c>
      <c r="N447" s="2" t="s">
        <v>56</v>
      </c>
      <c r="O447" s="2" t="s">
        <v>57</v>
      </c>
      <c r="P447" s="2"/>
      <c r="Q447" s="2" t="s">
        <v>1410</v>
      </c>
      <c r="R447" s="2"/>
    </row>
    <row r="448" spans="1:18">
      <c r="A448" s="2" t="s">
        <v>1411</v>
      </c>
      <c r="B448" s="2" t="s">
        <v>1412</v>
      </c>
      <c r="C448" s="2" t="s">
        <v>1409</v>
      </c>
      <c r="D448" s="2">
        <v>-9770772.92</v>
      </c>
      <c r="E448" s="2">
        <v>1</v>
      </c>
      <c r="F448" s="3">
        <f>IF(COUNT(D448,E448)=2,D448*E448,NA())</f>
        <v>-9770772.92</v>
      </c>
      <c r="G448" s="2" t="s">
        <v>50</v>
      </c>
      <c r="H448" s="2" t="s">
        <v>51</v>
      </c>
      <c r="I448" s="2" t="s">
        <v>52</v>
      </c>
      <c r="J448" s="2" t="s">
        <v>53</v>
      </c>
      <c r="K448" s="2" t="s">
        <v>391</v>
      </c>
      <c r="L448" s="2" t="s">
        <v>54</v>
      </c>
      <c r="M448" s="2" t="s">
        <v>392</v>
      </c>
      <c r="N448" s="2" t="s">
        <v>56</v>
      </c>
      <c r="O448" s="2" t="s">
        <v>57</v>
      </c>
      <c r="P448" s="2" t="s">
        <v>1391</v>
      </c>
      <c r="Q448" s="2" t="s">
        <v>1410</v>
      </c>
      <c r="R448" s="2"/>
    </row>
    <row r="449" spans="1:18">
      <c r="A449" s="2" t="s">
        <v>1413</v>
      </c>
      <c r="B449" s="2" t="s">
        <v>1414</v>
      </c>
      <c r="C449" s="2" t="s">
        <v>1409</v>
      </c>
      <c r="D449" s="2">
        <v>24591958.68</v>
      </c>
      <c r="E449" s="2">
        <v>1</v>
      </c>
      <c r="F449" s="3">
        <f>IF(COUNT(D449,E449)=2,D449*E449,NA())</f>
        <v>24591958.68</v>
      </c>
      <c r="G449" s="2" t="s">
        <v>50</v>
      </c>
      <c r="H449" s="2" t="s">
        <v>51</v>
      </c>
      <c r="I449" s="2" t="s">
        <v>52</v>
      </c>
      <c r="J449" s="2" t="s">
        <v>53</v>
      </c>
      <c r="K449" s="2" t="s">
        <v>391</v>
      </c>
      <c r="L449" s="2" t="s">
        <v>54</v>
      </c>
      <c r="M449" s="2" t="s">
        <v>392</v>
      </c>
      <c r="N449" s="2" t="s">
        <v>56</v>
      </c>
      <c r="O449" s="2" t="s">
        <v>57</v>
      </c>
      <c r="P449" s="2"/>
      <c r="Q449" s="2" t="s">
        <v>1410</v>
      </c>
      <c r="R449" s="2"/>
    </row>
    <row r="450" spans="1:18">
      <c r="A450" s="2" t="s">
        <v>1415</v>
      </c>
      <c r="B450" s="2" t="s">
        <v>1416</v>
      </c>
      <c r="C450" s="2" t="s">
        <v>1409</v>
      </c>
      <c r="D450" s="2">
        <v>-51544097.4</v>
      </c>
      <c r="E450" s="2">
        <v>1</v>
      </c>
      <c r="F450" s="3">
        <f>IF(COUNT(D450,E450)=2,D450*E450,NA())</f>
        <v>-51544097.4</v>
      </c>
      <c r="G450" s="2" t="s">
        <v>50</v>
      </c>
      <c r="H450" s="2" t="s">
        <v>51</v>
      </c>
      <c r="I450" s="2" t="s">
        <v>52</v>
      </c>
      <c r="J450" s="2" t="s">
        <v>53</v>
      </c>
      <c r="K450" s="2" t="s">
        <v>391</v>
      </c>
      <c r="L450" s="2" t="s">
        <v>54</v>
      </c>
      <c r="M450" s="2" t="s">
        <v>392</v>
      </c>
      <c r="N450" s="2" t="s">
        <v>56</v>
      </c>
      <c r="O450" s="2" t="s">
        <v>57</v>
      </c>
      <c r="P450" s="2" t="s">
        <v>1391</v>
      </c>
      <c r="Q450" s="2" t="s">
        <v>1417</v>
      </c>
      <c r="R450" s="2"/>
    </row>
    <row r="451" spans="1:18">
      <c r="A451" s="2" t="s">
        <v>1418</v>
      </c>
      <c r="B451" s="2" t="s">
        <v>1419</v>
      </c>
      <c r="C451" s="2" t="s">
        <v>1018</v>
      </c>
      <c r="D451" s="2">
        <v>-77794290.90000001</v>
      </c>
      <c r="E451" s="2">
        <v>1</v>
      </c>
      <c r="F451" s="3">
        <f>IF(COUNT(D451,E451)=2,D451*E451,NA())</f>
        <v>-77794290.9</v>
      </c>
      <c r="G451" s="2" t="s">
        <v>50</v>
      </c>
      <c r="H451" s="2" t="s">
        <v>51</v>
      </c>
      <c r="I451" s="2" t="s">
        <v>52</v>
      </c>
      <c r="J451" s="2" t="s">
        <v>53</v>
      </c>
      <c r="K451" s="2" t="s">
        <v>391</v>
      </c>
      <c r="L451" s="2" t="s">
        <v>54</v>
      </c>
      <c r="M451" s="2" t="s">
        <v>392</v>
      </c>
      <c r="N451" s="2" t="s">
        <v>56</v>
      </c>
      <c r="O451" s="2" t="s">
        <v>57</v>
      </c>
      <c r="P451" s="2" t="s">
        <v>1391</v>
      </c>
      <c r="Q451" s="2" t="s">
        <v>1420</v>
      </c>
      <c r="R451" s="2"/>
    </row>
    <row r="452" spans="1:18">
      <c r="A452" s="2" t="s">
        <v>1421</v>
      </c>
      <c r="B452" s="2" t="s">
        <v>1422</v>
      </c>
      <c r="C452" s="2" t="s">
        <v>1018</v>
      </c>
      <c r="D452" s="2">
        <v>55831108.7</v>
      </c>
      <c r="E452" s="2">
        <v>1</v>
      </c>
      <c r="F452" s="3">
        <f>IF(COUNT(D452,E452)=2,D452*E452,NA())</f>
        <v>55831108.7</v>
      </c>
      <c r="G452" s="2" t="s">
        <v>50</v>
      </c>
      <c r="H452" s="2" t="s">
        <v>51</v>
      </c>
      <c r="I452" s="2" t="s">
        <v>52</v>
      </c>
      <c r="J452" s="2" t="s">
        <v>53</v>
      </c>
      <c r="K452" s="2"/>
      <c r="L452" s="2" t="s">
        <v>54</v>
      </c>
      <c r="M452" s="2" t="s">
        <v>55</v>
      </c>
      <c r="N452" s="2" t="s">
        <v>56</v>
      </c>
      <c r="O452" s="2" t="s">
        <v>57</v>
      </c>
      <c r="P452" s="2"/>
      <c r="Q452" s="2" t="s">
        <v>1423</v>
      </c>
      <c r="R452" s="2"/>
    </row>
    <row r="453" spans="1:18">
      <c r="A453" s="2" t="s">
        <v>1424</v>
      </c>
      <c r="B453" s="2" t="s">
        <v>1425</v>
      </c>
      <c r="C453" s="2" t="s">
        <v>1018</v>
      </c>
      <c r="D453" s="2">
        <v>41316043.48</v>
      </c>
      <c r="E453" s="2">
        <v>1</v>
      </c>
      <c r="F453" s="3">
        <f>IF(COUNT(D453,E453)=2,D453*E453,NA())</f>
        <v>41316043.48</v>
      </c>
      <c r="G453" s="2" t="s">
        <v>50</v>
      </c>
      <c r="H453" s="2" t="s">
        <v>51</v>
      </c>
      <c r="I453" s="2" t="s">
        <v>52</v>
      </c>
      <c r="J453" s="2" t="s">
        <v>53</v>
      </c>
      <c r="K453" s="2"/>
      <c r="L453" s="2" t="s">
        <v>54</v>
      </c>
      <c r="M453" s="2" t="s">
        <v>55</v>
      </c>
      <c r="N453" s="2" t="s">
        <v>56</v>
      </c>
      <c r="O453" s="2" t="s">
        <v>57</v>
      </c>
      <c r="P453" s="2"/>
      <c r="Q453" s="2" t="s">
        <v>1423</v>
      </c>
      <c r="R453" s="2"/>
    </row>
    <row r="454" spans="1:18">
      <c r="A454" s="2" t="s">
        <v>1426</v>
      </c>
      <c r="B454" s="2" t="s">
        <v>1427</v>
      </c>
      <c r="C454" s="2" t="s">
        <v>1018</v>
      </c>
      <c r="D454" s="2">
        <v>126340081.27</v>
      </c>
      <c r="E454" s="2">
        <v>1</v>
      </c>
      <c r="F454" s="3">
        <f>IF(COUNT(D454,E454)=2,D454*E454,NA())</f>
        <v>126340081.27</v>
      </c>
      <c r="G454" s="2" t="s">
        <v>50</v>
      </c>
      <c r="H454" s="2" t="s">
        <v>51</v>
      </c>
      <c r="I454" s="2" t="s">
        <v>52</v>
      </c>
      <c r="J454" s="2" t="s">
        <v>53</v>
      </c>
      <c r="K454" s="2" t="s">
        <v>391</v>
      </c>
      <c r="L454" s="2" t="s">
        <v>54</v>
      </c>
      <c r="M454" s="2" t="s">
        <v>392</v>
      </c>
      <c r="N454" s="2" t="s">
        <v>56</v>
      </c>
      <c r="O454" s="2" t="s">
        <v>57</v>
      </c>
      <c r="P454" s="2"/>
      <c r="Q454" s="2" t="s">
        <v>159</v>
      </c>
      <c r="R454" s="2"/>
    </row>
    <row r="455" spans="1:18">
      <c r="A455" s="2" t="s">
        <v>1428</v>
      </c>
      <c r="B455" s="2" t="s">
        <v>1429</v>
      </c>
      <c r="C455" s="2" t="s">
        <v>1018</v>
      </c>
      <c r="D455" s="2">
        <v>70314691.91</v>
      </c>
      <c r="E455" s="2">
        <v>1</v>
      </c>
      <c r="F455" s="3">
        <f>IF(COUNT(D455,E455)=2,D455*E455,NA())</f>
        <v>70314691.91</v>
      </c>
      <c r="G455" s="2" t="s">
        <v>50</v>
      </c>
      <c r="H455" s="2" t="s">
        <v>51</v>
      </c>
      <c r="I455" s="2" t="s">
        <v>52</v>
      </c>
      <c r="J455" s="2" t="s">
        <v>53</v>
      </c>
      <c r="K455" s="2" t="s">
        <v>391</v>
      </c>
      <c r="L455" s="2" t="s">
        <v>54</v>
      </c>
      <c r="M455" s="2" t="s">
        <v>392</v>
      </c>
      <c r="N455" s="2" t="s">
        <v>56</v>
      </c>
      <c r="O455" s="2" t="s">
        <v>57</v>
      </c>
      <c r="P455" s="2"/>
      <c r="Q455" s="2" t="s">
        <v>159</v>
      </c>
      <c r="R455" s="2"/>
    </row>
    <row r="456" spans="1:18">
      <c r="A456" s="2" t="s">
        <v>1430</v>
      </c>
      <c r="B456" s="2" t="s">
        <v>1431</v>
      </c>
      <c r="C456" s="2" t="s">
        <v>1018</v>
      </c>
      <c r="D456" s="2">
        <v>247698644.53</v>
      </c>
      <c r="E456" s="2">
        <v>1</v>
      </c>
      <c r="F456" s="3">
        <f>IF(COUNT(D456,E456)=2,D456*E456,NA())</f>
        <v>247698644.53</v>
      </c>
      <c r="G456" s="2" t="s">
        <v>50</v>
      </c>
      <c r="H456" s="2" t="s">
        <v>51</v>
      </c>
      <c r="I456" s="2" t="s">
        <v>52</v>
      </c>
      <c r="J456" s="2" t="s">
        <v>53</v>
      </c>
      <c r="K456" s="2" t="s">
        <v>391</v>
      </c>
      <c r="L456" s="2" t="s">
        <v>54</v>
      </c>
      <c r="M456" s="2" t="s">
        <v>392</v>
      </c>
      <c r="N456" s="2" t="s">
        <v>56</v>
      </c>
      <c r="O456" s="2" t="s">
        <v>57</v>
      </c>
      <c r="P456" s="2"/>
      <c r="Q456" s="2" t="s">
        <v>159</v>
      </c>
      <c r="R456" s="2"/>
    </row>
    <row r="457" spans="1:18">
      <c r="A457" s="2" t="s">
        <v>1432</v>
      </c>
      <c r="B457" s="2" t="s">
        <v>1433</v>
      </c>
      <c r="C457" s="2" t="s">
        <v>1018</v>
      </c>
      <c r="D457" s="2">
        <v>37562694.9</v>
      </c>
      <c r="E457" s="2">
        <v>1</v>
      </c>
      <c r="F457" s="3">
        <f>IF(COUNT(D457,E457)=2,D457*E457,NA())</f>
        <v>37562694.9</v>
      </c>
      <c r="G457" s="2" t="s">
        <v>50</v>
      </c>
      <c r="H457" s="2" t="s">
        <v>51</v>
      </c>
      <c r="I457" s="2" t="s">
        <v>52</v>
      </c>
      <c r="J457" s="2" t="s">
        <v>53</v>
      </c>
      <c r="K457" s="2" t="s">
        <v>391</v>
      </c>
      <c r="L457" s="2" t="s">
        <v>54</v>
      </c>
      <c r="M457" s="2" t="s">
        <v>392</v>
      </c>
      <c r="N457" s="2" t="s">
        <v>56</v>
      </c>
      <c r="O457" s="2" t="s">
        <v>57</v>
      </c>
      <c r="P457" s="2"/>
      <c r="Q457" s="2" t="s">
        <v>1434</v>
      </c>
      <c r="R457" s="2"/>
    </row>
    <row r="458" spans="1:18">
      <c r="A458" s="2" t="s">
        <v>1435</v>
      </c>
      <c r="B458" s="2" t="s">
        <v>1436</v>
      </c>
      <c r="C458" s="2" t="s">
        <v>1018</v>
      </c>
      <c r="D458" s="2">
        <v>38661757.52</v>
      </c>
      <c r="E458" s="2">
        <v>1</v>
      </c>
      <c r="F458" s="3">
        <f>IF(COUNT(D458,E458)=2,D458*E458,NA())</f>
        <v>38661757.52</v>
      </c>
      <c r="G458" s="2" t="s">
        <v>50</v>
      </c>
      <c r="H458" s="2" t="s">
        <v>51</v>
      </c>
      <c r="I458" s="2" t="s">
        <v>52</v>
      </c>
      <c r="J458" s="2" t="s">
        <v>53</v>
      </c>
      <c r="K458" s="2" t="s">
        <v>391</v>
      </c>
      <c r="L458" s="2" t="s">
        <v>54</v>
      </c>
      <c r="M458" s="2" t="s">
        <v>392</v>
      </c>
      <c r="N458" s="2" t="s">
        <v>56</v>
      </c>
      <c r="O458" s="2" t="s">
        <v>57</v>
      </c>
      <c r="P458" s="2"/>
      <c r="Q458" s="2" t="s">
        <v>1437</v>
      </c>
      <c r="R458" s="2"/>
    </row>
    <row r="459" spans="1:18">
      <c r="A459" s="2" t="s">
        <v>1438</v>
      </c>
      <c r="B459" s="2" t="s">
        <v>1439</v>
      </c>
      <c r="C459" s="2" t="s">
        <v>1018</v>
      </c>
      <c r="D459" s="2">
        <v>952999.95</v>
      </c>
      <c r="E459" s="2">
        <v>1</v>
      </c>
      <c r="F459" s="3">
        <f>IF(COUNT(D459,E459)=2,D459*E459,NA())</f>
        <v>952999.95</v>
      </c>
      <c r="G459" s="2" t="s">
        <v>50</v>
      </c>
      <c r="H459" s="2" t="s">
        <v>51</v>
      </c>
      <c r="I459" s="2" t="s">
        <v>52</v>
      </c>
      <c r="J459" s="2" t="s">
        <v>53</v>
      </c>
      <c r="K459" s="2" t="s">
        <v>391</v>
      </c>
      <c r="L459" s="2" t="s">
        <v>54</v>
      </c>
      <c r="M459" s="2" t="s">
        <v>392</v>
      </c>
      <c r="N459" s="2" t="s">
        <v>56</v>
      </c>
      <c r="O459" s="2" t="s">
        <v>57</v>
      </c>
      <c r="P459" s="2"/>
      <c r="Q459" s="2" t="s">
        <v>1437</v>
      </c>
      <c r="R459" s="2"/>
    </row>
    <row r="460" spans="1:18">
      <c r="A460" s="2" t="s">
        <v>1440</v>
      </c>
      <c r="B460" s="2" t="s">
        <v>1441</v>
      </c>
      <c r="C460" s="2" t="s">
        <v>1018</v>
      </c>
      <c r="D460" s="2">
        <v>4078266.43</v>
      </c>
      <c r="E460" s="2">
        <v>1</v>
      </c>
      <c r="F460" s="3">
        <f>IF(COUNT(D460,E460)=2,D460*E460,NA())</f>
        <v>4078266.43</v>
      </c>
      <c r="G460" s="2" t="s">
        <v>50</v>
      </c>
      <c r="H460" s="2" t="s">
        <v>51</v>
      </c>
      <c r="I460" s="2" t="s">
        <v>52</v>
      </c>
      <c r="J460" s="2" t="s">
        <v>53</v>
      </c>
      <c r="K460" s="2" t="s">
        <v>391</v>
      </c>
      <c r="L460" s="2" t="s">
        <v>54</v>
      </c>
      <c r="M460" s="2" t="s">
        <v>392</v>
      </c>
      <c r="N460" s="2" t="s">
        <v>56</v>
      </c>
      <c r="O460" s="2" t="s">
        <v>57</v>
      </c>
      <c r="P460" s="2"/>
      <c r="Q460" s="2" t="s">
        <v>1437</v>
      </c>
      <c r="R460" s="2"/>
    </row>
    <row r="461" spans="1:18">
      <c r="A461" s="2" t="s">
        <v>1442</v>
      </c>
      <c r="B461" s="2" t="s">
        <v>1443</v>
      </c>
      <c r="C461" s="2" t="s">
        <v>1018</v>
      </c>
      <c r="D461" s="2">
        <v>11958022.4</v>
      </c>
      <c r="E461" s="2">
        <v>1</v>
      </c>
      <c r="F461" s="3">
        <f>IF(COUNT(D461,E461)=2,D461*E461,NA())</f>
        <v>11958022.4</v>
      </c>
      <c r="G461" s="2" t="s">
        <v>50</v>
      </c>
      <c r="H461" s="2" t="s">
        <v>51</v>
      </c>
      <c r="I461" s="2" t="s">
        <v>52</v>
      </c>
      <c r="J461" s="2" t="s">
        <v>53</v>
      </c>
      <c r="K461" s="2"/>
      <c r="L461" s="2" t="s">
        <v>61</v>
      </c>
      <c r="M461" s="2" t="s">
        <v>55</v>
      </c>
      <c r="N461" s="2" t="s">
        <v>62</v>
      </c>
      <c r="O461" s="2" t="s">
        <v>57</v>
      </c>
      <c r="P461" s="2"/>
      <c r="Q461" s="2" t="s">
        <v>1444</v>
      </c>
      <c r="R461" s="2"/>
    </row>
    <row r="462" spans="1:18">
      <c r="A462" s="2" t="s">
        <v>1445</v>
      </c>
      <c r="B462" s="2" t="s">
        <v>1446</v>
      </c>
      <c r="C462" s="2" t="s">
        <v>1018</v>
      </c>
      <c r="D462" s="2">
        <v>32220359.54</v>
      </c>
      <c r="E462" s="2">
        <v>1</v>
      </c>
      <c r="F462" s="3">
        <f>IF(COUNT(D462,E462)=2,D462*E462,NA())</f>
        <v>32220359.54</v>
      </c>
      <c r="G462" s="2" t="s">
        <v>50</v>
      </c>
      <c r="H462" s="2" t="s">
        <v>51</v>
      </c>
      <c r="I462" s="2" t="s">
        <v>52</v>
      </c>
      <c r="J462" s="2" t="s">
        <v>53</v>
      </c>
      <c r="K462" s="2" t="s">
        <v>391</v>
      </c>
      <c r="L462" s="2" t="s">
        <v>54</v>
      </c>
      <c r="M462" s="2" t="s">
        <v>392</v>
      </c>
      <c r="N462" s="2" t="s">
        <v>56</v>
      </c>
      <c r="O462" s="2" t="s">
        <v>57</v>
      </c>
      <c r="P462" s="2"/>
      <c r="Q462" s="2" t="s">
        <v>1444</v>
      </c>
      <c r="R462" s="2"/>
    </row>
    <row r="463" spans="1:18">
      <c r="A463" s="2" t="s">
        <v>1447</v>
      </c>
      <c r="B463" s="2" t="s">
        <v>1448</v>
      </c>
      <c r="C463" s="2" t="s">
        <v>1018</v>
      </c>
      <c r="D463" s="2">
        <v>12852572.76</v>
      </c>
      <c r="E463" s="2">
        <v>1</v>
      </c>
      <c r="F463" s="3">
        <f>IF(COUNT(D463,E463)=2,D463*E463,NA())</f>
        <v>12852572.76</v>
      </c>
      <c r="G463" s="2" t="s">
        <v>50</v>
      </c>
      <c r="H463" s="2" t="s">
        <v>51</v>
      </c>
      <c r="I463" s="2" t="s">
        <v>52</v>
      </c>
      <c r="J463" s="2" t="s">
        <v>53</v>
      </c>
      <c r="K463" s="2" t="s">
        <v>391</v>
      </c>
      <c r="L463" s="2" t="s">
        <v>54</v>
      </c>
      <c r="M463" s="2" t="s">
        <v>392</v>
      </c>
      <c r="N463" s="2" t="s">
        <v>56</v>
      </c>
      <c r="O463" s="2" t="s">
        <v>57</v>
      </c>
      <c r="P463" s="2"/>
      <c r="Q463" s="2" t="s">
        <v>1444</v>
      </c>
      <c r="R463" s="2"/>
    </row>
    <row r="464" spans="1:18">
      <c r="A464" s="2" t="s">
        <v>1449</v>
      </c>
      <c r="B464" s="2" t="s">
        <v>1450</v>
      </c>
      <c r="C464" s="2" t="s">
        <v>1018</v>
      </c>
      <c r="D464" s="2">
        <v>44178381.94</v>
      </c>
      <c r="E464" s="2">
        <v>1</v>
      </c>
      <c r="F464" s="3">
        <f>IF(COUNT(D464,E464)=2,D464*E464,NA())</f>
        <v>44178381.94</v>
      </c>
      <c r="G464" s="2" t="s">
        <v>50</v>
      </c>
      <c r="H464" s="2" t="s">
        <v>51</v>
      </c>
      <c r="I464" s="2" t="s">
        <v>52</v>
      </c>
      <c r="J464" s="2" t="s">
        <v>53</v>
      </c>
      <c r="K464" s="2"/>
      <c r="L464" s="2" t="s">
        <v>54</v>
      </c>
      <c r="M464" s="2" t="s">
        <v>55</v>
      </c>
      <c r="N464" s="2" t="s">
        <v>56</v>
      </c>
      <c r="O464" s="2" t="s">
        <v>57</v>
      </c>
      <c r="P464" s="2"/>
      <c r="Q464" s="2" t="s">
        <v>1444</v>
      </c>
      <c r="R464" s="2"/>
    </row>
    <row r="465" spans="1:18">
      <c r="A465" s="2" t="s">
        <v>1451</v>
      </c>
      <c r="B465" s="2" t="s">
        <v>1452</v>
      </c>
      <c r="C465" s="2" t="s">
        <v>1018</v>
      </c>
      <c r="D465" s="2">
        <v>17367201.99</v>
      </c>
      <c r="E465" s="2">
        <v>1</v>
      </c>
      <c r="F465" s="3">
        <f>IF(COUNT(D465,E465)=2,D465*E465,NA())</f>
        <v>17367201.99</v>
      </c>
      <c r="G465" s="2" t="s">
        <v>50</v>
      </c>
      <c r="H465" s="2" t="s">
        <v>51</v>
      </c>
      <c r="I465" s="2" t="s">
        <v>52</v>
      </c>
      <c r="J465" s="2" t="s">
        <v>53</v>
      </c>
      <c r="K465" s="2" t="s">
        <v>391</v>
      </c>
      <c r="L465" s="2" t="s">
        <v>54</v>
      </c>
      <c r="M465" s="2" t="s">
        <v>392</v>
      </c>
      <c r="N465" s="2" t="s">
        <v>56</v>
      </c>
      <c r="O465" s="2" t="s">
        <v>57</v>
      </c>
      <c r="P465" s="2"/>
      <c r="Q465" s="2" t="s">
        <v>1444</v>
      </c>
      <c r="R465" s="2"/>
    </row>
    <row r="466" spans="1:18">
      <c r="A466" s="2" t="s">
        <v>1453</v>
      </c>
      <c r="B466" s="2" t="s">
        <v>1454</v>
      </c>
      <c r="C466" s="2" t="s">
        <v>1455</v>
      </c>
      <c r="D466" s="2">
        <v>71461169.87</v>
      </c>
      <c r="E466" s="2">
        <v>1</v>
      </c>
      <c r="F466" s="3">
        <f>IF(COUNT(D466,E466)=2,D466*E466,NA())</f>
        <v>71461169.87</v>
      </c>
      <c r="G466" s="2" t="s">
        <v>50</v>
      </c>
      <c r="H466" s="2" t="s">
        <v>51</v>
      </c>
      <c r="I466" s="2" t="s">
        <v>52</v>
      </c>
      <c r="J466" s="2" t="s">
        <v>53</v>
      </c>
      <c r="K466" s="2"/>
      <c r="L466" s="2" t="s">
        <v>54</v>
      </c>
      <c r="M466" s="2" t="s">
        <v>55</v>
      </c>
      <c r="N466" s="2" t="s">
        <v>56</v>
      </c>
      <c r="O466" s="2" t="s">
        <v>57</v>
      </c>
      <c r="P466" s="2"/>
      <c r="Q466" s="2" t="s">
        <v>1456</v>
      </c>
      <c r="R466" s="2"/>
    </row>
    <row r="467" spans="1:18">
      <c r="A467" s="2" t="s">
        <v>1457</v>
      </c>
      <c r="B467" s="2" t="s">
        <v>1458</v>
      </c>
      <c r="C467" s="2" t="s">
        <v>1455</v>
      </c>
      <c r="D467" s="2">
        <v>442209585.98</v>
      </c>
      <c r="E467" s="2">
        <v>1</v>
      </c>
      <c r="F467" s="3">
        <f>IF(COUNT(D467,E467)=2,D467*E467,NA())</f>
        <v>442209585.98</v>
      </c>
      <c r="G467" s="2" t="s">
        <v>50</v>
      </c>
      <c r="H467" s="2" t="s">
        <v>51</v>
      </c>
      <c r="I467" s="2" t="s">
        <v>52</v>
      </c>
      <c r="J467" s="2" t="s">
        <v>53</v>
      </c>
      <c r="K467" s="2"/>
      <c r="L467" s="2" t="s">
        <v>54</v>
      </c>
      <c r="M467" s="2" t="s">
        <v>55</v>
      </c>
      <c r="N467" s="2" t="s">
        <v>56</v>
      </c>
      <c r="O467" s="2" t="s">
        <v>57</v>
      </c>
      <c r="P467" s="2"/>
      <c r="Q467" s="2" t="s">
        <v>1459</v>
      </c>
      <c r="R467" s="2"/>
    </row>
    <row r="468" spans="1:18">
      <c r="A468" s="2" t="s">
        <v>1460</v>
      </c>
      <c r="B468" s="2" t="s">
        <v>1461</v>
      </c>
      <c r="C468" s="2" t="s">
        <v>1455</v>
      </c>
      <c r="D468" s="2">
        <v>388464312.11</v>
      </c>
      <c r="E468" s="2">
        <v>1</v>
      </c>
      <c r="F468" s="3">
        <f>IF(COUNT(D468,E468)=2,D468*E468,NA())</f>
        <v>388464312.11</v>
      </c>
      <c r="G468" s="2" t="s">
        <v>50</v>
      </c>
      <c r="H468" s="2" t="s">
        <v>51</v>
      </c>
      <c r="I468" s="2" t="s">
        <v>52</v>
      </c>
      <c r="J468" s="2" t="s">
        <v>53</v>
      </c>
      <c r="K468" s="2"/>
      <c r="L468" s="2" t="s">
        <v>54</v>
      </c>
      <c r="M468" s="2" t="s">
        <v>55</v>
      </c>
      <c r="N468" s="2" t="s">
        <v>56</v>
      </c>
      <c r="O468" s="2" t="s">
        <v>57</v>
      </c>
      <c r="P468" s="2"/>
      <c r="Q468" s="2" t="s">
        <v>1462</v>
      </c>
      <c r="R468" s="2"/>
    </row>
    <row r="469" spans="1:18">
      <c r="A469" s="2" t="s">
        <v>1463</v>
      </c>
      <c r="B469" s="2" t="s">
        <v>1464</v>
      </c>
      <c r="C469" s="2" t="s">
        <v>1455</v>
      </c>
      <c r="D469" s="2">
        <v>58386629.64</v>
      </c>
      <c r="E469" s="2">
        <v>1</v>
      </c>
      <c r="F469" s="3">
        <f>IF(COUNT(D469,E469)=2,D469*E469,NA())</f>
        <v>58386629.64</v>
      </c>
      <c r="G469" s="2" t="s">
        <v>50</v>
      </c>
      <c r="H469" s="2" t="s">
        <v>51</v>
      </c>
      <c r="I469" s="2" t="s">
        <v>52</v>
      </c>
      <c r="J469" s="2" t="s">
        <v>53</v>
      </c>
      <c r="K469" s="2" t="s">
        <v>391</v>
      </c>
      <c r="L469" s="2" t="s">
        <v>54</v>
      </c>
      <c r="M469" s="2" t="s">
        <v>392</v>
      </c>
      <c r="N469" s="2" t="s">
        <v>56</v>
      </c>
      <c r="O469" s="2" t="s">
        <v>57</v>
      </c>
      <c r="P469" s="2"/>
      <c r="Q469" s="2" t="s">
        <v>1465</v>
      </c>
      <c r="R469" s="2"/>
    </row>
    <row r="470" spans="1:18">
      <c r="A470" s="2" t="s">
        <v>1466</v>
      </c>
      <c r="B470" s="2" t="s">
        <v>1467</v>
      </c>
      <c r="C470" s="2" t="s">
        <v>1455</v>
      </c>
      <c r="D470" s="2">
        <v>-102785620.65</v>
      </c>
      <c r="E470" s="2">
        <v>1</v>
      </c>
      <c r="F470" s="3">
        <f>IF(COUNT(D470,E470)=2,D470*E470,NA())</f>
        <v>-102785620.65</v>
      </c>
      <c r="G470" s="2" t="s">
        <v>50</v>
      </c>
      <c r="H470" s="2" t="s">
        <v>51</v>
      </c>
      <c r="I470" s="2" t="s">
        <v>52</v>
      </c>
      <c r="J470" s="2" t="s">
        <v>53</v>
      </c>
      <c r="K470" s="2" t="s">
        <v>391</v>
      </c>
      <c r="L470" s="2" t="s">
        <v>54</v>
      </c>
      <c r="M470" s="2" t="s">
        <v>392</v>
      </c>
      <c r="N470" s="2" t="s">
        <v>56</v>
      </c>
      <c r="O470" s="2" t="s">
        <v>57</v>
      </c>
      <c r="P470" s="2"/>
      <c r="Q470" s="2" t="s">
        <v>1468</v>
      </c>
      <c r="R470" s="2"/>
    </row>
    <row r="471" spans="1:18">
      <c r="A471" s="2" t="s">
        <v>1469</v>
      </c>
      <c r="B471" s="2" t="s">
        <v>1470</v>
      </c>
      <c r="C471" s="2" t="s">
        <v>817</v>
      </c>
      <c r="D471" s="2">
        <v>116935291.96</v>
      </c>
      <c r="E471" s="2">
        <v>1</v>
      </c>
      <c r="F471" s="3">
        <f>IF(COUNT(D471,E471)=2,D471*E471,NA())</f>
        <v>116935291.96</v>
      </c>
      <c r="G471" s="2" t="s">
        <v>50</v>
      </c>
      <c r="H471" s="2" t="s">
        <v>51</v>
      </c>
      <c r="I471" s="2" t="s">
        <v>52</v>
      </c>
      <c r="J471" s="2" t="s">
        <v>53</v>
      </c>
      <c r="K471" s="2"/>
      <c r="L471" s="2" t="s">
        <v>54</v>
      </c>
      <c r="M471" s="2" t="s">
        <v>55</v>
      </c>
      <c r="N471" s="2" t="s">
        <v>56</v>
      </c>
      <c r="O471" s="2" t="s">
        <v>57</v>
      </c>
      <c r="P471" s="2"/>
      <c r="Q471" s="2" t="s">
        <v>1471</v>
      </c>
      <c r="R471" s="2"/>
    </row>
    <row r="472" spans="1:18">
      <c r="A472" s="2" t="s">
        <v>1472</v>
      </c>
      <c r="B472" s="2" t="s">
        <v>1473</v>
      </c>
      <c r="C472" s="2" t="s">
        <v>817</v>
      </c>
      <c r="D472" s="2">
        <v>15685984.48</v>
      </c>
      <c r="E472" s="2">
        <v>1</v>
      </c>
      <c r="F472" s="3">
        <f>IF(COUNT(D472,E472)=2,D472*E472,NA())</f>
        <v>15685984.48</v>
      </c>
      <c r="G472" s="2" t="s">
        <v>50</v>
      </c>
      <c r="H472" s="2" t="s">
        <v>51</v>
      </c>
      <c r="I472" s="2" t="s">
        <v>52</v>
      </c>
      <c r="J472" s="2" t="s">
        <v>53</v>
      </c>
      <c r="K472" s="2" t="s">
        <v>391</v>
      </c>
      <c r="L472" s="2" t="s">
        <v>54</v>
      </c>
      <c r="M472" s="2" t="s">
        <v>392</v>
      </c>
      <c r="N472" s="2" t="s">
        <v>56</v>
      </c>
      <c r="O472" s="2" t="s">
        <v>57</v>
      </c>
      <c r="P472" s="2"/>
      <c r="Q472" s="2" t="s">
        <v>1474</v>
      </c>
      <c r="R472" s="2"/>
    </row>
    <row r="473" spans="1:18">
      <c r="A473" s="2" t="s">
        <v>1475</v>
      </c>
      <c r="B473" s="2" t="s">
        <v>1476</v>
      </c>
      <c r="C473" s="2" t="s">
        <v>817</v>
      </c>
      <c r="D473" s="2">
        <v>65658391.23</v>
      </c>
      <c r="E473" s="2">
        <v>1</v>
      </c>
      <c r="F473" s="3">
        <f>IF(COUNT(D473,E473)=2,D473*E473,NA())</f>
        <v>65658391.23</v>
      </c>
      <c r="G473" s="2" t="s">
        <v>50</v>
      </c>
      <c r="H473" s="2" t="s">
        <v>51</v>
      </c>
      <c r="I473" s="2" t="s">
        <v>52</v>
      </c>
      <c r="J473" s="2" t="s">
        <v>53</v>
      </c>
      <c r="K473" s="2" t="s">
        <v>391</v>
      </c>
      <c r="L473" s="2" t="s">
        <v>54</v>
      </c>
      <c r="M473" s="2" t="s">
        <v>392</v>
      </c>
      <c r="N473" s="2" t="s">
        <v>56</v>
      </c>
      <c r="O473" s="2" t="s">
        <v>57</v>
      </c>
      <c r="P473" s="2"/>
      <c r="Q473" s="2" t="s">
        <v>1474</v>
      </c>
      <c r="R473" s="2"/>
    </row>
    <row r="474" spans="1:18">
      <c r="A474" s="2" t="s">
        <v>1477</v>
      </c>
      <c r="B474" s="2" t="s">
        <v>1478</v>
      </c>
      <c r="C474" s="2" t="s">
        <v>817</v>
      </c>
      <c r="D474" s="2">
        <v>10989198.5</v>
      </c>
      <c r="E474" s="2">
        <v>1</v>
      </c>
      <c r="F474" s="3">
        <f>IF(COUNT(D474,E474)=2,D474*E474,NA())</f>
        <v>10989198.5</v>
      </c>
      <c r="G474" s="2" t="s">
        <v>50</v>
      </c>
      <c r="H474" s="2" t="s">
        <v>51</v>
      </c>
      <c r="I474" s="2" t="s">
        <v>52</v>
      </c>
      <c r="J474" s="2" t="s">
        <v>53</v>
      </c>
      <c r="K474" s="2" t="s">
        <v>391</v>
      </c>
      <c r="L474" s="2" t="s">
        <v>54</v>
      </c>
      <c r="M474" s="2" t="s">
        <v>392</v>
      </c>
      <c r="N474" s="2" t="s">
        <v>56</v>
      </c>
      <c r="O474" s="2" t="s">
        <v>57</v>
      </c>
      <c r="P474" s="2"/>
      <c r="Q474" s="2" t="s">
        <v>1474</v>
      </c>
      <c r="R474" s="2"/>
    </row>
    <row r="475" spans="1:18">
      <c r="A475" s="2" t="s">
        <v>1479</v>
      </c>
      <c r="B475" s="2" t="s">
        <v>1480</v>
      </c>
      <c r="C475" s="2" t="s">
        <v>817</v>
      </c>
      <c r="D475" s="2">
        <v>17700</v>
      </c>
      <c r="E475" s="2">
        <v>1</v>
      </c>
      <c r="F475" s="3">
        <f>IF(COUNT(D475,E475)=2,D475*E475,NA())</f>
        <v>17700.0</v>
      </c>
      <c r="G475" s="2" t="s">
        <v>50</v>
      </c>
      <c r="H475" s="2" t="s">
        <v>51</v>
      </c>
      <c r="I475" s="2" t="s">
        <v>52</v>
      </c>
      <c r="J475" s="2" t="s">
        <v>53</v>
      </c>
      <c r="K475" s="2" t="s">
        <v>391</v>
      </c>
      <c r="L475" s="2" t="s">
        <v>54</v>
      </c>
      <c r="M475" s="2" t="s">
        <v>392</v>
      </c>
      <c r="N475" s="2" t="s">
        <v>56</v>
      </c>
      <c r="O475" s="2" t="s">
        <v>57</v>
      </c>
      <c r="P475" s="2"/>
      <c r="Q475" s="2" t="s">
        <v>1474</v>
      </c>
      <c r="R475" s="2"/>
    </row>
    <row r="476" spans="1:18">
      <c r="A476" s="2" t="s">
        <v>1481</v>
      </c>
      <c r="B476" s="2" t="s">
        <v>1482</v>
      </c>
      <c r="C476" s="2" t="s">
        <v>1286</v>
      </c>
      <c r="D476" s="2">
        <v>1409666064.06</v>
      </c>
      <c r="E476" s="2">
        <v>1</v>
      </c>
      <c r="F476" s="3">
        <f>IF(COUNT(D476,E476)=2,D476*E476,NA())</f>
        <v>1409666064.06</v>
      </c>
      <c r="G476" s="2" t="s">
        <v>50</v>
      </c>
      <c r="H476" s="2" t="s">
        <v>51</v>
      </c>
      <c r="I476" s="2" t="s">
        <v>52</v>
      </c>
      <c r="J476" s="2" t="s">
        <v>53</v>
      </c>
      <c r="K476" s="2" t="s">
        <v>391</v>
      </c>
      <c r="L476" s="2" t="s">
        <v>54</v>
      </c>
      <c r="M476" s="2" t="s">
        <v>392</v>
      </c>
      <c r="N476" s="2" t="s">
        <v>56</v>
      </c>
      <c r="O476" s="2" t="s">
        <v>57</v>
      </c>
      <c r="P476" s="2"/>
      <c r="Q476" s="2" t="s">
        <v>1483</v>
      </c>
      <c r="R476" s="2"/>
    </row>
    <row r="477" spans="1:18">
      <c r="A477" s="2" t="s">
        <v>1484</v>
      </c>
      <c r="B477" s="2" t="s">
        <v>1485</v>
      </c>
      <c r="C477" s="2" t="s">
        <v>1286</v>
      </c>
      <c r="D477" s="2">
        <v>1799463983.77</v>
      </c>
      <c r="E477" s="2">
        <v>1</v>
      </c>
      <c r="F477" s="3">
        <f>IF(COUNT(D477,E477)=2,D477*E477,NA())</f>
        <v>1799463983.77</v>
      </c>
      <c r="G477" s="2" t="s">
        <v>50</v>
      </c>
      <c r="H477" s="2" t="s">
        <v>51</v>
      </c>
      <c r="I477" s="2" t="s">
        <v>52</v>
      </c>
      <c r="J477" s="2" t="s">
        <v>53</v>
      </c>
      <c r="K477" s="2" t="s">
        <v>391</v>
      </c>
      <c r="L477" s="2" t="s">
        <v>54</v>
      </c>
      <c r="M477" s="2" t="s">
        <v>392</v>
      </c>
      <c r="N477" s="2" t="s">
        <v>56</v>
      </c>
      <c r="O477" s="2" t="s">
        <v>57</v>
      </c>
      <c r="P477" s="2"/>
      <c r="Q477" s="2" t="s">
        <v>1483</v>
      </c>
      <c r="R477" s="2"/>
    </row>
    <row r="478" spans="1:18">
      <c r="A478" s="2" t="s">
        <v>1486</v>
      </c>
      <c r="B478" s="2" t="s">
        <v>1487</v>
      </c>
      <c r="C478" s="2" t="s">
        <v>1286</v>
      </c>
      <c r="D478" s="2">
        <v>320858612.1</v>
      </c>
      <c r="E478" s="2">
        <v>1</v>
      </c>
      <c r="F478" s="3">
        <f>IF(COUNT(D478,E478)=2,D478*E478,NA())</f>
        <v>320858612.1</v>
      </c>
      <c r="G478" s="2" t="s">
        <v>50</v>
      </c>
      <c r="H478" s="2" t="s">
        <v>51</v>
      </c>
      <c r="I478" s="2" t="s">
        <v>52</v>
      </c>
      <c r="J478" s="2" t="s">
        <v>53</v>
      </c>
      <c r="K478" s="2" t="s">
        <v>391</v>
      </c>
      <c r="L478" s="2" t="s">
        <v>54</v>
      </c>
      <c r="M478" s="2" t="s">
        <v>392</v>
      </c>
      <c r="N478" s="2" t="s">
        <v>56</v>
      </c>
      <c r="O478" s="2" t="s">
        <v>57</v>
      </c>
      <c r="P478" s="2"/>
      <c r="Q478" s="2" t="s">
        <v>1483</v>
      </c>
      <c r="R478" s="2"/>
    </row>
    <row r="479" spans="1:18">
      <c r="A479" s="2" t="s">
        <v>1488</v>
      </c>
      <c r="B479" s="2" t="s">
        <v>1489</v>
      </c>
      <c r="C479" s="2" t="s">
        <v>1261</v>
      </c>
      <c r="D479" s="2">
        <v>282606832.53</v>
      </c>
      <c r="E479" s="2">
        <v>1</v>
      </c>
      <c r="F479" s="3">
        <f>IF(COUNT(D479,E479)=2,D479*E479,NA())</f>
        <v>282606832.53</v>
      </c>
      <c r="G479" s="2" t="s">
        <v>50</v>
      </c>
      <c r="H479" s="2" t="s">
        <v>51</v>
      </c>
      <c r="I479" s="2" t="s">
        <v>52</v>
      </c>
      <c r="J479" s="2" t="s">
        <v>53</v>
      </c>
      <c r="K479" s="2" t="s">
        <v>391</v>
      </c>
      <c r="L479" s="2" t="s">
        <v>54</v>
      </c>
      <c r="M479" s="2" t="s">
        <v>392</v>
      </c>
      <c r="N479" s="2" t="s">
        <v>56</v>
      </c>
      <c r="O479" s="2" t="s">
        <v>57</v>
      </c>
      <c r="P479" s="2"/>
      <c r="Q479" s="2" t="s">
        <v>1490</v>
      </c>
      <c r="R479" s="2"/>
    </row>
    <row r="480" spans="1:18">
      <c r="A480" s="2" t="s">
        <v>1491</v>
      </c>
      <c r="B480" s="2" t="s">
        <v>1492</v>
      </c>
      <c r="C480" s="2" t="s">
        <v>1401</v>
      </c>
      <c r="D480" s="2">
        <v>160840702.47</v>
      </c>
      <c r="E480" s="2">
        <v>1</v>
      </c>
      <c r="F480" s="3">
        <f>IF(COUNT(D480,E480)=2,D480*E480,NA())</f>
        <v>160840702.47</v>
      </c>
      <c r="G480" s="2" t="s">
        <v>50</v>
      </c>
      <c r="H480" s="2" t="s">
        <v>51</v>
      </c>
      <c r="I480" s="2" t="s">
        <v>52</v>
      </c>
      <c r="J480" s="2" t="s">
        <v>53</v>
      </c>
      <c r="K480" s="2" t="s">
        <v>391</v>
      </c>
      <c r="L480" s="2" t="s">
        <v>54</v>
      </c>
      <c r="M480" s="2" t="s">
        <v>392</v>
      </c>
      <c r="N480" s="2" t="s">
        <v>56</v>
      </c>
      <c r="O480" s="2" t="s">
        <v>57</v>
      </c>
      <c r="P480" s="2"/>
      <c r="Q480" s="2" t="s">
        <v>1493</v>
      </c>
      <c r="R480" s="2"/>
    </row>
    <row r="481" spans="1:18">
      <c r="A481" s="2" t="s">
        <v>1494</v>
      </c>
      <c r="B481" s="2" t="s">
        <v>1495</v>
      </c>
      <c r="C481" s="2" t="s">
        <v>1496</v>
      </c>
      <c r="D481" s="2">
        <v>388489008</v>
      </c>
      <c r="E481" s="2">
        <v>1</v>
      </c>
      <c r="F481" s="3">
        <f>IF(COUNT(D481,E481)=2,D481*E481,NA())</f>
        <v>388489008.0</v>
      </c>
      <c r="G481" s="2" t="s">
        <v>50</v>
      </c>
      <c r="H481" s="2" t="s">
        <v>51</v>
      </c>
      <c r="I481" s="2" t="s">
        <v>52</v>
      </c>
      <c r="J481" s="2" t="s">
        <v>53</v>
      </c>
      <c r="K481" s="2" t="s">
        <v>391</v>
      </c>
      <c r="L481" s="2" t="s">
        <v>54</v>
      </c>
      <c r="M481" s="2" t="s">
        <v>392</v>
      </c>
      <c r="N481" s="2" t="s">
        <v>56</v>
      </c>
      <c r="O481" s="2" t="s">
        <v>57</v>
      </c>
      <c r="P481" s="2"/>
      <c r="Q481" s="2" t="s">
        <v>1497</v>
      </c>
      <c r="R481" s="2"/>
    </row>
    <row r="482" spans="1:18">
      <c r="A482" s="2" t="s">
        <v>1498</v>
      </c>
      <c r="B482" s="2" t="s">
        <v>1499</v>
      </c>
      <c r="C482" s="2" t="s">
        <v>1496</v>
      </c>
      <c r="D482" s="2">
        <v>3417565.63</v>
      </c>
      <c r="E482" s="2">
        <v>1</v>
      </c>
      <c r="F482" s="3">
        <f>IF(COUNT(D482,E482)=2,D482*E482,NA())</f>
        <v>3417565.63</v>
      </c>
      <c r="G482" s="2" t="s">
        <v>50</v>
      </c>
      <c r="H482" s="2" t="s">
        <v>51</v>
      </c>
      <c r="I482" s="2" t="s">
        <v>52</v>
      </c>
      <c r="J482" s="2" t="s">
        <v>53</v>
      </c>
      <c r="K482" s="2" t="s">
        <v>391</v>
      </c>
      <c r="L482" s="2" t="s">
        <v>54</v>
      </c>
      <c r="M482" s="2" t="s">
        <v>392</v>
      </c>
      <c r="N482" s="2" t="s">
        <v>56</v>
      </c>
      <c r="O482" s="2" t="s">
        <v>57</v>
      </c>
      <c r="P482" s="2"/>
      <c r="Q482" s="2" t="s">
        <v>385</v>
      </c>
      <c r="R482" s="2"/>
    </row>
    <row r="483" spans="1:18">
      <c r="A483" s="2" t="s">
        <v>1500</v>
      </c>
      <c r="B483" s="2" t="s">
        <v>1501</v>
      </c>
      <c r="C483" s="2" t="s">
        <v>1496</v>
      </c>
      <c r="D483" s="2">
        <v>16610469.58</v>
      </c>
      <c r="E483" s="2">
        <v>1</v>
      </c>
      <c r="F483" s="3">
        <f>IF(COUNT(D483,E483)=2,D483*E483,NA())</f>
        <v>16610469.58</v>
      </c>
      <c r="G483" s="2" t="s">
        <v>50</v>
      </c>
      <c r="H483" s="2" t="s">
        <v>51</v>
      </c>
      <c r="I483" s="2" t="s">
        <v>52</v>
      </c>
      <c r="J483" s="2" t="s">
        <v>53</v>
      </c>
      <c r="K483" s="2" t="s">
        <v>391</v>
      </c>
      <c r="L483" s="2" t="s">
        <v>54</v>
      </c>
      <c r="M483" s="2" t="s">
        <v>392</v>
      </c>
      <c r="N483" s="2" t="s">
        <v>56</v>
      </c>
      <c r="O483" s="2" t="s">
        <v>57</v>
      </c>
      <c r="P483" s="2"/>
      <c r="Q483" s="2" t="s">
        <v>385</v>
      </c>
      <c r="R483" s="2"/>
    </row>
    <row r="484" spans="1:18">
      <c r="A484" s="2" t="s">
        <v>1502</v>
      </c>
      <c r="B484" s="2" t="s">
        <v>1503</v>
      </c>
      <c r="C484" s="2" t="s">
        <v>1496</v>
      </c>
      <c r="D484" s="2">
        <v>-84184158.28</v>
      </c>
      <c r="E484" s="2">
        <v>1</v>
      </c>
      <c r="F484" s="3">
        <f>IF(COUNT(D484,E484)=2,D484*E484,NA())</f>
        <v>-84184158.28</v>
      </c>
      <c r="G484" s="2" t="s">
        <v>50</v>
      </c>
      <c r="H484" s="2" t="s">
        <v>51</v>
      </c>
      <c r="I484" s="2" t="s">
        <v>52</v>
      </c>
      <c r="J484" s="2" t="s">
        <v>53</v>
      </c>
      <c r="K484" s="2" t="s">
        <v>391</v>
      </c>
      <c r="L484" s="2" t="s">
        <v>54</v>
      </c>
      <c r="M484" s="2" t="s">
        <v>392</v>
      </c>
      <c r="N484" s="2" t="s">
        <v>56</v>
      </c>
      <c r="O484" s="2" t="s">
        <v>57</v>
      </c>
      <c r="P484" s="2"/>
      <c r="Q484" s="2" t="s">
        <v>385</v>
      </c>
      <c r="R484" s="2"/>
    </row>
    <row r="485" spans="1:18">
      <c r="A485" s="2" t="s">
        <v>1504</v>
      </c>
      <c r="B485" s="2" t="s">
        <v>1505</v>
      </c>
      <c r="C485" s="2" t="s">
        <v>1506</v>
      </c>
      <c r="D485" s="2">
        <v>82000000</v>
      </c>
      <c r="E485" s="2">
        <v>1</v>
      </c>
      <c r="F485" s="3">
        <f>IF(COUNT(D485,E485)=2,D485*E485,NA())</f>
        <v>82000000.0</v>
      </c>
      <c r="G485" s="2" t="s">
        <v>50</v>
      </c>
      <c r="H485" s="2" t="s">
        <v>51</v>
      </c>
      <c r="I485" s="2" t="s">
        <v>52</v>
      </c>
      <c r="J485" s="2" t="s">
        <v>53</v>
      </c>
      <c r="K485" s="2" t="s">
        <v>391</v>
      </c>
      <c r="L485" s="2" t="s">
        <v>54</v>
      </c>
      <c r="M485" s="2" t="s">
        <v>392</v>
      </c>
      <c r="N485" s="2" t="s">
        <v>56</v>
      </c>
      <c r="O485" s="2" t="s">
        <v>57</v>
      </c>
      <c r="P485" s="2"/>
      <c r="Q485" s="2" t="s">
        <v>1507</v>
      </c>
      <c r="R485" s="2"/>
    </row>
    <row r="486" spans="1:18">
      <c r="A486" s="2" t="s">
        <v>1508</v>
      </c>
      <c r="B486" s="2" t="s">
        <v>1509</v>
      </c>
      <c r="C486" s="2" t="s">
        <v>1506</v>
      </c>
      <c r="D486" s="2">
        <v>12406363.03</v>
      </c>
      <c r="E486" s="2">
        <v>1</v>
      </c>
      <c r="F486" s="3">
        <f>IF(COUNT(D486,E486)=2,D486*E486,NA())</f>
        <v>12406363.03</v>
      </c>
      <c r="G486" s="2" t="s">
        <v>50</v>
      </c>
      <c r="H486" s="2" t="s">
        <v>51</v>
      </c>
      <c r="I486" s="2" t="s">
        <v>52</v>
      </c>
      <c r="J486" s="2" t="s">
        <v>53</v>
      </c>
      <c r="K486" s="2"/>
      <c r="L486" s="2" t="s">
        <v>61</v>
      </c>
      <c r="M486" s="2" t="s">
        <v>55</v>
      </c>
      <c r="N486" s="2" t="s">
        <v>62</v>
      </c>
      <c r="O486" s="2" t="s">
        <v>57</v>
      </c>
      <c r="P486" s="2"/>
      <c r="Q486" s="2" t="s">
        <v>1507</v>
      </c>
      <c r="R486" s="2"/>
    </row>
    <row r="487" spans="1:18">
      <c r="A487" s="2" t="s">
        <v>1510</v>
      </c>
      <c r="B487" s="2" t="s">
        <v>1511</v>
      </c>
      <c r="C487" s="2" t="s">
        <v>1506</v>
      </c>
      <c r="D487" s="2">
        <v>833421.24</v>
      </c>
      <c r="E487" s="2">
        <v>1</v>
      </c>
      <c r="F487" s="3">
        <f>IF(COUNT(D487,E487)=2,D487*E487,NA())</f>
        <v>833421.24</v>
      </c>
      <c r="G487" s="2" t="s">
        <v>50</v>
      </c>
      <c r="H487" s="2" t="s">
        <v>51</v>
      </c>
      <c r="I487" s="2" t="s">
        <v>52</v>
      </c>
      <c r="J487" s="2" t="s">
        <v>53</v>
      </c>
      <c r="K487" s="2"/>
      <c r="L487" s="2" t="s">
        <v>61</v>
      </c>
      <c r="M487" s="2" t="s">
        <v>55</v>
      </c>
      <c r="N487" s="2" t="s">
        <v>62</v>
      </c>
      <c r="O487" s="2" t="s">
        <v>57</v>
      </c>
      <c r="P487" s="2"/>
      <c r="Q487" s="2" t="s">
        <v>1507</v>
      </c>
      <c r="R487" s="2"/>
    </row>
    <row r="488" spans="1:18">
      <c r="A488" s="2" t="s">
        <v>1512</v>
      </c>
      <c r="B488" s="2" t="s">
        <v>1513</v>
      </c>
      <c r="C488" s="2" t="s">
        <v>1506</v>
      </c>
      <c r="D488" s="2">
        <v>88583593.53</v>
      </c>
      <c r="E488" s="2">
        <v>1</v>
      </c>
      <c r="F488" s="3">
        <f>IF(COUNT(D488,E488)=2,D488*E488,NA())</f>
        <v>88583593.53</v>
      </c>
      <c r="G488" s="2" t="s">
        <v>50</v>
      </c>
      <c r="H488" s="2" t="s">
        <v>51</v>
      </c>
      <c r="I488" s="2" t="s">
        <v>52</v>
      </c>
      <c r="J488" s="2" t="s">
        <v>53</v>
      </c>
      <c r="K488" s="2"/>
      <c r="L488" s="2" t="s">
        <v>61</v>
      </c>
      <c r="M488" s="2" t="s">
        <v>55</v>
      </c>
      <c r="N488" s="2" t="s">
        <v>62</v>
      </c>
      <c r="O488" s="2" t="s">
        <v>57</v>
      </c>
      <c r="P488" s="2"/>
      <c r="Q488" s="2" t="s">
        <v>1507</v>
      </c>
      <c r="R488" s="2"/>
    </row>
    <row r="489" spans="1:18">
      <c r="A489" s="2" t="s">
        <v>1514</v>
      </c>
      <c r="B489" s="2" t="s">
        <v>1515</v>
      </c>
      <c r="C489" s="2" t="s">
        <v>1506</v>
      </c>
      <c r="D489" s="2">
        <v>115259825.2</v>
      </c>
      <c r="E489" s="2">
        <v>1</v>
      </c>
      <c r="F489" s="3">
        <f>IF(COUNT(D489,E489)=2,D489*E489,NA())</f>
        <v>115259825.2</v>
      </c>
      <c r="G489" s="2" t="s">
        <v>50</v>
      </c>
      <c r="H489" s="2" t="s">
        <v>51</v>
      </c>
      <c r="I489" s="2" t="s">
        <v>52</v>
      </c>
      <c r="J489" s="2" t="s">
        <v>53</v>
      </c>
      <c r="K489" s="2" t="s">
        <v>391</v>
      </c>
      <c r="L489" s="2" t="s">
        <v>54</v>
      </c>
      <c r="M489" s="2" t="s">
        <v>392</v>
      </c>
      <c r="N489" s="2" t="s">
        <v>56</v>
      </c>
      <c r="O489" s="2" t="s">
        <v>57</v>
      </c>
      <c r="P489" s="2"/>
      <c r="Q489" s="2" t="s">
        <v>1516</v>
      </c>
      <c r="R489" s="2"/>
    </row>
    <row r="490" spans="1:18">
      <c r="A490" s="2" t="s">
        <v>1517</v>
      </c>
      <c r="B490" s="2" t="s">
        <v>1518</v>
      </c>
      <c r="C490" s="2" t="s">
        <v>1506</v>
      </c>
      <c r="D490" s="2">
        <v>89510352.73</v>
      </c>
      <c r="E490" s="2">
        <v>1</v>
      </c>
      <c r="F490" s="3">
        <f>IF(COUNT(D490,E490)=2,D490*E490,NA())</f>
        <v>89510352.73</v>
      </c>
      <c r="G490" s="2" t="s">
        <v>50</v>
      </c>
      <c r="H490" s="2" t="s">
        <v>51</v>
      </c>
      <c r="I490" s="2" t="s">
        <v>52</v>
      </c>
      <c r="J490" s="2" t="s">
        <v>53</v>
      </c>
      <c r="K490" s="2"/>
      <c r="L490" s="2" t="s">
        <v>54</v>
      </c>
      <c r="M490" s="2" t="s">
        <v>55</v>
      </c>
      <c r="N490" s="2" t="s">
        <v>56</v>
      </c>
      <c r="O490" s="2" t="s">
        <v>57</v>
      </c>
      <c r="P490" s="2"/>
      <c r="Q490" s="2" t="s">
        <v>1516</v>
      </c>
      <c r="R490" s="2"/>
    </row>
    <row r="491" spans="1:18">
      <c r="A491" s="2" t="s">
        <v>1519</v>
      </c>
      <c r="B491" s="2" t="s">
        <v>1520</v>
      </c>
      <c r="C491" s="2" t="s">
        <v>1506</v>
      </c>
      <c r="D491" s="2">
        <v>30000000</v>
      </c>
      <c r="E491" s="2">
        <v>1</v>
      </c>
      <c r="F491" s="3">
        <f>IF(COUNT(D491,E491)=2,D491*E491,NA())</f>
        <v>30000000.0</v>
      </c>
      <c r="G491" s="2" t="s">
        <v>50</v>
      </c>
      <c r="H491" s="2" t="s">
        <v>51</v>
      </c>
      <c r="I491" s="2" t="s">
        <v>52</v>
      </c>
      <c r="J491" s="2" t="s">
        <v>53</v>
      </c>
      <c r="K491" s="2" t="s">
        <v>391</v>
      </c>
      <c r="L491" s="2" t="s">
        <v>54</v>
      </c>
      <c r="M491" s="2" t="s">
        <v>392</v>
      </c>
      <c r="N491" s="2" t="s">
        <v>56</v>
      </c>
      <c r="O491" s="2" t="s">
        <v>57</v>
      </c>
      <c r="P491" s="2"/>
      <c r="Q491" s="2" t="s">
        <v>1521</v>
      </c>
      <c r="R491" s="2"/>
    </row>
    <row r="492" spans="1:18">
      <c r="A492" s="2" t="s">
        <v>1522</v>
      </c>
      <c r="B492" s="2" t="s">
        <v>1523</v>
      </c>
      <c r="C492" s="2" t="s">
        <v>1506</v>
      </c>
      <c r="D492" s="2">
        <v>2.4</v>
      </c>
      <c r="E492" s="2">
        <v>100000000</v>
      </c>
      <c r="F492" s="3">
        <f>IF(COUNT(D492,E492)=2,D492*E492,NA())</f>
        <v>240000000.0</v>
      </c>
      <c r="G492" s="2" t="s">
        <v>50</v>
      </c>
      <c r="H492" s="2" t="s">
        <v>51</v>
      </c>
      <c r="I492" s="2" t="s">
        <v>52</v>
      </c>
      <c r="J492" s="2" t="s">
        <v>53</v>
      </c>
      <c r="K492" s="2"/>
      <c r="L492" s="2" t="s">
        <v>54</v>
      </c>
      <c r="M492" s="2" t="s">
        <v>55</v>
      </c>
      <c r="N492" s="2" t="s">
        <v>56</v>
      </c>
      <c r="O492" s="2" t="s">
        <v>57</v>
      </c>
      <c r="P492" s="2" t="s">
        <v>1524</v>
      </c>
      <c r="Q492" s="2" t="s">
        <v>1521</v>
      </c>
      <c r="R492" s="2"/>
    </row>
    <row r="493" spans="1:18">
      <c r="A493" s="2" t="s">
        <v>1525</v>
      </c>
      <c r="B493" s="2" t="s">
        <v>1526</v>
      </c>
      <c r="C493" s="2" t="s">
        <v>1527</v>
      </c>
      <c r="D493" s="2">
        <v>160098145.6</v>
      </c>
      <c r="E493" s="2">
        <v>1</v>
      </c>
      <c r="F493" s="3">
        <f>IF(COUNT(D493,E493)=2,D493*E493,NA())</f>
        <v>160098145.6</v>
      </c>
      <c r="G493" s="2" t="s">
        <v>50</v>
      </c>
      <c r="H493" s="2" t="s">
        <v>51</v>
      </c>
      <c r="I493" s="2" t="s">
        <v>52</v>
      </c>
      <c r="J493" s="2" t="s">
        <v>53</v>
      </c>
      <c r="K493" s="2"/>
      <c r="L493" s="2" t="s">
        <v>54</v>
      </c>
      <c r="M493" s="2" t="s">
        <v>55</v>
      </c>
      <c r="N493" s="2" t="s">
        <v>56</v>
      </c>
      <c r="O493" s="2" t="s">
        <v>57</v>
      </c>
      <c r="P493" s="2"/>
      <c r="Q493" s="2" t="s">
        <v>1528</v>
      </c>
      <c r="R493" s="2"/>
    </row>
    <row r="494" spans="1:18">
      <c r="A494" s="2" t="s">
        <v>1529</v>
      </c>
      <c r="B494" s="2" t="s">
        <v>1530</v>
      </c>
      <c r="C494" s="2" t="s">
        <v>1527</v>
      </c>
      <c r="D494" s="2">
        <v>165535710.88</v>
      </c>
      <c r="E494" s="2">
        <v>1</v>
      </c>
      <c r="F494" s="3">
        <f>IF(COUNT(D494,E494)=2,D494*E494,NA())</f>
        <v>165535710.88</v>
      </c>
      <c r="G494" s="2" t="s">
        <v>50</v>
      </c>
      <c r="H494" s="2" t="s">
        <v>51</v>
      </c>
      <c r="I494" s="2" t="s">
        <v>52</v>
      </c>
      <c r="J494" s="2" t="s">
        <v>53</v>
      </c>
      <c r="K494" s="2"/>
      <c r="L494" s="2" t="s">
        <v>54</v>
      </c>
      <c r="M494" s="2" t="s">
        <v>55</v>
      </c>
      <c r="N494" s="2" t="s">
        <v>56</v>
      </c>
      <c r="O494" s="2" t="s">
        <v>57</v>
      </c>
      <c r="P494" s="2"/>
      <c r="Q494" s="2" t="s">
        <v>1531</v>
      </c>
      <c r="R494" s="2"/>
    </row>
    <row r="495" spans="1:18">
      <c r="A495" s="2" t="s">
        <v>1532</v>
      </c>
      <c r="B495" s="2" t="s">
        <v>1533</v>
      </c>
      <c r="C495" s="2" t="s">
        <v>1534</v>
      </c>
      <c r="D495" s="2">
        <v>108000</v>
      </c>
      <c r="E495" s="2">
        <v>10000</v>
      </c>
      <c r="F495" s="3">
        <f>IF(COUNT(D495,E495)=2,D495*E495,NA())</f>
        <v>1080000000.0</v>
      </c>
      <c r="G495" s="2" t="s">
        <v>50</v>
      </c>
      <c r="H495" s="2" t="s">
        <v>51</v>
      </c>
      <c r="I495" s="2" t="s">
        <v>52</v>
      </c>
      <c r="J495" s="2" t="s">
        <v>53</v>
      </c>
      <c r="K495" s="2"/>
      <c r="L495" s="2" t="s">
        <v>54</v>
      </c>
      <c r="M495" s="2" t="s">
        <v>55</v>
      </c>
      <c r="N495" s="2" t="s">
        <v>56</v>
      </c>
      <c r="O495" s="2" t="s">
        <v>57</v>
      </c>
      <c r="P495" s="2" t="s">
        <v>1535</v>
      </c>
      <c r="Q495" s="2" t="s">
        <v>1536</v>
      </c>
      <c r="R495" s="2"/>
    </row>
    <row r="496" spans="1:18">
      <c r="A496" s="2" t="s">
        <v>1537</v>
      </c>
      <c r="B496" s="2" t="s">
        <v>1538</v>
      </c>
      <c r="C496" s="2" t="s">
        <v>1534</v>
      </c>
      <c r="D496" s="2">
        <v>496183.31</v>
      </c>
      <c r="E496" s="2">
        <v>10000</v>
      </c>
      <c r="F496" s="3">
        <f>IF(COUNT(D496,E496)=2,D496*E496,NA())</f>
        <v>4961833100.0</v>
      </c>
      <c r="G496" s="2" t="s">
        <v>50</v>
      </c>
      <c r="H496" s="2" t="s">
        <v>51</v>
      </c>
      <c r="I496" s="2" t="s">
        <v>52</v>
      </c>
      <c r="J496" s="2" t="s">
        <v>53</v>
      </c>
      <c r="K496" s="2"/>
      <c r="L496" s="2" t="s">
        <v>54</v>
      </c>
      <c r="M496" s="2" t="s">
        <v>55</v>
      </c>
      <c r="N496" s="2" t="s">
        <v>56</v>
      </c>
      <c r="O496" s="2" t="s">
        <v>57</v>
      </c>
      <c r="P496" s="2" t="s">
        <v>1535</v>
      </c>
      <c r="Q496" s="2" t="s">
        <v>1539</v>
      </c>
      <c r="R496" s="2"/>
    </row>
    <row r="497" spans="1:18">
      <c r="A497" s="2" t="s">
        <v>1540</v>
      </c>
      <c r="B497" s="2" t="s">
        <v>1541</v>
      </c>
      <c r="C497" s="2" t="s">
        <v>1542</v>
      </c>
      <c r="D497" s="2">
        <v>127487.39</v>
      </c>
      <c r="E497" s="2">
        <v>10000</v>
      </c>
      <c r="F497" s="3">
        <f>IF(COUNT(D497,E497)=2,D497*E497,NA())</f>
        <v>1274873900.0</v>
      </c>
      <c r="G497" s="2" t="s">
        <v>50</v>
      </c>
      <c r="H497" s="2" t="s">
        <v>51</v>
      </c>
      <c r="I497" s="2" t="s">
        <v>52</v>
      </c>
      <c r="J497" s="2" t="s">
        <v>53</v>
      </c>
      <c r="K497" s="2"/>
      <c r="L497" s="2" t="s">
        <v>54</v>
      </c>
      <c r="M497" s="2" t="s">
        <v>55</v>
      </c>
      <c r="N497" s="2" t="s">
        <v>56</v>
      </c>
      <c r="O497" s="2" t="s">
        <v>57</v>
      </c>
      <c r="P497" s="2" t="s">
        <v>1535</v>
      </c>
      <c r="Q497" s="2" t="s">
        <v>1543</v>
      </c>
      <c r="R497" s="2"/>
    </row>
    <row r="498" spans="1:18">
      <c r="A498" s="2" t="s">
        <v>1544</v>
      </c>
      <c r="B498" s="2" t="s">
        <v>1545</v>
      </c>
      <c r="C498" s="2" t="s">
        <v>1542</v>
      </c>
      <c r="D498" s="2">
        <v>86431172.31</v>
      </c>
      <c r="E498" s="2">
        <v>1</v>
      </c>
      <c r="F498" s="3">
        <f>IF(COUNT(D498,E498)=2,D498*E498,NA())</f>
        <v>86431172.31</v>
      </c>
      <c r="G498" s="2" t="s">
        <v>50</v>
      </c>
      <c r="H498" s="2" t="s">
        <v>51</v>
      </c>
      <c r="I498" s="2" t="s">
        <v>52</v>
      </c>
      <c r="J498" s="2" t="s">
        <v>53</v>
      </c>
      <c r="K498" s="2"/>
      <c r="L498" s="2" t="s">
        <v>54</v>
      </c>
      <c r="M498" s="2" t="s">
        <v>55</v>
      </c>
      <c r="N498" s="2" t="s">
        <v>56</v>
      </c>
      <c r="O498" s="2" t="s">
        <v>57</v>
      </c>
      <c r="P498" s="2"/>
      <c r="Q498" s="2" t="s">
        <v>1543</v>
      </c>
      <c r="R498" s="2"/>
    </row>
    <row r="499" spans="1:18">
      <c r="A499" s="2" t="s">
        <v>1546</v>
      </c>
      <c r="B499" s="2" t="s">
        <v>1547</v>
      </c>
      <c r="C499" s="2" t="s">
        <v>1405</v>
      </c>
      <c r="D499" s="2">
        <v>66598292.64</v>
      </c>
      <c r="E499" s="2">
        <v>1</v>
      </c>
      <c r="F499" s="3">
        <f>IF(COUNT(D499,E499)=2,D499*E499,NA())</f>
        <v>66598292.64</v>
      </c>
      <c r="G499" s="2" t="s">
        <v>50</v>
      </c>
      <c r="H499" s="2" t="s">
        <v>51</v>
      </c>
      <c r="I499" s="2" t="s">
        <v>52</v>
      </c>
      <c r="J499" s="2" t="s">
        <v>53</v>
      </c>
      <c r="K499" s="2"/>
      <c r="L499" s="2" t="s">
        <v>54</v>
      </c>
      <c r="M499" s="2" t="s">
        <v>55</v>
      </c>
      <c r="N499" s="2" t="s">
        <v>56</v>
      </c>
      <c r="O499" s="2" t="s">
        <v>57</v>
      </c>
      <c r="P499" s="2"/>
      <c r="Q499" s="2" t="s">
        <v>1548</v>
      </c>
      <c r="R499" s="2"/>
    </row>
    <row r="500" spans="1:18">
      <c r="A500" s="2" t="s">
        <v>1549</v>
      </c>
      <c r="B500" s="2" t="s">
        <v>1550</v>
      </c>
      <c r="C500" s="2" t="s">
        <v>1551</v>
      </c>
      <c r="D500" s="2">
        <v>1143546285.82</v>
      </c>
      <c r="E500" s="2">
        <v>1</v>
      </c>
      <c r="F500" s="3">
        <f>IF(COUNT(D500,E500)=2,D500*E500,NA())</f>
        <v>1143546285.82</v>
      </c>
      <c r="G500" s="2" t="s">
        <v>50</v>
      </c>
      <c r="H500" s="2" t="s">
        <v>51</v>
      </c>
      <c r="I500" s="2" t="s">
        <v>52</v>
      </c>
      <c r="J500" s="2" t="s">
        <v>53</v>
      </c>
      <c r="K500" s="2" t="s">
        <v>1552</v>
      </c>
      <c r="L500" s="2" t="s">
        <v>54</v>
      </c>
      <c r="M500" s="2" t="s">
        <v>392</v>
      </c>
      <c r="N500" s="2" t="s">
        <v>56</v>
      </c>
      <c r="O500" s="2" t="s">
        <v>57</v>
      </c>
      <c r="P500" s="2"/>
      <c r="Q500" s="2" t="s">
        <v>1553</v>
      </c>
      <c r="R500" s="2"/>
    </row>
    <row r="501" spans="1:18">
      <c r="A501" s="2" t="s">
        <v>1554</v>
      </c>
      <c r="B501" s="2" t="s">
        <v>1555</v>
      </c>
      <c r="C501" s="2" t="s">
        <v>1551</v>
      </c>
      <c r="D501" s="2">
        <v>-555430508.59</v>
      </c>
      <c r="E501" s="2">
        <v>1</v>
      </c>
      <c r="F501" s="3">
        <f>IF(COUNT(D501,E501)=2,D501*E501,NA())</f>
        <v>-555430508.59</v>
      </c>
      <c r="G501" s="2" t="s">
        <v>50</v>
      </c>
      <c r="H501" s="2" t="s">
        <v>51</v>
      </c>
      <c r="I501" s="2" t="s">
        <v>52</v>
      </c>
      <c r="J501" s="2" t="s">
        <v>53</v>
      </c>
      <c r="K501" s="2" t="s">
        <v>1552</v>
      </c>
      <c r="L501" s="2" t="s">
        <v>54</v>
      </c>
      <c r="M501" s="2" t="s">
        <v>392</v>
      </c>
      <c r="N501" s="2" t="s">
        <v>56</v>
      </c>
      <c r="O501" s="2" t="s">
        <v>57</v>
      </c>
      <c r="P501" s="2"/>
      <c r="Q501" s="2" t="s">
        <v>1553</v>
      </c>
      <c r="R501" s="2"/>
    </row>
    <row r="502" spans="1:18">
      <c r="A502" s="2" t="s">
        <v>1556</v>
      </c>
      <c r="B502" s="2" t="s">
        <v>1557</v>
      </c>
      <c r="C502" s="2" t="s">
        <v>1551</v>
      </c>
      <c r="D502" s="2">
        <v>-589785040.45</v>
      </c>
      <c r="E502" s="2">
        <v>1</v>
      </c>
      <c r="F502" s="3">
        <f>IF(COUNT(D502,E502)=2,D502*E502,NA())</f>
        <v>-589785040.45</v>
      </c>
      <c r="G502" s="2" t="s">
        <v>50</v>
      </c>
      <c r="H502" s="2" t="s">
        <v>51</v>
      </c>
      <c r="I502" s="2" t="s">
        <v>52</v>
      </c>
      <c r="J502" s="2" t="s">
        <v>53</v>
      </c>
      <c r="K502" s="2" t="s">
        <v>391</v>
      </c>
      <c r="L502" s="2" t="s">
        <v>54</v>
      </c>
      <c r="M502" s="2" t="s">
        <v>392</v>
      </c>
      <c r="N502" s="2" t="s">
        <v>56</v>
      </c>
      <c r="O502" s="2" t="s">
        <v>57</v>
      </c>
      <c r="P502" s="2"/>
      <c r="Q502" s="2" t="s">
        <v>1558</v>
      </c>
      <c r="R502" s="2"/>
    </row>
    <row r="503" spans="1:18">
      <c r="A503" s="2" t="s">
        <v>1559</v>
      </c>
      <c r="B503" s="2" t="s">
        <v>1557</v>
      </c>
      <c r="C503" s="2" t="s">
        <v>1551</v>
      </c>
      <c r="D503" s="2">
        <v>-261616034.64</v>
      </c>
      <c r="E503" s="2">
        <v>1</v>
      </c>
      <c r="F503" s="3">
        <f>IF(COUNT(D503,E503)=2,D503*E503,NA())</f>
        <v>-261616034.64</v>
      </c>
      <c r="G503" s="2" t="s">
        <v>50</v>
      </c>
      <c r="H503" s="2" t="s">
        <v>51</v>
      </c>
      <c r="I503" s="2" t="s">
        <v>52</v>
      </c>
      <c r="J503" s="2" t="s">
        <v>53</v>
      </c>
      <c r="K503" s="2" t="s">
        <v>396</v>
      </c>
      <c r="L503" s="2" t="s">
        <v>61</v>
      </c>
      <c r="M503" s="2" t="s">
        <v>392</v>
      </c>
      <c r="N503" s="2" t="s">
        <v>62</v>
      </c>
      <c r="O503" s="2" t="s">
        <v>57</v>
      </c>
      <c r="P503" s="2"/>
      <c r="Q503" s="2" t="s">
        <v>1558</v>
      </c>
      <c r="R503" s="2"/>
    </row>
    <row r="504" spans="1:18">
      <c r="A504" s="2" t="s">
        <v>1560</v>
      </c>
      <c r="B504" s="2" t="s">
        <v>1561</v>
      </c>
      <c r="C504" s="2" t="s">
        <v>1551</v>
      </c>
      <c r="D504" s="2">
        <v>7944393327.05</v>
      </c>
      <c r="E504" s="2">
        <v>1</v>
      </c>
      <c r="F504" s="3">
        <f>IF(COUNT(D504,E504)=2,D504*E504,NA())</f>
        <v>7944393327.05</v>
      </c>
      <c r="G504" s="2" t="s">
        <v>50</v>
      </c>
      <c r="H504" s="2" t="s">
        <v>51</v>
      </c>
      <c r="I504" s="2" t="s">
        <v>52</v>
      </c>
      <c r="J504" s="2" t="s">
        <v>53</v>
      </c>
      <c r="K504" s="2" t="s">
        <v>1562</v>
      </c>
      <c r="L504" s="2" t="s">
        <v>814</v>
      </c>
      <c r="M504" s="2" t="s">
        <v>392</v>
      </c>
      <c r="N504" s="2" t="s">
        <v>62</v>
      </c>
      <c r="O504" s="2" t="s">
        <v>57</v>
      </c>
      <c r="P504" s="2"/>
      <c r="Q504" s="2" t="s">
        <v>1563</v>
      </c>
      <c r="R504" s="2"/>
    </row>
    <row r="505" spans="1:18">
      <c r="A505" s="2" t="s">
        <v>1564</v>
      </c>
      <c r="B505" s="2" t="s">
        <v>1565</v>
      </c>
      <c r="C505" s="2" t="s">
        <v>1551</v>
      </c>
      <c r="D505" s="2">
        <v>-335577356.67</v>
      </c>
      <c r="E505" s="2">
        <v>1</v>
      </c>
      <c r="F505" s="3">
        <f>IF(COUNT(D505,E505)=2,D505*E505,NA())</f>
        <v>-335577356.67</v>
      </c>
      <c r="G505" s="2" t="s">
        <v>50</v>
      </c>
      <c r="H505" s="2" t="s">
        <v>51</v>
      </c>
      <c r="I505" s="2" t="s">
        <v>52</v>
      </c>
      <c r="J505" s="2" t="s">
        <v>53</v>
      </c>
      <c r="K505" s="2" t="s">
        <v>1562</v>
      </c>
      <c r="L505" s="2" t="s">
        <v>814</v>
      </c>
      <c r="M505" s="2" t="s">
        <v>392</v>
      </c>
      <c r="N505" s="2" t="s">
        <v>62</v>
      </c>
      <c r="O505" s="2" t="s">
        <v>57</v>
      </c>
      <c r="P505" s="2"/>
      <c r="Q505" s="2" t="s">
        <v>1566</v>
      </c>
      <c r="R505" s="2"/>
    </row>
    <row r="506" spans="1:18">
      <c r="A506" s="2" t="s">
        <v>1567</v>
      </c>
      <c r="B506" s="2" t="s">
        <v>1568</v>
      </c>
      <c r="C506" s="2" t="s">
        <v>1551</v>
      </c>
      <c r="D506" s="2">
        <v>-426248576.3</v>
      </c>
      <c r="E506" s="2">
        <v>1</v>
      </c>
      <c r="F506" s="3">
        <f>IF(COUNT(D506,E506)=2,D506*E506,NA())</f>
        <v>-426248576.3</v>
      </c>
      <c r="G506" s="2" t="s">
        <v>50</v>
      </c>
      <c r="H506" s="2" t="s">
        <v>51</v>
      </c>
      <c r="I506" s="2" t="s">
        <v>52</v>
      </c>
      <c r="J506" s="2" t="s">
        <v>53</v>
      </c>
      <c r="K506" s="2" t="s">
        <v>1562</v>
      </c>
      <c r="L506" s="2" t="s">
        <v>814</v>
      </c>
      <c r="M506" s="2" t="s">
        <v>392</v>
      </c>
      <c r="N506" s="2" t="s">
        <v>62</v>
      </c>
      <c r="O506" s="2" t="s">
        <v>57</v>
      </c>
      <c r="P506" s="2"/>
      <c r="Q506" s="2" t="s">
        <v>1569</v>
      </c>
      <c r="R506" s="2"/>
    </row>
    <row r="507" spans="1:18">
      <c r="A507" s="2" t="s">
        <v>1570</v>
      </c>
      <c r="B507" s="2" t="s">
        <v>1571</v>
      </c>
      <c r="C507" s="2" t="s">
        <v>1551</v>
      </c>
      <c r="D507" s="2">
        <v>162118088.76</v>
      </c>
      <c r="E507" s="2">
        <v>1</v>
      </c>
      <c r="F507" s="3">
        <f>IF(COUNT(D507,E507)=2,D507*E507,NA())</f>
        <v>162118088.76</v>
      </c>
      <c r="G507" s="2" t="s">
        <v>50</v>
      </c>
      <c r="H507" s="2" t="s">
        <v>51</v>
      </c>
      <c r="I507" s="2" t="s">
        <v>52</v>
      </c>
      <c r="J507" s="2" t="s">
        <v>53</v>
      </c>
      <c r="K507" s="2" t="s">
        <v>1562</v>
      </c>
      <c r="L507" s="2" t="s">
        <v>814</v>
      </c>
      <c r="M507" s="2" t="s">
        <v>392</v>
      </c>
      <c r="N507" s="2" t="s">
        <v>62</v>
      </c>
      <c r="O507" s="2" t="s">
        <v>57</v>
      </c>
      <c r="P507" s="2"/>
      <c r="Q507" s="2" t="s">
        <v>1572</v>
      </c>
      <c r="R507" s="2"/>
    </row>
    <row r="508" spans="1:18">
      <c r="A508" s="2" t="s">
        <v>1573</v>
      </c>
      <c r="B508" s="2" t="s">
        <v>1574</v>
      </c>
      <c r="C508" s="2" t="s">
        <v>1551</v>
      </c>
      <c r="D508" s="2">
        <v>13927995159.72</v>
      </c>
      <c r="E508" s="2">
        <v>1</v>
      </c>
      <c r="F508" s="3">
        <f>IF(COUNT(D508,E508)=2,D508*E508,NA())</f>
        <v>13927995159.72</v>
      </c>
      <c r="G508" s="2" t="s">
        <v>50</v>
      </c>
      <c r="H508" s="2" t="s">
        <v>51</v>
      </c>
      <c r="I508" s="2" t="s">
        <v>52</v>
      </c>
      <c r="J508" s="2" t="s">
        <v>53</v>
      </c>
      <c r="K508" s="2"/>
      <c r="L508" s="2" t="s">
        <v>814</v>
      </c>
      <c r="M508" s="2" t="s">
        <v>55</v>
      </c>
      <c r="N508" s="2" t="s">
        <v>62</v>
      </c>
      <c r="O508" s="2" t="s">
        <v>57</v>
      </c>
      <c r="P508" s="2"/>
      <c r="Q508" s="2" t="s">
        <v>213</v>
      </c>
      <c r="R508" s="2"/>
    </row>
    <row r="509" spans="1:18">
      <c r="A509" s="2" t="s">
        <v>1575</v>
      </c>
      <c r="B509" s="2" t="s">
        <v>1576</v>
      </c>
      <c r="C509" s="2" t="s">
        <v>1551</v>
      </c>
      <c r="D509" s="2">
        <v>5131025064.07</v>
      </c>
      <c r="E509" s="2">
        <v>1</v>
      </c>
      <c r="F509" s="3">
        <f>IF(COUNT(D509,E509)=2,D509*E509,NA())</f>
        <v>5131025064.07</v>
      </c>
      <c r="G509" s="2" t="s">
        <v>50</v>
      </c>
      <c r="H509" s="2" t="s">
        <v>51</v>
      </c>
      <c r="I509" s="2" t="s">
        <v>52</v>
      </c>
      <c r="J509" s="2" t="s">
        <v>53</v>
      </c>
      <c r="K509" s="2"/>
      <c r="L509" s="2" t="s">
        <v>814</v>
      </c>
      <c r="M509" s="2" t="s">
        <v>55</v>
      </c>
      <c r="N509" s="2" t="s">
        <v>62</v>
      </c>
      <c r="O509" s="2" t="s">
        <v>57</v>
      </c>
      <c r="P509" s="2"/>
      <c r="Q509" s="2" t="s">
        <v>1577</v>
      </c>
      <c r="R509" s="2"/>
    </row>
    <row r="510" spans="1:18">
      <c r="A510" s="2" t="s">
        <v>1578</v>
      </c>
      <c r="B510" s="2" t="s">
        <v>1579</v>
      </c>
      <c r="C510" s="2" t="s">
        <v>1580</v>
      </c>
      <c r="D510" s="2">
        <v>13780575635.03</v>
      </c>
      <c r="E510" s="2">
        <v>1</v>
      </c>
      <c r="F510" s="3">
        <f>IF(COUNT(D510,E510)=2,D510*E510,NA())</f>
        <v>13780575635.03</v>
      </c>
      <c r="G510" s="2" t="s">
        <v>50</v>
      </c>
      <c r="H510" s="2" t="s">
        <v>51</v>
      </c>
      <c r="I510" s="2" t="s">
        <v>52</v>
      </c>
      <c r="J510" s="2" t="s">
        <v>53</v>
      </c>
      <c r="K510" s="2"/>
      <c r="L510" s="2" t="s">
        <v>814</v>
      </c>
      <c r="M510" s="2" t="s">
        <v>55</v>
      </c>
      <c r="N510" s="2" t="s">
        <v>56</v>
      </c>
      <c r="O510" s="2" t="s">
        <v>1581</v>
      </c>
      <c r="P510" s="2"/>
      <c r="Q510" s="2" t="s">
        <v>1582</v>
      </c>
      <c r="R510" s="2"/>
    </row>
    <row r="511" spans="1:18">
      <c r="A511" s="2" t="s">
        <v>1583</v>
      </c>
      <c r="B511" s="2" t="s">
        <v>1584</v>
      </c>
      <c r="C511" s="2" t="s">
        <v>1580</v>
      </c>
      <c r="D511" s="2">
        <v>8665431418.6</v>
      </c>
      <c r="E511" s="2">
        <v>1</v>
      </c>
      <c r="F511" s="3">
        <f>IF(COUNT(D511,E511)=2,D511*E511,NA())</f>
        <v>8665431418.6</v>
      </c>
      <c r="G511" s="2" t="s">
        <v>50</v>
      </c>
      <c r="H511" s="2" t="s">
        <v>51</v>
      </c>
      <c r="I511" s="2" t="s">
        <v>52</v>
      </c>
      <c r="J511" s="2" t="s">
        <v>53</v>
      </c>
      <c r="K511" s="2"/>
      <c r="L511" s="2" t="s">
        <v>814</v>
      </c>
      <c r="M511" s="2" t="s">
        <v>55</v>
      </c>
      <c r="N511" s="2" t="s">
        <v>56</v>
      </c>
      <c r="O511" s="2" t="s">
        <v>1581</v>
      </c>
      <c r="P511" s="2"/>
      <c r="Q511" s="2" t="s">
        <v>1585</v>
      </c>
      <c r="R511" s="2"/>
    </row>
    <row r="512" spans="1:18">
      <c r="A512" s="2" t="s">
        <v>1586</v>
      </c>
      <c r="B512" s="2" t="s">
        <v>1587</v>
      </c>
      <c r="C512" s="2" t="s">
        <v>1580</v>
      </c>
      <c r="D512" s="2">
        <v>5115144216.43</v>
      </c>
      <c r="E512" s="2">
        <v>1</v>
      </c>
      <c r="F512" s="3">
        <f>IF(COUNT(D512,E512)=2,D512*E512,NA())</f>
        <v>5115144216.43</v>
      </c>
      <c r="G512" s="2" t="s">
        <v>50</v>
      </c>
      <c r="H512" s="2" t="s">
        <v>51</v>
      </c>
      <c r="I512" s="2" t="s">
        <v>52</v>
      </c>
      <c r="J512" s="2" t="s">
        <v>53</v>
      </c>
      <c r="K512" s="2"/>
      <c r="L512" s="2" t="s">
        <v>814</v>
      </c>
      <c r="M512" s="2" t="s">
        <v>55</v>
      </c>
      <c r="N512" s="2" t="s">
        <v>56</v>
      </c>
      <c r="O512" s="2" t="s">
        <v>1581</v>
      </c>
      <c r="P512" s="2"/>
      <c r="Q512" s="2" t="s">
        <v>1588</v>
      </c>
      <c r="R512" s="2"/>
    </row>
    <row r="513" spans="1:18">
      <c r="A513" s="2" t="s">
        <v>1589</v>
      </c>
      <c r="B513" s="2" t="s">
        <v>1590</v>
      </c>
      <c r="C513" s="2" t="s">
        <v>1580</v>
      </c>
      <c r="D513" s="2">
        <v>5033823848.47</v>
      </c>
      <c r="E513" s="2">
        <v>1</v>
      </c>
      <c r="F513" s="3">
        <f>IF(COUNT(D513,E513)=2,D513*E513,NA())</f>
        <v>5033823848.47</v>
      </c>
      <c r="G513" s="2" t="s">
        <v>50</v>
      </c>
      <c r="H513" s="2" t="s">
        <v>51</v>
      </c>
      <c r="I513" s="2" t="s">
        <v>52</v>
      </c>
      <c r="J513" s="2" t="s">
        <v>53</v>
      </c>
      <c r="K513" s="2"/>
      <c r="L513" s="2" t="s">
        <v>814</v>
      </c>
      <c r="M513" s="2" t="s">
        <v>55</v>
      </c>
      <c r="N513" s="2" t="s">
        <v>56</v>
      </c>
      <c r="O513" s="2" t="s">
        <v>1581</v>
      </c>
      <c r="P513" s="2"/>
      <c r="Q513" s="2" t="s">
        <v>1591</v>
      </c>
      <c r="R513" s="2"/>
    </row>
    <row r="514" spans="1:18">
      <c r="A514" s="2" t="s">
        <v>1592</v>
      </c>
      <c r="B514" s="2" t="s">
        <v>1593</v>
      </c>
      <c r="C514" s="2" t="s">
        <v>1580</v>
      </c>
      <c r="D514" s="2">
        <v>2328973992.71</v>
      </c>
      <c r="E514" s="2">
        <v>1</v>
      </c>
      <c r="F514" s="3">
        <f>IF(COUNT(D514,E514)=2,D514*E514,NA())</f>
        <v>2328973992.71</v>
      </c>
      <c r="G514" s="2" t="s">
        <v>50</v>
      </c>
      <c r="H514" s="2" t="s">
        <v>51</v>
      </c>
      <c r="I514" s="2" t="s">
        <v>52</v>
      </c>
      <c r="J514" s="2" t="s">
        <v>53</v>
      </c>
      <c r="K514" s="2"/>
      <c r="L514" s="2" t="s">
        <v>814</v>
      </c>
      <c r="M514" s="2" t="s">
        <v>55</v>
      </c>
      <c r="N514" s="2" t="s">
        <v>56</v>
      </c>
      <c r="O514" s="2" t="s">
        <v>1581</v>
      </c>
      <c r="P514" s="2"/>
      <c r="Q514" s="2" t="s">
        <v>1594</v>
      </c>
      <c r="R514" s="2"/>
    </row>
    <row r="515" spans="1:18">
      <c r="A515" s="2" t="s">
        <v>1595</v>
      </c>
      <c r="B515" s="2" t="s">
        <v>1596</v>
      </c>
      <c r="C515" s="2" t="s">
        <v>1580</v>
      </c>
      <c r="D515" s="2">
        <v>1996303433.5</v>
      </c>
      <c r="E515" s="2">
        <v>1</v>
      </c>
      <c r="F515" s="3">
        <f>IF(COUNT(D515,E515)=2,D515*E515,NA())</f>
        <v>1996303433.5</v>
      </c>
      <c r="G515" s="2" t="s">
        <v>50</v>
      </c>
      <c r="H515" s="2" t="s">
        <v>51</v>
      </c>
      <c r="I515" s="2" t="s">
        <v>52</v>
      </c>
      <c r="J515" s="2" t="s">
        <v>53</v>
      </c>
      <c r="K515" s="2"/>
      <c r="L515" s="2" t="s">
        <v>814</v>
      </c>
      <c r="M515" s="2" t="s">
        <v>55</v>
      </c>
      <c r="N515" s="2" t="s">
        <v>56</v>
      </c>
      <c r="O515" s="2" t="s">
        <v>1581</v>
      </c>
      <c r="P515" s="2"/>
      <c r="Q515" s="2" t="s">
        <v>1597</v>
      </c>
      <c r="R515" s="2"/>
    </row>
    <row r="516" spans="1:18">
      <c r="A516" s="2" t="s">
        <v>1598</v>
      </c>
      <c r="B516" s="2" t="s">
        <v>1599</v>
      </c>
      <c r="C516" s="2" t="s">
        <v>1580</v>
      </c>
      <c r="D516" s="2">
        <v>332670559.21</v>
      </c>
      <c r="E516" s="2">
        <v>1</v>
      </c>
      <c r="F516" s="3">
        <f>IF(COUNT(D516,E516)=2,D516*E516,NA())</f>
        <v>332670559.21</v>
      </c>
      <c r="G516" s="2" t="s">
        <v>50</v>
      </c>
      <c r="H516" s="2" t="s">
        <v>51</v>
      </c>
      <c r="I516" s="2" t="s">
        <v>52</v>
      </c>
      <c r="J516" s="2" t="s">
        <v>53</v>
      </c>
      <c r="K516" s="2"/>
      <c r="L516" s="2" t="s">
        <v>814</v>
      </c>
      <c r="M516" s="2" t="s">
        <v>55</v>
      </c>
      <c r="N516" s="2" t="s">
        <v>56</v>
      </c>
      <c r="O516" s="2" t="s">
        <v>1581</v>
      </c>
      <c r="P516" s="2"/>
      <c r="Q516" s="2" t="s">
        <v>1600</v>
      </c>
      <c r="R516" s="2"/>
    </row>
    <row r="517" spans="1:18">
      <c r="A517" s="2" t="s">
        <v>1601</v>
      </c>
      <c r="B517" s="2" t="s">
        <v>1602</v>
      </c>
      <c r="C517" s="2" t="s">
        <v>1580</v>
      </c>
      <c r="D517" s="2">
        <v>9815309440.049999</v>
      </c>
      <c r="E517" s="2">
        <v>1</v>
      </c>
      <c r="F517" s="3">
        <f>IF(COUNT(D517,E517)=2,D517*E517,NA())</f>
        <v>9815309440.05</v>
      </c>
      <c r="G517" s="2" t="s">
        <v>50</v>
      </c>
      <c r="H517" s="2" t="s">
        <v>51</v>
      </c>
      <c r="I517" s="2" t="s">
        <v>52</v>
      </c>
      <c r="J517" s="2" t="s">
        <v>53</v>
      </c>
      <c r="K517" s="2"/>
      <c r="L517" s="2" t="s">
        <v>814</v>
      </c>
      <c r="M517" s="2" t="s">
        <v>55</v>
      </c>
      <c r="N517" s="2" t="s">
        <v>56</v>
      </c>
      <c r="O517" s="2" t="s">
        <v>1581</v>
      </c>
      <c r="P517" s="2"/>
      <c r="Q517" s="2" t="s">
        <v>1603</v>
      </c>
      <c r="R517" s="2"/>
    </row>
    <row r="518" spans="1:18">
      <c r="A518" s="2" t="s">
        <v>1604</v>
      </c>
      <c r="B518" s="2" t="s">
        <v>1605</v>
      </c>
      <c r="C518" s="2" t="s">
        <v>1580</v>
      </c>
      <c r="D518" s="2">
        <v>5961498886.12</v>
      </c>
      <c r="E518" s="2">
        <v>1</v>
      </c>
      <c r="F518" s="3">
        <f>IF(COUNT(D518,E518)=2,D518*E518,NA())</f>
        <v>5961498886.12</v>
      </c>
      <c r="G518" s="2" t="s">
        <v>50</v>
      </c>
      <c r="H518" s="2" t="s">
        <v>51</v>
      </c>
      <c r="I518" s="2" t="s">
        <v>52</v>
      </c>
      <c r="J518" s="2" t="s">
        <v>53</v>
      </c>
      <c r="K518" s="2"/>
      <c r="L518" s="2" t="s">
        <v>814</v>
      </c>
      <c r="M518" s="2" t="s">
        <v>55</v>
      </c>
      <c r="N518" s="2" t="s">
        <v>56</v>
      </c>
      <c r="O518" s="2" t="s">
        <v>1581</v>
      </c>
      <c r="P518" s="2"/>
      <c r="Q518" s="2" t="s">
        <v>1606</v>
      </c>
      <c r="R518" s="2"/>
    </row>
    <row r="519" spans="1:18">
      <c r="A519" s="2" t="s">
        <v>1607</v>
      </c>
      <c r="B519" s="2" t="s">
        <v>1608</v>
      </c>
      <c r="C519" s="2" t="s">
        <v>1580</v>
      </c>
      <c r="D519" s="2">
        <v>4118738675.18</v>
      </c>
      <c r="E519" s="2">
        <v>1</v>
      </c>
      <c r="F519" s="3">
        <f>IF(COUNT(D519,E519)=2,D519*E519,NA())</f>
        <v>4118738675.18</v>
      </c>
      <c r="G519" s="2" t="s">
        <v>50</v>
      </c>
      <c r="H519" s="2" t="s">
        <v>51</v>
      </c>
      <c r="I519" s="2" t="s">
        <v>52</v>
      </c>
      <c r="J519" s="2" t="s">
        <v>53</v>
      </c>
      <c r="K519" s="2"/>
      <c r="L519" s="2" t="s">
        <v>814</v>
      </c>
      <c r="M519" s="2" t="s">
        <v>55</v>
      </c>
      <c r="N519" s="2" t="s">
        <v>56</v>
      </c>
      <c r="O519" s="2" t="s">
        <v>1581</v>
      </c>
      <c r="P519" s="2"/>
      <c r="Q519" s="2" t="s">
        <v>1609</v>
      </c>
      <c r="R519" s="2"/>
    </row>
    <row r="520" spans="1:18">
      <c r="A520" s="2" t="s">
        <v>1610</v>
      </c>
      <c r="B520" s="2" t="s">
        <v>1611</v>
      </c>
      <c r="C520" s="2" t="s">
        <v>1580</v>
      </c>
      <c r="D520" s="2">
        <v>441920060.87</v>
      </c>
      <c r="E520" s="2">
        <v>1</v>
      </c>
      <c r="F520" s="3">
        <f>IF(COUNT(D520,E520)=2,D520*E520,NA())</f>
        <v>441920060.87</v>
      </c>
      <c r="G520" s="2" t="s">
        <v>50</v>
      </c>
      <c r="H520" s="2" t="s">
        <v>51</v>
      </c>
      <c r="I520" s="2" t="s">
        <v>52</v>
      </c>
      <c r="J520" s="2" t="s">
        <v>53</v>
      </c>
      <c r="K520" s="2"/>
      <c r="L520" s="2" t="s">
        <v>814</v>
      </c>
      <c r="M520" s="2" t="s">
        <v>55</v>
      </c>
      <c r="N520" s="2" t="s">
        <v>56</v>
      </c>
      <c r="O520" s="2" t="s">
        <v>1581</v>
      </c>
      <c r="P520" s="2"/>
      <c r="Q520" s="2" t="s">
        <v>1612</v>
      </c>
      <c r="R520" s="2"/>
    </row>
    <row r="521" spans="1:18">
      <c r="A521" s="2" t="s">
        <v>1613</v>
      </c>
      <c r="B521" s="2" t="s">
        <v>1614</v>
      </c>
      <c r="C521" s="2" t="s">
        <v>1580</v>
      </c>
      <c r="D521" s="2">
        <v>4368440543.67</v>
      </c>
      <c r="E521" s="2">
        <v>1</v>
      </c>
      <c r="F521" s="3">
        <f>IF(COUNT(D521,E521)=2,D521*E521,NA())</f>
        <v>4368440543.67</v>
      </c>
      <c r="G521" s="2" t="s">
        <v>50</v>
      </c>
      <c r="H521" s="2" t="s">
        <v>51</v>
      </c>
      <c r="I521" s="2" t="s">
        <v>52</v>
      </c>
      <c r="J521" s="2" t="s">
        <v>53</v>
      </c>
      <c r="K521" s="2"/>
      <c r="L521" s="2" t="s">
        <v>814</v>
      </c>
      <c r="M521" s="2" t="s">
        <v>55</v>
      </c>
      <c r="N521" s="2" t="s">
        <v>56</v>
      </c>
      <c r="O521" s="2" t="s">
        <v>1581</v>
      </c>
      <c r="P521" s="2"/>
      <c r="Q521" s="2" t="s">
        <v>1615</v>
      </c>
      <c r="R521" s="2"/>
    </row>
    <row r="522" spans="1:18">
      <c r="A522" s="2" t="s">
        <v>1616</v>
      </c>
      <c r="B522" s="2" t="s">
        <v>1617</v>
      </c>
      <c r="C522" s="2" t="s">
        <v>1580</v>
      </c>
      <c r="D522" s="2">
        <v>1400511187.61</v>
      </c>
      <c r="E522" s="2">
        <v>1</v>
      </c>
      <c r="F522" s="3">
        <f>IF(COUNT(D522,E522)=2,D522*E522,NA())</f>
        <v>1400511187.61</v>
      </c>
      <c r="G522" s="2" t="s">
        <v>50</v>
      </c>
      <c r="H522" s="2" t="s">
        <v>51</v>
      </c>
      <c r="I522" s="2" t="s">
        <v>52</v>
      </c>
      <c r="J522" s="2" t="s">
        <v>53</v>
      </c>
      <c r="K522" s="2"/>
      <c r="L522" s="2" t="s">
        <v>814</v>
      </c>
      <c r="M522" s="2" t="s">
        <v>55</v>
      </c>
      <c r="N522" s="2" t="s">
        <v>56</v>
      </c>
      <c r="O522" s="2" t="s">
        <v>1581</v>
      </c>
      <c r="P522" s="2"/>
      <c r="Q522" s="2" t="s">
        <v>1618</v>
      </c>
      <c r="R522" s="2"/>
    </row>
    <row r="523" spans="1:18">
      <c r="A523" s="2" t="s">
        <v>1619</v>
      </c>
      <c r="B523" s="2" t="s">
        <v>1620</v>
      </c>
      <c r="C523" s="2" t="s">
        <v>1580</v>
      </c>
      <c r="D523" s="2">
        <v>1515681555.95</v>
      </c>
      <c r="E523" s="2">
        <v>1</v>
      </c>
      <c r="F523" s="3">
        <f>IF(COUNT(D523,E523)=2,D523*E523,NA())</f>
        <v>1515681555.95</v>
      </c>
      <c r="G523" s="2" t="s">
        <v>50</v>
      </c>
      <c r="H523" s="2" t="s">
        <v>51</v>
      </c>
      <c r="I523" s="2" t="s">
        <v>52</v>
      </c>
      <c r="J523" s="2" t="s">
        <v>53</v>
      </c>
      <c r="K523" s="2"/>
      <c r="L523" s="2" t="s">
        <v>814</v>
      </c>
      <c r="M523" s="2" t="s">
        <v>55</v>
      </c>
      <c r="N523" s="2" t="s">
        <v>56</v>
      </c>
      <c r="O523" s="2" t="s">
        <v>1581</v>
      </c>
      <c r="P523" s="2"/>
      <c r="Q523" s="2" t="s">
        <v>1621</v>
      </c>
      <c r="R523" s="2"/>
    </row>
    <row r="524" spans="1:18">
      <c r="A524" s="2" t="s">
        <v>1622</v>
      </c>
      <c r="B524" s="2" t="s">
        <v>1623</v>
      </c>
      <c r="C524" s="2" t="s">
        <v>1580</v>
      </c>
      <c r="D524" s="2">
        <v>328984847.22</v>
      </c>
      <c r="E524" s="2">
        <v>1</v>
      </c>
      <c r="F524" s="3">
        <f>IF(COUNT(D524,E524)=2,D524*E524,NA())</f>
        <v>328984847.22</v>
      </c>
      <c r="G524" s="2" t="s">
        <v>50</v>
      </c>
      <c r="H524" s="2" t="s">
        <v>51</v>
      </c>
      <c r="I524" s="2" t="s">
        <v>52</v>
      </c>
      <c r="J524" s="2" t="s">
        <v>53</v>
      </c>
      <c r="K524" s="2"/>
      <c r="L524" s="2" t="s">
        <v>814</v>
      </c>
      <c r="M524" s="2" t="s">
        <v>55</v>
      </c>
      <c r="N524" s="2" t="s">
        <v>56</v>
      </c>
      <c r="O524" s="2" t="s">
        <v>1581</v>
      </c>
      <c r="P524" s="2"/>
      <c r="Q524" s="2" t="s">
        <v>1624</v>
      </c>
      <c r="R524" s="2"/>
    </row>
    <row r="525" spans="1:18">
      <c r="A525" s="2" t="s">
        <v>1625</v>
      </c>
      <c r="B525" s="2" t="s">
        <v>1626</v>
      </c>
      <c r="C525" s="2" t="s">
        <v>1580</v>
      </c>
      <c r="D525" s="2">
        <v>11213474.5</v>
      </c>
      <c r="E525" s="2">
        <v>1</v>
      </c>
      <c r="F525" s="3">
        <f>IF(COUNT(D525,E525)=2,D525*E525,NA())</f>
        <v>11213474.5</v>
      </c>
      <c r="G525" s="2" t="s">
        <v>50</v>
      </c>
      <c r="H525" s="2" t="s">
        <v>51</v>
      </c>
      <c r="I525" s="2" t="s">
        <v>52</v>
      </c>
      <c r="J525" s="2" t="s">
        <v>53</v>
      </c>
      <c r="K525" s="2"/>
      <c r="L525" s="2" t="s">
        <v>814</v>
      </c>
      <c r="M525" s="2" t="s">
        <v>55</v>
      </c>
      <c r="N525" s="2" t="s">
        <v>56</v>
      </c>
      <c r="O525" s="2" t="s">
        <v>1581</v>
      </c>
      <c r="P525" s="2"/>
      <c r="Q525" s="2" t="s">
        <v>1627</v>
      </c>
      <c r="R525" s="2"/>
    </row>
    <row r="526" spans="1:18">
      <c r="A526" s="2" t="s">
        <v>1628</v>
      </c>
      <c r="B526" s="2" t="s">
        <v>1629</v>
      </c>
      <c r="C526" s="2" t="s">
        <v>1580</v>
      </c>
      <c r="D526" s="2">
        <v>7944393327.05</v>
      </c>
      <c r="E526" s="2">
        <v>1</v>
      </c>
      <c r="F526" s="3">
        <f>IF(COUNT(D526,E526)=2,D526*E526,NA())</f>
        <v>7944393327.05</v>
      </c>
      <c r="G526" s="2" t="s">
        <v>50</v>
      </c>
      <c r="H526" s="2" t="s">
        <v>51</v>
      </c>
      <c r="I526" s="2" t="s">
        <v>52</v>
      </c>
      <c r="J526" s="2" t="s">
        <v>53</v>
      </c>
      <c r="K526" s="2" t="s">
        <v>1562</v>
      </c>
      <c r="L526" s="2" t="s">
        <v>814</v>
      </c>
      <c r="M526" s="2" t="s">
        <v>392</v>
      </c>
      <c r="N526" s="2" t="s">
        <v>56</v>
      </c>
      <c r="O526" s="2" t="s">
        <v>1581</v>
      </c>
      <c r="P526" s="2"/>
      <c r="Q526" s="2" t="s">
        <v>1630</v>
      </c>
      <c r="R526" s="2"/>
    </row>
    <row r="527" spans="1:18">
      <c r="A527" s="2" t="s">
        <v>1631</v>
      </c>
      <c r="B527" s="2" t="s">
        <v>1632</v>
      </c>
      <c r="C527" s="2" t="s">
        <v>1580</v>
      </c>
      <c r="D527" s="2">
        <v>6284202438.05</v>
      </c>
      <c r="E527" s="2">
        <v>1</v>
      </c>
      <c r="F527" s="3">
        <f>IF(COUNT(D527,E527)=2,D527*E527,NA())</f>
        <v>6284202438.05</v>
      </c>
      <c r="G527" s="2" t="s">
        <v>50</v>
      </c>
      <c r="H527" s="2" t="s">
        <v>51</v>
      </c>
      <c r="I527" s="2" t="s">
        <v>52</v>
      </c>
      <c r="J527" s="2" t="s">
        <v>53</v>
      </c>
      <c r="K527" s="2" t="s">
        <v>1562</v>
      </c>
      <c r="L527" s="2" t="s">
        <v>814</v>
      </c>
      <c r="M527" s="2" t="s">
        <v>392</v>
      </c>
      <c r="N527" s="2" t="s">
        <v>56</v>
      </c>
      <c r="O527" s="2" t="s">
        <v>1581</v>
      </c>
      <c r="P527" s="2"/>
      <c r="Q527" s="2" t="s">
        <v>1633</v>
      </c>
      <c r="R527" s="2"/>
    </row>
    <row r="528" spans="1:18">
      <c r="A528" s="2" t="s">
        <v>1634</v>
      </c>
      <c r="B528" s="2" t="s">
        <v>1635</v>
      </c>
      <c r="C528" s="2" t="s">
        <v>1580</v>
      </c>
      <c r="D528" s="2">
        <v>-429464086.97</v>
      </c>
      <c r="E528" s="2">
        <v>1</v>
      </c>
      <c r="F528" s="3">
        <f>IF(COUNT(D528,E528)=2,D528*E528,NA())</f>
        <v>-429464086.97</v>
      </c>
      <c r="G528" s="2" t="s">
        <v>50</v>
      </c>
      <c r="H528" s="2" t="s">
        <v>51</v>
      </c>
      <c r="I528" s="2" t="s">
        <v>52</v>
      </c>
      <c r="J528" s="2" t="s">
        <v>53</v>
      </c>
      <c r="K528" s="2" t="s">
        <v>1562</v>
      </c>
      <c r="L528" s="2" t="s">
        <v>814</v>
      </c>
      <c r="M528" s="2" t="s">
        <v>392</v>
      </c>
      <c r="N528" s="2" t="s">
        <v>56</v>
      </c>
      <c r="O528" s="2" t="s">
        <v>1581</v>
      </c>
      <c r="P528" s="2"/>
      <c r="Q528" s="2" t="s">
        <v>1636</v>
      </c>
      <c r="R528" s="2"/>
    </row>
    <row r="529" spans="1:18">
      <c r="A529" s="2" t="s">
        <v>1637</v>
      </c>
      <c r="B529" s="2" t="s">
        <v>1638</v>
      </c>
      <c r="C529" s="2" t="s">
        <v>1580</v>
      </c>
      <c r="D529" s="2">
        <v>-342562042.65</v>
      </c>
      <c r="E529" s="2">
        <v>1</v>
      </c>
      <c r="F529" s="3">
        <f>IF(COUNT(D529,E529)=2,D529*E529,NA())</f>
        <v>-342562042.65</v>
      </c>
      <c r="G529" s="2" t="s">
        <v>50</v>
      </c>
      <c r="H529" s="2" t="s">
        <v>51</v>
      </c>
      <c r="I529" s="2" t="s">
        <v>52</v>
      </c>
      <c r="J529" s="2" t="s">
        <v>53</v>
      </c>
      <c r="K529" s="2" t="s">
        <v>1562</v>
      </c>
      <c r="L529" s="2" t="s">
        <v>814</v>
      </c>
      <c r="M529" s="2" t="s">
        <v>392</v>
      </c>
      <c r="N529" s="2" t="s">
        <v>56</v>
      </c>
      <c r="O529" s="2" t="s">
        <v>1581</v>
      </c>
      <c r="P529" s="2"/>
      <c r="Q529" s="2" t="s">
        <v>1639</v>
      </c>
      <c r="R529" s="2"/>
    </row>
    <row r="530" spans="1:18">
      <c r="A530" s="2" t="s">
        <v>1640</v>
      </c>
      <c r="B530" s="2" t="s">
        <v>1641</v>
      </c>
      <c r="C530" s="2" t="s">
        <v>1580</v>
      </c>
      <c r="D530" s="2">
        <v>-337600673.18</v>
      </c>
      <c r="E530" s="2">
        <v>1</v>
      </c>
      <c r="F530" s="3">
        <f>IF(COUNT(D530,E530)=2,D530*E530,NA())</f>
        <v>-337600673.18</v>
      </c>
      <c r="G530" s="2" t="s">
        <v>50</v>
      </c>
      <c r="H530" s="2" t="s">
        <v>51</v>
      </c>
      <c r="I530" s="2" t="s">
        <v>52</v>
      </c>
      <c r="J530" s="2" t="s">
        <v>53</v>
      </c>
      <c r="K530" s="2" t="s">
        <v>1562</v>
      </c>
      <c r="L530" s="2" t="s">
        <v>814</v>
      </c>
      <c r="M530" s="2" t="s">
        <v>392</v>
      </c>
      <c r="N530" s="2" t="s">
        <v>56</v>
      </c>
      <c r="O530" s="2" t="s">
        <v>1581</v>
      </c>
      <c r="P530" s="2"/>
      <c r="Q530" s="2" t="s">
        <v>1642</v>
      </c>
      <c r="R530" s="2"/>
    </row>
    <row r="531" spans="1:18">
      <c r="A531" s="2" t="s">
        <v>1643</v>
      </c>
      <c r="B531" s="2" t="s">
        <v>1644</v>
      </c>
      <c r="C531" s="2" t="s">
        <v>1580</v>
      </c>
      <c r="D531" s="2">
        <v>-761744011.13</v>
      </c>
      <c r="E531" s="2">
        <v>1</v>
      </c>
      <c r="F531" s="3">
        <f>IF(COUNT(D531,E531)=2,D531*E531,NA())</f>
        <v>-761744011.13</v>
      </c>
      <c r="G531" s="2" t="s">
        <v>50</v>
      </c>
      <c r="H531" s="2" t="s">
        <v>51</v>
      </c>
      <c r="I531" s="2" t="s">
        <v>52</v>
      </c>
      <c r="J531" s="2" t="s">
        <v>53</v>
      </c>
      <c r="K531" s="2" t="s">
        <v>1562</v>
      </c>
      <c r="L531" s="2" t="s">
        <v>814</v>
      </c>
      <c r="M531" s="2" t="s">
        <v>392</v>
      </c>
      <c r="N531" s="2" t="s">
        <v>56</v>
      </c>
      <c r="O531" s="2" t="s">
        <v>1581</v>
      </c>
      <c r="P531" s="2"/>
      <c r="Q531" s="2" t="s">
        <v>1645</v>
      </c>
      <c r="R531" s="2"/>
    </row>
    <row r="532" spans="1:18">
      <c r="A532" s="2" t="s">
        <v>1646</v>
      </c>
      <c r="B532" s="2" t="s">
        <v>1647</v>
      </c>
      <c r="C532" s="2" t="s">
        <v>1580</v>
      </c>
      <c r="D532" s="2">
        <v>-61410882.44</v>
      </c>
      <c r="E532" s="2">
        <v>1</v>
      </c>
      <c r="F532" s="3">
        <f>IF(COUNT(D532,E532)=2,D532*E532,NA())</f>
        <v>-61410882.44</v>
      </c>
      <c r="G532" s="2" t="s">
        <v>50</v>
      </c>
      <c r="H532" s="2" t="s">
        <v>51</v>
      </c>
      <c r="I532" s="2" t="s">
        <v>52</v>
      </c>
      <c r="J532" s="2" t="s">
        <v>53</v>
      </c>
      <c r="K532" s="2" t="s">
        <v>1562</v>
      </c>
      <c r="L532" s="2" t="s">
        <v>814</v>
      </c>
      <c r="M532" s="2" t="s">
        <v>392</v>
      </c>
      <c r="N532" s="2" t="s">
        <v>56</v>
      </c>
      <c r="O532" s="2" t="s">
        <v>1581</v>
      </c>
      <c r="P532" s="2"/>
      <c r="Q532" s="2" t="s">
        <v>1648</v>
      </c>
      <c r="R532" s="2"/>
    </row>
    <row r="533" spans="1:18">
      <c r="A533" s="2" t="s">
        <v>1649</v>
      </c>
      <c r="B533" s="2" t="s">
        <v>1650</v>
      </c>
      <c r="C533" s="2" t="s">
        <v>1580</v>
      </c>
      <c r="D533" s="2">
        <v>106032403.3</v>
      </c>
      <c r="E533" s="2">
        <v>1</v>
      </c>
      <c r="F533" s="3">
        <f>IF(COUNT(D533,E533)=2,D533*E533,NA())</f>
        <v>106032403.3</v>
      </c>
      <c r="G533" s="2" t="s">
        <v>50</v>
      </c>
      <c r="H533" s="2" t="s">
        <v>51</v>
      </c>
      <c r="I533" s="2" t="s">
        <v>52</v>
      </c>
      <c r="J533" s="2" t="s">
        <v>53</v>
      </c>
      <c r="K533" s="2" t="s">
        <v>1562</v>
      </c>
      <c r="L533" s="2" t="s">
        <v>814</v>
      </c>
      <c r="M533" s="2" t="s">
        <v>392</v>
      </c>
      <c r="N533" s="2" t="s">
        <v>56</v>
      </c>
      <c r="O533" s="2" t="s">
        <v>1581</v>
      </c>
      <c r="P533" s="2"/>
      <c r="Q533" s="2" t="s">
        <v>1651</v>
      </c>
      <c r="R533" s="2"/>
    </row>
    <row r="534" spans="1:18">
      <c r="A534" s="2" t="s">
        <v>1652</v>
      </c>
      <c r="B534" s="2" t="s">
        <v>1653</v>
      </c>
      <c r="C534" s="2" t="s">
        <v>1580</v>
      </c>
      <c r="D534" s="2">
        <v>244427884.91</v>
      </c>
      <c r="E534" s="2">
        <v>1</v>
      </c>
      <c r="F534" s="3">
        <f>IF(COUNT(D534,E534)=2,D534*E534,NA())</f>
        <v>244427884.91</v>
      </c>
      <c r="G534" s="2" t="s">
        <v>50</v>
      </c>
      <c r="H534" s="2" t="s">
        <v>51</v>
      </c>
      <c r="I534" s="2" t="s">
        <v>52</v>
      </c>
      <c r="J534" s="2" t="s">
        <v>53</v>
      </c>
      <c r="K534" s="2" t="s">
        <v>1562</v>
      </c>
      <c r="L534" s="2" t="s">
        <v>814</v>
      </c>
      <c r="M534" s="2" t="s">
        <v>392</v>
      </c>
      <c r="N534" s="2" t="s">
        <v>56</v>
      </c>
      <c r="O534" s="2" t="s">
        <v>1581</v>
      </c>
      <c r="P534" s="2"/>
      <c r="Q534" s="2" t="s">
        <v>1654</v>
      </c>
      <c r="R534" s="2"/>
    </row>
    <row r="535" spans="1:18">
      <c r="A535" s="2" t="s">
        <v>1655</v>
      </c>
      <c r="B535" s="2" t="s">
        <v>1656</v>
      </c>
      <c r="C535" s="2" t="s">
        <v>1580</v>
      </c>
      <c r="D535" s="2">
        <v>14313555.17</v>
      </c>
      <c r="E535" s="2">
        <v>1</v>
      </c>
      <c r="F535" s="3">
        <f>IF(COUNT(D535,E535)=2,D535*E535,NA())</f>
        <v>14313555.17</v>
      </c>
      <c r="G535" s="2" t="s">
        <v>50</v>
      </c>
      <c r="H535" s="2" t="s">
        <v>51</v>
      </c>
      <c r="I535" s="2" t="s">
        <v>52</v>
      </c>
      <c r="J535" s="2" t="s">
        <v>53</v>
      </c>
      <c r="K535" s="2" t="s">
        <v>1562</v>
      </c>
      <c r="L535" s="2" t="s">
        <v>814</v>
      </c>
      <c r="M535" s="2" t="s">
        <v>392</v>
      </c>
      <c r="N535" s="2" t="s">
        <v>56</v>
      </c>
      <c r="O535" s="2" t="s">
        <v>1581</v>
      </c>
      <c r="P535" s="2"/>
      <c r="Q535" s="2" t="s">
        <v>1657</v>
      </c>
      <c r="R535" s="2"/>
    </row>
    <row r="536" spans="1:18">
      <c r="A536" s="2" t="s">
        <v>1658</v>
      </c>
      <c r="B536" s="2" t="s">
        <v>1659</v>
      </c>
      <c r="C536" s="2" t="s">
        <v>1580</v>
      </c>
      <c r="D536" s="2">
        <v>1427182.63</v>
      </c>
      <c r="E536" s="2">
        <v>1</v>
      </c>
      <c r="F536" s="3">
        <f>IF(COUNT(D536,E536)=2,D536*E536,NA())</f>
        <v>1427182.63</v>
      </c>
      <c r="G536" s="2" t="s">
        <v>50</v>
      </c>
      <c r="H536" s="2" t="s">
        <v>51</v>
      </c>
      <c r="I536" s="2" t="s">
        <v>52</v>
      </c>
      <c r="J536" s="2" t="s">
        <v>53</v>
      </c>
      <c r="K536" s="2" t="s">
        <v>1562</v>
      </c>
      <c r="L536" s="2" t="s">
        <v>814</v>
      </c>
      <c r="M536" s="2" t="s">
        <v>392</v>
      </c>
      <c r="N536" s="2" t="s">
        <v>56</v>
      </c>
      <c r="O536" s="2" t="s">
        <v>1581</v>
      </c>
      <c r="P536" s="2"/>
      <c r="Q536" s="2" t="s">
        <v>1660</v>
      </c>
      <c r="R536" s="2"/>
    </row>
    <row r="537" spans="1:18">
      <c r="A537" s="2" t="s">
        <v>1661</v>
      </c>
      <c r="B537" s="2" t="s">
        <v>1662</v>
      </c>
      <c r="C537" s="2" t="s">
        <v>1580</v>
      </c>
      <c r="D537" s="2">
        <v>191826903.51</v>
      </c>
      <c r="E537" s="2">
        <v>1</v>
      </c>
      <c r="F537" s="3">
        <f>IF(COUNT(D537,E537)=2,D537*E537,NA())</f>
        <v>191826903.51</v>
      </c>
      <c r="G537" s="2" t="s">
        <v>50</v>
      </c>
      <c r="H537" s="2" t="s">
        <v>51</v>
      </c>
      <c r="I537" s="2" t="s">
        <v>52</v>
      </c>
      <c r="J537" s="2" t="s">
        <v>53</v>
      </c>
      <c r="K537" s="2" t="s">
        <v>1562</v>
      </c>
      <c r="L537" s="2" t="s">
        <v>814</v>
      </c>
      <c r="M537" s="2" t="s">
        <v>392</v>
      </c>
      <c r="N537" s="2" t="s">
        <v>56</v>
      </c>
      <c r="O537" s="2" t="s">
        <v>1581</v>
      </c>
      <c r="P537" s="2"/>
      <c r="Q537" s="2" t="s">
        <v>1663</v>
      </c>
      <c r="R537" s="2"/>
    </row>
    <row r="538" spans="1:18">
      <c r="A538" s="2" t="s">
        <v>1664</v>
      </c>
      <c r="B538" s="2" t="s">
        <v>1665</v>
      </c>
      <c r="C538" s="2" t="s">
        <v>1580</v>
      </c>
      <c r="D538" s="2">
        <v>-1768011349.49</v>
      </c>
      <c r="E538" s="2">
        <v>1</v>
      </c>
      <c r="F538" s="3">
        <f>IF(COUNT(D538,E538)=2,D538*E538,NA())</f>
        <v>-1768011349.49</v>
      </c>
      <c r="G538" s="2" t="s">
        <v>50</v>
      </c>
      <c r="H538" s="2" t="s">
        <v>51</v>
      </c>
      <c r="I538" s="2" t="s">
        <v>52</v>
      </c>
      <c r="J538" s="2" t="s">
        <v>53</v>
      </c>
      <c r="K538" s="2" t="s">
        <v>1562</v>
      </c>
      <c r="L538" s="2" t="s">
        <v>814</v>
      </c>
      <c r="M538" s="2" t="s">
        <v>392</v>
      </c>
      <c r="N538" s="2" t="s">
        <v>56</v>
      </c>
      <c r="O538" s="2" t="s">
        <v>1581</v>
      </c>
      <c r="P538" s="2"/>
      <c r="Q538" s="2" t="s">
        <v>1666</v>
      </c>
      <c r="R538" s="2"/>
    </row>
    <row r="539" spans="1:18">
      <c r="A539" s="2" t="s">
        <v>1667</v>
      </c>
      <c r="B539" s="2" t="s">
        <v>1668</v>
      </c>
      <c r="C539" s="2" t="s">
        <v>1580</v>
      </c>
      <c r="D539" s="2">
        <v>1664909289.6</v>
      </c>
      <c r="E539" s="2">
        <v>1</v>
      </c>
      <c r="F539" s="3">
        <f>IF(COUNT(D539,E539)=2,D539*E539,NA())</f>
        <v>1664909289.6</v>
      </c>
      <c r="G539" s="2" t="s">
        <v>50</v>
      </c>
      <c r="H539" s="2" t="s">
        <v>51</v>
      </c>
      <c r="I539" s="2" t="s">
        <v>52</v>
      </c>
      <c r="J539" s="2" t="s">
        <v>53</v>
      </c>
      <c r="K539" s="2" t="s">
        <v>1562</v>
      </c>
      <c r="L539" s="2" t="s">
        <v>814</v>
      </c>
      <c r="M539" s="2" t="s">
        <v>392</v>
      </c>
      <c r="N539" s="2" t="s">
        <v>56</v>
      </c>
      <c r="O539" s="2" t="s">
        <v>1581</v>
      </c>
      <c r="P539" s="2"/>
      <c r="Q539" s="2" t="s">
        <v>1669</v>
      </c>
      <c r="R539" s="2"/>
    </row>
    <row r="540" spans="1:18">
      <c r="A540" s="2" t="s">
        <v>1670</v>
      </c>
      <c r="B540" s="2" t="s">
        <v>1671</v>
      </c>
      <c r="C540" s="2" t="s">
        <v>1580</v>
      </c>
      <c r="D540" s="2">
        <v>737592.8</v>
      </c>
      <c r="E540" s="2">
        <v>1</v>
      </c>
      <c r="F540" s="3">
        <f>IF(COUNT(D540,E540)=2,D540*E540,NA())</f>
        <v>737592.8</v>
      </c>
      <c r="G540" s="2" t="s">
        <v>50</v>
      </c>
      <c r="H540" s="2" t="s">
        <v>51</v>
      </c>
      <c r="I540" s="2" t="s">
        <v>52</v>
      </c>
      <c r="J540" s="2" t="s">
        <v>53</v>
      </c>
      <c r="K540" s="2" t="s">
        <v>1562</v>
      </c>
      <c r="L540" s="2" t="s">
        <v>814</v>
      </c>
      <c r="M540" s="2" t="s">
        <v>392</v>
      </c>
      <c r="N540" s="2" t="s">
        <v>56</v>
      </c>
      <c r="O540" s="2" t="s">
        <v>1581</v>
      </c>
      <c r="P540" s="2"/>
      <c r="Q540" s="2" t="s">
        <v>1672</v>
      </c>
      <c r="R540" s="2"/>
    </row>
    <row r="541" spans="1:18">
      <c r="A541" s="2" t="s">
        <v>1673</v>
      </c>
      <c r="B541" s="2" t="s">
        <v>1674</v>
      </c>
      <c r="C541" s="2" t="s">
        <v>1580</v>
      </c>
      <c r="D541" s="2">
        <v>89462436.42</v>
      </c>
      <c r="E541" s="2">
        <v>1</v>
      </c>
      <c r="F541" s="3">
        <f>IF(COUNT(D541,E541)=2,D541*E541,NA())</f>
        <v>89462436.42</v>
      </c>
      <c r="G541" s="2" t="s">
        <v>50</v>
      </c>
      <c r="H541" s="2" t="s">
        <v>51</v>
      </c>
      <c r="I541" s="2" t="s">
        <v>52</v>
      </c>
      <c r="J541" s="2" t="s">
        <v>53</v>
      </c>
      <c r="K541" s="2" t="s">
        <v>1562</v>
      </c>
      <c r="L541" s="2" t="s">
        <v>814</v>
      </c>
      <c r="M541" s="2" t="s">
        <v>392</v>
      </c>
      <c r="N541" s="2" t="s">
        <v>56</v>
      </c>
      <c r="O541" s="2" t="s">
        <v>1581</v>
      </c>
      <c r="P541" s="2"/>
      <c r="Q541" s="2" t="s">
        <v>1675</v>
      </c>
      <c r="R541" s="2"/>
    </row>
    <row r="542" spans="1:18">
      <c r="A542" s="2" t="s">
        <v>1676</v>
      </c>
      <c r="B542" s="2" t="s">
        <v>1677</v>
      </c>
      <c r="C542" s="2" t="s">
        <v>1580</v>
      </c>
      <c r="D542" s="2">
        <v>508412824.34</v>
      </c>
      <c r="E542" s="2">
        <v>1</v>
      </c>
      <c r="F542" s="3">
        <f>IF(COUNT(D542,E542)=2,D542*E542,NA())</f>
        <v>508412824.34</v>
      </c>
      <c r="G542" s="2" t="s">
        <v>50</v>
      </c>
      <c r="H542" s="2" t="s">
        <v>51</v>
      </c>
      <c r="I542" s="2" t="s">
        <v>52</v>
      </c>
      <c r="J542" s="2" t="s">
        <v>53</v>
      </c>
      <c r="K542" s="2" t="s">
        <v>1562</v>
      </c>
      <c r="L542" s="2" t="s">
        <v>814</v>
      </c>
      <c r="M542" s="2" t="s">
        <v>392</v>
      </c>
      <c r="N542" s="2" t="s">
        <v>56</v>
      </c>
      <c r="O542" s="2" t="s">
        <v>1581</v>
      </c>
      <c r="P542" s="2"/>
      <c r="Q542" s="2" t="s">
        <v>1678</v>
      </c>
      <c r="R542" s="2"/>
    </row>
    <row r="543" spans="1:18">
      <c r="A543" s="2" t="s">
        <v>1679</v>
      </c>
      <c r="B543" s="2" t="s">
        <v>1680</v>
      </c>
      <c r="C543" s="2" t="s">
        <v>1681</v>
      </c>
      <c r="D543" s="2"/>
      <c r="E543" s="2">
        <v>1</v>
      </c>
      <c r="F543" s="3" t="e">
        <f>IF(COUNT(D543,E543)=2,D543*E543,NA())</f>
        <v>#N/A</v>
      </c>
      <c r="G543" s="2" t="s">
        <v>50</v>
      </c>
      <c r="H543" s="2" t="s">
        <v>51</v>
      </c>
      <c r="I543" s="2" t="s">
        <v>52</v>
      </c>
      <c r="J543" s="2" t="s">
        <v>53</v>
      </c>
      <c r="K543" s="2"/>
      <c r="L543" s="2" t="s">
        <v>814</v>
      </c>
      <c r="M543" s="2" t="s">
        <v>55</v>
      </c>
      <c r="N543" s="2" t="s">
        <v>1682</v>
      </c>
      <c r="O543" s="2" t="s">
        <v>57</v>
      </c>
      <c r="P543" s="2" t="s">
        <v>1683</v>
      </c>
      <c r="Q543" s="2" t="s">
        <v>1684</v>
      </c>
      <c r="R543" s="2"/>
    </row>
    <row r="544" spans="1:18">
      <c r="A544" s="2" t="s">
        <v>1685</v>
      </c>
      <c r="B544" s="2" t="s">
        <v>1686</v>
      </c>
      <c r="C544" s="2" t="s">
        <v>1681</v>
      </c>
      <c r="D544" s="2"/>
      <c r="E544" s="2">
        <v>1</v>
      </c>
      <c r="F544" s="3" t="e">
        <f>IF(COUNT(D544,E544)=2,D544*E544,NA())</f>
        <v>#N/A</v>
      </c>
      <c r="G544" s="2" t="s">
        <v>50</v>
      </c>
      <c r="H544" s="2" t="s">
        <v>51</v>
      </c>
      <c r="I544" s="2" t="s">
        <v>52</v>
      </c>
      <c r="J544" s="2" t="s">
        <v>53</v>
      </c>
      <c r="K544" s="2" t="s">
        <v>1562</v>
      </c>
      <c r="L544" s="2" t="s">
        <v>814</v>
      </c>
      <c r="M544" s="2" t="s">
        <v>392</v>
      </c>
      <c r="N544" s="2" t="s">
        <v>1682</v>
      </c>
      <c r="O544" s="2" t="s">
        <v>57</v>
      </c>
      <c r="P544" s="2" t="s">
        <v>1683</v>
      </c>
      <c r="Q544" s="2" t="s">
        <v>1687</v>
      </c>
      <c r="R544" s="2"/>
    </row>
    <row r="545" spans="1:18">
      <c r="A545" s="2" t="s">
        <v>1688</v>
      </c>
      <c r="B545" s="2" t="s">
        <v>1689</v>
      </c>
      <c r="C545" s="2" t="s">
        <v>1681</v>
      </c>
      <c r="D545" s="2"/>
      <c r="E545" s="2">
        <v>1</v>
      </c>
      <c r="F545" s="3" t="e">
        <f>IF(COUNT(D545,E545)=2,D545*E545,NA())</f>
        <v>#N/A</v>
      </c>
      <c r="G545" s="2" t="s">
        <v>50</v>
      </c>
      <c r="H545" s="2" t="s">
        <v>51</v>
      </c>
      <c r="I545" s="2" t="s">
        <v>52</v>
      </c>
      <c r="J545" s="2" t="s">
        <v>53</v>
      </c>
      <c r="K545" s="2" t="s">
        <v>1562</v>
      </c>
      <c r="L545" s="2" t="s">
        <v>814</v>
      </c>
      <c r="M545" s="2" t="s">
        <v>392</v>
      </c>
      <c r="N545" s="2" t="s">
        <v>1682</v>
      </c>
      <c r="O545" s="2" t="s">
        <v>57</v>
      </c>
      <c r="P545" s="2" t="s">
        <v>1683</v>
      </c>
      <c r="Q545" s="2" t="s">
        <v>1690</v>
      </c>
      <c r="R545" s="2"/>
    </row>
    <row r="546" spans="1:18">
      <c r="A546" s="2" t="s">
        <v>1691</v>
      </c>
      <c r="B546" s="2" t="s">
        <v>1692</v>
      </c>
      <c r="C546" s="2" t="s">
        <v>1681</v>
      </c>
      <c r="D546" s="2"/>
      <c r="E546" s="2">
        <v>1</v>
      </c>
      <c r="F546" s="3" t="e">
        <f>IF(COUNT(D546,E546)=2,D546*E546,NA())</f>
        <v>#N/A</v>
      </c>
      <c r="G546" s="2" t="s">
        <v>50</v>
      </c>
      <c r="H546" s="2" t="s">
        <v>51</v>
      </c>
      <c r="I546" s="2" t="s">
        <v>52</v>
      </c>
      <c r="J546" s="2" t="s">
        <v>53</v>
      </c>
      <c r="K546" s="2" t="s">
        <v>1562</v>
      </c>
      <c r="L546" s="2" t="s">
        <v>814</v>
      </c>
      <c r="M546" s="2" t="s">
        <v>392</v>
      </c>
      <c r="N546" s="2" t="s">
        <v>1682</v>
      </c>
      <c r="O546" s="2" t="s">
        <v>57</v>
      </c>
      <c r="P546" s="2" t="s">
        <v>1683</v>
      </c>
      <c r="Q546" s="2" t="s">
        <v>1693</v>
      </c>
      <c r="R546" s="2"/>
    </row>
    <row r="547" spans="1:18">
      <c r="A547" s="2" t="s">
        <v>1694</v>
      </c>
      <c r="B547" s="2" t="s">
        <v>1695</v>
      </c>
      <c r="C547" s="2" t="s">
        <v>1681</v>
      </c>
      <c r="D547" s="2"/>
      <c r="E547" s="2">
        <v>1</v>
      </c>
      <c r="F547" s="3" t="e">
        <f>IF(COUNT(D547,E547)=2,D547*E547,NA())</f>
        <v>#N/A</v>
      </c>
      <c r="G547" s="2" t="s">
        <v>50</v>
      </c>
      <c r="H547" s="2" t="s">
        <v>51</v>
      </c>
      <c r="I547" s="2" t="s">
        <v>52</v>
      </c>
      <c r="J547" s="2" t="s">
        <v>53</v>
      </c>
      <c r="K547" s="2"/>
      <c r="L547" s="2" t="s">
        <v>814</v>
      </c>
      <c r="M547" s="2" t="s">
        <v>55</v>
      </c>
      <c r="N547" s="2" t="s">
        <v>1682</v>
      </c>
      <c r="O547" s="2" t="s">
        <v>57</v>
      </c>
      <c r="P547" s="2" t="s">
        <v>1683</v>
      </c>
      <c r="Q547" s="2" t="s">
        <v>79</v>
      </c>
      <c r="R547" s="2"/>
    </row>
    <row r="548" spans="1:18">
      <c r="A548" s="2" t="s">
        <v>1696</v>
      </c>
      <c r="B548" s="2" t="s">
        <v>1697</v>
      </c>
      <c r="C548" s="2" t="s">
        <v>1580</v>
      </c>
      <c r="D548" s="2"/>
      <c r="E548" s="2">
        <v>1</v>
      </c>
      <c r="F548" s="3" t="e">
        <f>IF(COUNT(D548,E548)=2,D548*E548,NA())</f>
        <v>#N/A</v>
      </c>
      <c r="G548" s="2" t="s">
        <v>50</v>
      </c>
      <c r="H548" s="2" t="s">
        <v>51</v>
      </c>
      <c r="I548" s="2" t="s">
        <v>52</v>
      </c>
      <c r="J548" s="2" t="s">
        <v>53</v>
      </c>
      <c r="K548" s="2" t="s">
        <v>1562</v>
      </c>
      <c r="L548" s="2" t="s">
        <v>814</v>
      </c>
      <c r="M548" s="2" t="s">
        <v>392</v>
      </c>
      <c r="N548" s="2" t="s">
        <v>1682</v>
      </c>
      <c r="O548" s="2" t="s">
        <v>1581</v>
      </c>
      <c r="P548" s="2" t="s">
        <v>1698</v>
      </c>
      <c r="Q548" s="2" t="s">
        <v>1690</v>
      </c>
      <c r="R548" s="2"/>
    </row>
    <row r="549" spans="1:18">
      <c r="A549" s="2" t="s">
        <v>1699</v>
      </c>
      <c r="B549" s="2" t="s">
        <v>1700</v>
      </c>
      <c r="C549" s="2" t="s">
        <v>1701</v>
      </c>
      <c r="D549" s="2">
        <v>12345316200.11</v>
      </c>
      <c r="E549" s="2">
        <v>1</v>
      </c>
      <c r="F549" s="3">
        <f>IF(COUNT(D549,E549)=2,D549*E549,NA())</f>
        <v>12345316200.11</v>
      </c>
      <c r="G549" s="2" t="s">
        <v>50</v>
      </c>
      <c r="H549" s="2" t="s">
        <v>51</v>
      </c>
      <c r="I549" s="2" t="s">
        <v>52</v>
      </c>
      <c r="J549" s="2" t="s">
        <v>53</v>
      </c>
      <c r="K549" s="2"/>
      <c r="L549" s="2" t="s">
        <v>1702</v>
      </c>
      <c r="M549" s="2" t="s">
        <v>55</v>
      </c>
      <c r="N549" s="2" t="s">
        <v>56</v>
      </c>
      <c r="O549" s="2" t="s">
        <v>57</v>
      </c>
      <c r="P549" s="2"/>
      <c r="Q549" s="2" t="s">
        <v>1703</v>
      </c>
      <c r="R549" s="2"/>
    </row>
    <row r="550" spans="1:18">
      <c r="A550" s="2" t="s">
        <v>1704</v>
      </c>
      <c r="B550" s="2" t="s">
        <v>1705</v>
      </c>
      <c r="C550" s="2" t="s">
        <v>1701</v>
      </c>
      <c r="D550" s="2">
        <v>8224669615.34</v>
      </c>
      <c r="E550" s="2">
        <v>1</v>
      </c>
      <c r="F550" s="3">
        <f>IF(COUNT(D550,E550)=2,D550*E550,NA())</f>
        <v>8224669615.34</v>
      </c>
      <c r="G550" s="2" t="s">
        <v>50</v>
      </c>
      <c r="H550" s="2" t="s">
        <v>51</v>
      </c>
      <c r="I550" s="2" t="s">
        <v>52</v>
      </c>
      <c r="J550" s="2" t="s">
        <v>53</v>
      </c>
      <c r="K550" s="2"/>
      <c r="L550" s="2" t="s">
        <v>1702</v>
      </c>
      <c r="M550" s="2" t="s">
        <v>55</v>
      </c>
      <c r="N550" s="2" t="s">
        <v>56</v>
      </c>
      <c r="O550" s="2" t="s">
        <v>57</v>
      </c>
      <c r="P550" s="2"/>
      <c r="Q550" s="2" t="s">
        <v>1703</v>
      </c>
      <c r="R550" s="2"/>
    </row>
    <row r="551" spans="1:18">
      <c r="A551" s="2" t="s">
        <v>1706</v>
      </c>
      <c r="B551" s="2" t="s">
        <v>1707</v>
      </c>
      <c r="C551" s="2" t="s">
        <v>1701</v>
      </c>
      <c r="D551" s="2">
        <v>4120646584.77</v>
      </c>
      <c r="E551" s="2">
        <v>1</v>
      </c>
      <c r="F551" s="3">
        <f>IF(COUNT(D551,E551)=2,D551*E551,NA())</f>
        <v>4120646584.77</v>
      </c>
      <c r="G551" s="2" t="s">
        <v>50</v>
      </c>
      <c r="H551" s="2" t="s">
        <v>51</v>
      </c>
      <c r="I551" s="2" t="s">
        <v>52</v>
      </c>
      <c r="J551" s="2" t="s">
        <v>53</v>
      </c>
      <c r="K551" s="2"/>
      <c r="L551" s="2" t="s">
        <v>1702</v>
      </c>
      <c r="M551" s="2" t="s">
        <v>55</v>
      </c>
      <c r="N551" s="2" t="s">
        <v>56</v>
      </c>
      <c r="O551" s="2" t="s">
        <v>57</v>
      </c>
      <c r="P551" s="2"/>
      <c r="Q551" s="2" t="s">
        <v>1703</v>
      </c>
      <c r="R551" s="2"/>
    </row>
    <row r="552" spans="1:18">
      <c r="A552" s="2" t="s">
        <v>1708</v>
      </c>
      <c r="B552" s="2" t="s">
        <v>1709</v>
      </c>
      <c r="C552" s="2" t="s">
        <v>1701</v>
      </c>
      <c r="D552" s="2">
        <v>2138100838.13</v>
      </c>
      <c r="E552" s="2">
        <v>1</v>
      </c>
      <c r="F552" s="3">
        <f>IF(COUNT(D552,E552)=2,D552*E552,NA())</f>
        <v>2138100838.13</v>
      </c>
      <c r="G552" s="2" t="s">
        <v>50</v>
      </c>
      <c r="H552" s="2" t="s">
        <v>51</v>
      </c>
      <c r="I552" s="2" t="s">
        <v>52</v>
      </c>
      <c r="J552" s="2" t="s">
        <v>53</v>
      </c>
      <c r="K552" s="2"/>
      <c r="L552" s="2" t="s">
        <v>1702</v>
      </c>
      <c r="M552" s="2" t="s">
        <v>55</v>
      </c>
      <c r="N552" s="2" t="s">
        <v>56</v>
      </c>
      <c r="O552" s="2" t="s">
        <v>57</v>
      </c>
      <c r="P552" s="2"/>
      <c r="Q552" s="2" t="s">
        <v>1703</v>
      </c>
      <c r="R552" s="2"/>
    </row>
    <row r="553" spans="1:18">
      <c r="A553" s="2" t="s">
        <v>1710</v>
      </c>
      <c r="B553" s="2" t="s">
        <v>1711</v>
      </c>
      <c r="C553" s="2" t="s">
        <v>1701</v>
      </c>
      <c r="D553" s="2">
        <v>1690002729.18</v>
      </c>
      <c r="E553" s="2">
        <v>1</v>
      </c>
      <c r="F553" s="3">
        <f>IF(COUNT(D553,E553)=2,D553*E553,NA())</f>
        <v>1690002729.18</v>
      </c>
      <c r="G553" s="2" t="s">
        <v>50</v>
      </c>
      <c r="H553" s="2" t="s">
        <v>51</v>
      </c>
      <c r="I553" s="2" t="s">
        <v>52</v>
      </c>
      <c r="J553" s="2" t="s">
        <v>53</v>
      </c>
      <c r="K553" s="2"/>
      <c r="L553" s="2" t="s">
        <v>1702</v>
      </c>
      <c r="M553" s="2" t="s">
        <v>55</v>
      </c>
      <c r="N553" s="2" t="s">
        <v>56</v>
      </c>
      <c r="O553" s="2" t="s">
        <v>57</v>
      </c>
      <c r="P553" s="2"/>
      <c r="Q553" s="2" t="s">
        <v>1703</v>
      </c>
      <c r="R553" s="2"/>
    </row>
    <row r="554" spans="1:18">
      <c r="A554" s="2" t="s">
        <v>1712</v>
      </c>
      <c r="B554" s="2" t="s">
        <v>1713</v>
      </c>
      <c r="C554" s="2" t="s">
        <v>1701</v>
      </c>
      <c r="D554" s="2">
        <v>3388464578.88</v>
      </c>
      <c r="E554" s="2">
        <v>1</v>
      </c>
      <c r="F554" s="3">
        <f>IF(COUNT(D554,E554)=2,D554*E554,NA())</f>
        <v>3388464578.88</v>
      </c>
      <c r="G554" s="2" t="s">
        <v>50</v>
      </c>
      <c r="H554" s="2" t="s">
        <v>51</v>
      </c>
      <c r="I554" s="2" t="s">
        <v>52</v>
      </c>
      <c r="J554" s="2" t="s">
        <v>53</v>
      </c>
      <c r="K554" s="2"/>
      <c r="L554" s="2" t="s">
        <v>1702</v>
      </c>
      <c r="M554" s="2" t="s">
        <v>55</v>
      </c>
      <c r="N554" s="2" t="s">
        <v>56</v>
      </c>
      <c r="O554" s="2" t="s">
        <v>57</v>
      </c>
      <c r="P554" s="2"/>
      <c r="Q554" s="2" t="s">
        <v>1703</v>
      </c>
      <c r="R554" s="2"/>
    </row>
    <row r="555" spans="1:18">
      <c r="A555" s="2" t="s">
        <v>1714</v>
      </c>
      <c r="B555" s="2" t="s">
        <v>1715</v>
      </c>
      <c r="C555" s="2" t="s">
        <v>1701</v>
      </c>
      <c r="D555" s="2">
        <v>304863921.94</v>
      </c>
      <c r="E555" s="2">
        <v>1</v>
      </c>
      <c r="F555" s="3">
        <f>IF(COUNT(D555,E555)=2,D555*E555,NA())</f>
        <v>304863921.94</v>
      </c>
      <c r="G555" s="2" t="s">
        <v>50</v>
      </c>
      <c r="H555" s="2" t="s">
        <v>51</v>
      </c>
      <c r="I555" s="2" t="s">
        <v>52</v>
      </c>
      <c r="J555" s="2" t="s">
        <v>53</v>
      </c>
      <c r="K555" s="2"/>
      <c r="L555" s="2" t="s">
        <v>1702</v>
      </c>
      <c r="M555" s="2" t="s">
        <v>55</v>
      </c>
      <c r="N555" s="2" t="s">
        <v>56</v>
      </c>
      <c r="O555" s="2" t="s">
        <v>57</v>
      </c>
      <c r="P555" s="2"/>
      <c r="Q555" s="2" t="s">
        <v>1703</v>
      </c>
      <c r="R555" s="2"/>
    </row>
    <row r="556" spans="1:18">
      <c r="A556" s="2" t="s">
        <v>1716</v>
      </c>
      <c r="B556" s="2" t="s">
        <v>1717</v>
      </c>
      <c r="C556" s="2" t="s">
        <v>1701</v>
      </c>
      <c r="D556" s="2">
        <v>1313773995.56</v>
      </c>
      <c r="E556" s="2">
        <v>1</v>
      </c>
      <c r="F556" s="3">
        <f>IF(COUNT(D556,E556)=2,D556*E556,NA())</f>
        <v>1313773995.56</v>
      </c>
      <c r="G556" s="2" t="s">
        <v>50</v>
      </c>
      <c r="H556" s="2" t="s">
        <v>51</v>
      </c>
      <c r="I556" s="2" t="s">
        <v>52</v>
      </c>
      <c r="J556" s="2" t="s">
        <v>53</v>
      </c>
      <c r="K556" s="2"/>
      <c r="L556" s="2" t="s">
        <v>1702</v>
      </c>
      <c r="M556" s="2" t="s">
        <v>55</v>
      </c>
      <c r="N556" s="2" t="s">
        <v>56</v>
      </c>
      <c r="O556" s="2" t="s">
        <v>57</v>
      </c>
      <c r="P556" s="2"/>
      <c r="Q556" s="2" t="s">
        <v>1703</v>
      </c>
      <c r="R556" s="2"/>
    </row>
    <row r="557" spans="1:18">
      <c r="A557" s="2" t="s">
        <v>1718</v>
      </c>
      <c r="B557" s="2" t="s">
        <v>1719</v>
      </c>
      <c r="C557" s="2" t="s">
        <v>1701</v>
      </c>
      <c r="D557" s="2">
        <v>958608228.51</v>
      </c>
      <c r="E557" s="2">
        <v>1</v>
      </c>
      <c r="F557" s="3">
        <f>IF(COUNT(D557,E557)=2,D557*E557,NA())</f>
        <v>958608228.51</v>
      </c>
      <c r="G557" s="2" t="s">
        <v>50</v>
      </c>
      <c r="H557" s="2" t="s">
        <v>51</v>
      </c>
      <c r="I557" s="2" t="s">
        <v>52</v>
      </c>
      <c r="J557" s="2" t="s">
        <v>53</v>
      </c>
      <c r="K557" s="2"/>
      <c r="L557" s="2" t="s">
        <v>1702</v>
      </c>
      <c r="M557" s="2" t="s">
        <v>55</v>
      </c>
      <c r="N557" s="2" t="s">
        <v>56</v>
      </c>
      <c r="O557" s="2" t="s">
        <v>57</v>
      </c>
      <c r="P557" s="2"/>
      <c r="Q557" s="2" t="s">
        <v>1720</v>
      </c>
      <c r="R557" s="2"/>
    </row>
    <row r="558" spans="1:18">
      <c r="A558" s="2" t="s">
        <v>1721</v>
      </c>
      <c r="B558" s="2" t="s">
        <v>1722</v>
      </c>
      <c r="C558" s="2" t="s">
        <v>1701</v>
      </c>
      <c r="D558" s="2">
        <v>129843789.23</v>
      </c>
      <c r="E558" s="2">
        <v>1</v>
      </c>
      <c r="F558" s="3">
        <f>IF(COUNT(D558,E558)=2,D558*E558,NA())</f>
        <v>129843789.23</v>
      </c>
      <c r="G558" s="2" t="s">
        <v>50</v>
      </c>
      <c r="H558" s="2" t="s">
        <v>51</v>
      </c>
      <c r="I558" s="2" t="s">
        <v>52</v>
      </c>
      <c r="J558" s="2" t="s">
        <v>53</v>
      </c>
      <c r="K558" s="2"/>
      <c r="L558" s="2" t="s">
        <v>1702</v>
      </c>
      <c r="M558" s="2" t="s">
        <v>55</v>
      </c>
      <c r="N558" s="2" t="s">
        <v>56</v>
      </c>
      <c r="O558" s="2" t="s">
        <v>57</v>
      </c>
      <c r="P558" s="2"/>
      <c r="Q558" s="2" t="s">
        <v>1703</v>
      </c>
      <c r="R558" s="2"/>
    </row>
    <row r="559" spans="1:18">
      <c r="A559" s="2" t="s">
        <v>1723</v>
      </c>
      <c r="B559" s="2" t="s">
        <v>1724</v>
      </c>
      <c r="C559" s="2" t="s">
        <v>1701</v>
      </c>
      <c r="D559" s="2">
        <v>549619672.88</v>
      </c>
      <c r="E559" s="2">
        <v>1</v>
      </c>
      <c r="F559" s="3">
        <f>IF(COUNT(D559,E559)=2,D559*E559,NA())</f>
        <v>549619672.88</v>
      </c>
      <c r="G559" s="2" t="s">
        <v>50</v>
      </c>
      <c r="H559" s="2" t="s">
        <v>51</v>
      </c>
      <c r="I559" s="2" t="s">
        <v>52</v>
      </c>
      <c r="J559" s="2" t="s">
        <v>53</v>
      </c>
      <c r="K559" s="2"/>
      <c r="L559" s="2" t="s">
        <v>1702</v>
      </c>
      <c r="M559" s="2" t="s">
        <v>55</v>
      </c>
      <c r="N559" s="2" t="s">
        <v>56</v>
      </c>
      <c r="O559" s="2" t="s">
        <v>57</v>
      </c>
      <c r="P559" s="2"/>
      <c r="Q559" s="2" t="s">
        <v>1703</v>
      </c>
      <c r="R559" s="2"/>
    </row>
    <row r="560" spans="1:18">
      <c r="A560" s="2" t="s">
        <v>1725</v>
      </c>
      <c r="B560" s="2" t="s">
        <v>1726</v>
      </c>
      <c r="C560" s="2" t="s">
        <v>1701</v>
      </c>
      <c r="D560" s="2">
        <v>2333986767.99</v>
      </c>
      <c r="E560" s="2">
        <v>1</v>
      </c>
      <c r="F560" s="3">
        <f>IF(COUNT(D560,E560)=2,D560*E560,NA())</f>
        <v>2333986767.99</v>
      </c>
      <c r="G560" s="2" t="s">
        <v>50</v>
      </c>
      <c r="H560" s="2" t="s">
        <v>51</v>
      </c>
      <c r="I560" s="2" t="s">
        <v>52</v>
      </c>
      <c r="J560" s="2" t="s">
        <v>53</v>
      </c>
      <c r="K560" s="2"/>
      <c r="L560" s="2" t="s">
        <v>1702</v>
      </c>
      <c r="M560" s="2" t="s">
        <v>55</v>
      </c>
      <c r="N560" s="2" t="s">
        <v>56</v>
      </c>
      <c r="O560" s="2" t="s">
        <v>57</v>
      </c>
      <c r="P560" s="2"/>
      <c r="Q560" s="2" t="s">
        <v>1703</v>
      </c>
      <c r="R560" s="2"/>
    </row>
    <row r="561" spans="1:18">
      <c r="A561" s="2" t="s">
        <v>1727</v>
      </c>
      <c r="B561" s="2" t="s">
        <v>1728</v>
      </c>
      <c r="C561" s="2" t="s">
        <v>1701</v>
      </c>
      <c r="D561" s="2">
        <v>33759857.3</v>
      </c>
      <c r="E561" s="2">
        <v>1</v>
      </c>
      <c r="F561" s="3">
        <f>IF(COUNT(D561,E561)=2,D561*E561,NA())</f>
        <v>33759857.3</v>
      </c>
      <c r="G561" s="2" t="s">
        <v>50</v>
      </c>
      <c r="H561" s="2" t="s">
        <v>51</v>
      </c>
      <c r="I561" s="2" t="s">
        <v>52</v>
      </c>
      <c r="J561" s="2" t="s">
        <v>53</v>
      </c>
      <c r="K561" s="2"/>
      <c r="L561" s="2" t="s">
        <v>1702</v>
      </c>
      <c r="M561" s="2" t="s">
        <v>55</v>
      </c>
      <c r="N561" s="2" t="s">
        <v>56</v>
      </c>
      <c r="O561" s="2" t="s">
        <v>57</v>
      </c>
      <c r="P561" s="2"/>
      <c r="Q561" s="2" t="s">
        <v>1703</v>
      </c>
      <c r="R561" s="2"/>
    </row>
    <row r="562" spans="1:18">
      <c r="A562" s="2" t="s">
        <v>1729</v>
      </c>
      <c r="B562" s="2" t="s">
        <v>1730</v>
      </c>
      <c r="C562" s="2" t="s">
        <v>1701</v>
      </c>
      <c r="D562" s="2">
        <v>1455542440.54</v>
      </c>
      <c r="E562" s="2">
        <v>1</v>
      </c>
      <c r="F562" s="3">
        <f>IF(COUNT(D562,E562)=2,D562*E562,NA())</f>
        <v>1455542440.54</v>
      </c>
      <c r="G562" s="2" t="s">
        <v>50</v>
      </c>
      <c r="H562" s="2" t="s">
        <v>51</v>
      </c>
      <c r="I562" s="2" t="s">
        <v>52</v>
      </c>
      <c r="J562" s="2" t="s">
        <v>53</v>
      </c>
      <c r="K562" s="2" t="s">
        <v>1731</v>
      </c>
      <c r="L562" s="2" t="s">
        <v>1702</v>
      </c>
      <c r="M562" s="2" t="s">
        <v>392</v>
      </c>
      <c r="N562" s="2" t="s">
        <v>56</v>
      </c>
      <c r="O562" s="2" t="s">
        <v>57</v>
      </c>
      <c r="P562" s="2"/>
      <c r="Q562" s="2" t="s">
        <v>1703</v>
      </c>
      <c r="R562" s="2"/>
    </row>
    <row r="563" spans="1:18">
      <c r="A563" s="2" t="s">
        <v>1732</v>
      </c>
      <c r="B563" s="2" t="s">
        <v>1733</v>
      </c>
      <c r="C563" s="2" t="s">
        <v>1701</v>
      </c>
      <c r="D563" s="2">
        <v>1055102879.47</v>
      </c>
      <c r="E563" s="2">
        <v>1</v>
      </c>
      <c r="F563" s="3">
        <f>IF(COUNT(D563,E563)=2,D563*E563,NA())</f>
        <v>1055102879.47</v>
      </c>
      <c r="G563" s="2" t="s">
        <v>50</v>
      </c>
      <c r="H563" s="2" t="s">
        <v>51</v>
      </c>
      <c r="I563" s="2" t="s">
        <v>52</v>
      </c>
      <c r="J563" s="2" t="s">
        <v>53</v>
      </c>
      <c r="K563" s="2" t="s">
        <v>1731</v>
      </c>
      <c r="L563" s="2" t="s">
        <v>1702</v>
      </c>
      <c r="M563" s="2" t="s">
        <v>392</v>
      </c>
      <c r="N563" s="2" t="s">
        <v>56</v>
      </c>
      <c r="O563" s="2" t="s">
        <v>57</v>
      </c>
      <c r="P563" s="2"/>
      <c r="Q563" s="2" t="s">
        <v>1703</v>
      </c>
      <c r="R563" s="2"/>
    </row>
    <row r="564" spans="1:18">
      <c r="A564" s="2" t="s">
        <v>1734</v>
      </c>
      <c r="B564" s="2" t="s">
        <v>1735</v>
      </c>
      <c r="C564" s="2" t="s">
        <v>1701</v>
      </c>
      <c r="D564" s="2">
        <v>63552432.53</v>
      </c>
      <c r="E564" s="2">
        <v>1</v>
      </c>
      <c r="F564" s="3">
        <f>IF(COUNT(D564,E564)=2,D564*E564,NA())</f>
        <v>63552432.53</v>
      </c>
      <c r="G564" s="2" t="s">
        <v>50</v>
      </c>
      <c r="H564" s="2" t="s">
        <v>51</v>
      </c>
      <c r="I564" s="2" t="s">
        <v>52</v>
      </c>
      <c r="J564" s="2" t="s">
        <v>53</v>
      </c>
      <c r="K564" s="2" t="s">
        <v>1731</v>
      </c>
      <c r="L564" s="2" t="s">
        <v>1702</v>
      </c>
      <c r="M564" s="2" t="s">
        <v>392</v>
      </c>
      <c r="N564" s="2" t="s">
        <v>56</v>
      </c>
      <c r="O564" s="2" t="s">
        <v>57</v>
      </c>
      <c r="P564" s="2"/>
      <c r="Q564" s="2" t="s">
        <v>1703</v>
      </c>
      <c r="R564" s="2"/>
    </row>
    <row r="565" spans="1:18">
      <c r="A565" s="2" t="s">
        <v>1736</v>
      </c>
      <c r="B565" s="2" t="s">
        <v>1737</v>
      </c>
      <c r="C565" s="2" t="s">
        <v>1701</v>
      </c>
      <c r="D565" s="2">
        <v>60287918.67</v>
      </c>
      <c r="E565" s="2">
        <v>1</v>
      </c>
      <c r="F565" s="3">
        <f>IF(COUNT(D565,E565)=2,D565*E565,NA())</f>
        <v>60287918.67</v>
      </c>
      <c r="G565" s="2" t="s">
        <v>50</v>
      </c>
      <c r="H565" s="2" t="s">
        <v>51</v>
      </c>
      <c r="I565" s="2" t="s">
        <v>52</v>
      </c>
      <c r="J565" s="2" t="s">
        <v>53</v>
      </c>
      <c r="K565" s="2" t="s">
        <v>1731</v>
      </c>
      <c r="L565" s="2" t="s">
        <v>1702</v>
      </c>
      <c r="M565" s="2" t="s">
        <v>392</v>
      </c>
      <c r="N565" s="2" t="s">
        <v>56</v>
      </c>
      <c r="O565" s="2" t="s">
        <v>57</v>
      </c>
      <c r="P565" s="2"/>
      <c r="Q565" s="2" t="s">
        <v>1703</v>
      </c>
      <c r="R565" s="2"/>
    </row>
    <row r="566" spans="1:18">
      <c r="A566" s="2" t="s">
        <v>1738</v>
      </c>
      <c r="B566" s="2" t="s">
        <v>1739</v>
      </c>
      <c r="C566" s="2" t="s">
        <v>1701</v>
      </c>
      <c r="D566" s="2">
        <v>-50683466.87</v>
      </c>
      <c r="E566" s="2">
        <v>1</v>
      </c>
      <c r="F566" s="3">
        <f>IF(COUNT(D566,E566)=2,D566*E566,NA())</f>
        <v>-50683466.87</v>
      </c>
      <c r="G566" s="2" t="s">
        <v>50</v>
      </c>
      <c r="H566" s="2" t="s">
        <v>51</v>
      </c>
      <c r="I566" s="2" t="s">
        <v>52</v>
      </c>
      <c r="J566" s="2" t="s">
        <v>53</v>
      </c>
      <c r="K566" s="2" t="s">
        <v>1731</v>
      </c>
      <c r="L566" s="2" t="s">
        <v>1702</v>
      </c>
      <c r="M566" s="2" t="s">
        <v>392</v>
      </c>
      <c r="N566" s="2" t="s">
        <v>56</v>
      </c>
      <c r="O566" s="2" t="s">
        <v>57</v>
      </c>
      <c r="P566" s="2"/>
      <c r="Q566" s="2" t="s">
        <v>1703</v>
      </c>
      <c r="R566" s="2"/>
    </row>
    <row r="567" spans="1:18">
      <c r="A567" s="2" t="s">
        <v>1740</v>
      </c>
      <c r="B567" s="2" t="s">
        <v>1741</v>
      </c>
      <c r="C567" s="2" t="s">
        <v>1701</v>
      </c>
      <c r="D567" s="2">
        <v>-3012700.79</v>
      </c>
      <c r="E567" s="2">
        <v>1</v>
      </c>
      <c r="F567" s="3">
        <f>IF(COUNT(D567,E567)=2,D567*E567,NA())</f>
        <v>-3012700.79</v>
      </c>
      <c r="G567" s="2" t="s">
        <v>50</v>
      </c>
      <c r="H567" s="2" t="s">
        <v>51</v>
      </c>
      <c r="I567" s="2" t="s">
        <v>52</v>
      </c>
      <c r="J567" s="2" t="s">
        <v>53</v>
      </c>
      <c r="K567" s="2" t="s">
        <v>1731</v>
      </c>
      <c r="L567" s="2" t="s">
        <v>1702</v>
      </c>
      <c r="M567" s="2" t="s">
        <v>392</v>
      </c>
      <c r="N567" s="2" t="s">
        <v>56</v>
      </c>
      <c r="O567" s="2" t="s">
        <v>57</v>
      </c>
      <c r="P567" s="2"/>
      <c r="Q567" s="2" t="s">
        <v>1703</v>
      </c>
      <c r="R567" s="2"/>
    </row>
    <row r="568" spans="1:18">
      <c r="A568" s="2" t="s">
        <v>1742</v>
      </c>
      <c r="B568" s="2" t="s">
        <v>1743</v>
      </c>
      <c r="C568" s="2" t="s">
        <v>1701</v>
      </c>
      <c r="D568" s="2">
        <v>-55182890.65</v>
      </c>
      <c r="E568" s="2">
        <v>1</v>
      </c>
      <c r="F568" s="3">
        <f>IF(COUNT(D568,E568)=2,D568*E568,NA())</f>
        <v>-55182890.65</v>
      </c>
      <c r="G568" s="2" t="s">
        <v>50</v>
      </c>
      <c r="H568" s="2" t="s">
        <v>51</v>
      </c>
      <c r="I568" s="2" t="s">
        <v>52</v>
      </c>
      <c r="J568" s="2" t="s">
        <v>53</v>
      </c>
      <c r="K568" s="2" t="s">
        <v>1731</v>
      </c>
      <c r="L568" s="2" t="s">
        <v>1702</v>
      </c>
      <c r="M568" s="2" t="s">
        <v>392</v>
      </c>
      <c r="N568" s="2" t="s">
        <v>56</v>
      </c>
      <c r="O568" s="2" t="s">
        <v>57</v>
      </c>
      <c r="P568" s="2"/>
      <c r="Q568" s="2" t="s">
        <v>1703</v>
      </c>
      <c r="R568" s="2"/>
    </row>
    <row r="569" spans="1:18">
      <c r="A569" s="2" t="s">
        <v>1744</v>
      </c>
      <c r="B569" s="2" t="s">
        <v>1745</v>
      </c>
      <c r="C569" s="2" t="s">
        <v>1701</v>
      </c>
      <c r="D569" s="2">
        <v>-72601036.90000001</v>
      </c>
      <c r="E569" s="2">
        <v>1</v>
      </c>
      <c r="F569" s="3">
        <f>IF(COUNT(D569,E569)=2,D569*E569,NA())</f>
        <v>-72601036.9</v>
      </c>
      <c r="G569" s="2" t="s">
        <v>50</v>
      </c>
      <c r="H569" s="2" t="s">
        <v>51</v>
      </c>
      <c r="I569" s="2" t="s">
        <v>52</v>
      </c>
      <c r="J569" s="2" t="s">
        <v>53</v>
      </c>
      <c r="K569" s="2" t="s">
        <v>1731</v>
      </c>
      <c r="L569" s="2" t="s">
        <v>1702</v>
      </c>
      <c r="M569" s="2" t="s">
        <v>392</v>
      </c>
      <c r="N569" s="2" t="s">
        <v>56</v>
      </c>
      <c r="O569" s="2" t="s">
        <v>57</v>
      </c>
      <c r="P569" s="2"/>
      <c r="Q569" s="2" t="s">
        <v>1703</v>
      </c>
      <c r="R569" s="2"/>
    </row>
    <row r="570" spans="1:18">
      <c r="A570" s="2" t="s">
        <v>1746</v>
      </c>
      <c r="B570" s="2" t="s">
        <v>1747</v>
      </c>
      <c r="C570" s="2" t="s">
        <v>1701</v>
      </c>
      <c r="D570" s="2">
        <v>215265534.37</v>
      </c>
      <c r="E570" s="2">
        <v>1</v>
      </c>
      <c r="F570" s="3">
        <f>IF(COUNT(D570,E570)=2,D570*E570,NA())</f>
        <v>215265534.37</v>
      </c>
      <c r="G570" s="2" t="s">
        <v>50</v>
      </c>
      <c r="H570" s="2" t="s">
        <v>51</v>
      </c>
      <c r="I570" s="2" t="s">
        <v>52</v>
      </c>
      <c r="J570" s="2" t="s">
        <v>53</v>
      </c>
      <c r="K570" s="2" t="s">
        <v>1731</v>
      </c>
      <c r="L570" s="2" t="s">
        <v>1702</v>
      </c>
      <c r="M570" s="2" t="s">
        <v>392</v>
      </c>
      <c r="N570" s="2" t="s">
        <v>56</v>
      </c>
      <c r="O570" s="2" t="s">
        <v>57</v>
      </c>
      <c r="P570" s="2"/>
      <c r="Q570" s="2" t="s">
        <v>1703</v>
      </c>
      <c r="R570" s="2"/>
    </row>
    <row r="571" spans="1:18">
      <c r="A571" s="2" t="s">
        <v>1748</v>
      </c>
      <c r="B571" s="2" t="s">
        <v>1749</v>
      </c>
      <c r="C571" s="2" t="s">
        <v>1701</v>
      </c>
      <c r="D571" s="2">
        <v>-5197556.25</v>
      </c>
      <c r="E571" s="2">
        <v>1</v>
      </c>
      <c r="F571" s="3">
        <f>IF(COUNT(D571,E571)=2,D571*E571,NA())</f>
        <v>-5197556.25</v>
      </c>
      <c r="G571" s="2" t="s">
        <v>50</v>
      </c>
      <c r="H571" s="2" t="s">
        <v>51</v>
      </c>
      <c r="I571" s="2" t="s">
        <v>52</v>
      </c>
      <c r="J571" s="2" t="s">
        <v>53</v>
      </c>
      <c r="K571" s="2" t="s">
        <v>1731</v>
      </c>
      <c r="L571" s="2" t="s">
        <v>1702</v>
      </c>
      <c r="M571" s="2" t="s">
        <v>392</v>
      </c>
      <c r="N571" s="2" t="s">
        <v>56</v>
      </c>
      <c r="O571" s="2" t="s">
        <v>57</v>
      </c>
      <c r="P571" s="2"/>
      <c r="Q571" s="2" t="s">
        <v>1703</v>
      </c>
      <c r="R571" s="2"/>
    </row>
    <row r="572" spans="1:18">
      <c r="A572" s="2" t="s">
        <v>1750</v>
      </c>
      <c r="B572" s="2" t="s">
        <v>1751</v>
      </c>
      <c r="C572" s="2" t="s">
        <v>1701</v>
      </c>
      <c r="D572" s="2">
        <v>82284050.56999999</v>
      </c>
      <c r="E572" s="2">
        <v>1</v>
      </c>
      <c r="F572" s="3">
        <f>IF(COUNT(D572,E572)=2,D572*E572,NA())</f>
        <v>82284050.57</v>
      </c>
      <c r="G572" s="2" t="s">
        <v>50</v>
      </c>
      <c r="H572" s="2" t="s">
        <v>51</v>
      </c>
      <c r="I572" s="2" t="s">
        <v>52</v>
      </c>
      <c r="J572" s="2" t="s">
        <v>53</v>
      </c>
      <c r="K572" s="2" t="s">
        <v>1731</v>
      </c>
      <c r="L572" s="2" t="s">
        <v>1702</v>
      </c>
      <c r="M572" s="2" t="s">
        <v>392</v>
      </c>
      <c r="N572" s="2" t="s">
        <v>56</v>
      </c>
      <c r="O572" s="2" t="s">
        <v>57</v>
      </c>
      <c r="P572" s="2"/>
      <c r="Q572" s="2" t="s">
        <v>1703</v>
      </c>
      <c r="R572" s="2"/>
    </row>
    <row r="573" spans="1:18">
      <c r="A573" s="2" t="s">
        <v>1752</v>
      </c>
      <c r="B573" s="2" t="s">
        <v>1753</v>
      </c>
      <c r="C573" s="2" t="s">
        <v>1701</v>
      </c>
      <c r="D573" s="2">
        <v>32223436.69</v>
      </c>
      <c r="E573" s="2">
        <v>1</v>
      </c>
      <c r="F573" s="3">
        <f>IF(COUNT(D573,E573)=2,D573*E573,NA())</f>
        <v>32223436.69</v>
      </c>
      <c r="G573" s="2" t="s">
        <v>50</v>
      </c>
      <c r="H573" s="2" t="s">
        <v>51</v>
      </c>
      <c r="I573" s="2" t="s">
        <v>52</v>
      </c>
      <c r="J573" s="2" t="s">
        <v>53</v>
      </c>
      <c r="K573" s="2" t="s">
        <v>1731</v>
      </c>
      <c r="L573" s="2" t="s">
        <v>1702</v>
      </c>
      <c r="M573" s="2" t="s">
        <v>392</v>
      </c>
      <c r="N573" s="2" t="s">
        <v>56</v>
      </c>
      <c r="O573" s="2" t="s">
        <v>57</v>
      </c>
      <c r="P573" s="2"/>
      <c r="Q573" s="2" t="s">
        <v>1703</v>
      </c>
      <c r="R573" s="2"/>
    </row>
    <row r="574" spans="1:18">
      <c r="A574" s="2" t="s">
        <v>1754</v>
      </c>
      <c r="B574" s="2" t="s">
        <v>1755</v>
      </c>
      <c r="C574" s="2" t="s">
        <v>1701</v>
      </c>
      <c r="D574" s="2"/>
      <c r="E574" s="2">
        <v>1</v>
      </c>
      <c r="F574" s="3" t="e">
        <f>IF(COUNT(D574,E574)=2,D574*E574,NA())</f>
        <v>#N/A</v>
      </c>
      <c r="G574" s="2" t="s">
        <v>50</v>
      </c>
      <c r="H574" s="2" t="s">
        <v>51</v>
      </c>
      <c r="I574" s="2" t="s">
        <v>52</v>
      </c>
      <c r="J574" s="2" t="s">
        <v>53</v>
      </c>
      <c r="K574" s="2"/>
      <c r="L574" s="2" t="s">
        <v>1702</v>
      </c>
      <c r="M574" s="2" t="s">
        <v>55</v>
      </c>
      <c r="N574" s="2" t="s">
        <v>1682</v>
      </c>
      <c r="O574" s="2" t="s">
        <v>57</v>
      </c>
      <c r="P574" s="2" t="s">
        <v>1756</v>
      </c>
      <c r="Q574" s="2" t="s">
        <v>1757</v>
      </c>
      <c r="R574" s="2"/>
    </row>
    <row r="575" spans="1:18">
      <c r="A575" s="2" t="s">
        <v>1758</v>
      </c>
      <c r="B575" s="2" t="s">
        <v>1759</v>
      </c>
      <c r="C575" s="2" t="s">
        <v>1701</v>
      </c>
      <c r="D575" s="2"/>
      <c r="E575" s="2">
        <v>1</v>
      </c>
      <c r="F575" s="3" t="e">
        <f>IF(COUNT(D575,E575)=2,D575*E575,NA())</f>
        <v>#N/A</v>
      </c>
      <c r="G575" s="2" t="s">
        <v>50</v>
      </c>
      <c r="H575" s="2" t="s">
        <v>51</v>
      </c>
      <c r="I575" s="2" t="s">
        <v>52</v>
      </c>
      <c r="J575" s="2" t="s">
        <v>53</v>
      </c>
      <c r="K575" s="2"/>
      <c r="L575" s="2" t="s">
        <v>1702</v>
      </c>
      <c r="M575" s="2" t="s">
        <v>55</v>
      </c>
      <c r="N575" s="2" t="s">
        <v>1682</v>
      </c>
      <c r="O575" s="2" t="s">
        <v>57</v>
      </c>
      <c r="P575" s="2" t="s">
        <v>1760</v>
      </c>
      <c r="Q575" s="2" t="s">
        <v>1757</v>
      </c>
      <c r="R575" s="2"/>
    </row>
    <row r="576" spans="1:18">
      <c r="A576" s="2" t="s">
        <v>1761</v>
      </c>
      <c r="B576" s="2" t="s">
        <v>1762</v>
      </c>
      <c r="C576" s="2" t="s">
        <v>1293</v>
      </c>
      <c r="D576" s="2">
        <v>3948078687.1</v>
      </c>
      <c r="E576" s="2">
        <v>1</v>
      </c>
      <c r="F576" s="3">
        <f>IF(COUNT(D576,E576)=2,D576*E576,NA())</f>
        <v>3948078687.1</v>
      </c>
      <c r="G576" s="2" t="s">
        <v>50</v>
      </c>
      <c r="H576" s="2" t="s">
        <v>51</v>
      </c>
      <c r="I576" s="2" t="s">
        <v>52</v>
      </c>
      <c r="J576" s="2" t="s">
        <v>1294</v>
      </c>
      <c r="K576" s="2"/>
      <c r="L576" s="2" t="s">
        <v>61</v>
      </c>
      <c r="M576" s="2" t="s">
        <v>55</v>
      </c>
      <c r="N576" s="2" t="s">
        <v>56</v>
      </c>
      <c r="O576" s="2" t="s">
        <v>57</v>
      </c>
      <c r="P576" s="2"/>
      <c r="Q576" s="2" t="s">
        <v>1763</v>
      </c>
      <c r="R576" s="2"/>
    </row>
    <row r="577" spans="1:18">
      <c r="A577" s="2" t="s">
        <v>1764</v>
      </c>
      <c r="B577" s="2" t="s">
        <v>1765</v>
      </c>
      <c r="C577" s="2" t="s">
        <v>1293</v>
      </c>
      <c r="D577" s="2">
        <v>785694.46</v>
      </c>
      <c r="E577" s="2">
        <v>1</v>
      </c>
      <c r="F577" s="3">
        <f>IF(COUNT(D577,E577)=2,D577*E577,NA())</f>
        <v>785694.46</v>
      </c>
      <c r="G577" s="2" t="s">
        <v>50</v>
      </c>
      <c r="H577" s="2" t="s">
        <v>51</v>
      </c>
      <c r="I577" s="2" t="s">
        <v>52</v>
      </c>
      <c r="J577" s="2" t="s">
        <v>1294</v>
      </c>
      <c r="K577" s="2"/>
      <c r="L577" s="2" t="s">
        <v>61</v>
      </c>
      <c r="M577" s="2" t="s">
        <v>55</v>
      </c>
      <c r="N577" s="2" t="s">
        <v>56</v>
      </c>
      <c r="O577" s="2" t="s">
        <v>57</v>
      </c>
      <c r="P577" s="2"/>
      <c r="Q577" s="2" t="s">
        <v>1766</v>
      </c>
      <c r="R577" s="2"/>
    </row>
    <row r="578" spans="1:18">
      <c r="A578" s="2" t="s">
        <v>1767</v>
      </c>
      <c r="B578" s="2" t="s">
        <v>1768</v>
      </c>
      <c r="C578" s="2" t="s">
        <v>1293</v>
      </c>
      <c r="D578" s="2">
        <v>-348546129.57</v>
      </c>
      <c r="E578" s="2">
        <v>1</v>
      </c>
      <c r="F578" s="3">
        <f>IF(COUNT(D578,E578)=2,D578*E578,NA())</f>
        <v>-348546129.57</v>
      </c>
      <c r="G578" s="2" t="s">
        <v>50</v>
      </c>
      <c r="H578" s="2" t="s">
        <v>51</v>
      </c>
      <c r="I578" s="2" t="s">
        <v>52</v>
      </c>
      <c r="J578" s="2" t="s">
        <v>1294</v>
      </c>
      <c r="K578" s="2" t="s">
        <v>391</v>
      </c>
      <c r="L578" s="2" t="s">
        <v>54</v>
      </c>
      <c r="M578" s="2" t="s">
        <v>392</v>
      </c>
      <c r="N578" s="2" t="s">
        <v>56</v>
      </c>
      <c r="O578" s="2" t="s">
        <v>57</v>
      </c>
      <c r="P578" s="2"/>
      <c r="Q578" s="2" t="s">
        <v>1769</v>
      </c>
      <c r="R578" s="2"/>
    </row>
    <row r="579" spans="1:18">
      <c r="A579" s="2" t="s">
        <v>1770</v>
      </c>
      <c r="B579" s="2" t="s">
        <v>1771</v>
      </c>
      <c r="C579" s="2" t="s">
        <v>1293</v>
      </c>
      <c r="D579" s="2">
        <v>388489008</v>
      </c>
      <c r="E579" s="2">
        <v>1</v>
      </c>
      <c r="F579" s="3">
        <f>IF(COUNT(D579,E579)=2,D579*E579,NA())</f>
        <v>388489008.0</v>
      </c>
      <c r="G579" s="2" t="s">
        <v>50</v>
      </c>
      <c r="H579" s="2" t="s">
        <v>51</v>
      </c>
      <c r="I579" s="2" t="s">
        <v>52</v>
      </c>
      <c r="J579" s="2" t="s">
        <v>1294</v>
      </c>
      <c r="K579" s="2" t="s">
        <v>391</v>
      </c>
      <c r="L579" s="2" t="s">
        <v>54</v>
      </c>
      <c r="M579" s="2" t="s">
        <v>392</v>
      </c>
      <c r="N579" s="2" t="s">
        <v>56</v>
      </c>
      <c r="O579" s="2" t="s">
        <v>57</v>
      </c>
      <c r="P579" s="2"/>
      <c r="Q579" s="2" t="s">
        <v>1772</v>
      </c>
      <c r="R579" s="2"/>
    </row>
    <row r="580" spans="1:18">
      <c r="A580" s="2" t="s">
        <v>1773</v>
      </c>
      <c r="B580" s="2" t="s">
        <v>1774</v>
      </c>
      <c r="C580" s="2" t="s">
        <v>1293</v>
      </c>
      <c r="D580" s="2">
        <v>2263705.03</v>
      </c>
      <c r="E580" s="2">
        <v>1</v>
      </c>
      <c r="F580" s="3">
        <f>IF(COUNT(D580,E580)=2,D580*E580,NA())</f>
        <v>2263705.03</v>
      </c>
      <c r="G580" s="2" t="s">
        <v>50</v>
      </c>
      <c r="H580" s="2" t="s">
        <v>51</v>
      </c>
      <c r="I580" s="2" t="s">
        <v>52</v>
      </c>
      <c r="J580" s="2" t="s">
        <v>1294</v>
      </c>
      <c r="K580" s="2" t="s">
        <v>391</v>
      </c>
      <c r="L580" s="2" t="s">
        <v>54</v>
      </c>
      <c r="M580" s="2" t="s">
        <v>392</v>
      </c>
      <c r="N580" s="2" t="s">
        <v>56</v>
      </c>
      <c r="O580" s="2" t="s">
        <v>57</v>
      </c>
      <c r="P580" s="2"/>
      <c r="Q580" s="2" t="s">
        <v>1775</v>
      </c>
      <c r="R580" s="2"/>
    </row>
    <row r="581" spans="1:18">
      <c r="A581" s="2" t="s">
        <v>1776</v>
      </c>
      <c r="B581" s="2" t="s">
        <v>1777</v>
      </c>
      <c r="C581" s="2" t="s">
        <v>1496</v>
      </c>
      <c r="D581" s="2">
        <v>5212345432.03</v>
      </c>
      <c r="E581" s="2">
        <v>1</v>
      </c>
      <c r="F581" s="3">
        <f>IF(COUNT(D581,E581)=2,D581*E581,NA())</f>
        <v>5212345432.03</v>
      </c>
      <c r="G581" s="2" t="s">
        <v>50</v>
      </c>
      <c r="H581" s="2" t="s">
        <v>51</v>
      </c>
      <c r="I581" s="2" t="s">
        <v>52</v>
      </c>
      <c r="J581" s="2" t="s">
        <v>53</v>
      </c>
      <c r="K581" s="2"/>
      <c r="L581" s="2" t="s">
        <v>814</v>
      </c>
      <c r="M581" s="2" t="s">
        <v>55</v>
      </c>
      <c r="N581" s="2" t="s">
        <v>62</v>
      </c>
      <c r="O581" s="2" t="s">
        <v>57</v>
      </c>
      <c r="P581" s="2" t="s">
        <v>1778</v>
      </c>
      <c r="Q581" s="2" t="s">
        <v>385</v>
      </c>
      <c r="R581" s="2"/>
    </row>
    <row r="582" spans="1:18">
      <c r="A582" s="2" t="s">
        <v>1779</v>
      </c>
      <c r="B582" s="2" t="s">
        <v>1780</v>
      </c>
      <c r="C582" s="2" t="s">
        <v>1781</v>
      </c>
      <c r="D582" s="2">
        <v>3415245423.59</v>
      </c>
      <c r="E582" s="2">
        <v>1</v>
      </c>
      <c r="F582" s="3">
        <f>IF(COUNT(D582,E582)=2,D582*E582,NA())</f>
        <v>3415245423.59</v>
      </c>
      <c r="G582" s="2" t="s">
        <v>50</v>
      </c>
      <c r="H582" s="2" t="s">
        <v>51</v>
      </c>
      <c r="I582" s="2" t="s">
        <v>52</v>
      </c>
      <c r="J582" s="2" t="s">
        <v>53</v>
      </c>
      <c r="K582" s="2"/>
      <c r="L582" s="2" t="s">
        <v>61</v>
      </c>
      <c r="M582" s="2" t="s">
        <v>55</v>
      </c>
      <c r="N582" s="2" t="s">
        <v>56</v>
      </c>
      <c r="O582" s="2" t="s">
        <v>1581</v>
      </c>
      <c r="P582" s="2"/>
      <c r="Q582" s="2" t="s">
        <v>1782</v>
      </c>
      <c r="R582" s="2"/>
    </row>
    <row r="583" spans="1:18">
      <c r="A583" s="2" t="s">
        <v>1783</v>
      </c>
      <c r="B583" s="2" t="s">
        <v>1784</v>
      </c>
      <c r="C583" s="2" t="s">
        <v>1781</v>
      </c>
      <c r="D583" s="2">
        <v>2328727798.48</v>
      </c>
      <c r="E583" s="2">
        <v>1</v>
      </c>
      <c r="F583" s="3">
        <f>IF(COUNT(D583,E583)=2,D583*E583,NA())</f>
        <v>2328727798.48</v>
      </c>
      <c r="G583" s="2" t="s">
        <v>50</v>
      </c>
      <c r="H583" s="2" t="s">
        <v>51</v>
      </c>
      <c r="I583" s="2" t="s">
        <v>52</v>
      </c>
      <c r="J583" s="2" t="s">
        <v>53</v>
      </c>
      <c r="K583" s="2"/>
      <c r="L583" s="2" t="s">
        <v>61</v>
      </c>
      <c r="M583" s="2" t="s">
        <v>55</v>
      </c>
      <c r="N583" s="2" t="s">
        <v>56</v>
      </c>
      <c r="O583" s="2" t="s">
        <v>1581</v>
      </c>
      <c r="P583" s="2"/>
      <c r="Q583" s="2" t="s">
        <v>1785</v>
      </c>
      <c r="R583" s="2"/>
    </row>
    <row r="584" spans="1:18">
      <c r="A584" s="2" t="s">
        <v>1786</v>
      </c>
      <c r="B584" s="2" t="s">
        <v>1787</v>
      </c>
      <c r="C584" s="2" t="s">
        <v>1781</v>
      </c>
      <c r="D584" s="2">
        <v>1086517625.11</v>
      </c>
      <c r="E584" s="2">
        <v>1</v>
      </c>
      <c r="F584" s="3">
        <f>IF(COUNT(D584,E584)=2,D584*E584,NA())</f>
        <v>1086517625.11</v>
      </c>
      <c r="G584" s="2" t="s">
        <v>50</v>
      </c>
      <c r="H584" s="2" t="s">
        <v>51</v>
      </c>
      <c r="I584" s="2" t="s">
        <v>52</v>
      </c>
      <c r="J584" s="2" t="s">
        <v>53</v>
      </c>
      <c r="K584" s="2"/>
      <c r="L584" s="2" t="s">
        <v>61</v>
      </c>
      <c r="M584" s="2" t="s">
        <v>55</v>
      </c>
      <c r="N584" s="2" t="s">
        <v>56</v>
      </c>
      <c r="O584" s="2" t="s">
        <v>1581</v>
      </c>
      <c r="P584" s="2"/>
      <c r="Q584" s="2" t="s">
        <v>1788</v>
      </c>
      <c r="R584" s="2"/>
    </row>
    <row r="585" spans="1:18">
      <c r="A585" s="2" t="s">
        <v>1789</v>
      </c>
      <c r="B585" s="2" t="s">
        <v>1790</v>
      </c>
      <c r="C585" s="2" t="s">
        <v>1781</v>
      </c>
      <c r="D585" s="2">
        <v>463208782.08</v>
      </c>
      <c r="E585" s="2">
        <v>1</v>
      </c>
      <c r="F585" s="3">
        <f>IF(COUNT(D585,E585)=2,D585*E585,NA())</f>
        <v>463208782.08</v>
      </c>
      <c r="G585" s="2" t="s">
        <v>50</v>
      </c>
      <c r="H585" s="2" t="s">
        <v>51</v>
      </c>
      <c r="I585" s="2" t="s">
        <v>52</v>
      </c>
      <c r="J585" s="2" t="s">
        <v>53</v>
      </c>
      <c r="K585" s="2"/>
      <c r="L585" s="2" t="s">
        <v>61</v>
      </c>
      <c r="M585" s="2" t="s">
        <v>55</v>
      </c>
      <c r="N585" s="2" t="s">
        <v>56</v>
      </c>
      <c r="O585" s="2" t="s">
        <v>1581</v>
      </c>
      <c r="P585" s="2"/>
      <c r="Q585" s="2" t="s">
        <v>1791</v>
      </c>
      <c r="R585" s="2"/>
    </row>
    <row r="586" spans="1:18">
      <c r="A586" s="2" t="s">
        <v>1792</v>
      </c>
      <c r="B586" s="2" t="s">
        <v>1793</v>
      </c>
      <c r="C586" s="2" t="s">
        <v>1781</v>
      </c>
      <c r="D586" s="2">
        <v>3415245423.59</v>
      </c>
      <c r="E586" s="2">
        <v>1</v>
      </c>
      <c r="F586" s="3">
        <f>IF(COUNT(D586,E586)=2,D586*E586,NA())</f>
        <v>3415245423.59</v>
      </c>
      <c r="G586" s="2" t="s">
        <v>50</v>
      </c>
      <c r="H586" s="2" t="s">
        <v>51</v>
      </c>
      <c r="I586" s="2" t="s">
        <v>52</v>
      </c>
      <c r="J586" s="2" t="s">
        <v>53</v>
      </c>
      <c r="K586" s="2"/>
      <c r="L586" s="2" t="s">
        <v>61</v>
      </c>
      <c r="M586" s="2" t="s">
        <v>55</v>
      </c>
      <c r="N586" s="2" t="s">
        <v>62</v>
      </c>
      <c r="O586" s="2" t="s">
        <v>57</v>
      </c>
      <c r="P586" s="2" t="s">
        <v>1794</v>
      </c>
      <c r="Q586" s="2" t="s">
        <v>1795</v>
      </c>
      <c r="R586" s="2"/>
    </row>
    <row r="587" spans="1:18">
      <c r="A587" s="2" t="s">
        <v>1796</v>
      </c>
      <c r="B587" s="2" t="s">
        <v>1797</v>
      </c>
      <c r="C587" s="2" t="s">
        <v>1781</v>
      </c>
      <c r="D587" s="2">
        <v>2328727798.48</v>
      </c>
      <c r="E587" s="2">
        <v>1</v>
      </c>
      <c r="F587" s="3">
        <f>IF(COUNT(D587,E587)=2,D587*E587,NA())</f>
        <v>2328727798.48</v>
      </c>
      <c r="G587" s="2" t="s">
        <v>50</v>
      </c>
      <c r="H587" s="2" t="s">
        <v>51</v>
      </c>
      <c r="I587" s="2" t="s">
        <v>52</v>
      </c>
      <c r="J587" s="2" t="s">
        <v>53</v>
      </c>
      <c r="K587" s="2"/>
      <c r="L587" s="2" t="s">
        <v>61</v>
      </c>
      <c r="M587" s="2" t="s">
        <v>55</v>
      </c>
      <c r="N587" s="2" t="s">
        <v>62</v>
      </c>
      <c r="O587" s="2" t="s">
        <v>57</v>
      </c>
      <c r="P587" s="2" t="s">
        <v>1798</v>
      </c>
      <c r="Q587" s="2" t="s">
        <v>1799</v>
      </c>
      <c r="R587" s="2"/>
    </row>
    <row r="588" spans="1:18">
      <c r="A588" s="2" t="s">
        <v>1800</v>
      </c>
      <c r="B588" s="2" t="s">
        <v>1801</v>
      </c>
      <c r="C588" s="2" t="s">
        <v>1802</v>
      </c>
      <c r="D588" s="2">
        <v>321038849.04</v>
      </c>
      <c r="E588" s="2">
        <v>1</v>
      </c>
      <c r="F588" s="3">
        <f>IF(COUNT(D588,E588)=2,D588*E588,NA())</f>
        <v>321038849.04</v>
      </c>
      <c r="G588" s="2" t="s">
        <v>50</v>
      </c>
      <c r="H588" s="2" t="s">
        <v>51</v>
      </c>
      <c r="I588" s="2" t="s">
        <v>52</v>
      </c>
      <c r="J588" s="2" t="s">
        <v>53</v>
      </c>
      <c r="K588" s="2"/>
      <c r="L588" s="2" t="s">
        <v>54</v>
      </c>
      <c r="M588" s="2" t="s">
        <v>55</v>
      </c>
      <c r="N588" s="2" t="s">
        <v>56</v>
      </c>
      <c r="O588" s="2" t="s">
        <v>57</v>
      </c>
      <c r="P588" s="2" t="s">
        <v>1803</v>
      </c>
      <c r="Q588" s="2" t="s">
        <v>1804</v>
      </c>
      <c r="R588" s="2"/>
    </row>
    <row r="589" spans="1:18">
      <c r="A589" s="2" t="s">
        <v>1805</v>
      </c>
      <c r="B589" s="2" t="s">
        <v>1801</v>
      </c>
      <c r="C589" s="2" t="s">
        <v>1802</v>
      </c>
      <c r="D589" s="2">
        <v>377543579.5</v>
      </c>
      <c r="E589" s="2">
        <v>1</v>
      </c>
      <c r="F589" s="3">
        <f>IF(COUNT(D589,E589)=2,D589*E589,NA())</f>
        <v>377543579.5</v>
      </c>
      <c r="G589" s="2" t="s">
        <v>50</v>
      </c>
      <c r="H589" s="2" t="s">
        <v>51</v>
      </c>
      <c r="I589" s="2" t="s">
        <v>52</v>
      </c>
      <c r="J589" s="2" t="s">
        <v>53</v>
      </c>
      <c r="K589" s="2"/>
      <c r="L589" s="2" t="s">
        <v>61</v>
      </c>
      <c r="M589" s="2" t="s">
        <v>55</v>
      </c>
      <c r="N589" s="2" t="s">
        <v>62</v>
      </c>
      <c r="O589" s="2" t="s">
        <v>57</v>
      </c>
      <c r="P589" s="2" t="s">
        <v>1806</v>
      </c>
      <c r="Q589" s="2" t="s">
        <v>1804</v>
      </c>
      <c r="R589" s="2"/>
    </row>
    <row r="590" spans="1:18">
      <c r="A590" s="2" t="s">
        <v>1807</v>
      </c>
      <c r="B590" s="2" t="s">
        <v>1808</v>
      </c>
      <c r="C590" s="2" t="s">
        <v>1802</v>
      </c>
      <c r="D590" s="2">
        <v>167050585.9</v>
      </c>
      <c r="E590" s="2">
        <v>1</v>
      </c>
      <c r="F590" s="3">
        <f>IF(COUNT(D590,E590)=2,D590*E590,NA())</f>
        <v>167050585.9</v>
      </c>
      <c r="G590" s="2" t="s">
        <v>50</v>
      </c>
      <c r="H590" s="2" t="s">
        <v>51</v>
      </c>
      <c r="I590" s="2" t="s">
        <v>52</v>
      </c>
      <c r="J590" s="2" t="s">
        <v>53</v>
      </c>
      <c r="K590" s="2"/>
      <c r="L590" s="2" t="s">
        <v>54</v>
      </c>
      <c r="M590" s="2" t="s">
        <v>55</v>
      </c>
      <c r="N590" s="2" t="s">
        <v>56</v>
      </c>
      <c r="O590" s="2" t="s">
        <v>57</v>
      </c>
      <c r="P590" s="2" t="s">
        <v>1809</v>
      </c>
      <c r="Q590" s="2" t="s">
        <v>1810</v>
      </c>
      <c r="R590" s="2"/>
    </row>
    <row r="591" spans="1:18">
      <c r="A591" s="2" t="s">
        <v>1811</v>
      </c>
      <c r="B591" s="2" t="s">
        <v>1808</v>
      </c>
      <c r="C591" s="2" t="s">
        <v>1802</v>
      </c>
      <c r="D591" s="2">
        <v>129813530.98</v>
      </c>
      <c r="E591" s="2">
        <v>1</v>
      </c>
      <c r="F591" s="3">
        <f>IF(COUNT(D591,E591)=2,D591*E591,NA())</f>
        <v>129813530.98</v>
      </c>
      <c r="G591" s="2" t="s">
        <v>50</v>
      </c>
      <c r="H591" s="2" t="s">
        <v>51</v>
      </c>
      <c r="I591" s="2" t="s">
        <v>52</v>
      </c>
      <c r="J591" s="2" t="s">
        <v>53</v>
      </c>
      <c r="K591" s="2"/>
      <c r="L591" s="2" t="s">
        <v>61</v>
      </c>
      <c r="M591" s="2" t="s">
        <v>55</v>
      </c>
      <c r="N591" s="2" t="s">
        <v>62</v>
      </c>
      <c r="O591" s="2" t="s">
        <v>57</v>
      </c>
      <c r="P591" s="2" t="s">
        <v>1812</v>
      </c>
      <c r="Q591" s="2" t="s">
        <v>1810</v>
      </c>
      <c r="R591" s="2"/>
    </row>
    <row r="592" spans="1:18">
      <c r="A592" s="2" t="s">
        <v>1813</v>
      </c>
      <c r="B592" s="2" t="s">
        <v>1814</v>
      </c>
      <c r="C592" s="2" t="s">
        <v>1802</v>
      </c>
      <c r="D592" s="2">
        <v>18615072.23</v>
      </c>
      <c r="E592" s="2">
        <v>1</v>
      </c>
      <c r="F592" s="3">
        <f>IF(COUNT(D592,E592)=2,D592*E592,NA())</f>
        <v>18615072.23</v>
      </c>
      <c r="G592" s="2" t="s">
        <v>50</v>
      </c>
      <c r="H592" s="2" t="s">
        <v>51</v>
      </c>
      <c r="I592" s="2" t="s">
        <v>52</v>
      </c>
      <c r="J592" s="2" t="s">
        <v>53</v>
      </c>
      <c r="K592" s="2"/>
      <c r="L592" s="2" t="s">
        <v>54</v>
      </c>
      <c r="M592" s="2" t="s">
        <v>55</v>
      </c>
      <c r="N592" s="2" t="s">
        <v>56</v>
      </c>
      <c r="O592" s="2" t="s">
        <v>57</v>
      </c>
      <c r="P592" s="2" t="s">
        <v>1815</v>
      </c>
      <c r="Q592" s="2" t="s">
        <v>1816</v>
      </c>
      <c r="R592" s="2"/>
    </row>
    <row r="593" spans="1:18">
      <c r="A593" s="2" t="s">
        <v>1817</v>
      </c>
      <c r="B593" s="2" t="s">
        <v>1814</v>
      </c>
      <c r="C593" s="2" t="s">
        <v>1802</v>
      </c>
      <c r="D593" s="2">
        <v>14268934.9</v>
      </c>
      <c r="E593" s="2">
        <v>1</v>
      </c>
      <c r="F593" s="3">
        <f>IF(COUNT(D593,E593)=2,D593*E593,NA())</f>
        <v>14268934.9</v>
      </c>
      <c r="G593" s="2" t="s">
        <v>50</v>
      </c>
      <c r="H593" s="2" t="s">
        <v>51</v>
      </c>
      <c r="I593" s="2" t="s">
        <v>52</v>
      </c>
      <c r="J593" s="2" t="s">
        <v>53</v>
      </c>
      <c r="K593" s="2"/>
      <c r="L593" s="2" t="s">
        <v>61</v>
      </c>
      <c r="M593" s="2" t="s">
        <v>55</v>
      </c>
      <c r="N593" s="2" t="s">
        <v>62</v>
      </c>
      <c r="O593" s="2" t="s">
        <v>57</v>
      </c>
      <c r="P593" s="2" t="s">
        <v>1818</v>
      </c>
      <c r="Q593" s="2" t="s">
        <v>1816</v>
      </c>
      <c r="R593" s="2"/>
    </row>
    <row r="594" spans="1:18">
      <c r="A594" s="2" t="s">
        <v>1819</v>
      </c>
      <c r="B594" s="2" t="s">
        <v>1820</v>
      </c>
      <c r="C594" s="2" t="s">
        <v>1802</v>
      </c>
      <c r="D594" s="2">
        <v>1555431.28</v>
      </c>
      <c r="E594" s="2">
        <v>1</v>
      </c>
      <c r="F594" s="3">
        <f>IF(COUNT(D594,E594)=2,D594*E594,NA())</f>
        <v>1555431.28</v>
      </c>
      <c r="G594" s="2" t="s">
        <v>50</v>
      </c>
      <c r="H594" s="2" t="s">
        <v>51</v>
      </c>
      <c r="I594" s="2" t="s">
        <v>52</v>
      </c>
      <c r="J594" s="2" t="s">
        <v>53</v>
      </c>
      <c r="K594" s="2"/>
      <c r="L594" s="2" t="s">
        <v>54</v>
      </c>
      <c r="M594" s="2" t="s">
        <v>55</v>
      </c>
      <c r="N594" s="2" t="s">
        <v>56</v>
      </c>
      <c r="O594" s="2" t="s">
        <v>57</v>
      </c>
      <c r="P594" s="2" t="s">
        <v>1821</v>
      </c>
      <c r="Q594" s="2" t="s">
        <v>1822</v>
      </c>
      <c r="R594" s="2"/>
    </row>
    <row r="595" spans="1:18">
      <c r="A595" s="2" t="s">
        <v>1823</v>
      </c>
      <c r="B595" s="2" t="s">
        <v>1820</v>
      </c>
      <c r="C595" s="2" t="s">
        <v>1802</v>
      </c>
      <c r="D595" s="2">
        <v>431970.7</v>
      </c>
      <c r="E595" s="2">
        <v>1</v>
      </c>
      <c r="F595" s="3">
        <f>IF(COUNT(D595,E595)=2,D595*E595,NA())</f>
        <v>431970.7</v>
      </c>
      <c r="G595" s="2" t="s">
        <v>50</v>
      </c>
      <c r="H595" s="2" t="s">
        <v>51</v>
      </c>
      <c r="I595" s="2" t="s">
        <v>52</v>
      </c>
      <c r="J595" s="2" t="s">
        <v>53</v>
      </c>
      <c r="K595" s="2"/>
      <c r="L595" s="2" t="s">
        <v>61</v>
      </c>
      <c r="M595" s="2" t="s">
        <v>55</v>
      </c>
      <c r="N595" s="2" t="s">
        <v>62</v>
      </c>
      <c r="O595" s="2" t="s">
        <v>57</v>
      </c>
      <c r="P595" s="2" t="s">
        <v>1824</v>
      </c>
      <c r="Q595" s="2" t="s">
        <v>1822</v>
      </c>
      <c r="R595" s="2"/>
    </row>
    <row r="596" spans="1:18">
      <c r="A596" s="2" t="s">
        <v>1825</v>
      </c>
      <c r="B596" s="2" t="s">
        <v>1826</v>
      </c>
      <c r="C596" s="2" t="s">
        <v>1802</v>
      </c>
      <c r="D596" s="2">
        <v>811362.42</v>
      </c>
      <c r="E596" s="2">
        <v>1</v>
      </c>
      <c r="F596" s="3">
        <f>IF(COUNT(D596,E596)=2,D596*E596,NA())</f>
        <v>811362.42</v>
      </c>
      <c r="G596" s="2" t="s">
        <v>50</v>
      </c>
      <c r="H596" s="2" t="s">
        <v>51</v>
      </c>
      <c r="I596" s="2" t="s">
        <v>52</v>
      </c>
      <c r="J596" s="2" t="s">
        <v>53</v>
      </c>
      <c r="K596" s="2"/>
      <c r="L596" s="2" t="s">
        <v>54</v>
      </c>
      <c r="M596" s="2" t="s">
        <v>55</v>
      </c>
      <c r="N596" s="2" t="s">
        <v>56</v>
      </c>
      <c r="O596" s="2" t="s">
        <v>57</v>
      </c>
      <c r="P596" s="2" t="s">
        <v>1827</v>
      </c>
      <c r="Q596" s="2" t="s">
        <v>1828</v>
      </c>
      <c r="R596" s="2"/>
    </row>
    <row r="597" spans="1:18">
      <c r="A597" s="2" t="s">
        <v>1829</v>
      </c>
      <c r="B597" s="2" t="s">
        <v>1826</v>
      </c>
      <c r="C597" s="2" t="s">
        <v>1802</v>
      </c>
      <c r="D597" s="2">
        <v>161017284.04</v>
      </c>
      <c r="E597" s="2">
        <v>1</v>
      </c>
      <c r="F597" s="3">
        <f>IF(COUNT(D597,E597)=2,D597*E597,NA())</f>
        <v>161017284.04</v>
      </c>
      <c r="G597" s="2" t="s">
        <v>50</v>
      </c>
      <c r="H597" s="2" t="s">
        <v>51</v>
      </c>
      <c r="I597" s="2" t="s">
        <v>52</v>
      </c>
      <c r="J597" s="2" t="s">
        <v>53</v>
      </c>
      <c r="K597" s="2"/>
      <c r="L597" s="2" t="s">
        <v>61</v>
      </c>
      <c r="M597" s="2" t="s">
        <v>55</v>
      </c>
      <c r="N597" s="2" t="s">
        <v>62</v>
      </c>
      <c r="O597" s="2" t="s">
        <v>57</v>
      </c>
      <c r="P597" s="2" t="s">
        <v>1830</v>
      </c>
      <c r="Q597" s="2" t="s">
        <v>1828</v>
      </c>
      <c r="R597" s="2"/>
    </row>
    <row r="598" spans="1:18">
      <c r="A598" s="2" t="s">
        <v>1831</v>
      </c>
      <c r="B598" s="2" t="s">
        <v>1832</v>
      </c>
      <c r="C598" s="2" t="s">
        <v>1681</v>
      </c>
      <c r="D598" s="2"/>
      <c r="E598" s="2">
        <v>1</v>
      </c>
      <c r="F598" s="3" t="e">
        <f>IF(COUNT(D598,E598)=2,D598*E598,NA())</f>
        <v>#N/A</v>
      </c>
      <c r="G598" s="2" t="s">
        <v>50</v>
      </c>
      <c r="H598" s="2" t="s">
        <v>51</v>
      </c>
      <c r="I598" s="2" t="s">
        <v>52</v>
      </c>
      <c r="J598" s="2" t="s">
        <v>53</v>
      </c>
      <c r="K598" s="2"/>
      <c r="L598" s="2" t="s">
        <v>814</v>
      </c>
      <c r="M598" s="2" t="s">
        <v>55</v>
      </c>
      <c r="N598" s="2" t="s">
        <v>1682</v>
      </c>
      <c r="O598" s="2" t="s">
        <v>57</v>
      </c>
      <c r="P598" s="2" t="s">
        <v>1833</v>
      </c>
      <c r="Q598" s="2" t="s">
        <v>103</v>
      </c>
      <c r="R598" s="2"/>
    </row>
    <row r="599" spans="1:18">
      <c r="A599" s="2" t="s">
        <v>1834</v>
      </c>
      <c r="B599" s="2" t="s">
        <v>1835</v>
      </c>
      <c r="C599" s="2" t="s">
        <v>1681</v>
      </c>
      <c r="D599" s="2"/>
      <c r="E599" s="2">
        <v>1</v>
      </c>
      <c r="F599" s="3" t="e">
        <f>IF(COUNT(D599,E599)=2,D599*E599,NA())</f>
        <v>#N/A</v>
      </c>
      <c r="G599" s="2" t="s">
        <v>50</v>
      </c>
      <c r="H599" s="2" t="s">
        <v>51</v>
      </c>
      <c r="I599" s="2" t="s">
        <v>52</v>
      </c>
      <c r="J599" s="2" t="s">
        <v>53</v>
      </c>
      <c r="K599" s="2"/>
      <c r="L599" s="2" t="s">
        <v>814</v>
      </c>
      <c r="M599" s="2" t="s">
        <v>55</v>
      </c>
      <c r="N599" s="2" t="s">
        <v>1682</v>
      </c>
      <c r="O599" s="2" t="s">
        <v>57</v>
      </c>
      <c r="P599" s="2" t="s">
        <v>1833</v>
      </c>
      <c r="Q599" s="2" t="s">
        <v>231</v>
      </c>
      <c r="R599" s="2"/>
    </row>
    <row r="600" spans="1:18">
      <c r="A600" s="2" t="s">
        <v>1836</v>
      </c>
      <c r="B600" s="2" t="s">
        <v>1837</v>
      </c>
      <c r="C600" s="2" t="s">
        <v>1681</v>
      </c>
      <c r="D600" s="2"/>
      <c r="E600" s="2">
        <v>1</v>
      </c>
      <c r="F600" s="3" t="e">
        <f>IF(COUNT(D600,E600)=2,D600*E600,NA())</f>
        <v>#N/A</v>
      </c>
      <c r="G600" s="2" t="s">
        <v>50</v>
      </c>
      <c r="H600" s="2" t="s">
        <v>51</v>
      </c>
      <c r="I600" s="2" t="s">
        <v>52</v>
      </c>
      <c r="J600" s="2" t="s">
        <v>53</v>
      </c>
      <c r="K600" s="2" t="s">
        <v>1562</v>
      </c>
      <c r="L600" s="2" t="s">
        <v>814</v>
      </c>
      <c r="M600" s="2" t="s">
        <v>392</v>
      </c>
      <c r="N600" s="2" t="s">
        <v>1682</v>
      </c>
      <c r="O600" s="2" t="s">
        <v>57</v>
      </c>
      <c r="P600" s="2" t="s">
        <v>1838</v>
      </c>
      <c r="Q600" s="2" t="s">
        <v>1839</v>
      </c>
      <c r="R600" s="2"/>
    </row>
    <row r="601" spans="1:18">
      <c r="A601" s="2" t="s">
        <v>1840</v>
      </c>
      <c r="B601" s="2" t="s">
        <v>1841</v>
      </c>
      <c r="C601" s="2" t="s">
        <v>1681</v>
      </c>
      <c r="D601" s="2"/>
      <c r="E601" s="2">
        <v>1</v>
      </c>
      <c r="F601" s="3" t="e">
        <f>IF(COUNT(D601,E601)=2,D601*E601,NA())</f>
        <v>#N/A</v>
      </c>
      <c r="G601" s="2" t="s">
        <v>50</v>
      </c>
      <c r="H601" s="2" t="s">
        <v>51</v>
      </c>
      <c r="I601" s="2" t="s">
        <v>52</v>
      </c>
      <c r="J601" s="2" t="s">
        <v>53</v>
      </c>
      <c r="K601" s="2" t="s">
        <v>1562</v>
      </c>
      <c r="L601" s="2" t="s">
        <v>814</v>
      </c>
      <c r="M601" s="2" t="s">
        <v>392</v>
      </c>
      <c r="N601" s="2" t="s">
        <v>1682</v>
      </c>
      <c r="O601" s="2" t="s">
        <v>57</v>
      </c>
      <c r="P601" s="2" t="s">
        <v>1838</v>
      </c>
      <c r="Q601" s="2" t="s">
        <v>1842</v>
      </c>
      <c r="R601" s="2"/>
    </row>
    <row r="602" spans="1:18">
      <c r="A602" s="2" t="s">
        <v>1843</v>
      </c>
      <c r="B602" s="2" t="s">
        <v>1844</v>
      </c>
      <c r="C602" s="2" t="s">
        <v>1681</v>
      </c>
      <c r="D602" s="2"/>
      <c r="E602" s="2">
        <v>1</v>
      </c>
      <c r="F602" s="3" t="e">
        <f>IF(COUNT(D602,E602)=2,D602*E602,NA())</f>
        <v>#N/A</v>
      </c>
      <c r="G602" s="2" t="s">
        <v>50</v>
      </c>
      <c r="H602" s="2" t="s">
        <v>51</v>
      </c>
      <c r="I602" s="2" t="s">
        <v>52</v>
      </c>
      <c r="J602" s="2" t="s">
        <v>53</v>
      </c>
      <c r="K602" s="2" t="s">
        <v>1562</v>
      </c>
      <c r="L602" s="2" t="s">
        <v>814</v>
      </c>
      <c r="M602" s="2" t="s">
        <v>392</v>
      </c>
      <c r="N602" s="2" t="s">
        <v>1682</v>
      </c>
      <c r="O602" s="2" t="s">
        <v>57</v>
      </c>
      <c r="P602" s="2" t="s">
        <v>1838</v>
      </c>
      <c r="Q602" s="2" t="s">
        <v>1845</v>
      </c>
      <c r="R602" s="2"/>
    </row>
    <row r="603" spans="1:18">
      <c r="A603" s="2" t="s">
        <v>1846</v>
      </c>
      <c r="B603" s="2" t="s">
        <v>1847</v>
      </c>
      <c r="C603" s="2" t="s">
        <v>1681</v>
      </c>
      <c r="D603" s="2"/>
      <c r="E603" s="2">
        <v>1</v>
      </c>
      <c r="F603" s="3" t="e">
        <f>IF(COUNT(D603,E603)=2,D603*E603,NA())</f>
        <v>#N/A</v>
      </c>
      <c r="G603" s="2" t="s">
        <v>50</v>
      </c>
      <c r="H603" s="2" t="s">
        <v>51</v>
      </c>
      <c r="I603" s="2" t="s">
        <v>52</v>
      </c>
      <c r="J603" s="2" t="s">
        <v>53</v>
      </c>
      <c r="K603" s="2" t="s">
        <v>1562</v>
      </c>
      <c r="L603" s="2" t="s">
        <v>814</v>
      </c>
      <c r="M603" s="2" t="s">
        <v>392</v>
      </c>
      <c r="N603" s="2" t="s">
        <v>1682</v>
      </c>
      <c r="O603" s="2" t="s">
        <v>57</v>
      </c>
      <c r="P603" s="2" t="s">
        <v>1838</v>
      </c>
      <c r="Q603" s="2" t="s">
        <v>1848</v>
      </c>
      <c r="R603" s="2"/>
    </row>
    <row r="604" spans="1:18">
      <c r="A604" s="2" t="s">
        <v>1849</v>
      </c>
      <c r="B604" s="2" t="s">
        <v>1850</v>
      </c>
      <c r="C604" s="2" t="s">
        <v>1580</v>
      </c>
      <c r="D604" s="2">
        <v>49789210.62</v>
      </c>
      <c r="E604" s="2">
        <v>1</v>
      </c>
      <c r="F604" s="3">
        <f>IF(COUNT(D604,E604)=2,D604*E604,NA())</f>
        <v>49789210.62</v>
      </c>
      <c r="G604" s="2" t="s">
        <v>50</v>
      </c>
      <c r="H604" s="2" t="s">
        <v>51</v>
      </c>
      <c r="I604" s="2" t="s">
        <v>52</v>
      </c>
      <c r="J604" s="2" t="s">
        <v>53</v>
      </c>
      <c r="K604" s="2" t="s">
        <v>1562</v>
      </c>
      <c r="L604" s="2" t="s">
        <v>814</v>
      </c>
      <c r="M604" s="2" t="s">
        <v>392</v>
      </c>
      <c r="N604" s="2" t="s">
        <v>56</v>
      </c>
      <c r="O604" s="2" t="s">
        <v>1581</v>
      </c>
      <c r="P604" s="2"/>
      <c r="Q604" s="2" t="s">
        <v>1851</v>
      </c>
      <c r="R604" s="2"/>
    </row>
    <row r="605" spans="1:18">
      <c r="A605" s="2" t="s">
        <v>1852</v>
      </c>
      <c r="B605" s="2" t="s">
        <v>1853</v>
      </c>
      <c r="C605" s="2" t="s">
        <v>1854</v>
      </c>
      <c r="D605" s="2">
        <v>130000</v>
      </c>
      <c r="E605" s="2">
        <v>10000</v>
      </c>
      <c r="F605" s="3">
        <f>IF(COUNT(D605,E605)=2,D605*E605,NA())</f>
        <v>1300000000.0</v>
      </c>
      <c r="G605" s="2" t="s">
        <v>50</v>
      </c>
      <c r="H605" s="2" t="s">
        <v>51</v>
      </c>
      <c r="I605" s="2" t="s">
        <v>52</v>
      </c>
      <c r="J605" s="2" t="s">
        <v>53</v>
      </c>
      <c r="K605" s="2" t="s">
        <v>1731</v>
      </c>
      <c r="L605" s="2" t="s">
        <v>1855</v>
      </c>
      <c r="M605" s="2" t="s">
        <v>392</v>
      </c>
      <c r="N605" s="2" t="s">
        <v>56</v>
      </c>
      <c r="O605" s="2" t="s">
        <v>57</v>
      </c>
      <c r="P605" s="2" t="s">
        <v>1535</v>
      </c>
      <c r="Q605" s="2" t="s">
        <v>1543</v>
      </c>
      <c r="R605" s="2"/>
    </row>
    <row r="606" spans="1:18">
      <c r="A606" s="2" t="s">
        <v>1856</v>
      </c>
      <c r="B606" s="2" t="s">
        <v>1857</v>
      </c>
      <c r="C606" s="2" t="s">
        <v>1858</v>
      </c>
      <c r="D606" s="2">
        <v>130000</v>
      </c>
      <c r="E606" s="2">
        <v>10000</v>
      </c>
      <c r="F606" s="3">
        <f>IF(COUNT(D606,E606)=2,D606*E606,NA())</f>
        <v>1300000000.0</v>
      </c>
      <c r="G606" s="2" t="s">
        <v>50</v>
      </c>
      <c r="H606" s="2" t="s">
        <v>51</v>
      </c>
      <c r="I606" s="2" t="s">
        <v>52</v>
      </c>
      <c r="J606" s="2" t="s">
        <v>53</v>
      </c>
      <c r="K606" s="2"/>
      <c r="L606" s="2" t="s">
        <v>1859</v>
      </c>
      <c r="M606" s="2" t="s">
        <v>55</v>
      </c>
      <c r="N606" s="2" t="s">
        <v>56</v>
      </c>
      <c r="O606" s="2" t="s">
        <v>57</v>
      </c>
      <c r="P606" s="2" t="s">
        <v>1535</v>
      </c>
      <c r="Q606" s="2" t="s">
        <v>1543</v>
      </c>
      <c r="R606" s="2"/>
    </row>
    <row r="607" spans="1:18">
      <c r="A607" s="2" t="s">
        <v>1860</v>
      </c>
      <c r="B607" s="2" t="s">
        <v>1861</v>
      </c>
      <c r="C607" s="2" t="s">
        <v>1496</v>
      </c>
      <c r="D607" s="2">
        <v>-222842753.23</v>
      </c>
      <c r="E607" s="2">
        <v>1</v>
      </c>
      <c r="F607" s="3">
        <f>IF(COUNT(D607,E607)=2,D607*E607,NA())</f>
        <v>-222842753.23</v>
      </c>
      <c r="G607" s="2" t="s">
        <v>50</v>
      </c>
      <c r="H607" s="2" t="s">
        <v>51</v>
      </c>
      <c r="I607" s="2" t="s">
        <v>52</v>
      </c>
      <c r="J607" s="2" t="s">
        <v>53</v>
      </c>
      <c r="K607" s="2" t="s">
        <v>396</v>
      </c>
      <c r="L607" s="2" t="s">
        <v>61</v>
      </c>
      <c r="M607" s="2" t="s">
        <v>392</v>
      </c>
      <c r="N607" s="2" t="s">
        <v>62</v>
      </c>
      <c r="O607" s="2" t="s">
        <v>57</v>
      </c>
      <c r="P607" s="2"/>
      <c r="Q607" s="2" t="s">
        <v>1862</v>
      </c>
      <c r="R607" s="2"/>
    </row>
    <row r="608" spans="1:18">
      <c r="A608" s="2" t="s">
        <v>1863</v>
      </c>
      <c r="B608" s="2" t="s">
        <v>1864</v>
      </c>
      <c r="C608" s="2" t="s">
        <v>1496</v>
      </c>
      <c r="D608" s="2">
        <v>88702035.42</v>
      </c>
      <c r="E608" s="2">
        <v>1</v>
      </c>
      <c r="F608" s="3">
        <f>IF(COUNT(D608,E608)=2,D608*E608,NA())</f>
        <v>88702035.42</v>
      </c>
      <c r="G608" s="2" t="s">
        <v>50</v>
      </c>
      <c r="H608" s="2" t="s">
        <v>51</v>
      </c>
      <c r="I608" s="2" t="s">
        <v>52</v>
      </c>
      <c r="J608" s="2" t="s">
        <v>53</v>
      </c>
      <c r="K608" s="2" t="s">
        <v>396</v>
      </c>
      <c r="L608" s="2" t="s">
        <v>61</v>
      </c>
      <c r="M608" s="2" t="s">
        <v>392</v>
      </c>
      <c r="N608" s="2" t="s">
        <v>62</v>
      </c>
      <c r="O608" s="2" t="s">
        <v>57</v>
      </c>
      <c r="P608" s="2"/>
      <c r="Q608" s="2" t="s">
        <v>1497</v>
      </c>
      <c r="R608" s="2"/>
    </row>
    <row r="609" spans="1:18">
      <c r="A609" s="2" t="s">
        <v>1865</v>
      </c>
      <c r="B609" s="2" t="s">
        <v>1866</v>
      </c>
      <c r="C609" s="2" t="s">
        <v>1496</v>
      </c>
      <c r="D609" s="2">
        <v>24526823.68</v>
      </c>
      <c r="E609" s="2">
        <v>1</v>
      </c>
      <c r="F609" s="3">
        <f>IF(COUNT(D609,E609)=2,D609*E609,NA())</f>
        <v>24526823.68</v>
      </c>
      <c r="G609" s="2" t="s">
        <v>50</v>
      </c>
      <c r="H609" s="2" t="s">
        <v>51</v>
      </c>
      <c r="I609" s="2" t="s">
        <v>52</v>
      </c>
      <c r="J609" s="2" t="s">
        <v>53</v>
      </c>
      <c r="K609" s="2" t="s">
        <v>396</v>
      </c>
      <c r="L609" s="2" t="s">
        <v>61</v>
      </c>
      <c r="M609" s="2" t="s">
        <v>392</v>
      </c>
      <c r="N609" s="2" t="s">
        <v>62</v>
      </c>
      <c r="O609" s="2" t="s">
        <v>57</v>
      </c>
      <c r="P609" s="2"/>
      <c r="Q609" s="2" t="s">
        <v>1867</v>
      </c>
      <c r="R609" s="2"/>
    </row>
    <row r="610" spans="1:18">
      <c r="A610" s="2" t="s">
        <v>1868</v>
      </c>
      <c r="B610" s="2" t="s">
        <v>1869</v>
      </c>
      <c r="C610" s="2" t="s">
        <v>1496</v>
      </c>
      <c r="D610" s="2">
        <v>108896672.25</v>
      </c>
      <c r="E610" s="2">
        <v>1</v>
      </c>
      <c r="F610" s="3">
        <f>IF(COUNT(D610,E610)=2,D610*E610,NA())</f>
        <v>108896672.25</v>
      </c>
      <c r="G610" s="2" t="s">
        <v>50</v>
      </c>
      <c r="H610" s="2" t="s">
        <v>51</v>
      </c>
      <c r="I610" s="2" t="s">
        <v>52</v>
      </c>
      <c r="J610" s="2" t="s">
        <v>53</v>
      </c>
      <c r="K610" s="2" t="s">
        <v>396</v>
      </c>
      <c r="L610" s="2" t="s">
        <v>61</v>
      </c>
      <c r="M610" s="2" t="s">
        <v>392</v>
      </c>
      <c r="N610" s="2" t="s">
        <v>62</v>
      </c>
      <c r="O610" s="2" t="s">
        <v>57</v>
      </c>
      <c r="P610" s="2"/>
      <c r="Q610" s="2" t="s">
        <v>1870</v>
      </c>
      <c r="R610" s="2"/>
    </row>
    <row r="611" spans="1:18">
      <c r="A611" s="2" t="s">
        <v>1871</v>
      </c>
      <c r="B611" s="2" t="s">
        <v>1872</v>
      </c>
      <c r="C611" s="2" t="s">
        <v>1580</v>
      </c>
      <c r="D611" s="2">
        <v>5618081744.7</v>
      </c>
      <c r="E611" s="2">
        <v>1</v>
      </c>
      <c r="F611" s="3">
        <f>IF(COUNT(D611,E611)=2,D611*E611,NA())</f>
        <v>5618081744.7</v>
      </c>
      <c r="G611" s="2" t="s">
        <v>50</v>
      </c>
      <c r="H611" s="2" t="s">
        <v>51</v>
      </c>
      <c r="I611" s="2" t="s">
        <v>52</v>
      </c>
      <c r="J611" s="2" t="s">
        <v>53</v>
      </c>
      <c r="K611" s="2"/>
      <c r="L611" s="2" t="s">
        <v>1873</v>
      </c>
      <c r="M611" s="2" t="s">
        <v>55</v>
      </c>
      <c r="N611" s="2" t="s">
        <v>56</v>
      </c>
      <c r="O611" s="2" t="s">
        <v>1581</v>
      </c>
      <c r="P611" s="2"/>
      <c r="Q611" s="2" t="s">
        <v>1588</v>
      </c>
      <c r="R611" s="2"/>
    </row>
    <row r="612" spans="1:18">
      <c r="A612" s="2" t="s">
        <v>1874</v>
      </c>
      <c r="B612" s="2" t="s">
        <v>1875</v>
      </c>
      <c r="C612" s="2" t="s">
        <v>1580</v>
      </c>
      <c r="D612" s="2">
        <v>-346148475.64</v>
      </c>
      <c r="E612" s="2">
        <v>1</v>
      </c>
      <c r="F612" s="3">
        <f>IF(COUNT(D612,E612)=2,D612*E612,NA())</f>
        <v>-346148475.64</v>
      </c>
      <c r="G612" s="2" t="s">
        <v>50</v>
      </c>
      <c r="H612" s="2" t="s">
        <v>51</v>
      </c>
      <c r="I612" s="2" t="s">
        <v>52</v>
      </c>
      <c r="J612" s="2" t="s">
        <v>53</v>
      </c>
      <c r="K612" s="2" t="s">
        <v>1562</v>
      </c>
      <c r="L612" s="2" t="s">
        <v>814</v>
      </c>
      <c r="M612" s="2" t="s">
        <v>392</v>
      </c>
      <c r="N612" s="2" t="s">
        <v>56</v>
      </c>
      <c r="O612" s="2" t="s">
        <v>1581</v>
      </c>
      <c r="P612" s="2"/>
      <c r="Q612" s="2" t="s">
        <v>1876</v>
      </c>
      <c r="R612" s="2"/>
    </row>
    <row r="613" spans="1:18">
      <c r="A613" s="2" t="s">
        <v>1877</v>
      </c>
      <c r="B613" s="2" t="s">
        <v>1878</v>
      </c>
      <c r="C613" s="2" t="s">
        <v>1580</v>
      </c>
      <c r="D613" s="2">
        <v>-72903663.67</v>
      </c>
      <c r="E613" s="2">
        <v>1</v>
      </c>
      <c r="F613" s="3">
        <f>IF(COUNT(D613,E613)=2,D613*E613,NA())</f>
        <v>-72903663.67</v>
      </c>
      <c r="G613" s="2" t="s">
        <v>50</v>
      </c>
      <c r="H613" s="2" t="s">
        <v>51</v>
      </c>
      <c r="I613" s="2" t="s">
        <v>52</v>
      </c>
      <c r="J613" s="2" t="s">
        <v>53</v>
      </c>
      <c r="K613" s="2" t="s">
        <v>1562</v>
      </c>
      <c r="L613" s="2" t="s">
        <v>814</v>
      </c>
      <c r="M613" s="2" t="s">
        <v>392</v>
      </c>
      <c r="N613" s="2" t="s">
        <v>56</v>
      </c>
      <c r="O613" s="2" t="s">
        <v>1581</v>
      </c>
      <c r="P613" s="2"/>
      <c r="Q613" s="2" t="s">
        <v>1879</v>
      </c>
      <c r="R613" s="2"/>
    </row>
    <row r="614" spans="1:18">
      <c r="A614" s="2" t="s">
        <v>1880</v>
      </c>
      <c r="B614" s="2" t="s">
        <v>1881</v>
      </c>
      <c r="C614" s="2" t="s">
        <v>1580</v>
      </c>
      <c r="D614" s="2">
        <v>58217496.35</v>
      </c>
      <c r="E614" s="2">
        <v>1</v>
      </c>
      <c r="F614" s="3">
        <f>IF(COUNT(D614,E614)=2,D614*E614,NA())</f>
        <v>58217496.35</v>
      </c>
      <c r="G614" s="2" t="s">
        <v>50</v>
      </c>
      <c r="H614" s="2" t="s">
        <v>51</v>
      </c>
      <c r="I614" s="2" t="s">
        <v>52</v>
      </c>
      <c r="J614" s="2" t="s">
        <v>53</v>
      </c>
      <c r="K614" s="2" t="s">
        <v>1562</v>
      </c>
      <c r="L614" s="2" t="s">
        <v>814</v>
      </c>
      <c r="M614" s="2" t="s">
        <v>392</v>
      </c>
      <c r="N614" s="2" t="s">
        <v>56</v>
      </c>
      <c r="O614" s="2" t="s">
        <v>1581</v>
      </c>
      <c r="P614" s="2"/>
      <c r="Q614" s="2" t="s">
        <v>1882</v>
      </c>
      <c r="R614" s="2"/>
    </row>
    <row r="615" spans="1:18">
      <c r="A615" s="2" t="s">
        <v>1883</v>
      </c>
      <c r="B615" s="2" t="s">
        <v>1884</v>
      </c>
      <c r="C615" s="2" t="s">
        <v>1580</v>
      </c>
      <c r="D615" s="2">
        <v>41726370.48</v>
      </c>
      <c r="E615" s="2">
        <v>1</v>
      </c>
      <c r="F615" s="3">
        <f>IF(COUNT(D615,E615)=2,D615*E615,NA())</f>
        <v>41726370.48</v>
      </c>
      <c r="G615" s="2" t="s">
        <v>50</v>
      </c>
      <c r="H615" s="2" t="s">
        <v>51</v>
      </c>
      <c r="I615" s="2" t="s">
        <v>52</v>
      </c>
      <c r="J615" s="2" t="s">
        <v>53</v>
      </c>
      <c r="K615" s="2" t="s">
        <v>1562</v>
      </c>
      <c r="L615" s="2" t="s">
        <v>814</v>
      </c>
      <c r="M615" s="2" t="s">
        <v>392</v>
      </c>
      <c r="N615" s="2" t="s">
        <v>56</v>
      </c>
      <c r="O615" s="2" t="s">
        <v>1581</v>
      </c>
      <c r="P615" s="2"/>
      <c r="Q615" s="2" t="s">
        <v>1885</v>
      </c>
      <c r="R615" s="2"/>
    </row>
    <row r="616" spans="1:18">
      <c r="A616" s="2" t="s">
        <v>1886</v>
      </c>
      <c r="B616" s="2" t="s">
        <v>1887</v>
      </c>
      <c r="C616" s="2" t="s">
        <v>1580</v>
      </c>
      <c r="D616" s="2">
        <v>-67394263.09</v>
      </c>
      <c r="E616" s="2">
        <v>1</v>
      </c>
      <c r="F616" s="3">
        <f>IF(COUNT(D616,E616)=2,D616*E616,NA())</f>
        <v>-67394263.09</v>
      </c>
      <c r="G616" s="2" t="s">
        <v>50</v>
      </c>
      <c r="H616" s="2" t="s">
        <v>51</v>
      </c>
      <c r="I616" s="2" t="s">
        <v>52</v>
      </c>
      <c r="J616" s="2" t="s">
        <v>53</v>
      </c>
      <c r="K616" s="2" t="s">
        <v>1562</v>
      </c>
      <c r="L616" s="2" t="s">
        <v>814</v>
      </c>
      <c r="M616" s="2" t="s">
        <v>392</v>
      </c>
      <c r="N616" s="2" t="s">
        <v>56</v>
      </c>
      <c r="O616" s="2" t="s">
        <v>1581</v>
      </c>
      <c r="P616" s="2"/>
      <c r="Q616" s="2" t="s">
        <v>1888</v>
      </c>
      <c r="R616" s="2"/>
    </row>
    <row r="617" spans="1:18">
      <c r="A617" s="2" t="s">
        <v>1889</v>
      </c>
      <c r="B617" s="2" t="s">
        <v>1890</v>
      </c>
      <c r="C617" s="2" t="s">
        <v>1580</v>
      </c>
      <c r="D617" s="2">
        <v>8262902318.65</v>
      </c>
      <c r="E617" s="2">
        <v>1</v>
      </c>
      <c r="F617" s="3">
        <f>IF(COUNT(D617,E617)=2,D617*E617,NA())</f>
        <v>8262902318.65</v>
      </c>
      <c r="G617" s="2" t="s">
        <v>50</v>
      </c>
      <c r="H617" s="2" t="s">
        <v>51</v>
      </c>
      <c r="I617" s="2" t="s">
        <v>52</v>
      </c>
      <c r="J617" s="2" t="s">
        <v>53</v>
      </c>
      <c r="K617" s="2" t="s">
        <v>1562</v>
      </c>
      <c r="L617" s="2" t="s">
        <v>814</v>
      </c>
      <c r="M617" s="2" t="s">
        <v>392</v>
      </c>
      <c r="N617" s="2" t="s">
        <v>56</v>
      </c>
      <c r="O617" s="2" t="s">
        <v>1581</v>
      </c>
      <c r="P617" s="2"/>
      <c r="Q617" s="2" t="s">
        <v>1891</v>
      </c>
      <c r="R617" s="2"/>
    </row>
    <row r="618" spans="1:18">
      <c r="A618" s="2" t="s">
        <v>1892</v>
      </c>
      <c r="B618" s="2" t="s">
        <v>1893</v>
      </c>
      <c r="C618" s="2" t="s">
        <v>1894</v>
      </c>
      <c r="D618" s="2">
        <v>1760987.15</v>
      </c>
      <c r="E618" s="2">
        <v>1</v>
      </c>
      <c r="F618" s="3">
        <f>IF(COUNT(D618,E618)=2,D618*E618,NA())</f>
        <v>1760987.15</v>
      </c>
      <c r="G618" s="2" t="s">
        <v>50</v>
      </c>
      <c r="H618" s="2" t="s">
        <v>51</v>
      </c>
      <c r="I618" s="2" t="s">
        <v>52</v>
      </c>
      <c r="J618" s="2" t="s">
        <v>53</v>
      </c>
      <c r="K618" s="2"/>
      <c r="L618" s="2" t="s">
        <v>54</v>
      </c>
      <c r="M618" s="2" t="s">
        <v>55</v>
      </c>
      <c r="N618" s="2" t="s">
        <v>56</v>
      </c>
      <c r="O618" s="2" t="s">
        <v>57</v>
      </c>
      <c r="P618" s="2" t="s">
        <v>1895</v>
      </c>
      <c r="Q618" s="2" t="s">
        <v>1896</v>
      </c>
      <c r="R618" s="2"/>
    </row>
    <row r="619" spans="1:18">
      <c r="A619" s="2" t="s">
        <v>1897</v>
      </c>
      <c r="B619" s="2" t="s">
        <v>1893</v>
      </c>
      <c r="C619" s="2" t="s">
        <v>1894</v>
      </c>
      <c r="D619" s="2">
        <v>471633</v>
      </c>
      <c r="E619" s="2">
        <v>1</v>
      </c>
      <c r="F619" s="3">
        <f>IF(COUNT(D619,E619)=2,D619*E619,NA())</f>
        <v>471633.0</v>
      </c>
      <c r="G619" s="2" t="s">
        <v>50</v>
      </c>
      <c r="H619" s="2" t="s">
        <v>51</v>
      </c>
      <c r="I619" s="2" t="s">
        <v>52</v>
      </c>
      <c r="J619" s="2" t="s">
        <v>53</v>
      </c>
      <c r="K619" s="2"/>
      <c r="L619" s="2" t="s">
        <v>61</v>
      </c>
      <c r="M619" s="2" t="s">
        <v>55</v>
      </c>
      <c r="N619" s="2" t="s">
        <v>62</v>
      </c>
      <c r="O619" s="2" t="s">
        <v>57</v>
      </c>
      <c r="P619" s="2" t="s">
        <v>1898</v>
      </c>
      <c r="Q619" s="2" t="s">
        <v>1896</v>
      </c>
      <c r="R619" s="2"/>
    </row>
    <row r="620" spans="1:18">
      <c r="A620" s="2" t="s">
        <v>1899</v>
      </c>
      <c r="B620" s="2" t="s">
        <v>1900</v>
      </c>
      <c r="C620" s="2" t="s">
        <v>1901</v>
      </c>
      <c r="D620" s="2">
        <v>6044124793.41</v>
      </c>
      <c r="E620" s="2">
        <v>1</v>
      </c>
      <c r="F620" s="3">
        <f>IF(COUNT(D620,E620)=2,D620*E620,NA())</f>
        <v>6044124793.41</v>
      </c>
      <c r="G620" s="2" t="s">
        <v>50</v>
      </c>
      <c r="H620" s="2" t="s">
        <v>51</v>
      </c>
      <c r="I620" s="2" t="s">
        <v>1902</v>
      </c>
      <c r="J620" s="2" t="s">
        <v>1903</v>
      </c>
      <c r="K620" s="2" t="s">
        <v>391</v>
      </c>
      <c r="L620" s="2" t="s">
        <v>54</v>
      </c>
      <c r="M620" s="2" t="s">
        <v>392</v>
      </c>
      <c r="N620" s="2" t="s">
        <v>56</v>
      </c>
      <c r="O620" s="2" t="s">
        <v>1904</v>
      </c>
      <c r="P620" s="2"/>
      <c r="Q620" s="2" t="s">
        <v>1905</v>
      </c>
      <c r="R620" s="2"/>
    </row>
    <row r="621" spans="1:18">
      <c r="A621" s="2" t="s">
        <v>1906</v>
      </c>
      <c r="B621" s="2" t="s">
        <v>1907</v>
      </c>
      <c r="C621" s="2" t="s">
        <v>1901</v>
      </c>
      <c r="D621" s="2">
        <v>4659529919.68</v>
      </c>
      <c r="E621" s="2">
        <v>1</v>
      </c>
      <c r="F621" s="3">
        <f>IF(COUNT(D621,E621)=2,D621*E621,NA())</f>
        <v>4659529919.68</v>
      </c>
      <c r="G621" s="2" t="s">
        <v>50</v>
      </c>
      <c r="H621" s="2" t="s">
        <v>51</v>
      </c>
      <c r="I621" s="2" t="s">
        <v>1902</v>
      </c>
      <c r="J621" s="2" t="s">
        <v>1903</v>
      </c>
      <c r="K621" s="2" t="s">
        <v>391</v>
      </c>
      <c r="L621" s="2" t="s">
        <v>54</v>
      </c>
      <c r="M621" s="2" t="s">
        <v>392</v>
      </c>
      <c r="N621" s="2" t="s">
        <v>56</v>
      </c>
      <c r="O621" s="2" t="s">
        <v>1904</v>
      </c>
      <c r="P621" s="2"/>
      <c r="Q621" s="2" t="s">
        <v>1908</v>
      </c>
      <c r="R621" s="2"/>
    </row>
    <row r="622" spans="1:18">
      <c r="A622" s="2" t="s">
        <v>1909</v>
      </c>
      <c r="B622" s="2" t="s">
        <v>1910</v>
      </c>
      <c r="C622" s="2" t="s">
        <v>1901</v>
      </c>
      <c r="D622" s="2">
        <v>1084199413.32</v>
      </c>
      <c r="E622" s="2">
        <v>1</v>
      </c>
      <c r="F622" s="3">
        <f>IF(COUNT(D622,E622)=2,D622*E622,NA())</f>
        <v>1084199413.32</v>
      </c>
      <c r="G622" s="2" t="s">
        <v>50</v>
      </c>
      <c r="H622" s="2" t="s">
        <v>51</v>
      </c>
      <c r="I622" s="2" t="s">
        <v>1902</v>
      </c>
      <c r="J622" s="2" t="s">
        <v>1903</v>
      </c>
      <c r="K622" s="2" t="s">
        <v>391</v>
      </c>
      <c r="L622" s="2" t="s">
        <v>54</v>
      </c>
      <c r="M622" s="2" t="s">
        <v>392</v>
      </c>
      <c r="N622" s="2" t="s">
        <v>56</v>
      </c>
      <c r="O622" s="2" t="s">
        <v>1904</v>
      </c>
      <c r="P622" s="2"/>
      <c r="Q622" s="2" t="s">
        <v>1911</v>
      </c>
      <c r="R622" s="2"/>
    </row>
    <row r="623" spans="1:18">
      <c r="A623" s="2" t="s">
        <v>1912</v>
      </c>
      <c r="B623" s="2" t="s">
        <v>1913</v>
      </c>
      <c r="C623" s="2" t="s">
        <v>1901</v>
      </c>
      <c r="D623" s="2">
        <v>5848735840.97</v>
      </c>
      <c r="E623" s="2">
        <v>1</v>
      </c>
      <c r="F623" s="3">
        <f>IF(COUNT(D623,E623)=2,D623*E623,NA())</f>
        <v>5848735840.97</v>
      </c>
      <c r="G623" s="2" t="s">
        <v>50</v>
      </c>
      <c r="H623" s="2" t="s">
        <v>51</v>
      </c>
      <c r="I623" s="2" t="s">
        <v>1902</v>
      </c>
      <c r="J623" s="2" t="s">
        <v>1903</v>
      </c>
      <c r="K623" s="2" t="s">
        <v>391</v>
      </c>
      <c r="L623" s="2" t="s">
        <v>54</v>
      </c>
      <c r="M623" s="2" t="s">
        <v>392</v>
      </c>
      <c r="N623" s="2" t="s">
        <v>56</v>
      </c>
      <c r="O623" s="2" t="s">
        <v>1904</v>
      </c>
      <c r="P623" s="2"/>
      <c r="Q623" s="2" t="s">
        <v>1914</v>
      </c>
      <c r="R623" s="2"/>
    </row>
    <row r="624" spans="1:18">
      <c r="A624" s="2" t="s">
        <v>1915</v>
      </c>
      <c r="B624" s="2" t="s">
        <v>1916</v>
      </c>
      <c r="C624" s="2" t="s">
        <v>1901</v>
      </c>
      <c r="D624" s="2">
        <v>195388952.44</v>
      </c>
      <c r="E624" s="2">
        <v>1</v>
      </c>
      <c r="F624" s="3">
        <f>IF(COUNT(D624,E624)=2,D624*E624,NA())</f>
        <v>195388952.44</v>
      </c>
      <c r="G624" s="2" t="s">
        <v>50</v>
      </c>
      <c r="H624" s="2" t="s">
        <v>51</v>
      </c>
      <c r="I624" s="2" t="s">
        <v>1902</v>
      </c>
      <c r="J624" s="2" t="s">
        <v>1903</v>
      </c>
      <c r="K624" s="2" t="s">
        <v>391</v>
      </c>
      <c r="L624" s="2" t="s">
        <v>54</v>
      </c>
      <c r="M624" s="2" t="s">
        <v>392</v>
      </c>
      <c r="N624" s="2" t="s">
        <v>56</v>
      </c>
      <c r="O624" s="2" t="s">
        <v>1904</v>
      </c>
      <c r="P624" s="2"/>
      <c r="Q624" s="2" t="s">
        <v>1917</v>
      </c>
      <c r="R624" s="2"/>
    </row>
    <row r="625" spans="1:18">
      <c r="A625" s="2" t="s">
        <v>1918</v>
      </c>
      <c r="B625" s="2" t="s">
        <v>1919</v>
      </c>
      <c r="C625" s="2" t="s">
        <v>1920</v>
      </c>
      <c r="D625" s="2">
        <v>252838924.63</v>
      </c>
      <c r="E625" s="2">
        <v>1</v>
      </c>
      <c r="F625" s="3">
        <f>IF(COUNT(D625,E625)=2,D625*E625,NA())</f>
        <v>252838924.63</v>
      </c>
      <c r="G625" s="2" t="s">
        <v>50</v>
      </c>
      <c r="H625" s="2" t="s">
        <v>51</v>
      </c>
      <c r="I625" s="2" t="s">
        <v>1902</v>
      </c>
      <c r="J625" s="2" t="s">
        <v>1903</v>
      </c>
      <c r="K625" s="2" t="s">
        <v>391</v>
      </c>
      <c r="L625" s="2" t="s">
        <v>54</v>
      </c>
      <c r="M625" s="2" t="s">
        <v>392</v>
      </c>
      <c r="N625" s="2" t="s">
        <v>56</v>
      </c>
      <c r="O625" s="2" t="s">
        <v>1904</v>
      </c>
      <c r="P625" s="2"/>
      <c r="Q625" s="2" t="s">
        <v>1921</v>
      </c>
      <c r="R625" s="2"/>
    </row>
    <row r="626" spans="1:18">
      <c r="A626" s="2" t="s">
        <v>1922</v>
      </c>
      <c r="B626" s="2" t="s">
        <v>1923</v>
      </c>
      <c r="C626" s="2" t="s">
        <v>1924</v>
      </c>
      <c r="D626" s="2">
        <v>319628020.65</v>
      </c>
      <c r="E626" s="2">
        <v>1</v>
      </c>
      <c r="F626" s="3">
        <f>IF(COUNT(D626,E626)=2,D626*E626,NA())</f>
        <v>319628020.65</v>
      </c>
      <c r="G626" s="2" t="s">
        <v>50</v>
      </c>
      <c r="H626" s="2" t="s">
        <v>51</v>
      </c>
      <c r="I626" s="2" t="s">
        <v>1902</v>
      </c>
      <c r="J626" s="2" t="s">
        <v>1903</v>
      </c>
      <c r="K626" s="2" t="s">
        <v>391</v>
      </c>
      <c r="L626" s="2" t="s">
        <v>54</v>
      </c>
      <c r="M626" s="2" t="s">
        <v>392</v>
      </c>
      <c r="N626" s="2" t="s">
        <v>56</v>
      </c>
      <c r="O626" s="2" t="s">
        <v>1904</v>
      </c>
      <c r="P626" s="2"/>
      <c r="Q626" s="2" t="s">
        <v>1925</v>
      </c>
      <c r="R626" s="2"/>
    </row>
    <row r="627" spans="1:18">
      <c r="A627" s="2" t="s">
        <v>1926</v>
      </c>
      <c r="B627" s="2" t="s">
        <v>1927</v>
      </c>
      <c r="C627" s="2" t="s">
        <v>1928</v>
      </c>
      <c r="D627" s="2">
        <v>332990507.7</v>
      </c>
      <c r="E627" s="2">
        <v>1</v>
      </c>
      <c r="F627" s="3">
        <f>IF(COUNT(D627,E627)=2,D627*E627,NA())</f>
        <v>332990507.7</v>
      </c>
      <c r="G627" s="2" t="s">
        <v>50</v>
      </c>
      <c r="H627" s="2" t="s">
        <v>51</v>
      </c>
      <c r="I627" s="2" t="s">
        <v>1902</v>
      </c>
      <c r="J627" s="2" t="s">
        <v>1903</v>
      </c>
      <c r="K627" s="2" t="s">
        <v>391</v>
      </c>
      <c r="L627" s="2" t="s">
        <v>54</v>
      </c>
      <c r="M627" s="2" t="s">
        <v>392</v>
      </c>
      <c r="N627" s="2" t="s">
        <v>56</v>
      </c>
      <c r="O627" s="2" t="s">
        <v>1904</v>
      </c>
      <c r="P627" s="2"/>
      <c r="Q627" s="2" t="s">
        <v>1929</v>
      </c>
      <c r="R627" s="2"/>
    </row>
    <row r="628" spans="1:18">
      <c r="A628" s="2" t="s">
        <v>1930</v>
      </c>
      <c r="B628" s="2" t="s">
        <v>1931</v>
      </c>
      <c r="C628" s="2" t="s">
        <v>1928</v>
      </c>
      <c r="D628" s="2">
        <v>55498500.3</v>
      </c>
      <c r="E628" s="2">
        <v>1</v>
      </c>
      <c r="F628" s="3">
        <f>IF(COUNT(D628,E628)=2,D628*E628,NA())</f>
        <v>55498500.3</v>
      </c>
      <c r="G628" s="2" t="s">
        <v>50</v>
      </c>
      <c r="H628" s="2" t="s">
        <v>51</v>
      </c>
      <c r="I628" s="2" t="s">
        <v>1902</v>
      </c>
      <c r="J628" s="2" t="s">
        <v>1903</v>
      </c>
      <c r="K628" s="2" t="s">
        <v>391</v>
      </c>
      <c r="L628" s="2" t="s">
        <v>54</v>
      </c>
      <c r="M628" s="2" t="s">
        <v>392</v>
      </c>
      <c r="N628" s="2" t="s">
        <v>56</v>
      </c>
      <c r="O628" s="2" t="s">
        <v>1904</v>
      </c>
      <c r="P628" s="2"/>
      <c r="Q628" s="2" t="s">
        <v>1932</v>
      </c>
      <c r="R628" s="2"/>
    </row>
    <row r="629" spans="1:18">
      <c r="A629" s="2" t="s">
        <v>1933</v>
      </c>
      <c r="B629" s="2" t="s">
        <v>1934</v>
      </c>
      <c r="C629" s="2" t="s">
        <v>1901</v>
      </c>
      <c r="D629" s="2">
        <v>77.09</v>
      </c>
      <c r="E629" s="2">
        <v>0.01</v>
      </c>
      <c r="F629" s="3">
        <f>IF(COUNT(D629,E629)=2,D629*E629,NA())</f>
        <v>0.7709</v>
      </c>
      <c r="G629" s="2" t="s">
        <v>1935</v>
      </c>
      <c r="H629" s="2"/>
      <c r="I629" s="2" t="s">
        <v>1902</v>
      </c>
      <c r="J629" s="2" t="s">
        <v>1903</v>
      </c>
      <c r="K629" s="2" t="s">
        <v>391</v>
      </c>
      <c r="L629" s="2" t="s">
        <v>54</v>
      </c>
      <c r="M629" s="2" t="s">
        <v>1935</v>
      </c>
      <c r="N629" s="2" t="s">
        <v>56</v>
      </c>
      <c r="O629" s="2" t="s">
        <v>1904</v>
      </c>
      <c r="P629" s="2"/>
      <c r="Q629" s="2" t="s">
        <v>1936</v>
      </c>
      <c r="R629" s="2"/>
    </row>
    <row r="630" spans="1:18">
      <c r="A630" s="2" t="s">
        <v>1937</v>
      </c>
      <c r="B630" s="2" t="s">
        <v>1938</v>
      </c>
      <c r="C630" s="2" t="s">
        <v>1901</v>
      </c>
      <c r="D630" s="2">
        <v>17.94</v>
      </c>
      <c r="E630" s="2">
        <v>0.01</v>
      </c>
      <c r="F630" s="3">
        <f>IF(COUNT(D630,E630)=2,D630*E630,NA())</f>
        <v>0.1794</v>
      </c>
      <c r="G630" s="2" t="s">
        <v>1935</v>
      </c>
      <c r="H630" s="2"/>
      <c r="I630" s="2" t="s">
        <v>1902</v>
      </c>
      <c r="J630" s="2" t="s">
        <v>1903</v>
      </c>
      <c r="K630" s="2" t="s">
        <v>391</v>
      </c>
      <c r="L630" s="2" t="s">
        <v>54</v>
      </c>
      <c r="M630" s="2" t="s">
        <v>1935</v>
      </c>
      <c r="N630" s="2" t="s">
        <v>56</v>
      </c>
      <c r="O630" s="2" t="s">
        <v>1904</v>
      </c>
      <c r="P630" s="2"/>
      <c r="Q630" s="2" t="s">
        <v>1939</v>
      </c>
      <c r="R630" s="2"/>
    </row>
    <row r="631" spans="1:18">
      <c r="A631" s="2" t="s">
        <v>1940</v>
      </c>
      <c r="B631" s="2" t="s">
        <v>1941</v>
      </c>
      <c r="C631" s="2" t="s">
        <v>1901</v>
      </c>
      <c r="D631" s="2">
        <v>96.77</v>
      </c>
      <c r="E631" s="2">
        <v>0.01</v>
      </c>
      <c r="F631" s="3">
        <f>IF(COUNT(D631,E631)=2,D631*E631,NA())</f>
        <v>0.9677</v>
      </c>
      <c r="G631" s="2" t="s">
        <v>1935</v>
      </c>
      <c r="H631" s="2"/>
      <c r="I631" s="2" t="s">
        <v>1902</v>
      </c>
      <c r="J631" s="2" t="s">
        <v>1903</v>
      </c>
      <c r="K631" s="2" t="s">
        <v>391</v>
      </c>
      <c r="L631" s="2" t="s">
        <v>54</v>
      </c>
      <c r="M631" s="2" t="s">
        <v>1935</v>
      </c>
      <c r="N631" s="2" t="s">
        <v>56</v>
      </c>
      <c r="O631" s="2" t="s">
        <v>1904</v>
      </c>
      <c r="P631" s="2"/>
      <c r="Q631" s="2" t="s">
        <v>1942</v>
      </c>
      <c r="R631" s="2"/>
    </row>
    <row r="632" spans="1:18">
      <c r="A632" s="2" t="s">
        <v>1943</v>
      </c>
      <c r="B632" s="2" t="s">
        <v>1944</v>
      </c>
      <c r="C632" s="2" t="s">
        <v>1901</v>
      </c>
      <c r="D632" s="2">
        <v>3.23</v>
      </c>
      <c r="E632" s="2">
        <v>0.01</v>
      </c>
      <c r="F632" s="3">
        <f>IF(COUNT(D632,E632)=2,D632*E632,NA())</f>
        <v>0.0323</v>
      </c>
      <c r="G632" s="2" t="s">
        <v>1935</v>
      </c>
      <c r="H632" s="2"/>
      <c r="I632" s="2" t="s">
        <v>1902</v>
      </c>
      <c r="J632" s="2" t="s">
        <v>1903</v>
      </c>
      <c r="K632" s="2" t="s">
        <v>391</v>
      </c>
      <c r="L632" s="2" t="s">
        <v>54</v>
      </c>
      <c r="M632" s="2" t="s">
        <v>1935</v>
      </c>
      <c r="N632" s="2" t="s">
        <v>56</v>
      </c>
      <c r="O632" s="2" t="s">
        <v>1904</v>
      </c>
      <c r="P632" s="2"/>
      <c r="Q632" s="2" t="s">
        <v>1945</v>
      </c>
      <c r="R632" s="2"/>
    </row>
    <row r="633" spans="1:18">
      <c r="A633" s="2" t="s">
        <v>1946</v>
      </c>
      <c r="B633" s="2" t="s">
        <v>1947</v>
      </c>
      <c r="C633" s="2" t="s">
        <v>1901</v>
      </c>
      <c r="D633" s="2">
        <v>28.67</v>
      </c>
      <c r="E633" s="2">
        <v>0.01</v>
      </c>
      <c r="F633" s="3">
        <f>IF(COUNT(D633,E633)=2,D633*E633,NA())</f>
        <v>0.2867</v>
      </c>
      <c r="G633" s="2" t="s">
        <v>1935</v>
      </c>
      <c r="H633" s="2"/>
      <c r="I633" s="2" t="s">
        <v>1902</v>
      </c>
      <c r="J633" s="2" t="s">
        <v>1903</v>
      </c>
      <c r="K633" s="2" t="s">
        <v>391</v>
      </c>
      <c r="L633" s="2" t="s">
        <v>54</v>
      </c>
      <c r="M633" s="2" t="s">
        <v>1935</v>
      </c>
      <c r="N633" s="2" t="s">
        <v>56</v>
      </c>
      <c r="O633" s="2" t="s">
        <v>1904</v>
      </c>
      <c r="P633" s="2"/>
      <c r="Q633" s="2" t="s">
        <v>1948</v>
      </c>
      <c r="R633" s="2"/>
    </row>
    <row r="634" spans="1:18">
      <c r="A634" s="2" t="s">
        <v>1949</v>
      </c>
      <c r="B634" s="2" t="s">
        <v>1950</v>
      </c>
      <c r="C634" s="2" t="s">
        <v>1901</v>
      </c>
      <c r="D634" s="2">
        <v>6.25</v>
      </c>
      <c r="E634" s="2">
        <v>0.01</v>
      </c>
      <c r="F634" s="3">
        <f>IF(COUNT(D634,E634)=2,D634*E634,NA())</f>
        <v>0.0625</v>
      </c>
      <c r="G634" s="2" t="s">
        <v>1935</v>
      </c>
      <c r="H634" s="2"/>
      <c r="I634" s="2" t="s">
        <v>1902</v>
      </c>
      <c r="J634" s="2" t="s">
        <v>1903</v>
      </c>
      <c r="K634" s="2" t="s">
        <v>391</v>
      </c>
      <c r="L634" s="2" t="s">
        <v>54</v>
      </c>
      <c r="M634" s="2" t="s">
        <v>1935</v>
      </c>
      <c r="N634" s="2" t="s">
        <v>56</v>
      </c>
      <c r="O634" s="2" t="s">
        <v>1904</v>
      </c>
      <c r="P634" s="2"/>
      <c r="Q634" s="2" t="s">
        <v>1951</v>
      </c>
      <c r="R634" s="2"/>
    </row>
    <row r="635" spans="1:18">
      <c r="A635" s="2" t="s">
        <v>1952</v>
      </c>
      <c r="B635" s="2" t="s">
        <v>1953</v>
      </c>
      <c r="C635" s="2" t="s">
        <v>1901</v>
      </c>
      <c r="D635" s="2">
        <v>24.24</v>
      </c>
      <c r="E635" s="2">
        <v>0.01</v>
      </c>
      <c r="F635" s="3">
        <f>IF(COUNT(D635,E635)=2,D635*E635,NA())</f>
        <v>0.2424</v>
      </c>
      <c r="G635" s="2" t="s">
        <v>1935</v>
      </c>
      <c r="H635" s="2"/>
      <c r="I635" s="2" t="s">
        <v>1902</v>
      </c>
      <c r="J635" s="2" t="s">
        <v>1903</v>
      </c>
      <c r="K635" s="2" t="s">
        <v>391</v>
      </c>
      <c r="L635" s="2" t="s">
        <v>54</v>
      </c>
      <c r="M635" s="2" t="s">
        <v>1935</v>
      </c>
      <c r="N635" s="2" t="s">
        <v>56</v>
      </c>
      <c r="O635" s="2" t="s">
        <v>1904</v>
      </c>
      <c r="P635" s="2"/>
      <c r="Q635" s="2" t="s">
        <v>1954</v>
      </c>
      <c r="R635" s="2"/>
    </row>
    <row r="636" spans="1:18">
      <c r="A636" s="2" t="s">
        <v>1955</v>
      </c>
      <c r="B636" s="2" t="s">
        <v>1956</v>
      </c>
      <c r="C636" s="2" t="s">
        <v>1901</v>
      </c>
      <c r="D636" s="2">
        <v>84.12</v>
      </c>
      <c r="E636" s="2">
        <v>0.01</v>
      </c>
      <c r="F636" s="3">
        <f>IF(COUNT(D636,E636)=2,D636*E636,NA())</f>
        <v>0.8412</v>
      </c>
      <c r="G636" s="2" t="s">
        <v>1935</v>
      </c>
      <c r="H636" s="2"/>
      <c r="I636" s="2" t="s">
        <v>1902</v>
      </c>
      <c r="J636" s="2" t="s">
        <v>1903</v>
      </c>
      <c r="K636" s="2" t="s">
        <v>391</v>
      </c>
      <c r="L636" s="2" t="s">
        <v>54</v>
      </c>
      <c r="M636" s="2" t="s">
        <v>1935</v>
      </c>
      <c r="N636" s="2" t="s">
        <v>56</v>
      </c>
      <c r="O636" s="2" t="s">
        <v>1904</v>
      </c>
      <c r="P636" s="2"/>
      <c r="Q636" s="2" t="s">
        <v>1957</v>
      </c>
      <c r="R636" s="2"/>
    </row>
    <row r="637" spans="1:18">
      <c r="A637" s="2" t="s">
        <v>1958</v>
      </c>
      <c r="B637" s="2" t="s">
        <v>1959</v>
      </c>
      <c r="C637" s="2" t="s">
        <v>1901</v>
      </c>
      <c r="D637" s="2">
        <v>19.14</v>
      </c>
      <c r="E637" s="2">
        <v>0.01</v>
      </c>
      <c r="F637" s="3">
        <f>IF(COUNT(D637,E637)=2,D637*E637,NA())</f>
        <v>0.1914</v>
      </c>
      <c r="G637" s="2" t="s">
        <v>1935</v>
      </c>
      <c r="H637" s="2"/>
      <c r="I637" s="2" t="s">
        <v>1902</v>
      </c>
      <c r="J637" s="2" t="s">
        <v>1903</v>
      </c>
      <c r="K637" s="2" t="s">
        <v>391</v>
      </c>
      <c r="L637" s="2" t="s">
        <v>54</v>
      </c>
      <c r="M637" s="2" t="s">
        <v>1935</v>
      </c>
      <c r="N637" s="2" t="s">
        <v>56</v>
      </c>
      <c r="O637" s="2" t="s">
        <v>1904</v>
      </c>
      <c r="P637" s="2"/>
      <c r="Q637" s="2" t="s">
        <v>1960</v>
      </c>
      <c r="R637" s="2"/>
    </row>
    <row r="638" spans="1:18">
      <c r="A638" s="2" t="s">
        <v>1961</v>
      </c>
      <c r="B638" s="2" t="s">
        <v>1962</v>
      </c>
      <c r="C638" s="2" t="s">
        <v>1901</v>
      </c>
      <c r="D638" s="2">
        <v>11.63</v>
      </c>
      <c r="E638" s="2">
        <v>0.01</v>
      </c>
      <c r="F638" s="3">
        <f>IF(COUNT(D638,E638)=2,D638*E638,NA())</f>
        <v>0.1163</v>
      </c>
      <c r="G638" s="2" t="s">
        <v>1935</v>
      </c>
      <c r="H638" s="2"/>
      <c r="I638" s="2" t="s">
        <v>1902</v>
      </c>
      <c r="J638" s="2" t="s">
        <v>1903</v>
      </c>
      <c r="K638" s="2" t="s">
        <v>391</v>
      </c>
      <c r="L638" s="2" t="s">
        <v>54</v>
      </c>
      <c r="M638" s="2" t="s">
        <v>1935</v>
      </c>
      <c r="N638" s="2" t="s">
        <v>56</v>
      </c>
      <c r="O638" s="2" t="s">
        <v>1904</v>
      </c>
      <c r="P638" s="2"/>
      <c r="Q638" s="2" t="s">
        <v>1963</v>
      </c>
      <c r="R638" s="2"/>
    </row>
    <row r="639" spans="1:18">
      <c r="A639" s="2" t="s">
        <v>1964</v>
      </c>
      <c r="B639" s="2" t="s">
        <v>1965</v>
      </c>
      <c r="C639" s="2" t="s">
        <v>1920</v>
      </c>
      <c r="D639" s="2">
        <v>4.18</v>
      </c>
      <c r="E639" s="2">
        <v>0.01</v>
      </c>
      <c r="F639" s="3">
        <f>IF(COUNT(D639,E639)=2,D639*E639,NA())</f>
        <v>0.0418</v>
      </c>
      <c r="G639" s="2" t="s">
        <v>1935</v>
      </c>
      <c r="H639" s="2"/>
      <c r="I639" s="2" t="s">
        <v>1902</v>
      </c>
      <c r="J639" s="2" t="s">
        <v>1903</v>
      </c>
      <c r="K639" s="2" t="s">
        <v>391</v>
      </c>
      <c r="L639" s="2" t="s">
        <v>54</v>
      </c>
      <c r="M639" s="2" t="s">
        <v>1935</v>
      </c>
      <c r="N639" s="2" t="s">
        <v>56</v>
      </c>
      <c r="O639" s="2" t="s">
        <v>1904</v>
      </c>
      <c r="P639" s="2"/>
      <c r="Q639" s="2" t="s">
        <v>1966</v>
      </c>
      <c r="R639" s="2"/>
    </row>
    <row r="640" spans="1:18">
      <c r="A640" s="2" t="s">
        <v>1967</v>
      </c>
      <c r="B640" s="2" t="s">
        <v>1968</v>
      </c>
      <c r="C640" s="2" t="s">
        <v>1924</v>
      </c>
      <c r="D640" s="2">
        <v>116.91</v>
      </c>
      <c r="E640" s="2">
        <v>0.01</v>
      </c>
      <c r="F640" s="3">
        <f>IF(COUNT(D640,E640)=2,D640*E640,NA())</f>
        <v>1.1691</v>
      </c>
      <c r="G640" s="2" t="s">
        <v>1935</v>
      </c>
      <c r="H640" s="2"/>
      <c r="I640" s="2" t="s">
        <v>1902</v>
      </c>
      <c r="J640" s="2" t="s">
        <v>1903</v>
      </c>
      <c r="K640" s="2" t="s">
        <v>391</v>
      </c>
      <c r="L640" s="2" t="s">
        <v>54</v>
      </c>
      <c r="M640" s="2" t="s">
        <v>1935</v>
      </c>
      <c r="N640" s="2" t="s">
        <v>56</v>
      </c>
      <c r="O640" s="2" t="s">
        <v>1904</v>
      </c>
      <c r="P640" s="2"/>
      <c r="Q640" s="2" t="s">
        <v>1969</v>
      </c>
      <c r="R640" s="2"/>
    </row>
    <row r="641" spans="1:18">
      <c r="A641" s="2" t="s">
        <v>1970</v>
      </c>
      <c r="B641" s="2" t="s">
        <v>1971</v>
      </c>
      <c r="C641" s="2" t="s">
        <v>1920</v>
      </c>
      <c r="D641" s="2">
        <v>378</v>
      </c>
      <c r="E641" s="2">
        <v>1</v>
      </c>
      <c r="F641" s="3">
        <f>IF(COUNT(D641,E641)=2,D641*E641,NA())</f>
        <v>378.0</v>
      </c>
      <c r="G641" s="2" t="s">
        <v>1972</v>
      </c>
      <c r="H641" s="2"/>
      <c r="I641" s="2" t="s">
        <v>1902</v>
      </c>
      <c r="J641" s="2" t="s">
        <v>1903</v>
      </c>
      <c r="K641" s="2"/>
      <c r="L641" s="2" t="s">
        <v>54</v>
      </c>
      <c r="M641" s="2" t="s">
        <v>55</v>
      </c>
      <c r="N641" s="2" t="s">
        <v>56</v>
      </c>
      <c r="O641" s="2" t="s">
        <v>1904</v>
      </c>
      <c r="P641" s="2"/>
      <c r="Q641" s="2" t="s">
        <v>1973</v>
      </c>
      <c r="R641" s="2" t="s">
        <v>1974</v>
      </c>
    </row>
    <row r="642" spans="1:18">
      <c r="A642" s="2" t="s">
        <v>1975</v>
      </c>
      <c r="B642" s="2" t="s">
        <v>1976</v>
      </c>
      <c r="C642" s="2" t="s">
        <v>1920</v>
      </c>
      <c r="D642" s="2">
        <v>908</v>
      </c>
      <c r="E642" s="2">
        <v>1</v>
      </c>
      <c r="F642" s="3">
        <f>IF(COUNT(D642,E642)=2,D642*E642,NA())</f>
        <v>908.0</v>
      </c>
      <c r="G642" s="2" t="s">
        <v>1972</v>
      </c>
      <c r="H642" s="2"/>
      <c r="I642" s="2" t="s">
        <v>1902</v>
      </c>
      <c r="J642" s="2" t="s">
        <v>1903</v>
      </c>
      <c r="K642" s="2"/>
      <c r="L642" s="2" t="s">
        <v>54</v>
      </c>
      <c r="M642" s="2" t="s">
        <v>55</v>
      </c>
      <c r="N642" s="2" t="s">
        <v>56</v>
      </c>
      <c r="O642" s="2" t="s">
        <v>1904</v>
      </c>
      <c r="P642" s="2"/>
      <c r="Q642" s="2" t="s">
        <v>1977</v>
      </c>
      <c r="R642" s="2" t="s">
        <v>1978</v>
      </c>
    </row>
    <row r="643" spans="1:18">
      <c r="A643" s="2" t="s">
        <v>1979</v>
      </c>
      <c r="B643" s="2" t="s">
        <v>1980</v>
      </c>
      <c r="C643" s="2" t="s">
        <v>1981</v>
      </c>
      <c r="D643" s="2">
        <v>7</v>
      </c>
      <c r="E643" s="2">
        <v>1</v>
      </c>
      <c r="F643" s="3">
        <f>IF(COUNT(D643,E643)=2,D643*E643,NA())</f>
        <v>7.0</v>
      </c>
      <c r="G643" s="2" t="s">
        <v>1972</v>
      </c>
      <c r="H643" s="2"/>
      <c r="I643" s="2" t="s">
        <v>1902</v>
      </c>
      <c r="J643" s="2" t="s">
        <v>1903</v>
      </c>
      <c r="K643" s="2"/>
      <c r="L643" s="2" t="s">
        <v>54</v>
      </c>
      <c r="M643" s="2" t="s">
        <v>55</v>
      </c>
      <c r="N643" s="2" t="s">
        <v>56</v>
      </c>
      <c r="O643" s="2" t="s">
        <v>1904</v>
      </c>
      <c r="P643" s="2"/>
      <c r="Q643" s="2" t="s">
        <v>1982</v>
      </c>
      <c r="R643" s="2" t="s">
        <v>1974</v>
      </c>
    </row>
    <row r="644" spans="1:18">
      <c r="A644" s="2" t="s">
        <v>1983</v>
      </c>
      <c r="B644" s="2" t="s">
        <v>1984</v>
      </c>
      <c r="C644" s="2" t="s">
        <v>1981</v>
      </c>
      <c r="D644" s="2">
        <v>3</v>
      </c>
      <c r="E644" s="2">
        <v>1</v>
      </c>
      <c r="F644" s="3">
        <f>IF(COUNT(D644,E644)=2,D644*E644,NA())</f>
        <v>3.0</v>
      </c>
      <c r="G644" s="2" t="s">
        <v>1972</v>
      </c>
      <c r="H644" s="2"/>
      <c r="I644" s="2" t="s">
        <v>1902</v>
      </c>
      <c r="J644" s="2" t="s">
        <v>1903</v>
      </c>
      <c r="K644" s="2"/>
      <c r="L644" s="2" t="s">
        <v>54</v>
      </c>
      <c r="M644" s="2" t="s">
        <v>55</v>
      </c>
      <c r="N644" s="2" t="s">
        <v>56</v>
      </c>
      <c r="O644" s="2" t="s">
        <v>1904</v>
      </c>
      <c r="P644" s="2"/>
      <c r="Q644" s="2" t="s">
        <v>1985</v>
      </c>
      <c r="R644" s="2" t="s">
        <v>1974</v>
      </c>
    </row>
    <row r="645" spans="1:18">
      <c r="A645" s="2" t="s">
        <v>1986</v>
      </c>
      <c r="B645" s="2" t="s">
        <v>1987</v>
      </c>
      <c r="C645" s="2" t="s">
        <v>1988</v>
      </c>
      <c r="D645" s="2">
        <v>1455542440.54</v>
      </c>
      <c r="E645" s="2">
        <v>1</v>
      </c>
      <c r="F645" s="3">
        <f>IF(COUNT(D645,E645)=2,D645*E645,NA())</f>
        <v>1455542440.54</v>
      </c>
      <c r="G645" s="2" t="s">
        <v>50</v>
      </c>
      <c r="H645" s="2" t="s">
        <v>51</v>
      </c>
      <c r="I645" s="2" t="s">
        <v>1902</v>
      </c>
      <c r="J645" s="2" t="s">
        <v>1903</v>
      </c>
      <c r="K645" s="2" t="s">
        <v>1731</v>
      </c>
      <c r="L645" s="2" t="s">
        <v>1702</v>
      </c>
      <c r="M645" s="2" t="s">
        <v>392</v>
      </c>
      <c r="N645" s="2" t="s">
        <v>56</v>
      </c>
      <c r="O645" s="2" t="s">
        <v>1904</v>
      </c>
      <c r="P645" s="2" t="s">
        <v>1989</v>
      </c>
      <c r="Q645" s="2" t="s">
        <v>1990</v>
      </c>
      <c r="R645" s="2"/>
    </row>
    <row r="646" spans="1:18">
      <c r="A646" s="2" t="s">
        <v>1991</v>
      </c>
      <c r="B646" s="2" t="s">
        <v>1992</v>
      </c>
      <c r="C646" s="2" t="s">
        <v>1988</v>
      </c>
      <c r="D646" s="2">
        <v>51105059.49</v>
      </c>
      <c r="E646" s="2">
        <v>1</v>
      </c>
      <c r="F646" s="3">
        <f>IF(COUNT(D646,E646)=2,D646*E646,NA())</f>
        <v>51105059.49</v>
      </c>
      <c r="G646" s="2" t="s">
        <v>50</v>
      </c>
      <c r="H646" s="2" t="s">
        <v>51</v>
      </c>
      <c r="I646" s="2" t="s">
        <v>1902</v>
      </c>
      <c r="J646" s="2" t="s">
        <v>1903</v>
      </c>
      <c r="K646" s="2" t="s">
        <v>1731</v>
      </c>
      <c r="L646" s="2" t="s">
        <v>1702</v>
      </c>
      <c r="M646" s="2" t="s">
        <v>392</v>
      </c>
      <c r="N646" s="2" t="s">
        <v>56</v>
      </c>
      <c r="O646" s="2" t="s">
        <v>1904</v>
      </c>
      <c r="P646" s="2" t="s">
        <v>1989</v>
      </c>
      <c r="Q646" s="2" t="s">
        <v>1993</v>
      </c>
      <c r="R646" s="2"/>
    </row>
    <row r="647" spans="1:18">
      <c r="A647" s="2" t="s">
        <v>1994</v>
      </c>
      <c r="B647" s="2" t="s">
        <v>1995</v>
      </c>
      <c r="C647" s="2" t="s">
        <v>1988</v>
      </c>
      <c r="D647" s="2">
        <v>-55182890.65</v>
      </c>
      <c r="E647" s="2">
        <v>1</v>
      </c>
      <c r="F647" s="3">
        <f>IF(COUNT(D647,E647)=2,D647*E647,NA())</f>
        <v>-55182890.65</v>
      </c>
      <c r="G647" s="2" t="s">
        <v>50</v>
      </c>
      <c r="H647" s="2" t="s">
        <v>51</v>
      </c>
      <c r="I647" s="2" t="s">
        <v>1902</v>
      </c>
      <c r="J647" s="2" t="s">
        <v>1903</v>
      </c>
      <c r="K647" s="2" t="s">
        <v>1731</v>
      </c>
      <c r="L647" s="2" t="s">
        <v>1702</v>
      </c>
      <c r="M647" s="2" t="s">
        <v>392</v>
      </c>
      <c r="N647" s="2" t="s">
        <v>56</v>
      </c>
      <c r="O647" s="2" t="s">
        <v>1904</v>
      </c>
      <c r="P647" s="2" t="s">
        <v>1989</v>
      </c>
      <c r="Q647" s="2" t="s">
        <v>1996</v>
      </c>
      <c r="R647" s="2"/>
    </row>
    <row r="648" spans="1:18">
      <c r="A648" s="2" t="s">
        <v>1997</v>
      </c>
      <c r="B648" s="2" t="s">
        <v>1998</v>
      </c>
      <c r="C648" s="2" t="s">
        <v>1988</v>
      </c>
      <c r="D648" s="2">
        <v>304863921.94</v>
      </c>
      <c r="E648" s="2">
        <v>1</v>
      </c>
      <c r="F648" s="3">
        <f>IF(COUNT(D648,E648)=2,D648*E648,NA())</f>
        <v>304863921.94</v>
      </c>
      <c r="G648" s="2" t="s">
        <v>50</v>
      </c>
      <c r="H648" s="2" t="s">
        <v>51</v>
      </c>
      <c r="I648" s="2" t="s">
        <v>1902</v>
      </c>
      <c r="J648" s="2" t="s">
        <v>1903</v>
      </c>
      <c r="K648" s="2"/>
      <c r="L648" s="2" t="s">
        <v>1702</v>
      </c>
      <c r="M648" s="2" t="s">
        <v>55</v>
      </c>
      <c r="N648" s="2" t="s">
        <v>56</v>
      </c>
      <c r="O648" s="2" t="s">
        <v>1904</v>
      </c>
      <c r="P648" s="2"/>
      <c r="Q648" s="2" t="s">
        <v>1999</v>
      </c>
      <c r="R648" s="2"/>
    </row>
    <row r="649" spans="1:18">
      <c r="A649" s="2" t="s">
        <v>2000</v>
      </c>
      <c r="B649" s="2" t="s">
        <v>2001</v>
      </c>
      <c r="C649" s="2" t="s">
        <v>1988</v>
      </c>
      <c r="D649" s="2">
        <v>4.34</v>
      </c>
      <c r="E649" s="2">
        <v>0.01</v>
      </c>
      <c r="F649" s="3">
        <f>IF(COUNT(D649,E649)=2,D649*E649,NA())</f>
        <v>0.0434</v>
      </c>
      <c r="G649" s="2" t="s">
        <v>1935</v>
      </c>
      <c r="H649" s="2"/>
      <c r="I649" s="2" t="s">
        <v>1902</v>
      </c>
      <c r="J649" s="2" t="s">
        <v>1903</v>
      </c>
      <c r="K649" s="2" t="s">
        <v>1731</v>
      </c>
      <c r="L649" s="2" t="s">
        <v>1702</v>
      </c>
      <c r="M649" s="2" t="s">
        <v>1935</v>
      </c>
      <c r="N649" s="2" t="s">
        <v>56</v>
      </c>
      <c r="O649" s="2" t="s">
        <v>1904</v>
      </c>
      <c r="P649" s="2"/>
      <c r="Q649" s="2" t="s">
        <v>2002</v>
      </c>
      <c r="R649" s="2"/>
    </row>
    <row r="650" spans="1:18">
      <c r="A650" s="2" t="s">
        <v>2003</v>
      </c>
      <c r="B650" s="2" t="s">
        <v>2004</v>
      </c>
      <c r="C650" s="2" t="s">
        <v>2005</v>
      </c>
      <c r="D650" s="2">
        <v>27578652775.3</v>
      </c>
      <c r="E650" s="2">
        <v>1</v>
      </c>
      <c r="F650" s="3">
        <f>IF(COUNT(D650,E650)=2,D650*E650,NA())</f>
        <v>27578652775.3</v>
      </c>
      <c r="G650" s="2" t="s">
        <v>50</v>
      </c>
      <c r="H650" s="2" t="s">
        <v>51</v>
      </c>
      <c r="I650" s="2" t="s">
        <v>2006</v>
      </c>
      <c r="J650" s="2" t="s">
        <v>1903</v>
      </c>
      <c r="K650" s="2" t="s">
        <v>391</v>
      </c>
      <c r="L650" s="2" t="s">
        <v>54</v>
      </c>
      <c r="M650" s="2" t="s">
        <v>392</v>
      </c>
      <c r="N650" s="2" t="s">
        <v>56</v>
      </c>
      <c r="O650" s="2" t="s">
        <v>1904</v>
      </c>
      <c r="P650" s="2"/>
      <c r="Q650" s="2" t="s">
        <v>2007</v>
      </c>
      <c r="R650" s="2"/>
    </row>
    <row r="651" spans="1:18">
      <c r="A651" s="2" t="s">
        <v>2008</v>
      </c>
      <c r="B651" s="2" t="s">
        <v>2009</v>
      </c>
      <c r="C651" s="2" t="s">
        <v>2005</v>
      </c>
      <c r="D651" s="2">
        <v>19171975964.82</v>
      </c>
      <c r="E651" s="2">
        <v>1</v>
      </c>
      <c r="F651" s="3">
        <f>IF(COUNT(D651,E651)=2,D651*E651,NA())</f>
        <v>19171975964.82</v>
      </c>
      <c r="G651" s="2" t="s">
        <v>50</v>
      </c>
      <c r="H651" s="2" t="s">
        <v>51</v>
      </c>
      <c r="I651" s="2" t="s">
        <v>2006</v>
      </c>
      <c r="J651" s="2" t="s">
        <v>1903</v>
      </c>
      <c r="K651" s="2" t="s">
        <v>391</v>
      </c>
      <c r="L651" s="2" t="s">
        <v>54</v>
      </c>
      <c r="M651" s="2" t="s">
        <v>392</v>
      </c>
      <c r="N651" s="2" t="s">
        <v>56</v>
      </c>
      <c r="O651" s="2" t="s">
        <v>1904</v>
      </c>
      <c r="P651" s="2"/>
      <c r="Q651" s="2" t="s">
        <v>2010</v>
      </c>
      <c r="R651" s="2"/>
    </row>
    <row r="652" spans="1:18">
      <c r="A652" s="2" t="s">
        <v>2011</v>
      </c>
      <c r="B652" s="2" t="s">
        <v>1060</v>
      </c>
      <c r="C652" s="2" t="s">
        <v>2005</v>
      </c>
      <c r="D652" s="2">
        <v>11361297695</v>
      </c>
      <c r="E652" s="2">
        <v>1</v>
      </c>
      <c r="F652" s="3">
        <f>IF(COUNT(D652,E652)=2,D652*E652,NA())</f>
        <v>11361297695.0</v>
      </c>
      <c r="G652" s="2" t="s">
        <v>50</v>
      </c>
      <c r="H652" s="2" t="s">
        <v>51</v>
      </c>
      <c r="I652" s="2" t="s">
        <v>2006</v>
      </c>
      <c r="J652" s="2" t="s">
        <v>1903</v>
      </c>
      <c r="K652" s="2" t="s">
        <v>391</v>
      </c>
      <c r="L652" s="2" t="s">
        <v>54</v>
      </c>
      <c r="M652" s="2" t="s">
        <v>392</v>
      </c>
      <c r="N652" s="2" t="s">
        <v>56</v>
      </c>
      <c r="O652" s="2" t="s">
        <v>1904</v>
      </c>
      <c r="P652" s="2"/>
      <c r="Q652" s="2" t="s">
        <v>2012</v>
      </c>
      <c r="R652" s="2"/>
    </row>
    <row r="653" spans="1:18">
      <c r="A653" s="2" t="s">
        <v>2013</v>
      </c>
      <c r="B653" s="2" t="s">
        <v>2004</v>
      </c>
      <c r="C653" s="2" t="s">
        <v>2014</v>
      </c>
      <c r="D653" s="2">
        <v>25280261918.22</v>
      </c>
      <c r="E653" s="2">
        <v>1</v>
      </c>
      <c r="F653" s="3">
        <f>IF(COUNT(D653,E653)=2,D653*E653,NA())</f>
        <v>25280261918.22</v>
      </c>
      <c r="G653" s="2" t="s">
        <v>50</v>
      </c>
      <c r="H653" s="2" t="s">
        <v>51</v>
      </c>
      <c r="I653" s="2" t="s">
        <v>2015</v>
      </c>
      <c r="J653" s="2" t="s">
        <v>1903</v>
      </c>
      <c r="K653" s="2" t="s">
        <v>391</v>
      </c>
      <c r="L653" s="2" t="s">
        <v>54</v>
      </c>
      <c r="M653" s="2" t="s">
        <v>392</v>
      </c>
      <c r="N653" s="2" t="s">
        <v>56</v>
      </c>
      <c r="O653" s="2" t="s">
        <v>1904</v>
      </c>
      <c r="P653" s="2"/>
      <c r="Q653" s="2" t="s">
        <v>2016</v>
      </c>
      <c r="R653" s="2"/>
    </row>
    <row r="654" spans="1:18">
      <c r="A654" s="2" t="s">
        <v>2017</v>
      </c>
      <c r="B654" s="2" t="s">
        <v>2018</v>
      </c>
      <c r="C654" s="2" t="s">
        <v>2014</v>
      </c>
      <c r="D654" s="2">
        <v>4785663502.02</v>
      </c>
      <c r="E654" s="2">
        <v>1</v>
      </c>
      <c r="F654" s="3">
        <f>IF(COUNT(D654,E654)=2,D654*E654,NA())</f>
        <v>4785663502.02</v>
      </c>
      <c r="G654" s="2" t="s">
        <v>50</v>
      </c>
      <c r="H654" s="2" t="s">
        <v>51</v>
      </c>
      <c r="I654" s="2" t="s">
        <v>2015</v>
      </c>
      <c r="J654" s="2" t="s">
        <v>1903</v>
      </c>
      <c r="K654" s="2" t="s">
        <v>391</v>
      </c>
      <c r="L654" s="2" t="s">
        <v>54</v>
      </c>
      <c r="M654" s="2" t="s">
        <v>392</v>
      </c>
      <c r="N654" s="2" t="s">
        <v>56</v>
      </c>
      <c r="O654" s="2" t="s">
        <v>1904</v>
      </c>
      <c r="P654" s="2"/>
      <c r="Q654" s="2" t="s">
        <v>2019</v>
      </c>
      <c r="R654" s="2"/>
    </row>
    <row r="655" spans="1:18">
      <c r="A655" s="2" t="s">
        <v>2020</v>
      </c>
      <c r="B655" s="2" t="s">
        <v>1060</v>
      </c>
      <c r="C655" s="2" t="s">
        <v>2014</v>
      </c>
      <c r="D655" s="2">
        <v>3313717663.38</v>
      </c>
      <c r="E655" s="2">
        <v>1</v>
      </c>
      <c r="F655" s="3">
        <f>IF(COUNT(D655,E655)=2,D655*E655,NA())</f>
        <v>3313717663.38</v>
      </c>
      <c r="G655" s="2" t="s">
        <v>50</v>
      </c>
      <c r="H655" s="2" t="s">
        <v>51</v>
      </c>
      <c r="I655" s="2" t="s">
        <v>2015</v>
      </c>
      <c r="J655" s="2" t="s">
        <v>1903</v>
      </c>
      <c r="K655" s="2" t="s">
        <v>391</v>
      </c>
      <c r="L655" s="2" t="s">
        <v>54</v>
      </c>
      <c r="M655" s="2" t="s">
        <v>392</v>
      </c>
      <c r="N655" s="2" t="s">
        <v>56</v>
      </c>
      <c r="O655" s="2" t="s">
        <v>1904</v>
      </c>
      <c r="P655" s="2"/>
      <c r="Q655" s="2" t="s">
        <v>2021</v>
      </c>
      <c r="R655" s="2"/>
    </row>
    <row r="656" spans="1:18">
      <c r="A656" s="2" t="s">
        <v>2022</v>
      </c>
      <c r="B656" s="2" t="s">
        <v>2023</v>
      </c>
      <c r="C656" s="2" t="s">
        <v>2014</v>
      </c>
      <c r="D656" s="2">
        <v>53.17</v>
      </c>
      <c r="E656" s="2">
        <v>0.01</v>
      </c>
      <c r="F656" s="3">
        <f>IF(COUNT(D656,E656)=2,D656*E656,NA())</f>
        <v>0.5317</v>
      </c>
      <c r="G656" s="2" t="s">
        <v>1935</v>
      </c>
      <c r="H656" s="2"/>
      <c r="I656" s="2" t="s">
        <v>2015</v>
      </c>
      <c r="J656" s="2" t="s">
        <v>1903</v>
      </c>
      <c r="K656" s="2" t="s">
        <v>391</v>
      </c>
      <c r="L656" s="2" t="s">
        <v>54</v>
      </c>
      <c r="M656" s="2" t="s">
        <v>1935</v>
      </c>
      <c r="N656" s="2" t="s">
        <v>56</v>
      </c>
      <c r="O656" s="2" t="s">
        <v>1904</v>
      </c>
      <c r="P656" s="2"/>
      <c r="Q656" s="2" t="s">
        <v>2024</v>
      </c>
      <c r="R656" s="2"/>
    </row>
    <row r="657" spans="1:18">
      <c r="A657" s="2" t="s">
        <v>2025</v>
      </c>
      <c r="B657" s="2" t="s">
        <v>2026</v>
      </c>
      <c r="C657" s="2" t="s">
        <v>2027</v>
      </c>
      <c r="D657" s="2">
        <v>273260362</v>
      </c>
      <c r="E657" s="2">
        <v>1</v>
      </c>
      <c r="F657" s="3">
        <f>IF(COUNT(D657,E657)=2,D657*E657,NA())</f>
        <v>273260362.0</v>
      </c>
      <c r="G657" s="2" t="s">
        <v>1972</v>
      </c>
      <c r="H657" s="2"/>
      <c r="I657" s="2" t="s">
        <v>2028</v>
      </c>
      <c r="J657" s="2" t="s">
        <v>2029</v>
      </c>
      <c r="K657" s="2"/>
      <c r="L657" s="2" t="s">
        <v>54</v>
      </c>
      <c r="M657" s="2" t="s">
        <v>55</v>
      </c>
      <c r="N657" s="2" t="s">
        <v>56</v>
      </c>
      <c r="O657" s="2" t="s">
        <v>2030</v>
      </c>
      <c r="P657" s="2"/>
      <c r="Q657" s="2" t="s">
        <v>2031</v>
      </c>
      <c r="R657" s="2" t="s">
        <v>2032</v>
      </c>
    </row>
    <row r="658" spans="1:18">
      <c r="A658" s="2" t="s">
        <v>2033</v>
      </c>
      <c r="B658" s="2" t="s">
        <v>2034</v>
      </c>
      <c r="C658" s="2" t="s">
        <v>2027</v>
      </c>
      <c r="D658" s="2">
        <v>136500000</v>
      </c>
      <c r="E658" s="2">
        <v>1</v>
      </c>
      <c r="F658" s="3">
        <f>IF(COUNT(D658,E658)=2,D658*E658,NA())</f>
        <v>136500000.0</v>
      </c>
      <c r="G658" s="2" t="s">
        <v>1972</v>
      </c>
      <c r="H658" s="2"/>
      <c r="I658" s="2" t="s">
        <v>2028</v>
      </c>
      <c r="J658" s="2" t="s">
        <v>2029</v>
      </c>
      <c r="K658" s="2"/>
      <c r="L658" s="2" t="s">
        <v>54</v>
      </c>
      <c r="M658" s="2" t="s">
        <v>55</v>
      </c>
      <c r="N658" s="2" t="s">
        <v>56</v>
      </c>
      <c r="O658" s="2" t="s">
        <v>2030</v>
      </c>
      <c r="P658" s="2"/>
      <c r="Q658" s="2" t="s">
        <v>2035</v>
      </c>
      <c r="R658" s="2" t="s">
        <v>2032</v>
      </c>
    </row>
    <row r="659" spans="1:18">
      <c r="A659" s="2" t="s">
        <v>2036</v>
      </c>
      <c r="B659" s="2" t="s">
        <v>2037</v>
      </c>
      <c r="C659" s="2" t="s">
        <v>2027</v>
      </c>
      <c r="D659" s="2">
        <v>75806702</v>
      </c>
      <c r="E659" s="2">
        <v>1</v>
      </c>
      <c r="F659" s="3">
        <f>IF(COUNT(D659,E659)=2,D659*E659,NA())</f>
        <v>75806702.0</v>
      </c>
      <c r="G659" s="2" t="s">
        <v>1972</v>
      </c>
      <c r="H659" s="2"/>
      <c r="I659" s="2" t="s">
        <v>2038</v>
      </c>
      <c r="J659" s="2" t="s">
        <v>2029</v>
      </c>
      <c r="K659" s="2"/>
      <c r="L659" s="2" t="s">
        <v>54</v>
      </c>
      <c r="M659" s="2" t="s">
        <v>55</v>
      </c>
      <c r="N659" s="2" t="s">
        <v>56</v>
      </c>
      <c r="O659" s="2" t="s">
        <v>2030</v>
      </c>
      <c r="P659" s="2"/>
      <c r="Q659" s="2" t="s">
        <v>2039</v>
      </c>
      <c r="R659" s="2" t="s">
        <v>2032</v>
      </c>
    </row>
    <row r="660" spans="1:18">
      <c r="A660" s="2" t="s">
        <v>2040</v>
      </c>
      <c r="B660" s="2" t="s">
        <v>2041</v>
      </c>
      <c r="C660" s="2" t="s">
        <v>2027</v>
      </c>
      <c r="D660" s="2">
        <v>43000000</v>
      </c>
      <c r="E660" s="2">
        <v>1</v>
      </c>
      <c r="F660" s="3">
        <f>IF(COUNT(D660,E660)=2,D660*E660,NA())</f>
        <v>43000000.0</v>
      </c>
      <c r="G660" s="2" t="s">
        <v>1972</v>
      </c>
      <c r="H660" s="2"/>
      <c r="I660" s="2" t="s">
        <v>2038</v>
      </c>
      <c r="J660" s="2" t="s">
        <v>2029</v>
      </c>
      <c r="K660" s="2"/>
      <c r="L660" s="2" t="s">
        <v>54</v>
      </c>
      <c r="M660" s="2" t="s">
        <v>55</v>
      </c>
      <c r="N660" s="2" t="s">
        <v>56</v>
      </c>
      <c r="O660" s="2" t="s">
        <v>2030</v>
      </c>
      <c r="P660" s="2"/>
      <c r="Q660" s="2" t="s">
        <v>2042</v>
      </c>
      <c r="R660" s="2" t="s">
        <v>2032</v>
      </c>
    </row>
    <row r="661" spans="1:18">
      <c r="A661" s="2" t="s">
        <v>2043</v>
      </c>
      <c r="B661" s="2" t="s">
        <v>2044</v>
      </c>
      <c r="C661" s="2" t="s">
        <v>2045</v>
      </c>
      <c r="D661" s="2">
        <v>16009.81</v>
      </c>
      <c r="E661" s="2">
        <v>10000</v>
      </c>
      <c r="F661" s="3">
        <f>IF(COUNT(D661,E661)=2,D661*E661,NA())</f>
        <v>160098100.0</v>
      </c>
      <c r="G661" s="2" t="s">
        <v>50</v>
      </c>
      <c r="H661" s="2" t="s">
        <v>51</v>
      </c>
      <c r="I661" s="2" t="s">
        <v>1902</v>
      </c>
      <c r="J661" s="2" t="s">
        <v>1903</v>
      </c>
      <c r="K661" s="2"/>
      <c r="L661" s="2" t="s">
        <v>54</v>
      </c>
      <c r="M661" s="2" t="s">
        <v>55</v>
      </c>
      <c r="N661" s="2" t="s">
        <v>56</v>
      </c>
      <c r="O661" s="2" t="s">
        <v>1904</v>
      </c>
      <c r="P661" s="2"/>
      <c r="Q661" s="2" t="s">
        <v>2046</v>
      </c>
      <c r="R661" s="2"/>
    </row>
    <row r="662" spans="1:18">
      <c r="A662" s="2" t="s">
        <v>2047</v>
      </c>
      <c r="B662" s="2" t="s">
        <v>2048</v>
      </c>
      <c r="C662" s="2" t="s">
        <v>2049</v>
      </c>
      <c r="D662" s="2">
        <v>24000</v>
      </c>
      <c r="E662" s="2">
        <v>10000</v>
      </c>
      <c r="F662" s="3">
        <f>IF(COUNT(D662,E662)=2,D662*E662,NA())</f>
        <v>240000000.0</v>
      </c>
      <c r="G662" s="2" t="s">
        <v>50</v>
      </c>
      <c r="H662" s="2" t="s">
        <v>51</v>
      </c>
      <c r="I662" s="2" t="s">
        <v>1902</v>
      </c>
      <c r="J662" s="2" t="s">
        <v>2050</v>
      </c>
      <c r="K662" s="2"/>
      <c r="L662" s="2" t="s">
        <v>2051</v>
      </c>
      <c r="M662" s="2" t="s">
        <v>55</v>
      </c>
      <c r="N662" s="2" t="s">
        <v>56</v>
      </c>
      <c r="O662" s="2" t="s">
        <v>2052</v>
      </c>
      <c r="P662" s="2" t="s">
        <v>2053</v>
      </c>
      <c r="Q662" s="2" t="s">
        <v>2054</v>
      </c>
      <c r="R662" s="2"/>
    </row>
    <row r="663" spans="1:18">
      <c r="A663" s="2" t="s">
        <v>2055</v>
      </c>
      <c r="B663" s="2" t="s">
        <v>2056</v>
      </c>
      <c r="C663" s="2" t="s">
        <v>2049</v>
      </c>
      <c r="D663" s="2">
        <v>8</v>
      </c>
      <c r="E663" s="2">
        <v>1</v>
      </c>
      <c r="F663" s="3">
        <f>IF(COUNT(D663,E663)=2,D663*E663,NA())</f>
        <v>8.0</v>
      </c>
      <c r="G663" s="2" t="s">
        <v>1972</v>
      </c>
      <c r="H663" s="2"/>
      <c r="I663" s="2" t="s">
        <v>1902</v>
      </c>
      <c r="J663" s="2" t="s">
        <v>2050</v>
      </c>
      <c r="K663" s="2"/>
      <c r="L663" s="2" t="s">
        <v>2051</v>
      </c>
      <c r="M663" s="2" t="s">
        <v>55</v>
      </c>
      <c r="N663" s="2" t="s">
        <v>56</v>
      </c>
      <c r="O663" s="2" t="s">
        <v>2057</v>
      </c>
      <c r="P663" s="2"/>
      <c r="Q663" s="2" t="s">
        <v>2058</v>
      </c>
      <c r="R663" s="2" t="s">
        <v>2059</v>
      </c>
    </row>
    <row r="664" spans="1:18">
      <c r="A664" s="2" t="s">
        <v>2060</v>
      </c>
      <c r="B664" s="2" t="s">
        <v>2061</v>
      </c>
      <c r="C664" s="2" t="s">
        <v>2062</v>
      </c>
      <c r="D664" s="2">
        <v>130000</v>
      </c>
      <c r="E664" s="2">
        <v>10000</v>
      </c>
      <c r="F664" s="3">
        <f>IF(COUNT(D664,E664)=2,D664*E664,NA())</f>
        <v>1300000000.0</v>
      </c>
      <c r="G664" s="2" t="s">
        <v>50</v>
      </c>
      <c r="H664" s="2" t="s">
        <v>51</v>
      </c>
      <c r="I664" s="2" t="s">
        <v>1902</v>
      </c>
      <c r="J664" s="2" t="s">
        <v>2063</v>
      </c>
      <c r="K664" s="2"/>
      <c r="L664" s="2" t="s">
        <v>1859</v>
      </c>
      <c r="M664" s="2" t="s">
        <v>55</v>
      </c>
      <c r="N664" s="2" t="s">
        <v>56</v>
      </c>
      <c r="O664" s="2" t="s">
        <v>2064</v>
      </c>
      <c r="P664" s="2" t="s">
        <v>2065</v>
      </c>
      <c r="Q664" s="2" t="s">
        <v>2066</v>
      </c>
      <c r="R664" s="2"/>
    </row>
    <row r="665" spans="1:18">
      <c r="A665" s="2" t="s">
        <v>2067</v>
      </c>
      <c r="B665" s="2" t="s">
        <v>2068</v>
      </c>
      <c r="C665" s="2" t="s">
        <v>2069</v>
      </c>
      <c r="D665" s="2">
        <v>5</v>
      </c>
      <c r="E665" s="2">
        <v>0.01</v>
      </c>
      <c r="F665" s="3">
        <f>IF(COUNT(D665,E665)=2,D665*E665,NA())</f>
        <v>0.05</v>
      </c>
      <c r="G665" s="2" t="s">
        <v>1935</v>
      </c>
      <c r="H665" s="2"/>
      <c r="I665" s="2" t="s">
        <v>2070</v>
      </c>
      <c r="J665" s="2" t="s">
        <v>2071</v>
      </c>
      <c r="K665" s="2" t="s">
        <v>1731</v>
      </c>
      <c r="L665" s="2" t="s">
        <v>1702</v>
      </c>
      <c r="M665" s="2" t="s">
        <v>1935</v>
      </c>
      <c r="N665" s="2" t="s">
        <v>56</v>
      </c>
      <c r="O665" s="2" t="s">
        <v>2072</v>
      </c>
      <c r="P665" s="2"/>
      <c r="Q665" s="2" t="s">
        <v>2073</v>
      </c>
      <c r="R665" s="2"/>
    </row>
    <row r="666" spans="1:18">
      <c r="A666" s="2" t="s">
        <v>2074</v>
      </c>
      <c r="B666" s="2" t="s">
        <v>2075</v>
      </c>
      <c r="C666" s="2" t="s">
        <v>2076</v>
      </c>
      <c r="D666" s="2">
        <v>-17.2</v>
      </c>
      <c r="E666" s="2">
        <v>0.01</v>
      </c>
      <c r="F666" s="3">
        <f>IF(COUNT(D666,E666)=2,D666*E666,NA())</f>
        <v>-0.172</v>
      </c>
      <c r="G666" s="2" t="s">
        <v>1935</v>
      </c>
      <c r="H666" s="2"/>
      <c r="I666" s="2" t="s">
        <v>2070</v>
      </c>
      <c r="J666" s="2" t="s">
        <v>2071</v>
      </c>
      <c r="K666" s="2" t="s">
        <v>391</v>
      </c>
      <c r="L666" s="2" t="s">
        <v>54</v>
      </c>
      <c r="M666" s="2" t="s">
        <v>1935</v>
      </c>
      <c r="N666" s="2" t="s">
        <v>56</v>
      </c>
      <c r="O666" s="2" t="s">
        <v>2072</v>
      </c>
      <c r="P666" s="2"/>
      <c r="Q666" s="2" t="s">
        <v>2077</v>
      </c>
      <c r="R666" s="2"/>
    </row>
    <row r="667" spans="1:18">
      <c r="A667" s="2" t="s">
        <v>2078</v>
      </c>
      <c r="B667" s="2" t="s">
        <v>2079</v>
      </c>
      <c r="C667" s="2" t="s">
        <v>2080</v>
      </c>
      <c r="D667" s="2">
        <v>-16.2</v>
      </c>
      <c r="E667" s="2">
        <v>0.01</v>
      </c>
      <c r="F667" s="3">
        <f>IF(COUNT(D667,E667)=2,D667*E667,NA())</f>
        <v>-0.162</v>
      </c>
      <c r="G667" s="2" t="s">
        <v>1935</v>
      </c>
      <c r="H667" s="2"/>
      <c r="I667" s="2" t="s">
        <v>2070</v>
      </c>
      <c r="J667" s="2" t="s">
        <v>2071</v>
      </c>
      <c r="K667" s="2" t="s">
        <v>1731</v>
      </c>
      <c r="L667" s="2" t="s">
        <v>2081</v>
      </c>
      <c r="M667" s="2" t="s">
        <v>1935</v>
      </c>
      <c r="N667" s="2" t="s">
        <v>56</v>
      </c>
      <c r="O667" s="2" t="s">
        <v>2072</v>
      </c>
      <c r="P667" s="2"/>
      <c r="Q667" s="2" t="s">
        <v>2082</v>
      </c>
      <c r="R667" s="2"/>
    </row>
    <row r="668" spans="1:18">
      <c r="A668" s="2" t="s">
        <v>2083</v>
      </c>
      <c r="B668" s="2" t="s">
        <v>2084</v>
      </c>
      <c r="C668" s="2" t="s">
        <v>2080</v>
      </c>
      <c r="D668" s="2">
        <v>-22.6</v>
      </c>
      <c r="E668" s="2">
        <v>0.01</v>
      </c>
      <c r="F668" s="3">
        <f>IF(COUNT(D668,E668)=2,D668*E668,NA())</f>
        <v>-0.226</v>
      </c>
      <c r="G668" s="2" t="s">
        <v>1935</v>
      </c>
      <c r="H668" s="2"/>
      <c r="I668" s="2" t="s">
        <v>2070</v>
      </c>
      <c r="J668" s="2" t="s">
        <v>2071</v>
      </c>
      <c r="K668" s="2" t="s">
        <v>1731</v>
      </c>
      <c r="L668" s="2" t="s">
        <v>2081</v>
      </c>
      <c r="M668" s="2" t="s">
        <v>1935</v>
      </c>
      <c r="N668" s="2" t="s">
        <v>56</v>
      </c>
      <c r="O668" s="2" t="s">
        <v>2072</v>
      </c>
      <c r="P668" s="2"/>
      <c r="Q668" s="2" t="s">
        <v>2085</v>
      </c>
      <c r="R668" s="2"/>
    </row>
    <row r="669" spans="1:18">
      <c r="A669" s="2" t="s">
        <v>2086</v>
      </c>
      <c r="B669" s="2" t="s">
        <v>2087</v>
      </c>
      <c r="C669" s="2" t="s">
        <v>2080</v>
      </c>
      <c r="D669" s="2">
        <v>-19</v>
      </c>
      <c r="E669" s="2">
        <v>0.01</v>
      </c>
      <c r="F669" s="3">
        <f>IF(COUNT(D669,E669)=2,D669*E669,NA())</f>
        <v>-0.19</v>
      </c>
      <c r="G669" s="2" t="s">
        <v>1935</v>
      </c>
      <c r="H669" s="2"/>
      <c r="I669" s="2" t="s">
        <v>2070</v>
      </c>
      <c r="J669" s="2" t="s">
        <v>2071</v>
      </c>
      <c r="K669" s="2" t="s">
        <v>1731</v>
      </c>
      <c r="L669" s="2" t="s">
        <v>2081</v>
      </c>
      <c r="M669" s="2" t="s">
        <v>1935</v>
      </c>
      <c r="N669" s="2" t="s">
        <v>56</v>
      </c>
      <c r="O669" s="2" t="s">
        <v>2072</v>
      </c>
      <c r="P669" s="2"/>
      <c r="Q669" s="2" t="s">
        <v>2088</v>
      </c>
      <c r="R669" s="2"/>
    </row>
    <row r="670" spans="1:18">
      <c r="A670" s="2" t="s">
        <v>2089</v>
      </c>
      <c r="B670" s="2" t="s">
        <v>2090</v>
      </c>
      <c r="C670" s="2" t="s">
        <v>2091</v>
      </c>
      <c r="D670" s="2">
        <v>-4.1</v>
      </c>
      <c r="E670" s="2">
        <v>0.01</v>
      </c>
      <c r="F670" s="3">
        <f>IF(COUNT(D670,E670)=2,D670*E670,NA())</f>
        <v>-0.041</v>
      </c>
      <c r="G670" s="2" t="s">
        <v>1935</v>
      </c>
      <c r="H670" s="2"/>
      <c r="I670" s="2" t="s">
        <v>2070</v>
      </c>
      <c r="J670" s="2" t="s">
        <v>2071</v>
      </c>
      <c r="K670" s="2" t="s">
        <v>1731</v>
      </c>
      <c r="L670" s="2" t="s">
        <v>2081</v>
      </c>
      <c r="M670" s="2" t="s">
        <v>1935</v>
      </c>
      <c r="N670" s="2" t="s">
        <v>56</v>
      </c>
      <c r="O670" s="2" t="s">
        <v>2072</v>
      </c>
      <c r="P670" s="2"/>
      <c r="Q670" s="2" t="s">
        <v>2092</v>
      </c>
      <c r="R670" s="2"/>
    </row>
    <row r="671" spans="1:18">
      <c r="A671" s="2" t="s">
        <v>2093</v>
      </c>
      <c r="B671" s="2" t="s">
        <v>2094</v>
      </c>
      <c r="C671" s="2" t="s">
        <v>2091</v>
      </c>
      <c r="D671" s="2">
        <v>0.6</v>
      </c>
      <c r="E671" s="2">
        <v>0.01</v>
      </c>
      <c r="F671" s="3">
        <f>IF(COUNT(D671,E671)=2,D671*E671,NA())</f>
        <v>0.006</v>
      </c>
      <c r="G671" s="2" t="s">
        <v>1935</v>
      </c>
      <c r="H671" s="2"/>
      <c r="I671" s="2" t="s">
        <v>2070</v>
      </c>
      <c r="J671" s="2" t="s">
        <v>2071</v>
      </c>
      <c r="K671" s="2" t="s">
        <v>1731</v>
      </c>
      <c r="L671" s="2" t="s">
        <v>2081</v>
      </c>
      <c r="M671" s="2" t="s">
        <v>1935</v>
      </c>
      <c r="N671" s="2" t="s">
        <v>56</v>
      </c>
      <c r="O671" s="2" t="s">
        <v>2072</v>
      </c>
      <c r="P671" s="2"/>
      <c r="Q671" s="2" t="s">
        <v>2095</v>
      </c>
      <c r="R671" s="2"/>
    </row>
    <row r="672" spans="1:18">
      <c r="A672" s="2" t="s">
        <v>2096</v>
      </c>
      <c r="B672" s="2" t="s">
        <v>2097</v>
      </c>
      <c r="C672" s="2" t="s">
        <v>2098</v>
      </c>
      <c r="D672" s="2">
        <v>4</v>
      </c>
      <c r="E672" s="2">
        <v>1</v>
      </c>
      <c r="F672" s="3">
        <f>IF(COUNT(D672,E672)=2,D672*E672,NA())</f>
        <v>4.0</v>
      </c>
      <c r="G672" s="2" t="s">
        <v>1972</v>
      </c>
      <c r="H672" s="2"/>
      <c r="I672" s="2" t="s">
        <v>1902</v>
      </c>
      <c r="J672" s="2" t="s">
        <v>1903</v>
      </c>
      <c r="K672" s="2"/>
      <c r="L672" s="2" t="s">
        <v>7</v>
      </c>
      <c r="M672" s="2" t="s">
        <v>2099</v>
      </c>
      <c r="N672" s="2" t="s">
        <v>2099</v>
      </c>
      <c r="O672" s="2" t="s">
        <v>2100</v>
      </c>
      <c r="P672" s="2" t="s">
        <v>2101</v>
      </c>
      <c r="Q672" s="2" t="s">
        <v>2102</v>
      </c>
      <c r="R672" s="2" t="s">
        <v>2103</v>
      </c>
    </row>
    <row r="673" spans="1:18">
      <c r="A673" s="2" t="s">
        <v>2104</v>
      </c>
      <c r="B673" s="2" t="s">
        <v>2105</v>
      </c>
      <c r="C673" s="2" t="s">
        <v>2098</v>
      </c>
      <c r="D673" s="2">
        <v>3.5</v>
      </c>
      <c r="E673" s="2">
        <v>1</v>
      </c>
      <c r="F673" s="3">
        <f>IF(COUNT(D673,E673)=2,D673*E673,NA())</f>
        <v>3.5</v>
      </c>
      <c r="G673" s="2" t="s">
        <v>1972</v>
      </c>
      <c r="H673" s="2"/>
      <c r="I673" s="2" t="s">
        <v>1902</v>
      </c>
      <c r="J673" s="2" t="s">
        <v>1903</v>
      </c>
      <c r="K673" s="2"/>
      <c r="L673" s="2" t="s">
        <v>7</v>
      </c>
      <c r="M673" s="2" t="s">
        <v>2099</v>
      </c>
      <c r="N673" s="2" t="s">
        <v>2099</v>
      </c>
      <c r="O673" s="2" t="s">
        <v>2100</v>
      </c>
      <c r="P673" s="2" t="s">
        <v>2101</v>
      </c>
      <c r="Q673" s="2" t="s">
        <v>2106</v>
      </c>
      <c r="R673" s="2" t="s">
        <v>2103</v>
      </c>
    </row>
    <row r="674" spans="1:18">
      <c r="A674" s="2" t="s">
        <v>2107</v>
      </c>
      <c r="B674" s="2" t="s">
        <v>2108</v>
      </c>
      <c r="C674" s="2" t="s">
        <v>2098</v>
      </c>
      <c r="D674" s="2">
        <v>4.5</v>
      </c>
      <c r="E674" s="2">
        <v>1</v>
      </c>
      <c r="F674" s="3">
        <f>IF(COUNT(D674,E674)=2,D674*E674,NA())</f>
        <v>4.5</v>
      </c>
      <c r="G674" s="2" t="s">
        <v>1972</v>
      </c>
      <c r="H674" s="2"/>
      <c r="I674" s="2" t="s">
        <v>1902</v>
      </c>
      <c r="J674" s="2" t="s">
        <v>1903</v>
      </c>
      <c r="K674" s="2"/>
      <c r="L674" s="2" t="s">
        <v>7</v>
      </c>
      <c r="M674" s="2" t="s">
        <v>2099</v>
      </c>
      <c r="N674" s="2" t="s">
        <v>2099</v>
      </c>
      <c r="O674" s="2" t="s">
        <v>2100</v>
      </c>
      <c r="P674" s="2" t="s">
        <v>2101</v>
      </c>
      <c r="Q674" s="2" t="s">
        <v>2109</v>
      </c>
      <c r="R674" s="2" t="s">
        <v>2103</v>
      </c>
    </row>
    <row r="675" spans="1:18">
      <c r="A675" s="2" t="s">
        <v>2110</v>
      </c>
      <c r="B675" s="2" t="s">
        <v>2111</v>
      </c>
      <c r="C675" s="2" t="s">
        <v>2112</v>
      </c>
      <c r="D675" s="2">
        <v>2.5</v>
      </c>
      <c r="E675" s="2">
        <v>1</v>
      </c>
      <c r="F675" s="3">
        <f>IF(COUNT(D675,E675)=2,D675*E675,NA())</f>
        <v>2.5</v>
      </c>
      <c r="G675" s="2" t="s">
        <v>1972</v>
      </c>
      <c r="H675" s="2"/>
      <c r="I675" s="2" t="s">
        <v>1902</v>
      </c>
      <c r="J675" s="2" t="s">
        <v>1903</v>
      </c>
      <c r="K675" s="2"/>
      <c r="L675" s="2" t="s">
        <v>7</v>
      </c>
      <c r="M675" s="2" t="s">
        <v>2099</v>
      </c>
      <c r="N675" s="2" t="s">
        <v>2099</v>
      </c>
      <c r="O675" s="2" t="s">
        <v>2100</v>
      </c>
      <c r="P675" s="2" t="s">
        <v>2101</v>
      </c>
      <c r="Q675" s="2" t="s">
        <v>2113</v>
      </c>
      <c r="R675" s="2" t="s">
        <v>2103</v>
      </c>
    </row>
    <row r="676" spans="1:18">
      <c r="A676" s="2" t="s">
        <v>2114</v>
      </c>
      <c r="B676" s="2" t="s">
        <v>2115</v>
      </c>
      <c r="C676" s="2" t="s">
        <v>2112</v>
      </c>
      <c r="D676" s="2">
        <v>2</v>
      </c>
      <c r="E676" s="2">
        <v>1</v>
      </c>
      <c r="F676" s="3">
        <f>IF(COUNT(D676,E676)=2,D676*E676,NA())</f>
        <v>2.0</v>
      </c>
      <c r="G676" s="2" t="s">
        <v>1972</v>
      </c>
      <c r="H676" s="2"/>
      <c r="I676" s="2" t="s">
        <v>1902</v>
      </c>
      <c r="J676" s="2" t="s">
        <v>1903</v>
      </c>
      <c r="K676" s="2"/>
      <c r="L676" s="2" t="s">
        <v>7</v>
      </c>
      <c r="M676" s="2" t="s">
        <v>2099</v>
      </c>
      <c r="N676" s="2" t="s">
        <v>2099</v>
      </c>
      <c r="O676" s="2" t="s">
        <v>2100</v>
      </c>
      <c r="P676" s="2" t="s">
        <v>2101</v>
      </c>
      <c r="Q676" s="2" t="s">
        <v>2116</v>
      </c>
      <c r="R676" s="2" t="s">
        <v>2103</v>
      </c>
    </row>
    <row r="677" spans="1:18">
      <c r="A677" s="2" t="s">
        <v>2117</v>
      </c>
      <c r="B677" s="2" t="s">
        <v>2118</v>
      </c>
      <c r="C677" s="2" t="s">
        <v>2112</v>
      </c>
      <c r="D677" s="2">
        <v>3</v>
      </c>
      <c r="E677" s="2">
        <v>1</v>
      </c>
      <c r="F677" s="3">
        <f>IF(COUNT(D677,E677)=2,D677*E677,NA())</f>
        <v>3.0</v>
      </c>
      <c r="G677" s="2" t="s">
        <v>1972</v>
      </c>
      <c r="H677" s="2"/>
      <c r="I677" s="2" t="s">
        <v>1902</v>
      </c>
      <c r="J677" s="2" t="s">
        <v>1903</v>
      </c>
      <c r="K677" s="2"/>
      <c r="L677" s="2" t="s">
        <v>7</v>
      </c>
      <c r="M677" s="2" t="s">
        <v>2099</v>
      </c>
      <c r="N677" s="2" t="s">
        <v>2099</v>
      </c>
      <c r="O677" s="2" t="s">
        <v>2100</v>
      </c>
      <c r="P677" s="2" t="s">
        <v>2101</v>
      </c>
      <c r="Q677" s="2" t="s">
        <v>2119</v>
      </c>
      <c r="R677" s="2" t="s">
        <v>2103</v>
      </c>
    </row>
    <row r="678" spans="1:18">
      <c r="A678" s="2" t="s">
        <v>2120</v>
      </c>
      <c r="B678" s="2" t="s">
        <v>2121</v>
      </c>
      <c r="C678" s="2" t="s">
        <v>2122</v>
      </c>
      <c r="D678" s="2">
        <v>4</v>
      </c>
      <c r="E678" s="2">
        <v>1</v>
      </c>
      <c r="F678" s="3">
        <f>IF(COUNT(D678,E678)=2,D678*E678,NA())</f>
        <v>4.0</v>
      </c>
      <c r="G678" s="2" t="s">
        <v>1972</v>
      </c>
      <c r="H678" s="2"/>
      <c r="I678" s="2" t="s">
        <v>1902</v>
      </c>
      <c r="J678" s="2" t="s">
        <v>1903</v>
      </c>
      <c r="K678" s="2"/>
      <c r="L678" s="2" t="s">
        <v>7</v>
      </c>
      <c r="M678" s="2" t="s">
        <v>2099</v>
      </c>
      <c r="N678" s="2" t="s">
        <v>2099</v>
      </c>
      <c r="O678" s="2" t="s">
        <v>2100</v>
      </c>
      <c r="P678" s="2" t="s">
        <v>2101</v>
      </c>
      <c r="Q678" s="2" t="s">
        <v>2123</v>
      </c>
      <c r="R678" s="2" t="s">
        <v>2103</v>
      </c>
    </row>
    <row r="679" spans="1:18">
      <c r="A679" s="2" t="s">
        <v>2124</v>
      </c>
      <c r="B679" s="2" t="s">
        <v>2125</v>
      </c>
      <c r="C679" s="2" t="s">
        <v>2122</v>
      </c>
      <c r="D679" s="2">
        <v>3.5</v>
      </c>
      <c r="E679" s="2">
        <v>1</v>
      </c>
      <c r="F679" s="3">
        <f>IF(COUNT(D679,E679)=2,D679*E679,NA())</f>
        <v>3.5</v>
      </c>
      <c r="G679" s="2" t="s">
        <v>1972</v>
      </c>
      <c r="H679" s="2"/>
      <c r="I679" s="2" t="s">
        <v>1902</v>
      </c>
      <c r="J679" s="2" t="s">
        <v>1903</v>
      </c>
      <c r="K679" s="2"/>
      <c r="L679" s="2" t="s">
        <v>7</v>
      </c>
      <c r="M679" s="2" t="s">
        <v>2099</v>
      </c>
      <c r="N679" s="2" t="s">
        <v>2099</v>
      </c>
      <c r="O679" s="2" t="s">
        <v>2100</v>
      </c>
      <c r="P679" s="2" t="s">
        <v>2101</v>
      </c>
      <c r="Q679" s="2" t="s">
        <v>2126</v>
      </c>
      <c r="R679" s="2" t="s">
        <v>2103</v>
      </c>
    </row>
    <row r="680" spans="1:18">
      <c r="A680" s="2" t="s">
        <v>2127</v>
      </c>
      <c r="B680" s="2" t="s">
        <v>2128</v>
      </c>
      <c r="C680" s="2" t="s">
        <v>2122</v>
      </c>
      <c r="D680" s="2">
        <v>4.5</v>
      </c>
      <c r="E680" s="2">
        <v>1</v>
      </c>
      <c r="F680" s="3">
        <f>IF(COUNT(D680,E680)=2,D680*E680,NA())</f>
        <v>4.5</v>
      </c>
      <c r="G680" s="2" t="s">
        <v>1972</v>
      </c>
      <c r="H680" s="2"/>
      <c r="I680" s="2" t="s">
        <v>1902</v>
      </c>
      <c r="J680" s="2" t="s">
        <v>1903</v>
      </c>
      <c r="K680" s="2"/>
      <c r="L680" s="2" t="s">
        <v>7</v>
      </c>
      <c r="M680" s="2" t="s">
        <v>2099</v>
      </c>
      <c r="N680" s="2" t="s">
        <v>2099</v>
      </c>
      <c r="O680" s="2" t="s">
        <v>2100</v>
      </c>
      <c r="P680" s="2" t="s">
        <v>2101</v>
      </c>
      <c r="Q680" s="2" t="s">
        <v>2129</v>
      </c>
      <c r="R680" s="2" t="s">
        <v>2103</v>
      </c>
    </row>
    <row r="681" spans="1:18">
      <c r="A681" s="2" t="s">
        <v>2130</v>
      </c>
      <c r="B681" s="2" t="s">
        <v>2131</v>
      </c>
      <c r="C681" s="2" t="s">
        <v>2132</v>
      </c>
      <c r="D681" s="2">
        <v>4</v>
      </c>
      <c r="E681" s="2">
        <v>1</v>
      </c>
      <c r="F681" s="3">
        <f>IF(COUNT(D681,E681)=2,D681*E681,NA())</f>
        <v>4.0</v>
      </c>
      <c r="G681" s="2" t="s">
        <v>1972</v>
      </c>
      <c r="H681" s="2"/>
      <c r="I681" s="2" t="s">
        <v>1902</v>
      </c>
      <c r="J681" s="2" t="s">
        <v>1903</v>
      </c>
      <c r="K681" s="2"/>
      <c r="L681" s="2" t="s">
        <v>7</v>
      </c>
      <c r="M681" s="2" t="s">
        <v>2099</v>
      </c>
      <c r="N681" s="2" t="s">
        <v>2099</v>
      </c>
      <c r="O681" s="2" t="s">
        <v>2100</v>
      </c>
      <c r="P681" s="2" t="s">
        <v>2101</v>
      </c>
      <c r="Q681" s="2" t="s">
        <v>2133</v>
      </c>
      <c r="R681" s="2" t="s">
        <v>2103</v>
      </c>
    </row>
    <row r="682" spans="1:18">
      <c r="A682" s="2" t="s">
        <v>2134</v>
      </c>
      <c r="B682" s="2" t="s">
        <v>2135</v>
      </c>
      <c r="C682" s="2" t="s">
        <v>2132</v>
      </c>
      <c r="D682" s="2">
        <v>3.5</v>
      </c>
      <c r="E682" s="2">
        <v>1</v>
      </c>
      <c r="F682" s="3">
        <f>IF(COUNT(D682,E682)=2,D682*E682,NA())</f>
        <v>3.5</v>
      </c>
      <c r="G682" s="2" t="s">
        <v>1972</v>
      </c>
      <c r="H682" s="2"/>
      <c r="I682" s="2" t="s">
        <v>1902</v>
      </c>
      <c r="J682" s="2" t="s">
        <v>1903</v>
      </c>
      <c r="K682" s="2"/>
      <c r="L682" s="2" t="s">
        <v>7</v>
      </c>
      <c r="M682" s="2" t="s">
        <v>2099</v>
      </c>
      <c r="N682" s="2" t="s">
        <v>2099</v>
      </c>
      <c r="O682" s="2" t="s">
        <v>2100</v>
      </c>
      <c r="P682" s="2" t="s">
        <v>2101</v>
      </c>
      <c r="Q682" s="2" t="s">
        <v>2136</v>
      </c>
      <c r="R682" s="2" t="s">
        <v>2103</v>
      </c>
    </row>
    <row r="683" spans="1:18">
      <c r="A683" s="2" t="s">
        <v>2137</v>
      </c>
      <c r="B683" s="2" t="s">
        <v>2138</v>
      </c>
      <c r="C683" s="2" t="s">
        <v>2132</v>
      </c>
      <c r="D683" s="2">
        <v>4.5</v>
      </c>
      <c r="E683" s="2">
        <v>1</v>
      </c>
      <c r="F683" s="3">
        <f>IF(COUNT(D683,E683)=2,D683*E683,NA())</f>
        <v>4.5</v>
      </c>
      <c r="G683" s="2" t="s">
        <v>1972</v>
      </c>
      <c r="H683" s="2"/>
      <c r="I683" s="2" t="s">
        <v>1902</v>
      </c>
      <c r="J683" s="2" t="s">
        <v>1903</v>
      </c>
      <c r="K683" s="2"/>
      <c r="L683" s="2" t="s">
        <v>7</v>
      </c>
      <c r="M683" s="2" t="s">
        <v>2099</v>
      </c>
      <c r="N683" s="2" t="s">
        <v>2099</v>
      </c>
      <c r="O683" s="2" t="s">
        <v>2100</v>
      </c>
      <c r="P683" s="2" t="s">
        <v>2101</v>
      </c>
      <c r="Q683" s="2" t="s">
        <v>2139</v>
      </c>
      <c r="R683" s="2" t="s">
        <v>2103</v>
      </c>
    </row>
    <row r="684" spans="1:18">
      <c r="A684" s="2" t="s">
        <v>2140</v>
      </c>
      <c r="B684" s="2" t="s">
        <v>2141</v>
      </c>
      <c r="C684" s="2" t="s">
        <v>2142</v>
      </c>
      <c r="D684" s="2">
        <v>3</v>
      </c>
      <c r="E684" s="2">
        <v>1</v>
      </c>
      <c r="F684" s="3">
        <f>IF(COUNT(D684,E684)=2,D684*E684,NA())</f>
        <v>3.0</v>
      </c>
      <c r="G684" s="2" t="s">
        <v>1972</v>
      </c>
      <c r="H684" s="2"/>
      <c r="I684" s="2" t="s">
        <v>1902</v>
      </c>
      <c r="J684" s="2" t="s">
        <v>1903</v>
      </c>
      <c r="K684" s="2"/>
      <c r="L684" s="2" t="s">
        <v>7</v>
      </c>
      <c r="M684" s="2" t="s">
        <v>2099</v>
      </c>
      <c r="N684" s="2" t="s">
        <v>2099</v>
      </c>
      <c r="O684" s="2" t="s">
        <v>2100</v>
      </c>
      <c r="P684" s="2" t="s">
        <v>2101</v>
      </c>
      <c r="Q684" s="2" t="s">
        <v>2143</v>
      </c>
      <c r="R684" s="2" t="s">
        <v>2103</v>
      </c>
    </row>
    <row r="685" spans="1:18">
      <c r="A685" s="2" t="s">
        <v>2144</v>
      </c>
      <c r="B685" s="2" t="s">
        <v>2145</v>
      </c>
      <c r="C685" s="2" t="s">
        <v>2142</v>
      </c>
      <c r="D685" s="2">
        <v>2.5</v>
      </c>
      <c r="E685" s="2">
        <v>1</v>
      </c>
      <c r="F685" s="3">
        <f>IF(COUNT(D685,E685)=2,D685*E685,NA())</f>
        <v>2.5</v>
      </c>
      <c r="G685" s="2" t="s">
        <v>1972</v>
      </c>
      <c r="H685" s="2"/>
      <c r="I685" s="2" t="s">
        <v>1902</v>
      </c>
      <c r="J685" s="2" t="s">
        <v>1903</v>
      </c>
      <c r="K685" s="2"/>
      <c r="L685" s="2" t="s">
        <v>7</v>
      </c>
      <c r="M685" s="2" t="s">
        <v>2099</v>
      </c>
      <c r="N685" s="2" t="s">
        <v>2099</v>
      </c>
      <c r="O685" s="2" t="s">
        <v>2100</v>
      </c>
      <c r="P685" s="2" t="s">
        <v>2101</v>
      </c>
      <c r="Q685" s="2" t="s">
        <v>2146</v>
      </c>
      <c r="R685" s="2" t="s">
        <v>2103</v>
      </c>
    </row>
    <row r="686" spans="1:18">
      <c r="A686" s="2" t="s">
        <v>2147</v>
      </c>
      <c r="B686" s="2" t="s">
        <v>2148</v>
      </c>
      <c r="C686" s="2" t="s">
        <v>2142</v>
      </c>
      <c r="D686" s="2">
        <v>3.5</v>
      </c>
      <c r="E686" s="2">
        <v>1</v>
      </c>
      <c r="F686" s="3">
        <f>IF(COUNT(D686,E686)=2,D686*E686,NA())</f>
        <v>3.5</v>
      </c>
      <c r="G686" s="2" t="s">
        <v>1972</v>
      </c>
      <c r="H686" s="2"/>
      <c r="I686" s="2" t="s">
        <v>1902</v>
      </c>
      <c r="J686" s="2" t="s">
        <v>1903</v>
      </c>
      <c r="K686" s="2"/>
      <c r="L686" s="2" t="s">
        <v>7</v>
      </c>
      <c r="M686" s="2" t="s">
        <v>2099</v>
      </c>
      <c r="N686" s="2" t="s">
        <v>2099</v>
      </c>
      <c r="O686" s="2" t="s">
        <v>2100</v>
      </c>
      <c r="P686" s="2" t="s">
        <v>2101</v>
      </c>
      <c r="Q686" s="2" t="s">
        <v>2149</v>
      </c>
      <c r="R686" s="2" t="s">
        <v>2103</v>
      </c>
    </row>
    <row r="687" spans="1:18">
      <c r="A687" s="2" t="s">
        <v>2150</v>
      </c>
      <c r="B687" s="2" t="s">
        <v>2151</v>
      </c>
      <c r="C687" s="2" t="s">
        <v>2152</v>
      </c>
      <c r="D687" s="2">
        <v>4</v>
      </c>
      <c r="E687" s="2">
        <v>1</v>
      </c>
      <c r="F687" s="3">
        <f>IF(COUNT(D687,E687)=2,D687*E687,NA())</f>
        <v>4.0</v>
      </c>
      <c r="G687" s="2" t="s">
        <v>1972</v>
      </c>
      <c r="H687" s="2"/>
      <c r="I687" s="2" t="s">
        <v>1902</v>
      </c>
      <c r="J687" s="2" t="s">
        <v>1903</v>
      </c>
      <c r="K687" s="2"/>
      <c r="L687" s="2" t="s">
        <v>7</v>
      </c>
      <c r="M687" s="2" t="s">
        <v>2099</v>
      </c>
      <c r="N687" s="2" t="s">
        <v>2099</v>
      </c>
      <c r="O687" s="2" t="s">
        <v>2100</v>
      </c>
      <c r="P687" s="2" t="s">
        <v>2101</v>
      </c>
      <c r="Q687" s="2" t="s">
        <v>2153</v>
      </c>
      <c r="R687" s="2" t="s">
        <v>2103</v>
      </c>
    </row>
    <row r="688" spans="1:18">
      <c r="A688" s="2" t="s">
        <v>2154</v>
      </c>
      <c r="B688" s="2" t="s">
        <v>2155</v>
      </c>
      <c r="C688" s="2" t="s">
        <v>2152</v>
      </c>
      <c r="D688" s="2">
        <v>3.5</v>
      </c>
      <c r="E688" s="2">
        <v>1</v>
      </c>
      <c r="F688" s="3">
        <f>IF(COUNT(D688,E688)=2,D688*E688,NA())</f>
        <v>3.5</v>
      </c>
      <c r="G688" s="2" t="s">
        <v>1972</v>
      </c>
      <c r="H688" s="2"/>
      <c r="I688" s="2" t="s">
        <v>1902</v>
      </c>
      <c r="J688" s="2" t="s">
        <v>1903</v>
      </c>
      <c r="K688" s="2"/>
      <c r="L688" s="2" t="s">
        <v>7</v>
      </c>
      <c r="M688" s="2" t="s">
        <v>2099</v>
      </c>
      <c r="N688" s="2" t="s">
        <v>2099</v>
      </c>
      <c r="O688" s="2" t="s">
        <v>2100</v>
      </c>
      <c r="P688" s="2" t="s">
        <v>2101</v>
      </c>
      <c r="Q688" s="2" t="s">
        <v>2156</v>
      </c>
      <c r="R688" s="2" t="s">
        <v>2103</v>
      </c>
    </row>
    <row r="689" spans="1:18">
      <c r="A689" s="2" t="s">
        <v>2157</v>
      </c>
      <c r="B689" s="2" t="s">
        <v>2158</v>
      </c>
      <c r="C689" s="2" t="s">
        <v>2152</v>
      </c>
      <c r="D689" s="2">
        <v>4.5</v>
      </c>
      <c r="E689" s="2">
        <v>1</v>
      </c>
      <c r="F689" s="3">
        <f>IF(COUNT(D689,E689)=2,D689*E689,NA())</f>
        <v>4.5</v>
      </c>
      <c r="G689" s="2" t="s">
        <v>1972</v>
      </c>
      <c r="H689" s="2"/>
      <c r="I689" s="2" t="s">
        <v>1902</v>
      </c>
      <c r="J689" s="2" t="s">
        <v>1903</v>
      </c>
      <c r="K689" s="2"/>
      <c r="L689" s="2" t="s">
        <v>7</v>
      </c>
      <c r="M689" s="2" t="s">
        <v>2099</v>
      </c>
      <c r="N689" s="2" t="s">
        <v>2099</v>
      </c>
      <c r="O689" s="2" t="s">
        <v>2100</v>
      </c>
      <c r="P689" s="2" t="s">
        <v>2101</v>
      </c>
      <c r="Q689" s="2" t="s">
        <v>2159</v>
      </c>
      <c r="R689" s="2" t="s">
        <v>2103</v>
      </c>
    </row>
    <row r="690" spans="1:18">
      <c r="A690" s="2" t="s">
        <v>2160</v>
      </c>
      <c r="B690" s="2" t="s">
        <v>2161</v>
      </c>
      <c r="C690" s="2" t="s">
        <v>2162</v>
      </c>
      <c r="D690" s="2">
        <v>3</v>
      </c>
      <c r="E690" s="2">
        <v>1</v>
      </c>
      <c r="F690" s="3">
        <f>IF(COUNT(D690,E690)=2,D690*E690,NA())</f>
        <v>3.0</v>
      </c>
      <c r="G690" s="2" t="s">
        <v>1972</v>
      </c>
      <c r="H690" s="2"/>
      <c r="I690" s="2" t="s">
        <v>1902</v>
      </c>
      <c r="J690" s="2" t="s">
        <v>1903</v>
      </c>
      <c r="K690" s="2"/>
      <c r="L690" s="2" t="s">
        <v>7</v>
      </c>
      <c r="M690" s="2" t="s">
        <v>2099</v>
      </c>
      <c r="N690" s="2" t="s">
        <v>2099</v>
      </c>
      <c r="O690" s="2" t="s">
        <v>2100</v>
      </c>
      <c r="P690" s="2" t="s">
        <v>2101</v>
      </c>
      <c r="Q690" s="2" t="s">
        <v>2163</v>
      </c>
      <c r="R690" s="2" t="s">
        <v>2103</v>
      </c>
    </row>
    <row r="691" spans="1:18">
      <c r="A691" s="2" t="s">
        <v>2164</v>
      </c>
      <c r="B691" s="2" t="s">
        <v>2165</v>
      </c>
      <c r="C691" s="2" t="s">
        <v>2162</v>
      </c>
      <c r="D691" s="2">
        <v>2.5</v>
      </c>
      <c r="E691" s="2">
        <v>1</v>
      </c>
      <c r="F691" s="3">
        <f>IF(COUNT(D691,E691)=2,D691*E691,NA())</f>
        <v>2.5</v>
      </c>
      <c r="G691" s="2" t="s">
        <v>1972</v>
      </c>
      <c r="H691" s="2"/>
      <c r="I691" s="2" t="s">
        <v>1902</v>
      </c>
      <c r="J691" s="2" t="s">
        <v>1903</v>
      </c>
      <c r="K691" s="2"/>
      <c r="L691" s="2" t="s">
        <v>7</v>
      </c>
      <c r="M691" s="2" t="s">
        <v>2099</v>
      </c>
      <c r="N691" s="2" t="s">
        <v>2099</v>
      </c>
      <c r="O691" s="2" t="s">
        <v>2100</v>
      </c>
      <c r="P691" s="2" t="s">
        <v>2101</v>
      </c>
      <c r="Q691" s="2" t="s">
        <v>2166</v>
      </c>
      <c r="R691" s="2" t="s">
        <v>2103</v>
      </c>
    </row>
    <row r="692" spans="1:18">
      <c r="A692" s="2" t="s">
        <v>2167</v>
      </c>
      <c r="B692" s="2" t="s">
        <v>2168</v>
      </c>
      <c r="C692" s="2" t="s">
        <v>2162</v>
      </c>
      <c r="D692" s="2">
        <v>3.5</v>
      </c>
      <c r="E692" s="2">
        <v>1</v>
      </c>
      <c r="F692" s="3">
        <f>IF(COUNT(D692,E692)=2,D692*E692,NA())</f>
        <v>3.5</v>
      </c>
      <c r="G692" s="2" t="s">
        <v>1972</v>
      </c>
      <c r="H692" s="2"/>
      <c r="I692" s="2" t="s">
        <v>1902</v>
      </c>
      <c r="J692" s="2" t="s">
        <v>1903</v>
      </c>
      <c r="K692" s="2"/>
      <c r="L692" s="2" t="s">
        <v>7</v>
      </c>
      <c r="M692" s="2" t="s">
        <v>2099</v>
      </c>
      <c r="N692" s="2" t="s">
        <v>2099</v>
      </c>
      <c r="O692" s="2" t="s">
        <v>2100</v>
      </c>
      <c r="P692" s="2" t="s">
        <v>2101</v>
      </c>
      <c r="Q692" s="2" t="s">
        <v>2169</v>
      </c>
      <c r="R692" s="2" t="s">
        <v>2103</v>
      </c>
    </row>
    <row r="693" spans="1:18">
      <c r="A693" s="2" t="s">
        <v>2170</v>
      </c>
      <c r="B693" s="2" t="s">
        <v>2171</v>
      </c>
      <c r="C693" s="2" t="s">
        <v>2172</v>
      </c>
      <c r="D693" s="2">
        <v>3</v>
      </c>
      <c r="E693" s="2">
        <v>1</v>
      </c>
      <c r="F693" s="3">
        <f>IF(COUNT(D693,E693)=2,D693*E693,NA())</f>
        <v>3.0</v>
      </c>
      <c r="G693" s="2" t="s">
        <v>1972</v>
      </c>
      <c r="H693" s="2"/>
      <c r="I693" s="2" t="s">
        <v>1902</v>
      </c>
      <c r="J693" s="2" t="s">
        <v>1903</v>
      </c>
      <c r="K693" s="2"/>
      <c r="L693" s="2" t="s">
        <v>7</v>
      </c>
      <c r="M693" s="2" t="s">
        <v>2099</v>
      </c>
      <c r="N693" s="2" t="s">
        <v>2099</v>
      </c>
      <c r="O693" s="2" t="s">
        <v>2100</v>
      </c>
      <c r="P693" s="2" t="s">
        <v>2101</v>
      </c>
      <c r="Q693" s="2" t="s">
        <v>2173</v>
      </c>
      <c r="R693" s="2" t="s">
        <v>2103</v>
      </c>
    </row>
    <row r="694" spans="1:18">
      <c r="A694" s="2" t="s">
        <v>2174</v>
      </c>
      <c r="B694" s="2" t="s">
        <v>2175</v>
      </c>
      <c r="C694" s="2" t="s">
        <v>2172</v>
      </c>
      <c r="D694" s="2">
        <v>2.5</v>
      </c>
      <c r="E694" s="2">
        <v>1</v>
      </c>
      <c r="F694" s="3">
        <f>IF(COUNT(D694,E694)=2,D694*E694,NA())</f>
        <v>2.5</v>
      </c>
      <c r="G694" s="2" t="s">
        <v>1972</v>
      </c>
      <c r="H694" s="2"/>
      <c r="I694" s="2" t="s">
        <v>1902</v>
      </c>
      <c r="J694" s="2" t="s">
        <v>1903</v>
      </c>
      <c r="K694" s="2"/>
      <c r="L694" s="2" t="s">
        <v>7</v>
      </c>
      <c r="M694" s="2" t="s">
        <v>2099</v>
      </c>
      <c r="N694" s="2" t="s">
        <v>2099</v>
      </c>
      <c r="O694" s="2" t="s">
        <v>2100</v>
      </c>
      <c r="P694" s="2" t="s">
        <v>2101</v>
      </c>
      <c r="Q694" s="2" t="s">
        <v>2176</v>
      </c>
      <c r="R694" s="2" t="s">
        <v>2103</v>
      </c>
    </row>
    <row r="695" spans="1:18">
      <c r="A695" s="2" t="s">
        <v>2177</v>
      </c>
      <c r="B695" s="2" t="s">
        <v>2178</v>
      </c>
      <c r="C695" s="2" t="s">
        <v>2172</v>
      </c>
      <c r="D695" s="2">
        <v>3.5</v>
      </c>
      <c r="E695" s="2">
        <v>1</v>
      </c>
      <c r="F695" s="3">
        <f>IF(COUNT(D695,E695)=2,D695*E695,NA())</f>
        <v>3.5</v>
      </c>
      <c r="G695" s="2" t="s">
        <v>1972</v>
      </c>
      <c r="H695" s="2"/>
      <c r="I695" s="2" t="s">
        <v>1902</v>
      </c>
      <c r="J695" s="2" t="s">
        <v>1903</v>
      </c>
      <c r="K695" s="2"/>
      <c r="L695" s="2" t="s">
        <v>7</v>
      </c>
      <c r="M695" s="2" t="s">
        <v>2099</v>
      </c>
      <c r="N695" s="2" t="s">
        <v>2099</v>
      </c>
      <c r="O695" s="2" t="s">
        <v>2100</v>
      </c>
      <c r="P695" s="2" t="s">
        <v>2101</v>
      </c>
      <c r="Q695" s="2" t="s">
        <v>2179</v>
      </c>
      <c r="R695" s="2" t="s">
        <v>2103</v>
      </c>
    </row>
    <row r="696" spans="1:18">
      <c r="A696" s="2" t="s">
        <v>2180</v>
      </c>
      <c r="B696" s="2" t="s">
        <v>2181</v>
      </c>
      <c r="C696" s="2" t="s">
        <v>1901</v>
      </c>
      <c r="D696" s="2">
        <v>3071546311.9</v>
      </c>
      <c r="E696" s="2">
        <v>1</v>
      </c>
      <c r="F696" s="3">
        <f>IF(COUNT(D696,E696)=2,D696*E696,NA())</f>
        <v>3071546311.9</v>
      </c>
      <c r="G696" s="2" t="s">
        <v>50</v>
      </c>
      <c r="H696" s="2" t="s">
        <v>51</v>
      </c>
      <c r="I696" s="2" t="s">
        <v>1902</v>
      </c>
      <c r="J696" s="2" t="s">
        <v>1903</v>
      </c>
      <c r="K696" s="2" t="s">
        <v>391</v>
      </c>
      <c r="L696" s="2" t="s">
        <v>54</v>
      </c>
      <c r="M696" s="2" t="s">
        <v>392</v>
      </c>
      <c r="N696" s="2" t="s">
        <v>56</v>
      </c>
      <c r="O696" s="2" t="s">
        <v>1904</v>
      </c>
      <c r="P696" s="2" t="s">
        <v>2182</v>
      </c>
      <c r="Q696" s="2" t="s">
        <v>2183</v>
      </c>
      <c r="R696" s="2"/>
    </row>
    <row r="697" spans="1:18">
      <c r="A697" s="2" t="s">
        <v>2184</v>
      </c>
      <c r="B697" s="2" t="s">
        <v>2185</v>
      </c>
      <c r="C697" s="2" t="s">
        <v>2027</v>
      </c>
      <c r="D697" s="2">
        <v>24.62</v>
      </c>
      <c r="E697" s="2">
        <v>0.01</v>
      </c>
      <c r="F697" s="3">
        <f>IF(COUNT(D697,E697)=2,D697*E697,NA())</f>
        <v>0.2462</v>
      </c>
      <c r="G697" s="2" t="s">
        <v>1935</v>
      </c>
      <c r="H697" s="2"/>
      <c r="I697" s="2" t="s">
        <v>1902</v>
      </c>
      <c r="J697" s="2" t="s">
        <v>2186</v>
      </c>
      <c r="K697" s="2"/>
      <c r="L697" s="2" t="s">
        <v>54</v>
      </c>
      <c r="M697" s="2" t="s">
        <v>1935</v>
      </c>
      <c r="N697" s="2" t="s">
        <v>56</v>
      </c>
      <c r="O697" s="2" t="s">
        <v>2187</v>
      </c>
      <c r="P697" s="2" t="s">
        <v>2188</v>
      </c>
      <c r="Q697" s="2" t="s">
        <v>2189</v>
      </c>
      <c r="R697" s="2"/>
    </row>
    <row r="698" spans="1:18">
      <c r="A698" s="2" t="s">
        <v>2190</v>
      </c>
      <c r="B698" s="2" t="s">
        <v>2191</v>
      </c>
      <c r="C698" s="2" t="s">
        <v>2027</v>
      </c>
      <c r="D698" s="2">
        <v>6.83</v>
      </c>
      <c r="E698" s="2">
        <v>0.01</v>
      </c>
      <c r="F698" s="3">
        <f>IF(COUNT(D698,E698)=2,D698*E698,NA())</f>
        <v>0.0683</v>
      </c>
      <c r="G698" s="2" t="s">
        <v>1935</v>
      </c>
      <c r="H698" s="2"/>
      <c r="I698" s="2" t="s">
        <v>1902</v>
      </c>
      <c r="J698" s="2" t="s">
        <v>2186</v>
      </c>
      <c r="K698" s="2"/>
      <c r="L698" s="2" t="s">
        <v>54</v>
      </c>
      <c r="M698" s="2" t="s">
        <v>1935</v>
      </c>
      <c r="N698" s="2" t="s">
        <v>56</v>
      </c>
      <c r="O698" s="2" t="s">
        <v>2187</v>
      </c>
      <c r="P698" s="2" t="s">
        <v>2188</v>
      </c>
      <c r="Q698" s="2" t="s">
        <v>2192</v>
      </c>
      <c r="R698" s="2"/>
    </row>
    <row r="699" spans="1:18">
      <c r="A699" s="2" t="s">
        <v>2193</v>
      </c>
      <c r="B699" s="2" t="s">
        <v>2194</v>
      </c>
      <c r="C699" s="2" t="s">
        <v>2195</v>
      </c>
      <c r="D699" s="2">
        <v>-10</v>
      </c>
      <c r="E699" s="2">
        <v>0.01</v>
      </c>
      <c r="F699" s="3">
        <f>IF(COUNT(D699,E699)=2,D699*E699,NA())</f>
        <v>-0.1</v>
      </c>
      <c r="G699" s="2" t="s">
        <v>1935</v>
      </c>
      <c r="H699" s="2"/>
      <c r="I699" s="2" t="s">
        <v>1902</v>
      </c>
      <c r="J699" s="2" t="s">
        <v>1903</v>
      </c>
      <c r="K699" s="2" t="s">
        <v>1731</v>
      </c>
      <c r="L699" s="2" t="s">
        <v>2196</v>
      </c>
      <c r="M699" s="2" t="s">
        <v>2099</v>
      </c>
      <c r="N699" s="2" t="s">
        <v>2099</v>
      </c>
      <c r="O699" s="2" t="s">
        <v>2197</v>
      </c>
      <c r="P699" s="2" t="s">
        <v>2198</v>
      </c>
      <c r="Q699" s="2" t="s">
        <v>2199</v>
      </c>
      <c r="R699" s="2"/>
    </row>
    <row r="700" spans="1:18">
      <c r="A700" s="2" t="s">
        <v>2200</v>
      </c>
      <c r="B700" s="2" t="s">
        <v>2201</v>
      </c>
      <c r="C700" s="2" t="s">
        <v>2195</v>
      </c>
      <c r="D700" s="2">
        <v>0</v>
      </c>
      <c r="E700" s="2">
        <v>0.01</v>
      </c>
      <c r="F700" s="3">
        <f>IF(COUNT(D700,E700)=2,D700*E700,NA())</f>
        <v>0.0</v>
      </c>
      <c r="G700" s="2" t="s">
        <v>1935</v>
      </c>
      <c r="H700" s="2"/>
      <c r="I700" s="2" t="s">
        <v>1902</v>
      </c>
      <c r="J700" s="2" t="s">
        <v>1903</v>
      </c>
      <c r="K700" s="2" t="s">
        <v>1731</v>
      </c>
      <c r="L700" s="2" t="s">
        <v>2196</v>
      </c>
      <c r="M700" s="2" t="s">
        <v>2099</v>
      </c>
      <c r="N700" s="2" t="s">
        <v>2099</v>
      </c>
      <c r="O700" s="2" t="s">
        <v>2197</v>
      </c>
      <c r="P700" s="2" t="s">
        <v>2198</v>
      </c>
      <c r="Q700" s="2" t="s">
        <v>2202</v>
      </c>
      <c r="R700" s="2"/>
    </row>
    <row r="701" spans="1:18">
      <c r="A701" s="2" t="s">
        <v>2203</v>
      </c>
      <c r="B701" s="2" t="s">
        <v>2204</v>
      </c>
      <c r="C701" s="2" t="s">
        <v>2195</v>
      </c>
      <c r="D701" s="2">
        <v>-5</v>
      </c>
      <c r="E701" s="2">
        <v>0.01</v>
      </c>
      <c r="F701" s="3">
        <f>IF(COUNT(D701,E701)=2,D701*E701,NA())</f>
        <v>-0.05</v>
      </c>
      <c r="G701" s="2" t="s">
        <v>1935</v>
      </c>
      <c r="H701" s="2"/>
      <c r="I701" s="2" t="s">
        <v>1902</v>
      </c>
      <c r="J701" s="2" t="s">
        <v>1903</v>
      </c>
      <c r="K701" s="2" t="s">
        <v>1731</v>
      </c>
      <c r="L701" s="2" t="s">
        <v>2196</v>
      </c>
      <c r="M701" s="2" t="s">
        <v>2099</v>
      </c>
      <c r="N701" s="2" t="s">
        <v>2099</v>
      </c>
      <c r="O701" s="2" t="s">
        <v>2197</v>
      </c>
      <c r="P701" s="2" t="s">
        <v>2198</v>
      </c>
      <c r="Q701" s="2" t="s">
        <v>2199</v>
      </c>
      <c r="R701" s="2"/>
    </row>
    <row r="702" spans="1:18">
      <c r="A702" s="2" t="s">
        <v>2205</v>
      </c>
      <c r="B702" s="2" t="s">
        <v>2206</v>
      </c>
      <c r="C702" s="2" t="s">
        <v>2195</v>
      </c>
      <c r="D702" s="2">
        <v>20</v>
      </c>
      <c r="E702" s="2">
        <v>0.01</v>
      </c>
      <c r="F702" s="3">
        <f>IF(COUNT(D702,E702)=2,D702*E702,NA())</f>
        <v>0.2</v>
      </c>
      <c r="G702" s="2" t="s">
        <v>1935</v>
      </c>
      <c r="H702" s="2"/>
      <c r="I702" s="2" t="s">
        <v>1902</v>
      </c>
      <c r="J702" s="2" t="s">
        <v>1903</v>
      </c>
      <c r="K702" s="2" t="s">
        <v>1731</v>
      </c>
      <c r="L702" s="2" t="s">
        <v>2196</v>
      </c>
      <c r="M702" s="2" t="s">
        <v>2099</v>
      </c>
      <c r="N702" s="2" t="s">
        <v>2099</v>
      </c>
      <c r="O702" s="2" t="s">
        <v>2197</v>
      </c>
      <c r="P702" s="2" t="s">
        <v>2198</v>
      </c>
      <c r="Q702" s="2" t="s">
        <v>2202</v>
      </c>
      <c r="R702" s="2"/>
    </row>
    <row r="703" spans="1:18">
      <c r="A703" s="2" t="s">
        <v>2207</v>
      </c>
      <c r="B703" s="2" t="s">
        <v>2208</v>
      </c>
      <c r="C703" s="2" t="s">
        <v>2195</v>
      </c>
      <c r="D703" s="2">
        <v>-3</v>
      </c>
      <c r="E703" s="2">
        <v>0.01</v>
      </c>
      <c r="F703" s="3">
        <f>IF(COUNT(D703,E703)=2,D703*E703,NA())</f>
        <v>-0.03</v>
      </c>
      <c r="G703" s="2" t="s">
        <v>1935</v>
      </c>
      <c r="H703" s="2"/>
      <c r="I703" s="2" t="s">
        <v>1902</v>
      </c>
      <c r="J703" s="2" t="s">
        <v>1903</v>
      </c>
      <c r="K703" s="2" t="s">
        <v>1731</v>
      </c>
      <c r="L703" s="2" t="s">
        <v>2196</v>
      </c>
      <c r="M703" s="2" t="s">
        <v>2099</v>
      </c>
      <c r="N703" s="2" t="s">
        <v>2099</v>
      </c>
      <c r="O703" s="2" t="s">
        <v>2197</v>
      </c>
      <c r="P703" s="2" t="s">
        <v>2198</v>
      </c>
      <c r="Q703" s="2" t="s">
        <v>2199</v>
      </c>
      <c r="R703" s="2"/>
    </row>
    <row r="704" spans="1:18">
      <c r="A704" s="2" t="s">
        <v>2209</v>
      </c>
      <c r="B704" s="2" t="s">
        <v>2210</v>
      </c>
      <c r="C704" s="2" t="s">
        <v>2195</v>
      </c>
      <c r="D704" s="2">
        <v>15</v>
      </c>
      <c r="E704" s="2">
        <v>0.01</v>
      </c>
      <c r="F704" s="3">
        <f>IF(COUNT(D704,E704)=2,D704*E704,NA())</f>
        <v>0.15</v>
      </c>
      <c r="G704" s="2" t="s">
        <v>1935</v>
      </c>
      <c r="H704" s="2"/>
      <c r="I704" s="2" t="s">
        <v>1902</v>
      </c>
      <c r="J704" s="2" t="s">
        <v>1903</v>
      </c>
      <c r="K704" s="2" t="s">
        <v>1731</v>
      </c>
      <c r="L704" s="2" t="s">
        <v>2196</v>
      </c>
      <c r="M704" s="2" t="s">
        <v>2099</v>
      </c>
      <c r="N704" s="2" t="s">
        <v>2099</v>
      </c>
      <c r="O704" s="2" t="s">
        <v>2197</v>
      </c>
      <c r="P704" s="2" t="s">
        <v>2198</v>
      </c>
      <c r="Q704" s="2" t="s">
        <v>2202</v>
      </c>
      <c r="R704" s="2"/>
    </row>
    <row r="705" spans="1:18">
      <c r="A705" s="2" t="s">
        <v>2211</v>
      </c>
      <c r="B705" s="2" t="s">
        <v>2212</v>
      </c>
      <c r="C705" s="2" t="s">
        <v>2195</v>
      </c>
      <c r="D705" s="2">
        <v>3</v>
      </c>
      <c r="E705" s="2">
        <v>0.01</v>
      </c>
      <c r="F705" s="3">
        <f>IF(COUNT(D705,E705)=2,D705*E705,NA())</f>
        <v>0.03</v>
      </c>
      <c r="G705" s="2" t="s">
        <v>1935</v>
      </c>
      <c r="H705" s="2"/>
      <c r="I705" s="2" t="s">
        <v>1902</v>
      </c>
      <c r="J705" s="2" t="s">
        <v>1903</v>
      </c>
      <c r="K705" s="2" t="s">
        <v>1731</v>
      </c>
      <c r="L705" s="2" t="s">
        <v>2196</v>
      </c>
      <c r="M705" s="2" t="s">
        <v>2099</v>
      </c>
      <c r="N705" s="2" t="s">
        <v>2099</v>
      </c>
      <c r="O705" s="2" t="s">
        <v>2197</v>
      </c>
      <c r="P705" s="2" t="s">
        <v>2198</v>
      </c>
      <c r="Q705" s="2" t="s">
        <v>2199</v>
      </c>
      <c r="R705" s="2"/>
    </row>
    <row r="706" spans="1:18">
      <c r="A706" s="2" t="s">
        <v>2213</v>
      </c>
      <c r="B706" s="2" t="s">
        <v>2214</v>
      </c>
      <c r="C706" s="2" t="s">
        <v>2195</v>
      </c>
      <c r="D706" s="2">
        <v>35</v>
      </c>
      <c r="E706" s="2">
        <v>0.01</v>
      </c>
      <c r="F706" s="3">
        <f>IF(COUNT(D706,E706)=2,D706*E706,NA())</f>
        <v>0.35</v>
      </c>
      <c r="G706" s="2" t="s">
        <v>1935</v>
      </c>
      <c r="H706" s="2"/>
      <c r="I706" s="2" t="s">
        <v>1902</v>
      </c>
      <c r="J706" s="2" t="s">
        <v>1903</v>
      </c>
      <c r="K706" s="2" t="s">
        <v>1731</v>
      </c>
      <c r="L706" s="2" t="s">
        <v>2196</v>
      </c>
      <c r="M706" s="2" t="s">
        <v>2099</v>
      </c>
      <c r="N706" s="2" t="s">
        <v>2099</v>
      </c>
      <c r="O706" s="2" t="s">
        <v>2197</v>
      </c>
      <c r="P706" s="2" t="s">
        <v>2198</v>
      </c>
      <c r="Q706" s="2" t="s">
        <v>2202</v>
      </c>
      <c r="R706" s="2"/>
    </row>
    <row r="707" spans="1:18">
      <c r="A707" s="2" t="s">
        <v>2215</v>
      </c>
      <c r="B707" s="2" t="s">
        <v>2216</v>
      </c>
      <c r="C707" s="2" t="s">
        <v>2195</v>
      </c>
      <c r="D707" s="2">
        <v>5</v>
      </c>
      <c r="E707" s="2">
        <v>0.01</v>
      </c>
      <c r="F707" s="3">
        <f>IF(COUNT(D707,E707)=2,D707*E707,NA())</f>
        <v>0.05</v>
      </c>
      <c r="G707" s="2" t="s">
        <v>1935</v>
      </c>
      <c r="H707" s="2"/>
      <c r="I707" s="2" t="s">
        <v>1902</v>
      </c>
      <c r="J707" s="2" t="s">
        <v>1903</v>
      </c>
      <c r="K707" s="2" t="s">
        <v>1731</v>
      </c>
      <c r="L707" s="2" t="s">
        <v>2196</v>
      </c>
      <c r="M707" s="2" t="s">
        <v>2099</v>
      </c>
      <c r="N707" s="2" t="s">
        <v>2099</v>
      </c>
      <c r="O707" s="2" t="s">
        <v>2197</v>
      </c>
      <c r="P707" s="2" t="s">
        <v>2198</v>
      </c>
      <c r="Q707" s="2" t="s">
        <v>2199</v>
      </c>
      <c r="R707" s="2"/>
    </row>
    <row r="708" spans="1:18">
      <c r="A708" s="2" t="s">
        <v>2217</v>
      </c>
      <c r="B708" s="2" t="s">
        <v>2218</v>
      </c>
      <c r="C708" s="2" t="s">
        <v>2195</v>
      </c>
      <c r="D708" s="2">
        <v>35</v>
      </c>
      <c r="E708" s="2">
        <v>0.01</v>
      </c>
      <c r="F708" s="3">
        <f>IF(COUNT(D708,E708)=2,D708*E708,NA())</f>
        <v>0.35</v>
      </c>
      <c r="G708" s="2" t="s">
        <v>1935</v>
      </c>
      <c r="H708" s="2"/>
      <c r="I708" s="2" t="s">
        <v>1902</v>
      </c>
      <c r="J708" s="2" t="s">
        <v>1903</v>
      </c>
      <c r="K708" s="2" t="s">
        <v>1731</v>
      </c>
      <c r="L708" s="2" t="s">
        <v>2196</v>
      </c>
      <c r="M708" s="2" t="s">
        <v>2099</v>
      </c>
      <c r="N708" s="2" t="s">
        <v>2099</v>
      </c>
      <c r="O708" s="2" t="s">
        <v>2197</v>
      </c>
      <c r="P708" s="2" t="s">
        <v>2198</v>
      </c>
      <c r="Q708" s="2" t="s">
        <v>2202</v>
      </c>
      <c r="R708" s="2"/>
    </row>
    <row r="709" spans="1:18">
      <c r="A709" s="2" t="s">
        <v>2219</v>
      </c>
      <c r="B709" s="2" t="s">
        <v>2220</v>
      </c>
      <c r="C709" s="2" t="s">
        <v>2195</v>
      </c>
      <c r="D709" s="2">
        <v>8</v>
      </c>
      <c r="E709" s="2">
        <v>0.01</v>
      </c>
      <c r="F709" s="3">
        <f>IF(COUNT(D709,E709)=2,D709*E709,NA())</f>
        <v>0.08</v>
      </c>
      <c r="G709" s="2" t="s">
        <v>1935</v>
      </c>
      <c r="H709" s="2"/>
      <c r="I709" s="2" t="s">
        <v>1902</v>
      </c>
      <c r="J709" s="2" t="s">
        <v>1903</v>
      </c>
      <c r="K709" s="2" t="s">
        <v>1731</v>
      </c>
      <c r="L709" s="2" t="s">
        <v>2196</v>
      </c>
      <c r="M709" s="2" t="s">
        <v>2099</v>
      </c>
      <c r="N709" s="2" t="s">
        <v>2099</v>
      </c>
      <c r="O709" s="2" t="s">
        <v>2197</v>
      </c>
      <c r="P709" s="2" t="s">
        <v>2198</v>
      </c>
      <c r="Q709" s="2" t="s">
        <v>2199</v>
      </c>
      <c r="R709" s="2"/>
    </row>
    <row r="710" spans="1:18">
      <c r="A710" s="2" t="s">
        <v>2221</v>
      </c>
      <c r="B710" s="2" t="s">
        <v>2222</v>
      </c>
      <c r="C710" s="2" t="s">
        <v>2195</v>
      </c>
      <c r="D710" s="2">
        <v>45</v>
      </c>
      <c r="E710" s="2">
        <v>0.01</v>
      </c>
      <c r="F710" s="3">
        <f>IF(COUNT(D710,E710)=2,D710*E710,NA())</f>
        <v>0.45</v>
      </c>
      <c r="G710" s="2" t="s">
        <v>1935</v>
      </c>
      <c r="H710" s="2"/>
      <c r="I710" s="2" t="s">
        <v>1902</v>
      </c>
      <c r="J710" s="2" t="s">
        <v>1903</v>
      </c>
      <c r="K710" s="2" t="s">
        <v>1731</v>
      </c>
      <c r="L710" s="2" t="s">
        <v>2196</v>
      </c>
      <c r="M710" s="2" t="s">
        <v>2099</v>
      </c>
      <c r="N710" s="2" t="s">
        <v>2099</v>
      </c>
      <c r="O710" s="2" t="s">
        <v>2197</v>
      </c>
      <c r="P710" s="2" t="s">
        <v>2198</v>
      </c>
      <c r="Q710" s="2" t="s">
        <v>2202</v>
      </c>
      <c r="R710" s="2"/>
    </row>
    <row r="711" spans="1:18">
      <c r="A711" s="2" t="s">
        <v>2223</v>
      </c>
      <c r="B711" s="2" t="s">
        <v>2224</v>
      </c>
      <c r="C711" s="2" t="s">
        <v>2225</v>
      </c>
      <c r="D711" s="2">
        <v>2313383227.05</v>
      </c>
      <c r="E711" s="2">
        <v>1</v>
      </c>
      <c r="F711" s="3">
        <f>IF(COUNT(D711,E711)=2,D711*E711,NA())</f>
        <v>2313383227.05</v>
      </c>
      <c r="G711" s="2" t="s">
        <v>50</v>
      </c>
      <c r="H711" s="2" t="s">
        <v>51</v>
      </c>
      <c r="I711" s="2" t="s">
        <v>52</v>
      </c>
      <c r="J711" s="2" t="s">
        <v>1903</v>
      </c>
      <c r="K711" s="2"/>
      <c r="L711" s="2" t="s">
        <v>54</v>
      </c>
      <c r="M711" s="2" t="s">
        <v>55</v>
      </c>
      <c r="N711" s="2" t="s">
        <v>56</v>
      </c>
      <c r="O711" s="2" t="s">
        <v>1904</v>
      </c>
      <c r="P711" s="2" t="s">
        <v>2226</v>
      </c>
      <c r="Q711" s="2" t="s">
        <v>2227</v>
      </c>
      <c r="R711" s="2"/>
    </row>
    <row r="712" spans="1:18">
      <c r="A712" s="2" t="s">
        <v>2228</v>
      </c>
      <c r="B712" s="2" t="s">
        <v>2229</v>
      </c>
      <c r="C712" s="2" t="s">
        <v>2230</v>
      </c>
      <c r="D712" s="2">
        <v>4052073804.75</v>
      </c>
      <c r="E712" s="2">
        <v>1</v>
      </c>
      <c r="F712" s="3">
        <f>IF(COUNT(D712,E712)=2,D712*E712,NA())</f>
        <v>4052073804.75</v>
      </c>
      <c r="G712" s="2" t="s">
        <v>50</v>
      </c>
      <c r="H712" s="2" t="s">
        <v>51</v>
      </c>
      <c r="I712" s="2" t="s">
        <v>52</v>
      </c>
      <c r="J712" s="2" t="s">
        <v>1903</v>
      </c>
      <c r="K712" s="2"/>
      <c r="L712" s="2" t="s">
        <v>54</v>
      </c>
      <c r="M712" s="2" t="s">
        <v>55</v>
      </c>
      <c r="N712" s="2" t="s">
        <v>56</v>
      </c>
      <c r="O712" s="2" t="s">
        <v>1904</v>
      </c>
      <c r="P712" s="2" t="s">
        <v>2226</v>
      </c>
      <c r="Q712" s="2" t="s">
        <v>2231</v>
      </c>
      <c r="R712" s="2"/>
    </row>
    <row r="713" spans="1:18">
      <c r="A713" s="2" t="s">
        <v>2232</v>
      </c>
      <c r="B713" s="2" t="s">
        <v>2233</v>
      </c>
      <c r="C713" s="2" t="s">
        <v>2230</v>
      </c>
      <c r="D713" s="2">
        <v>3968797075.77</v>
      </c>
      <c r="E713" s="2">
        <v>1</v>
      </c>
      <c r="F713" s="3">
        <f>IF(COUNT(D713,E713)=2,D713*E713,NA())</f>
        <v>3968797075.77</v>
      </c>
      <c r="G713" s="2" t="s">
        <v>50</v>
      </c>
      <c r="H713" s="2" t="s">
        <v>51</v>
      </c>
      <c r="I713" s="2" t="s">
        <v>52</v>
      </c>
      <c r="J713" s="2" t="s">
        <v>1903</v>
      </c>
      <c r="K713" s="2"/>
      <c r="L713" s="2" t="s">
        <v>54</v>
      </c>
      <c r="M713" s="2" t="s">
        <v>55</v>
      </c>
      <c r="N713" s="2" t="s">
        <v>56</v>
      </c>
      <c r="O713" s="2" t="s">
        <v>1904</v>
      </c>
      <c r="P713" s="2" t="s">
        <v>2234</v>
      </c>
      <c r="Q713" s="2" t="s">
        <v>2235</v>
      </c>
      <c r="R713" s="2"/>
    </row>
    <row r="714" spans="1:18">
      <c r="A714" s="2" t="s">
        <v>2236</v>
      </c>
      <c r="B714" s="2" t="s">
        <v>2237</v>
      </c>
      <c r="C714" s="2" t="s">
        <v>2230</v>
      </c>
      <c r="D714" s="2">
        <v>83276728.98</v>
      </c>
      <c r="E714" s="2">
        <v>1</v>
      </c>
      <c r="F714" s="3">
        <f>IF(COUNT(D714,E714)=2,D714*E714,NA())</f>
        <v>83276728.98</v>
      </c>
      <c r="G714" s="2" t="s">
        <v>50</v>
      </c>
      <c r="H714" s="2" t="s">
        <v>51</v>
      </c>
      <c r="I714" s="2" t="s">
        <v>52</v>
      </c>
      <c r="J714" s="2" t="s">
        <v>1903</v>
      </c>
      <c r="K714" s="2"/>
      <c r="L714" s="2" t="s">
        <v>54</v>
      </c>
      <c r="M714" s="2" t="s">
        <v>55</v>
      </c>
      <c r="N714" s="2" t="s">
        <v>56</v>
      </c>
      <c r="O714" s="2" t="s">
        <v>1904</v>
      </c>
      <c r="P714" s="2" t="s">
        <v>2238</v>
      </c>
      <c r="Q714" s="2" t="s">
        <v>2239</v>
      </c>
      <c r="R714" s="2"/>
    </row>
    <row r="715" spans="1:18">
      <c r="A715" s="2" t="s">
        <v>2240</v>
      </c>
      <c r="B715" s="2" t="s">
        <v>2241</v>
      </c>
      <c r="C715" s="2" t="s">
        <v>2225</v>
      </c>
      <c r="D715" s="2">
        <v>2243045749.84</v>
      </c>
      <c r="E715" s="2">
        <v>1</v>
      </c>
      <c r="F715" s="3">
        <f>IF(COUNT(D715,E715)=2,D715*E715,NA())</f>
        <v>2243045749.84</v>
      </c>
      <c r="G715" s="2" t="s">
        <v>50</v>
      </c>
      <c r="H715" s="2" t="s">
        <v>51</v>
      </c>
      <c r="I715" s="2" t="s">
        <v>52</v>
      </c>
      <c r="J715" s="2" t="s">
        <v>1903</v>
      </c>
      <c r="K715" s="2"/>
      <c r="L715" s="2" t="s">
        <v>61</v>
      </c>
      <c r="M715" s="2" t="s">
        <v>55</v>
      </c>
      <c r="N715" s="2" t="s">
        <v>56</v>
      </c>
      <c r="O715" s="2" t="s">
        <v>1904</v>
      </c>
      <c r="P715" s="2" t="s">
        <v>2242</v>
      </c>
      <c r="Q715" s="2" t="s">
        <v>2227</v>
      </c>
      <c r="R715" s="2"/>
    </row>
    <row r="716" spans="1:18">
      <c r="A716" s="2" t="s">
        <v>2243</v>
      </c>
      <c r="B716" s="2" t="s">
        <v>2244</v>
      </c>
      <c r="C716" s="2" t="s">
        <v>2225</v>
      </c>
      <c r="D716" s="2">
        <v>15685984.48</v>
      </c>
      <c r="E716" s="2">
        <v>1</v>
      </c>
      <c r="F716" s="3">
        <f>IF(COUNT(D716,E716)=2,D716*E716,NA())</f>
        <v>15685984.48</v>
      </c>
      <c r="G716" s="2" t="s">
        <v>50</v>
      </c>
      <c r="H716" s="2" t="s">
        <v>51</v>
      </c>
      <c r="I716" s="2" t="s">
        <v>52</v>
      </c>
      <c r="J716" s="2" t="s">
        <v>1903</v>
      </c>
      <c r="K716" s="2" t="s">
        <v>391</v>
      </c>
      <c r="L716" s="2" t="s">
        <v>54</v>
      </c>
      <c r="M716" s="2" t="s">
        <v>392</v>
      </c>
      <c r="N716" s="2" t="s">
        <v>56</v>
      </c>
      <c r="O716" s="2" t="s">
        <v>1904</v>
      </c>
      <c r="P716" s="2" t="s">
        <v>2245</v>
      </c>
      <c r="Q716" s="2" t="s">
        <v>2246</v>
      </c>
      <c r="R716" s="2"/>
    </row>
    <row r="717" spans="1:18">
      <c r="A717" s="2" t="s">
        <v>2247</v>
      </c>
      <c r="B717" s="2" t="s">
        <v>2248</v>
      </c>
      <c r="C717" s="2" t="s">
        <v>2225</v>
      </c>
      <c r="D717" s="2">
        <v>65658391.23</v>
      </c>
      <c r="E717" s="2">
        <v>1</v>
      </c>
      <c r="F717" s="3">
        <f>IF(COUNT(D717,E717)=2,D717*E717,NA())</f>
        <v>65658391.23</v>
      </c>
      <c r="G717" s="2" t="s">
        <v>50</v>
      </c>
      <c r="H717" s="2" t="s">
        <v>51</v>
      </c>
      <c r="I717" s="2" t="s">
        <v>52</v>
      </c>
      <c r="J717" s="2" t="s">
        <v>1903</v>
      </c>
      <c r="K717" s="2" t="s">
        <v>391</v>
      </c>
      <c r="L717" s="2" t="s">
        <v>54</v>
      </c>
      <c r="M717" s="2" t="s">
        <v>392</v>
      </c>
      <c r="N717" s="2" t="s">
        <v>56</v>
      </c>
      <c r="O717" s="2" t="s">
        <v>1904</v>
      </c>
      <c r="P717" s="2" t="s">
        <v>2245</v>
      </c>
      <c r="Q717" s="2" t="s">
        <v>2249</v>
      </c>
      <c r="R717" s="2"/>
    </row>
    <row r="718" spans="1:18">
      <c r="A718" s="2" t="s">
        <v>2250</v>
      </c>
      <c r="B718" s="2" t="s">
        <v>2251</v>
      </c>
      <c r="C718" s="2" t="s">
        <v>2225</v>
      </c>
      <c r="D718" s="2">
        <v>10989198.5</v>
      </c>
      <c r="E718" s="2">
        <v>1</v>
      </c>
      <c r="F718" s="3">
        <f>IF(COUNT(D718,E718)=2,D718*E718,NA())</f>
        <v>10989198.5</v>
      </c>
      <c r="G718" s="2" t="s">
        <v>50</v>
      </c>
      <c r="H718" s="2" t="s">
        <v>51</v>
      </c>
      <c r="I718" s="2" t="s">
        <v>52</v>
      </c>
      <c r="J718" s="2" t="s">
        <v>1903</v>
      </c>
      <c r="K718" s="2" t="s">
        <v>391</v>
      </c>
      <c r="L718" s="2" t="s">
        <v>54</v>
      </c>
      <c r="M718" s="2" t="s">
        <v>392</v>
      </c>
      <c r="N718" s="2" t="s">
        <v>56</v>
      </c>
      <c r="O718" s="2" t="s">
        <v>1904</v>
      </c>
      <c r="P718" s="2" t="s">
        <v>2245</v>
      </c>
      <c r="Q718" s="2" t="s">
        <v>2252</v>
      </c>
      <c r="R718" s="2"/>
    </row>
    <row r="719" spans="1:18">
      <c r="A719" s="2" t="s">
        <v>2253</v>
      </c>
      <c r="B719" s="2" t="s">
        <v>2254</v>
      </c>
      <c r="C719" s="2" t="s">
        <v>2225</v>
      </c>
      <c r="D719" s="2">
        <v>17700</v>
      </c>
      <c r="E719" s="2">
        <v>1</v>
      </c>
      <c r="F719" s="3">
        <f>IF(COUNT(D719,E719)=2,D719*E719,NA())</f>
        <v>17700.0</v>
      </c>
      <c r="G719" s="2" t="s">
        <v>50</v>
      </c>
      <c r="H719" s="2" t="s">
        <v>51</v>
      </c>
      <c r="I719" s="2" t="s">
        <v>52</v>
      </c>
      <c r="J719" s="2" t="s">
        <v>1903</v>
      </c>
      <c r="K719" s="2" t="s">
        <v>391</v>
      </c>
      <c r="L719" s="2" t="s">
        <v>54</v>
      </c>
      <c r="M719" s="2" t="s">
        <v>392</v>
      </c>
      <c r="N719" s="2" t="s">
        <v>56</v>
      </c>
      <c r="O719" s="2" t="s">
        <v>1904</v>
      </c>
      <c r="P719" s="2" t="s">
        <v>2245</v>
      </c>
      <c r="Q719" s="2" t="s">
        <v>2255</v>
      </c>
      <c r="R719" s="2"/>
    </row>
    <row r="720" spans="1:18">
      <c r="A720" s="2" t="s">
        <v>2256</v>
      </c>
      <c r="B720" s="2" t="s">
        <v>2257</v>
      </c>
      <c r="C720" s="2" t="s">
        <v>2258</v>
      </c>
      <c r="D720" s="2">
        <v>50</v>
      </c>
      <c r="E720" s="2">
        <v>0.01</v>
      </c>
      <c r="F720" s="3">
        <f>IF(COUNT(D720,E720)=2,D720*E720,NA())</f>
        <v>0.5</v>
      </c>
      <c r="G720" s="2" t="s">
        <v>1935</v>
      </c>
      <c r="H720" s="2"/>
      <c r="I720" s="2" t="s">
        <v>52</v>
      </c>
      <c r="J720" s="2" t="s">
        <v>2259</v>
      </c>
      <c r="K720" s="2"/>
      <c r="L720" s="2" t="s">
        <v>2260</v>
      </c>
      <c r="M720" s="2" t="s">
        <v>55</v>
      </c>
      <c r="N720" s="2" t="s">
        <v>56</v>
      </c>
      <c r="O720" s="2" t="s">
        <v>2261</v>
      </c>
      <c r="P720" s="2" t="s">
        <v>2262</v>
      </c>
      <c r="Q720" s="2" t="s">
        <v>2263</v>
      </c>
      <c r="R720" s="2"/>
    </row>
    <row r="721" spans="1:18">
      <c r="A721" s="2" t="s">
        <v>2264</v>
      </c>
      <c r="B721" s="2" t="s">
        <v>2265</v>
      </c>
      <c r="C721" s="2" t="s">
        <v>2266</v>
      </c>
      <c r="D721" s="2">
        <v>2198000000</v>
      </c>
      <c r="E721" s="2">
        <v>1</v>
      </c>
      <c r="F721" s="3">
        <f>IF(COUNT(D721,E721)=2,D721*E721,NA())</f>
        <v>2198000000.0</v>
      </c>
      <c r="G721" s="2" t="s">
        <v>50</v>
      </c>
      <c r="H721" s="2" t="s">
        <v>51</v>
      </c>
      <c r="I721" s="2" t="s">
        <v>52</v>
      </c>
      <c r="J721" s="2" t="s">
        <v>2259</v>
      </c>
      <c r="K721" s="2"/>
      <c r="L721" s="2" t="s">
        <v>2267</v>
      </c>
      <c r="M721" s="2" t="s">
        <v>55</v>
      </c>
      <c r="N721" s="2" t="s">
        <v>56</v>
      </c>
      <c r="O721" s="2" t="s">
        <v>2261</v>
      </c>
      <c r="P721" s="2" t="s">
        <v>2268</v>
      </c>
      <c r="Q721" s="2" t="s">
        <v>2269</v>
      </c>
      <c r="R721" s="2"/>
    </row>
    <row r="722" spans="1:18">
      <c r="A722" s="2" t="s">
        <v>2270</v>
      </c>
      <c r="B722" s="2" t="s">
        <v>2271</v>
      </c>
      <c r="C722" s="2" t="s">
        <v>2272</v>
      </c>
      <c r="D722" s="2">
        <v>2197846800</v>
      </c>
      <c r="E722" s="2">
        <v>1</v>
      </c>
      <c r="F722" s="3">
        <f>IF(COUNT(D722,E722)=2,D722*E722,NA())</f>
        <v>2197846800.0</v>
      </c>
      <c r="G722" s="2" t="s">
        <v>50</v>
      </c>
      <c r="H722" s="2" t="s">
        <v>51</v>
      </c>
      <c r="I722" s="2" t="s">
        <v>52</v>
      </c>
      <c r="J722" s="2" t="s">
        <v>2259</v>
      </c>
      <c r="K722" s="2"/>
      <c r="L722" s="2" t="s">
        <v>61</v>
      </c>
      <c r="M722" s="2" t="s">
        <v>55</v>
      </c>
      <c r="N722" s="2" t="s">
        <v>56</v>
      </c>
      <c r="O722" s="2" t="s">
        <v>2261</v>
      </c>
      <c r="P722" s="2"/>
      <c r="Q722" s="2" t="s">
        <v>2269</v>
      </c>
      <c r="R722" s="2"/>
    </row>
    <row r="723" spans="1:18">
      <c r="A723" s="2" t="s">
        <v>2273</v>
      </c>
      <c r="B723" s="2" t="s">
        <v>2274</v>
      </c>
      <c r="C723" s="2" t="s">
        <v>2272</v>
      </c>
      <c r="D723" s="2">
        <v>2197829100</v>
      </c>
      <c r="E723" s="2">
        <v>1</v>
      </c>
      <c r="F723" s="3">
        <f>IF(COUNT(D723,E723)=2,D723*E723,NA())</f>
        <v>2197829100.0</v>
      </c>
      <c r="G723" s="2" t="s">
        <v>50</v>
      </c>
      <c r="H723" s="2" t="s">
        <v>51</v>
      </c>
      <c r="I723" s="2" t="s">
        <v>52</v>
      </c>
      <c r="J723" s="2" t="s">
        <v>2259</v>
      </c>
      <c r="K723" s="2"/>
      <c r="L723" s="2" t="s">
        <v>54</v>
      </c>
      <c r="M723" s="2" t="s">
        <v>55</v>
      </c>
      <c r="N723" s="2" t="s">
        <v>56</v>
      </c>
      <c r="O723" s="2" t="s">
        <v>2261</v>
      </c>
      <c r="P723" s="2"/>
      <c r="Q723" s="2" t="s">
        <v>2269</v>
      </c>
      <c r="R723" s="2"/>
    </row>
    <row r="724" spans="1:18">
      <c r="A724" s="2" t="s">
        <v>2275</v>
      </c>
      <c r="B724" s="2" t="s">
        <v>2276</v>
      </c>
      <c r="C724" s="2" t="s">
        <v>2272</v>
      </c>
      <c r="D724" s="2">
        <v>17700</v>
      </c>
      <c r="E724" s="2">
        <v>1</v>
      </c>
      <c r="F724" s="3">
        <f>IF(COUNT(D724,E724)=2,D724*E724,NA())</f>
        <v>17700.0</v>
      </c>
      <c r="G724" s="2" t="s">
        <v>50</v>
      </c>
      <c r="H724" s="2" t="s">
        <v>51</v>
      </c>
      <c r="I724" s="2" t="s">
        <v>52</v>
      </c>
      <c r="J724" s="2" t="s">
        <v>2259</v>
      </c>
      <c r="K724" s="2" t="s">
        <v>391</v>
      </c>
      <c r="L724" s="2" t="s">
        <v>54</v>
      </c>
      <c r="M724" s="2" t="s">
        <v>392</v>
      </c>
      <c r="N724" s="2" t="s">
        <v>56</v>
      </c>
      <c r="O724" s="2" t="s">
        <v>2261</v>
      </c>
      <c r="P724" s="2"/>
      <c r="Q724" s="2" t="s">
        <v>2277</v>
      </c>
      <c r="R724" s="2"/>
    </row>
    <row r="725" spans="1:18">
      <c r="A725" s="2" t="s">
        <v>2278</v>
      </c>
      <c r="B725" s="2" t="s">
        <v>2279</v>
      </c>
      <c r="C725" s="2" t="s">
        <v>2280</v>
      </c>
      <c r="D725" s="2">
        <v>2197820500</v>
      </c>
      <c r="E725" s="2">
        <v>1</v>
      </c>
      <c r="F725" s="3">
        <f>IF(COUNT(D725,E725)=2,D725*E725,NA())</f>
        <v>2197820500.0</v>
      </c>
      <c r="G725" s="2" t="s">
        <v>50</v>
      </c>
      <c r="H725" s="2" t="s">
        <v>51</v>
      </c>
      <c r="I725" s="2" t="s">
        <v>52</v>
      </c>
      <c r="J725" s="2" t="s">
        <v>2259</v>
      </c>
      <c r="K725" s="2"/>
      <c r="L725" s="2" t="s">
        <v>1702</v>
      </c>
      <c r="M725" s="2" t="s">
        <v>55</v>
      </c>
      <c r="N725" s="2" t="s">
        <v>56</v>
      </c>
      <c r="O725" s="2" t="s">
        <v>2261</v>
      </c>
      <c r="P725" s="2" t="s">
        <v>2281</v>
      </c>
      <c r="Q725" s="2" t="s">
        <v>2269</v>
      </c>
      <c r="R725" s="2"/>
    </row>
    <row r="726" spans="1:18">
      <c r="A726" s="2" t="s">
        <v>2282</v>
      </c>
      <c r="B726" s="2" t="s">
        <v>2283</v>
      </c>
      <c r="C726" s="2" t="s">
        <v>2280</v>
      </c>
      <c r="D726" s="2">
        <v>8600</v>
      </c>
      <c r="E726" s="2">
        <v>1</v>
      </c>
      <c r="F726" s="3">
        <f>IF(COUNT(D726,E726)=2,D726*E726,NA())</f>
        <v>8600.0</v>
      </c>
      <c r="G726" s="2" t="s">
        <v>50</v>
      </c>
      <c r="H726" s="2" t="s">
        <v>51</v>
      </c>
      <c r="I726" s="2" t="s">
        <v>52</v>
      </c>
      <c r="J726" s="2" t="s">
        <v>2259</v>
      </c>
      <c r="K726" s="2" t="s">
        <v>1731</v>
      </c>
      <c r="L726" s="2" t="s">
        <v>1702</v>
      </c>
      <c r="M726" s="2" t="s">
        <v>392</v>
      </c>
      <c r="N726" s="2" t="s">
        <v>56</v>
      </c>
      <c r="O726" s="2" t="s">
        <v>2261</v>
      </c>
      <c r="P726" s="2"/>
      <c r="Q726" s="2" t="s">
        <v>2277</v>
      </c>
      <c r="R726" s="2"/>
    </row>
    <row r="727" spans="1:18">
      <c r="A727" s="2" t="s">
        <v>2284</v>
      </c>
      <c r="B727" s="2" t="s">
        <v>2285</v>
      </c>
      <c r="C727" s="2" t="s">
        <v>2280</v>
      </c>
      <c r="D727" s="2"/>
      <c r="E727" s="2">
        <v>1</v>
      </c>
      <c r="F727" s="3" t="e">
        <f>IF(COUNT(D727,E727)=2,D727*E727,NA())</f>
        <v>#N/A</v>
      </c>
      <c r="G727" s="2" t="s">
        <v>50</v>
      </c>
      <c r="H727" s="2" t="s">
        <v>51</v>
      </c>
      <c r="I727" s="2" t="s">
        <v>52</v>
      </c>
      <c r="J727" s="2" t="s">
        <v>2259</v>
      </c>
      <c r="K727" s="2"/>
      <c r="L727" s="2" t="s">
        <v>7</v>
      </c>
      <c r="M727" s="2" t="s">
        <v>55</v>
      </c>
      <c r="N727" s="2" t="s">
        <v>1682</v>
      </c>
      <c r="O727" s="2" t="s">
        <v>2261</v>
      </c>
      <c r="P727" s="2" t="s">
        <v>2286</v>
      </c>
      <c r="Q727" s="2" t="s">
        <v>2269</v>
      </c>
      <c r="R727" s="2"/>
    </row>
    <row r="728" spans="1:18">
      <c r="A728" s="2" t="s">
        <v>2287</v>
      </c>
      <c r="B728" s="2" t="s">
        <v>2288</v>
      </c>
      <c r="C728" s="2" t="s">
        <v>2289</v>
      </c>
      <c r="D728" s="2">
        <v>0.3</v>
      </c>
      <c r="E728" s="2">
        <v>0.01</v>
      </c>
      <c r="F728" s="3">
        <f>IF(COUNT(D728,E728)=2,D728*E728,NA())</f>
        <v>0.003</v>
      </c>
      <c r="G728" s="2" t="s">
        <v>1935</v>
      </c>
      <c r="H728" s="2"/>
      <c r="I728" s="2" t="s">
        <v>52</v>
      </c>
      <c r="J728" s="2" t="s">
        <v>2259</v>
      </c>
      <c r="K728" s="2" t="s">
        <v>2267</v>
      </c>
      <c r="L728" s="2" t="s">
        <v>2290</v>
      </c>
      <c r="M728" s="2" t="s">
        <v>1935</v>
      </c>
      <c r="N728" s="2" t="s">
        <v>56</v>
      </c>
      <c r="O728" s="2" t="s">
        <v>2261</v>
      </c>
      <c r="P728" s="2" t="s">
        <v>2291</v>
      </c>
      <c r="Q728" s="2" t="s">
        <v>2292</v>
      </c>
      <c r="R728" s="2"/>
    </row>
    <row r="729" spans="1:18">
      <c r="A729" s="2" t="s">
        <v>2293</v>
      </c>
      <c r="B729" s="2" t="s">
        <v>2294</v>
      </c>
      <c r="C729" s="2" t="s">
        <v>2289</v>
      </c>
      <c r="D729" s="2">
        <v>0.5</v>
      </c>
      <c r="E729" s="2">
        <v>0.01</v>
      </c>
      <c r="F729" s="3">
        <f>IF(COUNT(D729,E729)=2,D729*E729,NA())</f>
        <v>0.005</v>
      </c>
      <c r="G729" s="2" t="s">
        <v>1935</v>
      </c>
      <c r="H729" s="2"/>
      <c r="I729" s="2" t="s">
        <v>52</v>
      </c>
      <c r="J729" s="2" t="s">
        <v>2259</v>
      </c>
      <c r="K729" s="2" t="s">
        <v>2295</v>
      </c>
      <c r="L729" s="2" t="s">
        <v>2296</v>
      </c>
      <c r="M729" s="2" t="s">
        <v>1935</v>
      </c>
      <c r="N729" s="2" t="s">
        <v>56</v>
      </c>
      <c r="O729" s="2" t="s">
        <v>2261</v>
      </c>
      <c r="P729" s="2" t="s">
        <v>2291</v>
      </c>
      <c r="Q729" s="2" t="s">
        <v>2292</v>
      </c>
      <c r="R729" s="2"/>
    </row>
    <row r="730" spans="1:18">
      <c r="A730" s="2" t="s">
        <v>2297</v>
      </c>
      <c r="B730" s="2" t="s">
        <v>2298</v>
      </c>
      <c r="C730" s="2" t="s">
        <v>2289</v>
      </c>
      <c r="D730" s="2">
        <v>1</v>
      </c>
      <c r="E730" s="2">
        <v>0.01</v>
      </c>
      <c r="F730" s="3">
        <f>IF(COUNT(D730,E730)=2,D730*E730,NA())</f>
        <v>0.01</v>
      </c>
      <c r="G730" s="2" t="s">
        <v>1935</v>
      </c>
      <c r="H730" s="2"/>
      <c r="I730" s="2" t="s">
        <v>52</v>
      </c>
      <c r="J730" s="2" t="s">
        <v>2259</v>
      </c>
      <c r="K730" s="2" t="s">
        <v>2299</v>
      </c>
      <c r="L730" s="2" t="s">
        <v>2300</v>
      </c>
      <c r="M730" s="2" t="s">
        <v>1935</v>
      </c>
      <c r="N730" s="2" t="s">
        <v>56</v>
      </c>
      <c r="O730" s="2" t="s">
        <v>2261</v>
      </c>
      <c r="P730" s="2" t="s">
        <v>2291</v>
      </c>
      <c r="Q730" s="2" t="s">
        <v>2292</v>
      </c>
      <c r="R730" s="2"/>
    </row>
    <row r="731" spans="1:18">
      <c r="A731" s="2" t="s">
        <v>2301</v>
      </c>
      <c r="B731" s="2" t="s">
        <v>2302</v>
      </c>
      <c r="C731" s="2" t="s">
        <v>2289</v>
      </c>
      <c r="D731" s="2">
        <v>1.5</v>
      </c>
      <c r="E731" s="2">
        <v>0.01</v>
      </c>
      <c r="F731" s="3">
        <f>IF(COUNT(D731,E731)=2,D731*E731,NA())</f>
        <v>0.015</v>
      </c>
      <c r="G731" s="2" t="s">
        <v>1935</v>
      </c>
      <c r="H731" s="2"/>
      <c r="I731" s="2" t="s">
        <v>52</v>
      </c>
      <c r="J731" s="2" t="s">
        <v>2259</v>
      </c>
      <c r="K731" s="2" t="s">
        <v>2303</v>
      </c>
      <c r="L731" s="2" t="s">
        <v>2304</v>
      </c>
      <c r="M731" s="2" t="s">
        <v>1935</v>
      </c>
      <c r="N731" s="2" t="s">
        <v>56</v>
      </c>
      <c r="O731" s="2" t="s">
        <v>2261</v>
      </c>
      <c r="P731" s="2" t="s">
        <v>2291</v>
      </c>
      <c r="Q731" s="2" t="s">
        <v>2292</v>
      </c>
      <c r="R731" s="2"/>
    </row>
    <row r="732" spans="1:18">
      <c r="A732" s="2" t="s">
        <v>2305</v>
      </c>
      <c r="B732" s="2" t="s">
        <v>2306</v>
      </c>
      <c r="C732" s="2" t="s">
        <v>2289</v>
      </c>
      <c r="D732" s="2">
        <v>1.8</v>
      </c>
      <c r="E732" s="2">
        <v>0.01</v>
      </c>
      <c r="F732" s="3">
        <f>IF(COUNT(D732,E732)=2,D732*E732,NA())</f>
        <v>0.018</v>
      </c>
      <c r="G732" s="2" t="s">
        <v>1935</v>
      </c>
      <c r="H732" s="2"/>
      <c r="I732" s="2" t="s">
        <v>52</v>
      </c>
      <c r="J732" s="2" t="s">
        <v>2259</v>
      </c>
      <c r="K732" s="2" t="s">
        <v>2307</v>
      </c>
      <c r="L732" s="2" t="s">
        <v>2308</v>
      </c>
      <c r="M732" s="2" t="s">
        <v>1935</v>
      </c>
      <c r="N732" s="2" t="s">
        <v>56</v>
      </c>
      <c r="O732" s="2" t="s">
        <v>2261</v>
      </c>
      <c r="P732" s="2" t="s">
        <v>2291</v>
      </c>
      <c r="Q732" s="2" t="s">
        <v>2292</v>
      </c>
      <c r="R732" s="2"/>
    </row>
    <row r="733" spans="1:18">
      <c r="A733" s="2" t="s">
        <v>2309</v>
      </c>
      <c r="B733" s="2" t="s">
        <v>2310</v>
      </c>
      <c r="C733" s="2" t="s">
        <v>2289</v>
      </c>
      <c r="D733" s="2">
        <v>2</v>
      </c>
      <c r="E733" s="2">
        <v>0.01</v>
      </c>
      <c r="F733" s="3">
        <f>IF(COUNT(D733,E733)=2,D733*E733,NA())</f>
        <v>0.02</v>
      </c>
      <c r="G733" s="2" t="s">
        <v>1935</v>
      </c>
      <c r="H733" s="2"/>
      <c r="I733" s="2" t="s">
        <v>52</v>
      </c>
      <c r="J733" s="2" t="s">
        <v>2259</v>
      </c>
      <c r="K733" s="2" t="s">
        <v>2311</v>
      </c>
      <c r="L733" s="2" t="s">
        <v>2312</v>
      </c>
      <c r="M733" s="2" t="s">
        <v>1935</v>
      </c>
      <c r="N733" s="2" t="s">
        <v>56</v>
      </c>
      <c r="O733" s="2" t="s">
        <v>2261</v>
      </c>
      <c r="P733" s="2" t="s">
        <v>2291</v>
      </c>
      <c r="Q733" s="2" t="s">
        <v>2292</v>
      </c>
      <c r="R733" s="2"/>
    </row>
    <row r="734" spans="1:18">
      <c r="A734" s="2" t="s">
        <v>2313</v>
      </c>
      <c r="B734" s="2" t="s">
        <v>2314</v>
      </c>
      <c r="C734" s="2" t="s">
        <v>2315</v>
      </c>
      <c r="D734" s="2">
        <v>115</v>
      </c>
      <c r="E734" s="2">
        <v>0.01</v>
      </c>
      <c r="F734" s="3">
        <f>IF(COUNT(D734,E734)=2,D734*E734,NA())</f>
        <v>1.15</v>
      </c>
      <c r="G734" s="2" t="s">
        <v>1935</v>
      </c>
      <c r="H734" s="2"/>
      <c r="I734" s="2" t="s">
        <v>52</v>
      </c>
      <c r="J734" s="2" t="s">
        <v>2259</v>
      </c>
      <c r="K734" s="2"/>
      <c r="L734" s="2" t="s">
        <v>2267</v>
      </c>
      <c r="M734" s="2" t="s">
        <v>55</v>
      </c>
      <c r="N734" s="2" t="s">
        <v>56</v>
      </c>
      <c r="O734" s="2" t="s">
        <v>2261</v>
      </c>
      <c r="P734" s="2" t="s">
        <v>2316</v>
      </c>
      <c r="Q734" s="2" t="s">
        <v>2317</v>
      </c>
      <c r="R734" s="2"/>
    </row>
    <row r="735" spans="1:18">
      <c r="A735" s="2" t="s">
        <v>2318</v>
      </c>
      <c r="B735" s="2" t="s">
        <v>2319</v>
      </c>
      <c r="C735" s="2" t="s">
        <v>2320</v>
      </c>
      <c r="D735" s="2">
        <v>70</v>
      </c>
      <c r="E735" s="2">
        <v>0.01</v>
      </c>
      <c r="F735" s="3">
        <f>IF(COUNT(D735,E735)=2,D735*E735,NA())</f>
        <v>0.7</v>
      </c>
      <c r="G735" s="2" t="s">
        <v>1935</v>
      </c>
      <c r="H735" s="2"/>
      <c r="I735" s="2" t="s">
        <v>52</v>
      </c>
      <c r="J735" s="2" t="s">
        <v>2259</v>
      </c>
      <c r="K735" s="2"/>
      <c r="L735" s="2" t="s">
        <v>2267</v>
      </c>
      <c r="M735" s="2" t="s">
        <v>55</v>
      </c>
      <c r="N735" s="2" t="s">
        <v>56</v>
      </c>
      <c r="O735" s="2" t="s">
        <v>2261</v>
      </c>
      <c r="P735" s="2" t="s">
        <v>2321</v>
      </c>
      <c r="Q735" s="2" t="s">
        <v>2322</v>
      </c>
      <c r="R735" s="2"/>
    </row>
    <row r="736" spans="1:18">
      <c r="A736" s="2" t="s">
        <v>2323</v>
      </c>
      <c r="B736" s="2" t="s">
        <v>2324</v>
      </c>
      <c r="C736" s="2" t="s">
        <v>2325</v>
      </c>
      <c r="D736" s="2">
        <v>85</v>
      </c>
      <c r="E736" s="2">
        <v>0.01</v>
      </c>
      <c r="F736" s="3">
        <f>IF(COUNT(D736,E736)=2,D736*E736,NA())</f>
        <v>0.85</v>
      </c>
      <c r="G736" s="2" t="s">
        <v>1935</v>
      </c>
      <c r="H736" s="2"/>
      <c r="I736" s="2" t="s">
        <v>52</v>
      </c>
      <c r="J736" s="2" t="s">
        <v>2259</v>
      </c>
      <c r="K736" s="2"/>
      <c r="L736" s="2" t="s">
        <v>2267</v>
      </c>
      <c r="M736" s="2" t="s">
        <v>55</v>
      </c>
      <c r="N736" s="2" t="s">
        <v>56</v>
      </c>
      <c r="O736" s="2" t="s">
        <v>2261</v>
      </c>
      <c r="P736" s="2" t="s">
        <v>2321</v>
      </c>
      <c r="Q736" s="2" t="s">
        <v>2322</v>
      </c>
      <c r="R736" s="2"/>
    </row>
    <row r="737" spans="1:18">
      <c r="A737" s="2" t="s">
        <v>2326</v>
      </c>
      <c r="B737" s="2" t="s">
        <v>2327</v>
      </c>
      <c r="C737" s="2" t="s">
        <v>2315</v>
      </c>
      <c r="D737" s="2">
        <v>130</v>
      </c>
      <c r="E737" s="2">
        <v>0.01</v>
      </c>
      <c r="F737" s="3">
        <f>IF(COUNT(D737,E737)=2,D737*E737,NA())</f>
        <v>1.3</v>
      </c>
      <c r="G737" s="2" t="s">
        <v>1935</v>
      </c>
      <c r="H737" s="2"/>
      <c r="I737" s="2" t="s">
        <v>52</v>
      </c>
      <c r="J737" s="2" t="s">
        <v>2259</v>
      </c>
      <c r="K737" s="2"/>
      <c r="L737" s="2" t="s">
        <v>2267</v>
      </c>
      <c r="M737" s="2" t="s">
        <v>55</v>
      </c>
      <c r="N737" s="2" t="s">
        <v>56</v>
      </c>
      <c r="O737" s="2" t="s">
        <v>2261</v>
      </c>
      <c r="P737" s="2" t="s">
        <v>2321</v>
      </c>
      <c r="Q737" s="2" t="s">
        <v>2322</v>
      </c>
      <c r="R737" s="2"/>
    </row>
    <row r="738" spans="1:18">
      <c r="A738" s="2" t="s">
        <v>2328</v>
      </c>
      <c r="B738" s="2" t="s">
        <v>2329</v>
      </c>
      <c r="C738" s="2" t="s">
        <v>2315</v>
      </c>
      <c r="D738" s="2">
        <v>3000</v>
      </c>
      <c r="E738" s="2">
        <v>10000</v>
      </c>
      <c r="F738" s="3">
        <f>IF(COUNT(D738,E738)=2,D738*E738,NA())</f>
        <v>30000000.0</v>
      </c>
      <c r="G738" s="2" t="s">
        <v>50</v>
      </c>
      <c r="H738" s="2" t="s">
        <v>51</v>
      </c>
      <c r="I738" s="2" t="s">
        <v>52</v>
      </c>
      <c r="J738" s="2" t="s">
        <v>2259</v>
      </c>
      <c r="K738" s="2"/>
      <c r="L738" s="2" t="s">
        <v>2267</v>
      </c>
      <c r="M738" s="2" t="s">
        <v>55</v>
      </c>
      <c r="N738" s="2" t="s">
        <v>56</v>
      </c>
      <c r="O738" s="2" t="s">
        <v>2261</v>
      </c>
      <c r="P738" s="2" t="s">
        <v>2330</v>
      </c>
      <c r="Q738" s="2" t="s">
        <v>2331</v>
      </c>
      <c r="R738" s="2"/>
    </row>
    <row r="739" spans="1:18">
      <c r="A739" s="2" t="s">
        <v>2332</v>
      </c>
      <c r="B739" s="2" t="s">
        <v>2333</v>
      </c>
      <c r="C739" s="2" t="s">
        <v>2334</v>
      </c>
      <c r="D739" s="2">
        <v>6.72</v>
      </c>
      <c r="E739" s="2">
        <v>1</v>
      </c>
      <c r="F739" s="3">
        <f>IF(COUNT(D739,E739)=2,D739*E739,NA())</f>
        <v>6.72</v>
      </c>
      <c r="G739" s="2" t="s">
        <v>50</v>
      </c>
      <c r="H739" s="2" t="s">
        <v>51</v>
      </c>
      <c r="I739" s="2" t="s">
        <v>52</v>
      </c>
      <c r="J739" s="2" t="s">
        <v>2335</v>
      </c>
      <c r="K739" s="2"/>
      <c r="L739" s="2" t="s">
        <v>2336</v>
      </c>
      <c r="M739" s="2" t="s">
        <v>55</v>
      </c>
      <c r="N739" s="2" t="s">
        <v>56</v>
      </c>
      <c r="O739" s="2" t="s">
        <v>2337</v>
      </c>
      <c r="P739" s="2" t="s">
        <v>2338</v>
      </c>
      <c r="Q739" s="2" t="s">
        <v>2339</v>
      </c>
      <c r="R739" s="2" t="s">
        <v>2340</v>
      </c>
    </row>
    <row r="740" spans="1:18">
      <c r="A740" s="2" t="s">
        <v>2341</v>
      </c>
      <c r="B740" s="2" t="s">
        <v>2342</v>
      </c>
      <c r="C740" s="2" t="s">
        <v>2343</v>
      </c>
      <c r="D740" s="2">
        <v>6.67</v>
      </c>
      <c r="E740" s="2">
        <v>1</v>
      </c>
      <c r="F740" s="3">
        <f>IF(COUNT(D740,E740)=2,D740*E740,NA())</f>
        <v>6.67</v>
      </c>
      <c r="G740" s="2" t="s">
        <v>50</v>
      </c>
      <c r="H740" s="2" t="s">
        <v>51</v>
      </c>
      <c r="I740" s="2" t="s">
        <v>52</v>
      </c>
      <c r="J740" s="2" t="s">
        <v>2335</v>
      </c>
      <c r="K740" s="2"/>
      <c r="L740" s="2" t="s">
        <v>2344</v>
      </c>
      <c r="M740" s="2" t="s">
        <v>55</v>
      </c>
      <c r="N740" s="2" t="s">
        <v>56</v>
      </c>
      <c r="O740" s="2" t="s">
        <v>2337</v>
      </c>
      <c r="P740" s="2" t="s">
        <v>2338</v>
      </c>
      <c r="Q740" s="2" t="s">
        <v>2339</v>
      </c>
      <c r="R740" s="2" t="s">
        <v>2340</v>
      </c>
    </row>
    <row r="741" spans="1:18">
      <c r="A741" s="2" t="s">
        <v>2345</v>
      </c>
      <c r="B741" s="2" t="s">
        <v>2346</v>
      </c>
      <c r="C741" s="2" t="s">
        <v>2347</v>
      </c>
      <c r="D741" s="2">
        <v>6.61</v>
      </c>
      <c r="E741" s="2">
        <v>1</v>
      </c>
      <c r="F741" s="3">
        <f>IF(COUNT(D741,E741)=2,D741*E741,NA())</f>
        <v>6.61</v>
      </c>
      <c r="G741" s="2" t="s">
        <v>50</v>
      </c>
      <c r="H741" s="2" t="s">
        <v>51</v>
      </c>
      <c r="I741" s="2" t="s">
        <v>52</v>
      </c>
      <c r="J741" s="2" t="s">
        <v>2335</v>
      </c>
      <c r="K741" s="2"/>
      <c r="L741" s="2" t="s">
        <v>2348</v>
      </c>
      <c r="M741" s="2" t="s">
        <v>55</v>
      </c>
      <c r="N741" s="2" t="s">
        <v>56</v>
      </c>
      <c r="O741" s="2" t="s">
        <v>2337</v>
      </c>
      <c r="P741" s="2" t="s">
        <v>2349</v>
      </c>
      <c r="Q741" s="2" t="s">
        <v>2339</v>
      </c>
      <c r="R741" s="2" t="s">
        <v>2340</v>
      </c>
    </row>
    <row r="742" spans="1:18">
      <c r="A742" s="2" t="s">
        <v>2350</v>
      </c>
      <c r="B742" s="2" t="s">
        <v>2351</v>
      </c>
      <c r="C742" s="2" t="s">
        <v>2352</v>
      </c>
      <c r="D742" s="2">
        <v>0.06</v>
      </c>
      <c r="E742" s="2">
        <v>1</v>
      </c>
      <c r="F742" s="3">
        <f>IF(COUNT(D742,E742)=2,D742*E742,NA())</f>
        <v>0.06</v>
      </c>
      <c r="G742" s="2" t="s">
        <v>50</v>
      </c>
      <c r="H742" s="2" t="s">
        <v>51</v>
      </c>
      <c r="I742" s="2" t="s">
        <v>52</v>
      </c>
      <c r="J742" s="2" t="s">
        <v>2335</v>
      </c>
      <c r="K742" s="2"/>
      <c r="L742" s="2" t="s">
        <v>2348</v>
      </c>
      <c r="M742" s="2" t="s">
        <v>55</v>
      </c>
      <c r="N742" s="2" t="s">
        <v>56</v>
      </c>
      <c r="O742" s="2" t="s">
        <v>2337</v>
      </c>
      <c r="P742" s="2" t="s">
        <v>2353</v>
      </c>
      <c r="Q742" s="2" t="s">
        <v>2354</v>
      </c>
      <c r="R742" s="2" t="s">
        <v>2340</v>
      </c>
    </row>
    <row r="743" spans="1:18">
      <c r="A743" s="2" t="s">
        <v>2355</v>
      </c>
      <c r="B743" s="2" t="s">
        <v>2356</v>
      </c>
      <c r="C743" s="2" t="s">
        <v>2357</v>
      </c>
      <c r="D743" s="2">
        <v>218131.36</v>
      </c>
      <c r="E743" s="2">
        <v>10000</v>
      </c>
      <c r="F743" s="3">
        <f>IF(COUNT(D743,E743)=2,D743*E743,NA())</f>
        <v>2181313600.0</v>
      </c>
      <c r="G743" s="2" t="s">
        <v>50</v>
      </c>
      <c r="H743" s="2" t="s">
        <v>51</v>
      </c>
      <c r="I743" s="2" t="s">
        <v>52</v>
      </c>
      <c r="J743" s="2" t="s">
        <v>2358</v>
      </c>
      <c r="K743" s="2"/>
      <c r="L743" s="2" t="s">
        <v>54</v>
      </c>
      <c r="M743" s="2" t="s">
        <v>55</v>
      </c>
      <c r="N743" s="2" t="s">
        <v>56</v>
      </c>
      <c r="O743" s="2" t="s">
        <v>2359</v>
      </c>
      <c r="P743" s="2" t="s">
        <v>2360</v>
      </c>
      <c r="Q743" s="2" t="s">
        <v>2361</v>
      </c>
      <c r="R743" s="2"/>
    </row>
    <row r="744" spans="1:18">
      <c r="A744" s="2" t="s">
        <v>2362</v>
      </c>
      <c r="B744" s="2" t="s">
        <v>2363</v>
      </c>
      <c r="C744" s="2" t="s">
        <v>2357</v>
      </c>
      <c r="D744" s="2">
        <v>84685.85000000001</v>
      </c>
      <c r="E744" s="2">
        <v>10000</v>
      </c>
      <c r="F744" s="3">
        <f>IF(COUNT(D744,E744)=2,D744*E744,NA())</f>
        <v>846858500.0</v>
      </c>
      <c r="G744" s="2" t="s">
        <v>50</v>
      </c>
      <c r="H744" s="2" t="s">
        <v>51</v>
      </c>
      <c r="I744" s="2" t="s">
        <v>52</v>
      </c>
      <c r="J744" s="2" t="s">
        <v>2358</v>
      </c>
      <c r="K744" s="2"/>
      <c r="L744" s="2" t="s">
        <v>54</v>
      </c>
      <c r="M744" s="2" t="s">
        <v>55</v>
      </c>
      <c r="N744" s="2" t="s">
        <v>56</v>
      </c>
      <c r="O744" s="2" t="s">
        <v>2359</v>
      </c>
      <c r="P744" s="2" t="s">
        <v>2364</v>
      </c>
      <c r="Q744" s="2" t="s">
        <v>2365</v>
      </c>
      <c r="R744" s="2"/>
    </row>
    <row r="745" spans="1:18">
      <c r="A745" s="2" t="s">
        <v>2366</v>
      </c>
      <c r="B745" s="2" t="s">
        <v>2367</v>
      </c>
      <c r="C745" s="2" t="s">
        <v>2357</v>
      </c>
      <c r="D745" s="2">
        <v>2685</v>
      </c>
      <c r="E745" s="2">
        <v>10000</v>
      </c>
      <c r="F745" s="3">
        <f>IF(COUNT(D745,E745)=2,D745*E745,NA())</f>
        <v>26850000.0</v>
      </c>
      <c r="G745" s="2" t="s">
        <v>50</v>
      </c>
      <c r="H745" s="2" t="s">
        <v>51</v>
      </c>
      <c r="I745" s="2" t="s">
        <v>52</v>
      </c>
      <c r="J745" s="2" t="s">
        <v>2358</v>
      </c>
      <c r="K745" s="2"/>
      <c r="L745" s="2" t="s">
        <v>54</v>
      </c>
      <c r="M745" s="2" t="s">
        <v>55</v>
      </c>
      <c r="N745" s="2" t="s">
        <v>56</v>
      </c>
      <c r="O745" s="2" t="s">
        <v>2359</v>
      </c>
      <c r="P745" s="2" t="s">
        <v>2364</v>
      </c>
      <c r="Q745" s="2" t="s">
        <v>2368</v>
      </c>
      <c r="R745" s="2"/>
    </row>
    <row r="746" spans="1:18">
      <c r="A746" s="2" t="s">
        <v>2369</v>
      </c>
      <c r="B746" s="2" t="s">
        <v>2370</v>
      </c>
      <c r="C746" s="2" t="s">
        <v>2357</v>
      </c>
      <c r="D746" s="2">
        <v>136130.51</v>
      </c>
      <c r="E746" s="2">
        <v>10000</v>
      </c>
      <c r="F746" s="3">
        <f>IF(COUNT(D746,E746)=2,D746*E746,NA())</f>
        <v>1361305100.0</v>
      </c>
      <c r="G746" s="2" t="s">
        <v>50</v>
      </c>
      <c r="H746" s="2" t="s">
        <v>51</v>
      </c>
      <c r="I746" s="2" t="s">
        <v>52</v>
      </c>
      <c r="J746" s="2" t="s">
        <v>2358</v>
      </c>
      <c r="K746" s="2"/>
      <c r="L746" s="2" t="s">
        <v>54</v>
      </c>
      <c r="M746" s="2" t="s">
        <v>55</v>
      </c>
      <c r="N746" s="2" t="s">
        <v>56</v>
      </c>
      <c r="O746" s="2" t="s">
        <v>2359</v>
      </c>
      <c r="P746" s="2" t="s">
        <v>2364</v>
      </c>
      <c r="Q746" s="2" t="s">
        <v>2371</v>
      </c>
      <c r="R746" s="2"/>
    </row>
    <row r="747" spans="1:18">
      <c r="A747" s="2" t="s">
        <v>2372</v>
      </c>
      <c r="B747" s="2" t="s">
        <v>2373</v>
      </c>
      <c r="C747" s="2" t="s">
        <v>2357</v>
      </c>
      <c r="D747" s="2">
        <v>127487.39</v>
      </c>
      <c r="E747" s="2">
        <v>10000</v>
      </c>
      <c r="F747" s="3">
        <f>IF(COUNT(D747,E747)=2,D747*E747,NA())</f>
        <v>1274873900.0</v>
      </c>
      <c r="G747" s="2" t="s">
        <v>50</v>
      </c>
      <c r="H747" s="2" t="s">
        <v>51</v>
      </c>
      <c r="I747" s="2" t="s">
        <v>52</v>
      </c>
      <c r="J747" s="2" t="s">
        <v>2358</v>
      </c>
      <c r="K747" s="2"/>
      <c r="L747" s="2" t="s">
        <v>54</v>
      </c>
      <c r="M747" s="2" t="s">
        <v>55</v>
      </c>
      <c r="N747" s="2" t="s">
        <v>56</v>
      </c>
      <c r="O747" s="2" t="s">
        <v>2359</v>
      </c>
      <c r="P747" s="2" t="s">
        <v>2364</v>
      </c>
      <c r="Q747" s="2" t="s">
        <v>2374</v>
      </c>
      <c r="R747" s="2"/>
    </row>
    <row r="748" spans="1:18">
      <c r="A748" s="2" t="s">
        <v>2375</v>
      </c>
      <c r="B748" s="2" t="s">
        <v>2376</v>
      </c>
      <c r="C748" s="2" t="s">
        <v>2357</v>
      </c>
      <c r="D748" s="2">
        <v>8643.120000000001</v>
      </c>
      <c r="E748" s="2">
        <v>10000</v>
      </c>
      <c r="F748" s="3">
        <f>IF(COUNT(D748,E748)=2,D748*E748,NA())</f>
        <v>86431200.0</v>
      </c>
      <c r="G748" s="2" t="s">
        <v>50</v>
      </c>
      <c r="H748" s="2" t="s">
        <v>51</v>
      </c>
      <c r="I748" s="2" t="s">
        <v>52</v>
      </c>
      <c r="J748" s="2" t="s">
        <v>2358</v>
      </c>
      <c r="K748" s="2"/>
      <c r="L748" s="2" t="s">
        <v>54</v>
      </c>
      <c r="M748" s="2" t="s">
        <v>55</v>
      </c>
      <c r="N748" s="2" t="s">
        <v>56</v>
      </c>
      <c r="O748" s="2" t="s">
        <v>2359</v>
      </c>
      <c r="P748" s="2" t="s">
        <v>2364</v>
      </c>
      <c r="Q748" s="2" t="s">
        <v>2377</v>
      </c>
      <c r="R748" s="2"/>
    </row>
    <row r="749" spans="1:18">
      <c r="A749" s="2" t="s">
        <v>2378</v>
      </c>
      <c r="B749" s="2" t="s">
        <v>2379</v>
      </c>
      <c r="C749" s="2" t="s">
        <v>2380</v>
      </c>
      <c r="D749" s="2">
        <v>130000</v>
      </c>
      <c r="E749" s="2">
        <v>10000</v>
      </c>
      <c r="F749" s="3">
        <f>IF(COUNT(D749,E749)=2,D749*E749,NA())</f>
        <v>1300000000.0</v>
      </c>
      <c r="G749" s="2" t="s">
        <v>50</v>
      </c>
      <c r="H749" s="2" t="s">
        <v>51</v>
      </c>
      <c r="I749" s="2" t="s">
        <v>52</v>
      </c>
      <c r="J749" s="2" t="s">
        <v>2358</v>
      </c>
      <c r="K749" s="2" t="s">
        <v>2381</v>
      </c>
      <c r="L749" s="2" t="s">
        <v>1855</v>
      </c>
      <c r="M749" s="2" t="s">
        <v>392</v>
      </c>
      <c r="N749" s="2" t="s">
        <v>56</v>
      </c>
      <c r="O749" s="2" t="s">
        <v>2359</v>
      </c>
      <c r="P749" s="2" t="s">
        <v>2382</v>
      </c>
      <c r="Q749" s="2" t="s">
        <v>2383</v>
      </c>
      <c r="R749" s="2"/>
    </row>
    <row r="750" spans="1:18">
      <c r="A750" s="2" t="s">
        <v>2384</v>
      </c>
      <c r="B750" s="2" t="s">
        <v>2385</v>
      </c>
      <c r="C750" s="2" t="s">
        <v>2386</v>
      </c>
      <c r="D750" s="2">
        <v>130000</v>
      </c>
      <c r="E750" s="2">
        <v>10000</v>
      </c>
      <c r="F750" s="3">
        <f>IF(COUNT(D750,E750)=2,D750*E750,NA())</f>
        <v>1300000000.0</v>
      </c>
      <c r="G750" s="2" t="s">
        <v>50</v>
      </c>
      <c r="H750" s="2" t="s">
        <v>51</v>
      </c>
      <c r="I750" s="2" t="s">
        <v>52</v>
      </c>
      <c r="J750" s="2" t="s">
        <v>2358</v>
      </c>
      <c r="K750" s="2"/>
      <c r="L750" s="2" t="s">
        <v>1859</v>
      </c>
      <c r="M750" s="2" t="s">
        <v>55</v>
      </c>
      <c r="N750" s="2" t="s">
        <v>56</v>
      </c>
      <c r="O750" s="2" t="s">
        <v>2359</v>
      </c>
      <c r="P750" s="2" t="s">
        <v>2387</v>
      </c>
      <c r="Q750" s="2" t="s">
        <v>2388</v>
      </c>
      <c r="R750" s="2"/>
    </row>
    <row r="751" spans="1:18">
      <c r="A751" s="2" t="s">
        <v>2389</v>
      </c>
      <c r="B751" s="2" t="s">
        <v>2390</v>
      </c>
      <c r="C751" s="2" t="s">
        <v>2386</v>
      </c>
      <c r="D751" s="2"/>
      <c r="E751" s="2">
        <v>1</v>
      </c>
      <c r="F751" s="3" t="e">
        <f>IF(COUNT(D751,E751)=2,D751*E751,NA())</f>
        <v>#N/A</v>
      </c>
      <c r="G751" s="2" t="s">
        <v>50</v>
      </c>
      <c r="H751" s="2" t="s">
        <v>51</v>
      </c>
      <c r="I751" s="2" t="s">
        <v>52</v>
      </c>
      <c r="J751" s="2" t="s">
        <v>2358</v>
      </c>
      <c r="K751" s="2"/>
      <c r="L751" s="2" t="s">
        <v>7</v>
      </c>
      <c r="M751" s="2" t="s">
        <v>55</v>
      </c>
      <c r="N751" s="2" t="s">
        <v>1682</v>
      </c>
      <c r="O751" s="2" t="s">
        <v>2359</v>
      </c>
      <c r="P751" s="2" t="s">
        <v>2391</v>
      </c>
      <c r="Q751" s="2" t="s">
        <v>2374</v>
      </c>
      <c r="R751" s="2"/>
    </row>
    <row r="752" spans="1:18">
      <c r="A752" s="2" t="s">
        <v>2392</v>
      </c>
      <c r="B752" s="2" t="s">
        <v>2393</v>
      </c>
      <c r="C752" s="2" t="s">
        <v>2394</v>
      </c>
      <c r="D752" s="2">
        <v>30</v>
      </c>
      <c r="E752" s="2">
        <v>1</v>
      </c>
      <c r="F752" s="3">
        <f>IF(COUNT(D752,E752)=2,D752*E752,NA())</f>
        <v>30.0</v>
      </c>
      <c r="G752" s="2" t="s">
        <v>1972</v>
      </c>
      <c r="H752" s="2"/>
      <c r="I752" s="2" t="s">
        <v>52</v>
      </c>
      <c r="J752" s="2" t="s">
        <v>2259</v>
      </c>
      <c r="K752" s="2"/>
      <c r="L752" s="2" t="s">
        <v>2267</v>
      </c>
      <c r="M752" s="2" t="s">
        <v>55</v>
      </c>
      <c r="N752" s="2" t="s">
        <v>56</v>
      </c>
      <c r="O752" s="2" t="s">
        <v>2261</v>
      </c>
      <c r="P752" s="2" t="s">
        <v>2395</v>
      </c>
      <c r="Q752" s="2" t="s">
        <v>2396</v>
      </c>
      <c r="R752" s="2" t="s">
        <v>2397</v>
      </c>
    </row>
    <row r="753" spans="1:18">
      <c r="A753" s="2" t="s">
        <v>2398</v>
      </c>
      <c r="B753" s="2" t="s">
        <v>2399</v>
      </c>
      <c r="C753" s="2" t="s">
        <v>2400</v>
      </c>
      <c r="D753" s="2">
        <v>15</v>
      </c>
      <c r="E753" s="2">
        <v>1</v>
      </c>
      <c r="F753" s="3">
        <f>IF(COUNT(D753,E753)=2,D753*E753,NA())</f>
        <v>15.0</v>
      </c>
      <c r="G753" s="2" t="s">
        <v>1972</v>
      </c>
      <c r="H753" s="2"/>
      <c r="I753" s="2" t="s">
        <v>52</v>
      </c>
      <c r="J753" s="2" t="s">
        <v>2259</v>
      </c>
      <c r="K753" s="2"/>
      <c r="L753" s="2" t="s">
        <v>2267</v>
      </c>
      <c r="M753" s="2" t="s">
        <v>55</v>
      </c>
      <c r="N753" s="2" t="s">
        <v>56</v>
      </c>
      <c r="O753" s="2" t="s">
        <v>2261</v>
      </c>
      <c r="P753" s="2" t="s">
        <v>2395</v>
      </c>
      <c r="Q753" s="2" t="s">
        <v>2401</v>
      </c>
      <c r="R753" s="2" t="s">
        <v>2397</v>
      </c>
    </row>
    <row r="754" spans="1:18">
      <c r="A754" s="2" t="s">
        <v>2402</v>
      </c>
      <c r="B754" s="2" t="s">
        <v>2403</v>
      </c>
      <c r="C754" s="2" t="s">
        <v>2404</v>
      </c>
      <c r="D754" s="2">
        <v>1521089853.16</v>
      </c>
      <c r="E754" s="2">
        <v>1</v>
      </c>
      <c r="F754" s="3">
        <f>IF(COUNT(D754,E754)=2,D754*E754,NA())</f>
        <v>1521089853.16</v>
      </c>
      <c r="G754" s="2" t="s">
        <v>50</v>
      </c>
      <c r="H754" s="2" t="s">
        <v>51</v>
      </c>
      <c r="I754" s="2" t="s">
        <v>52</v>
      </c>
      <c r="J754" s="2" t="s">
        <v>53</v>
      </c>
      <c r="K754" s="2" t="s">
        <v>1731</v>
      </c>
      <c r="L754" s="2" t="s">
        <v>1702</v>
      </c>
      <c r="M754" s="2" t="s">
        <v>392</v>
      </c>
      <c r="N754" s="2" t="s">
        <v>56</v>
      </c>
      <c r="O754" s="2" t="s">
        <v>2405</v>
      </c>
      <c r="P754" s="2" t="s">
        <v>2406</v>
      </c>
      <c r="Q754" s="2" t="s">
        <v>2407</v>
      </c>
      <c r="R754" s="2"/>
    </row>
    <row r="755" spans="1:18">
      <c r="A755" s="2" t="s">
        <v>2408</v>
      </c>
      <c r="B755" s="2" t="s">
        <v>2409</v>
      </c>
      <c r="C755" s="2" t="s">
        <v>2410</v>
      </c>
      <c r="D755" s="2">
        <v>1471135133.66</v>
      </c>
      <c r="E755" s="2">
        <v>1</v>
      </c>
      <c r="F755" s="3">
        <f>IF(COUNT(D755,E755)=2,D755*E755,NA())</f>
        <v>1471135133.66</v>
      </c>
      <c r="G755" s="2" t="s">
        <v>50</v>
      </c>
      <c r="H755" s="2" t="s">
        <v>51</v>
      </c>
      <c r="I755" s="2" t="s">
        <v>52</v>
      </c>
      <c r="J755" s="2" t="s">
        <v>53</v>
      </c>
      <c r="K755" s="2" t="s">
        <v>391</v>
      </c>
      <c r="L755" s="2" t="s">
        <v>2411</v>
      </c>
      <c r="M755" s="2" t="s">
        <v>392</v>
      </c>
      <c r="N755" s="2" t="s">
        <v>56</v>
      </c>
      <c r="O755" s="2" t="s">
        <v>2405</v>
      </c>
      <c r="P755" s="2" t="s">
        <v>2406</v>
      </c>
      <c r="Q755" s="2" t="s">
        <v>2412</v>
      </c>
      <c r="R755" s="2"/>
    </row>
    <row r="756" spans="1:18">
      <c r="A756" s="2" t="s">
        <v>2413</v>
      </c>
      <c r="B756" s="2" t="s">
        <v>2414</v>
      </c>
      <c r="C756" s="2" t="s">
        <v>2415</v>
      </c>
      <c r="D756" s="2">
        <v>1173785046.05</v>
      </c>
      <c r="E756" s="2">
        <v>1</v>
      </c>
      <c r="F756" s="3">
        <f>IF(COUNT(D756,E756)=2,D756*E756,NA())</f>
        <v>1173785046.05</v>
      </c>
      <c r="G756" s="2" t="s">
        <v>50</v>
      </c>
      <c r="H756" s="2" t="s">
        <v>51</v>
      </c>
      <c r="I756" s="2" t="s">
        <v>52</v>
      </c>
      <c r="J756" s="2" t="s">
        <v>53</v>
      </c>
      <c r="K756" s="2" t="s">
        <v>1731</v>
      </c>
      <c r="L756" s="2" t="s">
        <v>1702</v>
      </c>
      <c r="M756" s="2" t="s">
        <v>392</v>
      </c>
      <c r="N756" s="2" t="s">
        <v>56</v>
      </c>
      <c r="O756" s="2" t="s">
        <v>2405</v>
      </c>
      <c r="P756" s="2" t="s">
        <v>2406</v>
      </c>
      <c r="Q756" s="2" t="s">
        <v>2416</v>
      </c>
      <c r="R756" s="2"/>
    </row>
    <row r="757" spans="1:18">
      <c r="A757" s="2" t="s">
        <v>2417</v>
      </c>
      <c r="B757" s="2" t="s">
        <v>2418</v>
      </c>
      <c r="C757" s="2" t="s">
        <v>2419</v>
      </c>
      <c r="D757" s="2">
        <v>1500131598.29</v>
      </c>
      <c r="E757" s="2">
        <v>1</v>
      </c>
      <c r="F757" s="3">
        <f>IF(COUNT(D757,E757)=2,D757*E757,NA())</f>
        <v>1500131598.29</v>
      </c>
      <c r="G757" s="2" t="s">
        <v>50</v>
      </c>
      <c r="H757" s="2" t="s">
        <v>51</v>
      </c>
      <c r="I757" s="2" t="s">
        <v>52</v>
      </c>
      <c r="J757" s="2" t="s">
        <v>53</v>
      </c>
      <c r="K757" s="2" t="s">
        <v>391</v>
      </c>
      <c r="L757" s="2" t="s">
        <v>2411</v>
      </c>
      <c r="M757" s="2" t="s">
        <v>392</v>
      </c>
      <c r="N757" s="2" t="s">
        <v>56</v>
      </c>
      <c r="O757" s="2" t="s">
        <v>2405</v>
      </c>
      <c r="P757" s="2" t="s">
        <v>2406</v>
      </c>
      <c r="Q757" s="2" t="s">
        <v>2420</v>
      </c>
      <c r="R757" s="2"/>
    </row>
    <row r="758" spans="1:18">
      <c r="A758" s="2" t="s">
        <v>2421</v>
      </c>
      <c r="B758" s="2" t="s">
        <v>2422</v>
      </c>
      <c r="C758" s="2" t="s">
        <v>2423</v>
      </c>
      <c r="D758" s="2">
        <v>221170225.65</v>
      </c>
      <c r="E758" s="2">
        <v>1</v>
      </c>
      <c r="F758" s="3">
        <f>IF(COUNT(D758,E758)=2,D758*E758,NA())</f>
        <v>221170225.65</v>
      </c>
      <c r="G758" s="2" t="s">
        <v>50</v>
      </c>
      <c r="H758" s="2" t="s">
        <v>51</v>
      </c>
      <c r="I758" s="2" t="s">
        <v>52</v>
      </c>
      <c r="J758" s="2" t="s">
        <v>53</v>
      </c>
      <c r="K758" s="2" t="s">
        <v>1731</v>
      </c>
      <c r="L758" s="2" t="s">
        <v>1702</v>
      </c>
      <c r="M758" s="2" t="s">
        <v>392</v>
      </c>
      <c r="N758" s="2" t="s">
        <v>56</v>
      </c>
      <c r="O758" s="2" t="s">
        <v>2405</v>
      </c>
      <c r="P758" s="2" t="s">
        <v>2406</v>
      </c>
      <c r="Q758" s="2" t="s">
        <v>2424</v>
      </c>
      <c r="R758" s="2"/>
    </row>
    <row r="759" spans="1:18">
      <c r="A759" s="2" t="s">
        <v>2425</v>
      </c>
      <c r="B759" s="2" t="s">
        <v>2426</v>
      </c>
      <c r="C759" s="2" t="s">
        <v>2427</v>
      </c>
      <c r="D759" s="2">
        <v>254375757.35</v>
      </c>
      <c r="E759" s="2">
        <v>1</v>
      </c>
      <c r="F759" s="3">
        <f>IF(COUNT(D759,E759)=2,D759*E759,NA())</f>
        <v>254375757.35</v>
      </c>
      <c r="G759" s="2" t="s">
        <v>50</v>
      </c>
      <c r="H759" s="2" t="s">
        <v>51</v>
      </c>
      <c r="I759" s="2" t="s">
        <v>52</v>
      </c>
      <c r="J759" s="2" t="s">
        <v>53</v>
      </c>
      <c r="K759" s="2" t="s">
        <v>391</v>
      </c>
      <c r="L759" s="2" t="s">
        <v>2411</v>
      </c>
      <c r="M759" s="2" t="s">
        <v>392</v>
      </c>
      <c r="N759" s="2" t="s">
        <v>56</v>
      </c>
      <c r="O759" s="2" t="s">
        <v>2405</v>
      </c>
      <c r="P759" s="2" t="s">
        <v>2406</v>
      </c>
      <c r="Q759" s="2" t="s">
        <v>2428</v>
      </c>
      <c r="R759" s="2"/>
    </row>
    <row r="760" spans="1:18">
      <c r="A760" s="2" t="s">
        <v>2429</v>
      </c>
      <c r="B760" s="2" t="s">
        <v>2430</v>
      </c>
      <c r="C760" s="2" t="s">
        <v>2431</v>
      </c>
      <c r="D760" s="2">
        <v>69957485.98</v>
      </c>
      <c r="E760" s="2">
        <v>1</v>
      </c>
      <c r="F760" s="3">
        <f>IF(COUNT(D760,E760)=2,D760*E760,NA())</f>
        <v>69957485.98</v>
      </c>
      <c r="G760" s="2" t="s">
        <v>50</v>
      </c>
      <c r="H760" s="2" t="s">
        <v>51</v>
      </c>
      <c r="I760" s="2" t="s">
        <v>52</v>
      </c>
      <c r="J760" s="2" t="s">
        <v>53</v>
      </c>
      <c r="K760" s="2" t="s">
        <v>1731</v>
      </c>
      <c r="L760" s="2" t="s">
        <v>1702</v>
      </c>
      <c r="M760" s="2" t="s">
        <v>392</v>
      </c>
      <c r="N760" s="2" t="s">
        <v>56</v>
      </c>
      <c r="O760" s="2" t="s">
        <v>2405</v>
      </c>
      <c r="P760" s="2" t="s">
        <v>2406</v>
      </c>
      <c r="Q760" s="2" t="s">
        <v>2432</v>
      </c>
      <c r="R760" s="2"/>
    </row>
    <row r="761" spans="1:18">
      <c r="A761" s="2" t="s">
        <v>2433</v>
      </c>
      <c r="B761" s="2" t="s">
        <v>2434</v>
      </c>
      <c r="C761" s="2" t="s">
        <v>2435</v>
      </c>
      <c r="D761" s="2">
        <v>58023509.17</v>
      </c>
      <c r="E761" s="2">
        <v>1</v>
      </c>
      <c r="F761" s="3">
        <f>IF(COUNT(D761,E761)=2,D761*E761,NA())</f>
        <v>58023509.17</v>
      </c>
      <c r="G761" s="2" t="s">
        <v>50</v>
      </c>
      <c r="H761" s="2" t="s">
        <v>51</v>
      </c>
      <c r="I761" s="2" t="s">
        <v>52</v>
      </c>
      <c r="J761" s="2" t="s">
        <v>53</v>
      </c>
      <c r="K761" s="2" t="s">
        <v>391</v>
      </c>
      <c r="L761" s="2" t="s">
        <v>2411</v>
      </c>
      <c r="M761" s="2" t="s">
        <v>392</v>
      </c>
      <c r="N761" s="2" t="s">
        <v>56</v>
      </c>
      <c r="O761" s="2" t="s">
        <v>2405</v>
      </c>
      <c r="P761" s="2" t="s">
        <v>2406</v>
      </c>
      <c r="Q761" s="2" t="s">
        <v>2436</v>
      </c>
      <c r="R761" s="2"/>
    </row>
    <row r="762" spans="1:18">
      <c r="A762" s="2" t="s">
        <v>2437</v>
      </c>
      <c r="B762" s="2" t="s">
        <v>2438</v>
      </c>
      <c r="C762" s="2" t="s">
        <v>2439</v>
      </c>
      <c r="D762" s="2">
        <v>50419169.64</v>
      </c>
      <c r="E762" s="2">
        <v>1</v>
      </c>
      <c r="F762" s="3">
        <f>IF(COUNT(D762,E762)=2,D762*E762,NA())</f>
        <v>50419169.64</v>
      </c>
      <c r="G762" s="2" t="s">
        <v>50</v>
      </c>
      <c r="H762" s="2" t="s">
        <v>51</v>
      </c>
      <c r="I762" s="2" t="s">
        <v>52</v>
      </c>
      <c r="J762" s="2" t="s">
        <v>53</v>
      </c>
      <c r="K762" s="2" t="s">
        <v>1731</v>
      </c>
      <c r="L762" s="2" t="s">
        <v>1702</v>
      </c>
      <c r="M762" s="2" t="s">
        <v>392</v>
      </c>
      <c r="N762" s="2" t="s">
        <v>56</v>
      </c>
      <c r="O762" s="2" t="s">
        <v>2405</v>
      </c>
      <c r="P762" s="2" t="s">
        <v>2406</v>
      </c>
      <c r="Q762" s="2" t="s">
        <v>2440</v>
      </c>
      <c r="R762" s="2"/>
    </row>
    <row r="763" spans="1:18">
      <c r="A763" s="2" t="s">
        <v>2441</v>
      </c>
      <c r="B763" s="2" t="s">
        <v>2442</v>
      </c>
      <c r="C763" s="2" t="s">
        <v>2443</v>
      </c>
      <c r="D763" s="2">
        <v>48893992.48</v>
      </c>
      <c r="E763" s="2">
        <v>1</v>
      </c>
      <c r="F763" s="3">
        <f>IF(COUNT(D763,E763)=2,D763*E763,NA())</f>
        <v>48893992.48</v>
      </c>
      <c r="G763" s="2" t="s">
        <v>50</v>
      </c>
      <c r="H763" s="2" t="s">
        <v>51</v>
      </c>
      <c r="I763" s="2" t="s">
        <v>52</v>
      </c>
      <c r="J763" s="2" t="s">
        <v>53</v>
      </c>
      <c r="K763" s="2" t="s">
        <v>391</v>
      </c>
      <c r="L763" s="2" t="s">
        <v>2411</v>
      </c>
      <c r="M763" s="2" t="s">
        <v>392</v>
      </c>
      <c r="N763" s="2" t="s">
        <v>56</v>
      </c>
      <c r="O763" s="2" t="s">
        <v>2405</v>
      </c>
      <c r="P763" s="2" t="s">
        <v>2406</v>
      </c>
      <c r="Q763" s="2" t="s">
        <v>2444</v>
      </c>
      <c r="R763" s="2"/>
    </row>
    <row r="764" spans="1:18">
      <c r="A764" s="2" t="s">
        <v>2445</v>
      </c>
      <c r="B764" s="2" t="s">
        <v>2446</v>
      </c>
      <c r="C764" s="2" t="s">
        <v>2447</v>
      </c>
      <c r="D764" s="2">
        <v>161779155.77</v>
      </c>
      <c r="E764" s="2">
        <v>1</v>
      </c>
      <c r="F764" s="3">
        <f>IF(COUNT(D764,E764)=2,D764*E764,NA())</f>
        <v>161779155.77</v>
      </c>
      <c r="G764" s="2" t="s">
        <v>50</v>
      </c>
      <c r="H764" s="2" t="s">
        <v>51</v>
      </c>
      <c r="I764" s="2" t="s">
        <v>52</v>
      </c>
      <c r="J764" s="2" t="s">
        <v>53</v>
      </c>
      <c r="K764" s="2" t="s">
        <v>1731</v>
      </c>
      <c r="L764" s="2" t="s">
        <v>1702</v>
      </c>
      <c r="M764" s="2" t="s">
        <v>392</v>
      </c>
      <c r="N764" s="2" t="s">
        <v>56</v>
      </c>
      <c r="O764" s="2" t="s">
        <v>2405</v>
      </c>
      <c r="P764" s="2" t="s">
        <v>2406</v>
      </c>
      <c r="Q764" s="2" t="s">
        <v>2448</v>
      </c>
      <c r="R764" s="2"/>
    </row>
    <row r="765" spans="1:18">
      <c r="A765" s="2" t="s">
        <v>2449</v>
      </c>
      <c r="B765" s="2" t="s">
        <v>2450</v>
      </c>
      <c r="C765" s="2" t="s">
        <v>2451</v>
      </c>
      <c r="D765" s="2">
        <v>89850533.42</v>
      </c>
      <c r="E765" s="2">
        <v>1</v>
      </c>
      <c r="F765" s="3">
        <f>IF(COUNT(D765,E765)=2,D765*E765,NA())</f>
        <v>89850533.42</v>
      </c>
      <c r="G765" s="2" t="s">
        <v>50</v>
      </c>
      <c r="H765" s="2" t="s">
        <v>51</v>
      </c>
      <c r="I765" s="2" t="s">
        <v>52</v>
      </c>
      <c r="J765" s="2" t="s">
        <v>53</v>
      </c>
      <c r="K765" s="2" t="s">
        <v>391</v>
      </c>
      <c r="L765" s="2" t="s">
        <v>2411</v>
      </c>
      <c r="M765" s="2" t="s">
        <v>392</v>
      </c>
      <c r="N765" s="2" t="s">
        <v>56</v>
      </c>
      <c r="O765" s="2" t="s">
        <v>2405</v>
      </c>
      <c r="P765" s="2" t="s">
        <v>2406</v>
      </c>
      <c r="Q765" s="2" t="s">
        <v>2452</v>
      </c>
      <c r="R765" s="2"/>
    </row>
    <row r="766" spans="1:18">
      <c r="A766" s="2" t="s">
        <v>2453</v>
      </c>
      <c r="B766" s="2" t="s">
        <v>2454</v>
      </c>
      <c r="C766" s="2" t="s">
        <v>2455</v>
      </c>
      <c r="D766" s="2">
        <v>710652843.97</v>
      </c>
      <c r="E766" s="2">
        <v>1</v>
      </c>
      <c r="F766" s="3">
        <f>IF(COUNT(D766,E766)=2,D766*E766,NA())</f>
        <v>710652843.97</v>
      </c>
      <c r="G766" s="2" t="s">
        <v>50</v>
      </c>
      <c r="H766" s="2" t="s">
        <v>51</v>
      </c>
      <c r="I766" s="2" t="s">
        <v>52</v>
      </c>
      <c r="J766" s="2" t="s">
        <v>53</v>
      </c>
      <c r="K766" s="2" t="s">
        <v>1731</v>
      </c>
      <c r="L766" s="2" t="s">
        <v>1702</v>
      </c>
      <c r="M766" s="2" t="s">
        <v>392</v>
      </c>
      <c r="N766" s="2" t="s">
        <v>56</v>
      </c>
      <c r="O766" s="2" t="s">
        <v>2405</v>
      </c>
      <c r="P766" s="2" t="s">
        <v>2406</v>
      </c>
      <c r="Q766" s="2" t="s">
        <v>2456</v>
      </c>
      <c r="R766" s="2"/>
    </row>
    <row r="767" spans="1:18">
      <c r="A767" s="2" t="s">
        <v>2457</v>
      </c>
      <c r="B767" s="2" t="s">
        <v>2458</v>
      </c>
      <c r="C767" s="2" t="s">
        <v>2459</v>
      </c>
      <c r="D767" s="2">
        <v>227892911.8</v>
      </c>
      <c r="E767" s="2">
        <v>1</v>
      </c>
      <c r="F767" s="3">
        <f>IF(COUNT(D767,E767)=2,D767*E767,NA())</f>
        <v>227892911.8</v>
      </c>
      <c r="G767" s="2" t="s">
        <v>50</v>
      </c>
      <c r="H767" s="2" t="s">
        <v>51</v>
      </c>
      <c r="I767" s="2" t="s">
        <v>52</v>
      </c>
      <c r="J767" s="2" t="s">
        <v>53</v>
      </c>
      <c r="K767" s="2" t="s">
        <v>391</v>
      </c>
      <c r="L767" s="2" t="s">
        <v>2411</v>
      </c>
      <c r="M767" s="2" t="s">
        <v>392</v>
      </c>
      <c r="N767" s="2" t="s">
        <v>56</v>
      </c>
      <c r="O767" s="2" t="s">
        <v>2405</v>
      </c>
      <c r="P767" s="2" t="s">
        <v>2406</v>
      </c>
      <c r="Q767" s="2" t="s">
        <v>2460</v>
      </c>
      <c r="R767" s="2"/>
    </row>
    <row r="768" spans="1:18">
      <c r="A768" s="2" t="s">
        <v>2461</v>
      </c>
      <c r="B768" s="2" t="s">
        <v>2462</v>
      </c>
      <c r="C768" s="2" t="s">
        <v>2463</v>
      </c>
      <c r="D768" s="2">
        <v>527174157.28</v>
      </c>
      <c r="E768" s="2">
        <v>1</v>
      </c>
      <c r="F768" s="3">
        <f>IF(COUNT(D768,E768)=2,D768*E768,NA())</f>
        <v>527174157.28</v>
      </c>
      <c r="G768" s="2" t="s">
        <v>50</v>
      </c>
      <c r="H768" s="2" t="s">
        <v>51</v>
      </c>
      <c r="I768" s="2" t="s">
        <v>52</v>
      </c>
      <c r="J768" s="2" t="s">
        <v>53</v>
      </c>
      <c r="K768" s="2" t="s">
        <v>1731</v>
      </c>
      <c r="L768" s="2" t="s">
        <v>1702</v>
      </c>
      <c r="M768" s="2" t="s">
        <v>392</v>
      </c>
      <c r="N768" s="2" t="s">
        <v>56</v>
      </c>
      <c r="O768" s="2" t="s">
        <v>2405</v>
      </c>
      <c r="P768" s="2" t="s">
        <v>2406</v>
      </c>
      <c r="Q768" s="2" t="s">
        <v>2464</v>
      </c>
      <c r="R768" s="2"/>
    </row>
    <row r="769" spans="1:18">
      <c r="A769" s="2" t="s">
        <v>2465</v>
      </c>
      <c r="B769" s="2" t="s">
        <v>2466</v>
      </c>
      <c r="C769" s="2" t="s">
        <v>2467</v>
      </c>
      <c r="D769" s="2">
        <v>102727410.27</v>
      </c>
      <c r="E769" s="2">
        <v>1</v>
      </c>
      <c r="F769" s="3">
        <f>IF(COUNT(D769,E769)=2,D769*E769,NA())</f>
        <v>102727410.27</v>
      </c>
      <c r="G769" s="2" t="s">
        <v>50</v>
      </c>
      <c r="H769" s="2" t="s">
        <v>51</v>
      </c>
      <c r="I769" s="2" t="s">
        <v>52</v>
      </c>
      <c r="J769" s="2" t="s">
        <v>53</v>
      </c>
      <c r="K769" s="2" t="s">
        <v>391</v>
      </c>
      <c r="L769" s="2" t="s">
        <v>2411</v>
      </c>
      <c r="M769" s="2" t="s">
        <v>392</v>
      </c>
      <c r="N769" s="2" t="s">
        <v>56</v>
      </c>
      <c r="O769" s="2" t="s">
        <v>2405</v>
      </c>
      <c r="P769" s="2" t="s">
        <v>2406</v>
      </c>
      <c r="Q769" s="2" t="s">
        <v>2468</v>
      </c>
      <c r="R769" s="2"/>
    </row>
    <row r="770" spans="1:18">
      <c r="A770" s="2" t="s">
        <v>2469</v>
      </c>
      <c r="B770" s="2" t="s">
        <v>2470</v>
      </c>
      <c r="C770" s="2" t="s">
        <v>2471</v>
      </c>
      <c r="D770" s="2">
        <v>45256384.94</v>
      </c>
      <c r="E770" s="2">
        <v>1</v>
      </c>
      <c r="F770" s="3">
        <f>IF(COUNT(D770,E770)=2,D770*E770,NA())</f>
        <v>45256384.94</v>
      </c>
      <c r="G770" s="2" t="s">
        <v>50</v>
      </c>
      <c r="H770" s="2" t="s">
        <v>51</v>
      </c>
      <c r="I770" s="2" t="s">
        <v>52</v>
      </c>
      <c r="J770" s="2" t="s">
        <v>53</v>
      </c>
      <c r="K770" s="2" t="s">
        <v>1731</v>
      </c>
      <c r="L770" s="2" t="s">
        <v>1702</v>
      </c>
      <c r="M770" s="2" t="s">
        <v>392</v>
      </c>
      <c r="N770" s="2" t="s">
        <v>56</v>
      </c>
      <c r="O770" s="2" t="s">
        <v>2405</v>
      </c>
      <c r="P770" s="2" t="s">
        <v>2406</v>
      </c>
      <c r="Q770" s="2" t="s">
        <v>2472</v>
      </c>
      <c r="R770" s="2"/>
    </row>
    <row r="771" spans="1:18">
      <c r="A771" s="2" t="s">
        <v>2473</v>
      </c>
      <c r="B771" s="2" t="s">
        <v>2474</v>
      </c>
      <c r="C771" s="2" t="s">
        <v>2475</v>
      </c>
      <c r="D771" s="2">
        <v>229274388.49</v>
      </c>
      <c r="E771" s="2">
        <v>1</v>
      </c>
      <c r="F771" s="3">
        <f>IF(COUNT(D771,E771)=2,D771*E771,NA())</f>
        <v>229274388.49</v>
      </c>
      <c r="G771" s="2" t="s">
        <v>50</v>
      </c>
      <c r="H771" s="2" t="s">
        <v>51</v>
      </c>
      <c r="I771" s="2" t="s">
        <v>52</v>
      </c>
      <c r="J771" s="2" t="s">
        <v>53</v>
      </c>
      <c r="K771" s="2" t="s">
        <v>391</v>
      </c>
      <c r="L771" s="2" t="s">
        <v>2411</v>
      </c>
      <c r="M771" s="2" t="s">
        <v>392</v>
      </c>
      <c r="N771" s="2" t="s">
        <v>56</v>
      </c>
      <c r="O771" s="2" t="s">
        <v>2405</v>
      </c>
      <c r="P771" s="2" t="s">
        <v>2406</v>
      </c>
      <c r="Q771" s="2" t="s">
        <v>2476</v>
      </c>
      <c r="R771" s="2"/>
    </row>
    <row r="772" spans="1:18">
      <c r="A772" s="2" t="s">
        <v>2477</v>
      </c>
      <c r="B772" s="2" t="s">
        <v>2478</v>
      </c>
      <c r="C772" s="2" t="s">
        <v>2479</v>
      </c>
      <c r="D772" s="2">
        <v>2450798.04</v>
      </c>
      <c r="E772" s="2">
        <v>1</v>
      </c>
      <c r="F772" s="3">
        <f>IF(COUNT(D772,E772)=2,D772*E772,NA())</f>
        <v>2450798.04</v>
      </c>
      <c r="G772" s="2" t="s">
        <v>50</v>
      </c>
      <c r="H772" s="2" t="s">
        <v>51</v>
      </c>
      <c r="I772" s="2" t="s">
        <v>52</v>
      </c>
      <c r="J772" s="2" t="s">
        <v>53</v>
      </c>
      <c r="K772" s="2" t="s">
        <v>1731</v>
      </c>
      <c r="L772" s="2" t="s">
        <v>1702</v>
      </c>
      <c r="M772" s="2" t="s">
        <v>392</v>
      </c>
      <c r="N772" s="2" t="s">
        <v>56</v>
      </c>
      <c r="O772" s="2" t="s">
        <v>2405</v>
      </c>
      <c r="P772" s="2" t="s">
        <v>2406</v>
      </c>
      <c r="Q772" s="2" t="s">
        <v>2480</v>
      </c>
      <c r="R772" s="2"/>
    </row>
    <row r="773" spans="1:18">
      <c r="A773" s="2" t="s">
        <v>2481</v>
      </c>
      <c r="B773" s="2" t="s">
        <v>2482</v>
      </c>
      <c r="C773" s="2" t="s">
        <v>2483</v>
      </c>
      <c r="D773" s="2">
        <v>15008042.5</v>
      </c>
      <c r="E773" s="2">
        <v>1</v>
      </c>
      <c r="F773" s="3">
        <f>IF(COUNT(D773,E773)=2,D773*E773,NA())</f>
        <v>15008042.5</v>
      </c>
      <c r="G773" s="2" t="s">
        <v>50</v>
      </c>
      <c r="H773" s="2" t="s">
        <v>51</v>
      </c>
      <c r="I773" s="2" t="s">
        <v>52</v>
      </c>
      <c r="J773" s="2" t="s">
        <v>53</v>
      </c>
      <c r="K773" s="2" t="s">
        <v>391</v>
      </c>
      <c r="L773" s="2" t="s">
        <v>2411</v>
      </c>
      <c r="M773" s="2" t="s">
        <v>392</v>
      </c>
      <c r="N773" s="2" t="s">
        <v>56</v>
      </c>
      <c r="O773" s="2" t="s">
        <v>2405</v>
      </c>
      <c r="P773" s="2" t="s">
        <v>2406</v>
      </c>
      <c r="Q773" s="2" t="s">
        <v>2484</v>
      </c>
      <c r="R773" s="2"/>
    </row>
    <row r="774" spans="1:18">
      <c r="A774" s="2" t="s">
        <v>2485</v>
      </c>
      <c r="B774" s="2" t="s">
        <v>2486</v>
      </c>
      <c r="C774" s="2" t="s">
        <v>2487</v>
      </c>
      <c r="D774" s="2">
        <v>11018739.22</v>
      </c>
      <c r="E774" s="2">
        <v>1</v>
      </c>
      <c r="F774" s="3">
        <f>IF(COUNT(D774,E774)=2,D774*E774,NA())</f>
        <v>11018739.22</v>
      </c>
      <c r="G774" s="2" t="s">
        <v>50</v>
      </c>
      <c r="H774" s="2" t="s">
        <v>51</v>
      </c>
      <c r="I774" s="2" t="s">
        <v>52</v>
      </c>
      <c r="J774" s="2" t="s">
        <v>53</v>
      </c>
      <c r="K774" s="2" t="s">
        <v>1731</v>
      </c>
      <c r="L774" s="2" t="s">
        <v>1702</v>
      </c>
      <c r="M774" s="2" t="s">
        <v>392</v>
      </c>
      <c r="N774" s="2" t="s">
        <v>56</v>
      </c>
      <c r="O774" s="2" t="s">
        <v>2405</v>
      </c>
      <c r="P774" s="2" t="s">
        <v>2406</v>
      </c>
      <c r="Q774" s="2" t="s">
        <v>2488</v>
      </c>
      <c r="R774" s="2"/>
    </row>
    <row r="775" spans="1:18">
      <c r="A775" s="2" t="s">
        <v>2489</v>
      </c>
      <c r="B775" s="2" t="s">
        <v>2490</v>
      </c>
      <c r="C775" s="2" t="s">
        <v>2491</v>
      </c>
      <c r="D775" s="2">
        <v>60383919.33</v>
      </c>
      <c r="E775" s="2">
        <v>1</v>
      </c>
      <c r="F775" s="3">
        <f>IF(COUNT(D775,E775)=2,D775*E775,NA())</f>
        <v>60383919.33</v>
      </c>
      <c r="G775" s="2" t="s">
        <v>50</v>
      </c>
      <c r="H775" s="2" t="s">
        <v>51</v>
      </c>
      <c r="I775" s="2" t="s">
        <v>52</v>
      </c>
      <c r="J775" s="2" t="s">
        <v>53</v>
      </c>
      <c r="K775" s="2" t="s">
        <v>391</v>
      </c>
      <c r="L775" s="2" t="s">
        <v>2411</v>
      </c>
      <c r="M775" s="2" t="s">
        <v>392</v>
      </c>
      <c r="N775" s="2" t="s">
        <v>56</v>
      </c>
      <c r="O775" s="2" t="s">
        <v>2405</v>
      </c>
      <c r="P775" s="2" t="s">
        <v>2406</v>
      </c>
      <c r="Q775" s="2" t="s">
        <v>2492</v>
      </c>
      <c r="R775" s="2"/>
    </row>
    <row r="776" spans="1:18">
      <c r="A776" s="2" t="s">
        <v>2493</v>
      </c>
      <c r="B776" s="2" t="s">
        <v>2494</v>
      </c>
      <c r="C776" s="2" t="s">
        <v>2495</v>
      </c>
      <c r="D776" s="2">
        <v>95610189.36</v>
      </c>
      <c r="E776" s="2">
        <v>1</v>
      </c>
      <c r="F776" s="3">
        <f>IF(COUNT(D776,E776)=2,D776*E776,NA())</f>
        <v>95610189.36</v>
      </c>
      <c r="G776" s="2" t="s">
        <v>50</v>
      </c>
      <c r="H776" s="2" t="s">
        <v>51</v>
      </c>
      <c r="I776" s="2" t="s">
        <v>52</v>
      </c>
      <c r="J776" s="2" t="s">
        <v>53</v>
      </c>
      <c r="K776" s="2" t="s">
        <v>391</v>
      </c>
      <c r="L776" s="2" t="s">
        <v>2411</v>
      </c>
      <c r="M776" s="2" t="s">
        <v>392</v>
      </c>
      <c r="N776" s="2" t="s">
        <v>56</v>
      </c>
      <c r="O776" s="2" t="s">
        <v>2405</v>
      </c>
      <c r="P776" s="2"/>
      <c r="Q776" s="2" t="s">
        <v>2496</v>
      </c>
      <c r="R776" s="2"/>
    </row>
    <row r="777" spans="1:18">
      <c r="A777" s="2" t="s">
        <v>2497</v>
      </c>
      <c r="B777" s="2" t="s">
        <v>2498</v>
      </c>
      <c r="C777" s="2" t="s">
        <v>2499</v>
      </c>
      <c r="D777" s="2">
        <v>-382352272.09</v>
      </c>
      <c r="E777" s="2">
        <v>1</v>
      </c>
      <c r="F777" s="3">
        <f>IF(COUNT(D777,E777)=2,D777*E777,NA())</f>
        <v>-382352272.09</v>
      </c>
      <c r="G777" s="2" t="s">
        <v>50</v>
      </c>
      <c r="H777" s="2" t="s">
        <v>51</v>
      </c>
      <c r="I777" s="2" t="s">
        <v>52</v>
      </c>
      <c r="J777" s="2" t="s">
        <v>53</v>
      </c>
      <c r="K777" s="2" t="s">
        <v>391</v>
      </c>
      <c r="L777" s="2" t="s">
        <v>2411</v>
      </c>
      <c r="M777" s="2" t="s">
        <v>392</v>
      </c>
      <c r="N777" s="2" t="s">
        <v>56</v>
      </c>
      <c r="O777" s="2" t="s">
        <v>2500</v>
      </c>
      <c r="P777" s="2"/>
      <c r="Q777" s="2" t="s">
        <v>2501</v>
      </c>
      <c r="R777" s="2"/>
    </row>
    <row r="778" spans="1:18">
      <c r="A778" s="2" t="s">
        <v>2502</v>
      </c>
      <c r="B778" s="2" t="s">
        <v>2503</v>
      </c>
      <c r="C778" s="2" t="s">
        <v>2504</v>
      </c>
      <c r="D778" s="2">
        <v>1395038910.94</v>
      </c>
      <c r="E778" s="2">
        <v>1</v>
      </c>
      <c r="F778" s="3">
        <f>IF(COUNT(D778,E778)=2,D778*E778,NA())</f>
        <v>1395038910.94</v>
      </c>
      <c r="G778" s="2" t="s">
        <v>50</v>
      </c>
      <c r="H778" s="2" t="s">
        <v>51</v>
      </c>
      <c r="I778" s="2" t="s">
        <v>52</v>
      </c>
      <c r="J778" s="2" t="s">
        <v>53</v>
      </c>
      <c r="K778" s="2" t="s">
        <v>391</v>
      </c>
      <c r="L778" s="2" t="s">
        <v>2411</v>
      </c>
      <c r="M778" s="2" t="s">
        <v>392</v>
      </c>
      <c r="N778" s="2" t="s">
        <v>56</v>
      </c>
      <c r="O778" s="2" t="s">
        <v>2405</v>
      </c>
      <c r="P778" s="2"/>
      <c r="Q778" s="2" t="s">
        <v>2505</v>
      </c>
      <c r="R778" s="2"/>
    </row>
    <row r="779" spans="1:18">
      <c r="A779" s="2" t="s">
        <v>2506</v>
      </c>
      <c r="B779" s="2" t="s">
        <v>2507</v>
      </c>
      <c r="C779" s="2" t="s">
        <v>2508</v>
      </c>
      <c r="D779" s="2">
        <v>1825082227.41</v>
      </c>
      <c r="E779" s="2">
        <v>1</v>
      </c>
      <c r="F779" s="3">
        <f>IF(COUNT(D779,E779)=2,D779*E779,NA())</f>
        <v>1825082227.41</v>
      </c>
      <c r="G779" s="2" t="s">
        <v>50</v>
      </c>
      <c r="H779" s="2" t="s">
        <v>51</v>
      </c>
      <c r="I779" s="2" t="s">
        <v>52</v>
      </c>
      <c r="J779" s="2" t="s">
        <v>53</v>
      </c>
      <c r="K779" s="2" t="s">
        <v>2509</v>
      </c>
      <c r="L779" s="2" t="s">
        <v>2510</v>
      </c>
      <c r="M779" s="2" t="s">
        <v>392</v>
      </c>
      <c r="N779" s="2" t="s">
        <v>56</v>
      </c>
      <c r="O779" s="2" t="s">
        <v>2405</v>
      </c>
      <c r="P779" s="2"/>
      <c r="Q779" s="2" t="s">
        <v>2511</v>
      </c>
      <c r="R779" s="2"/>
    </row>
    <row r="780" spans="1:18">
      <c r="A780" s="2" t="s">
        <v>2512</v>
      </c>
      <c r="B780" s="2" t="s">
        <v>2513</v>
      </c>
      <c r="C780" s="2" t="s">
        <v>2514</v>
      </c>
      <c r="D780" s="2">
        <v>-178820074.36</v>
      </c>
      <c r="E780" s="2">
        <v>1</v>
      </c>
      <c r="F780" s="3">
        <f>IF(COUNT(D780,E780)=2,D780*E780,NA())</f>
        <v>-178820074.36</v>
      </c>
      <c r="G780" s="2" t="s">
        <v>50</v>
      </c>
      <c r="H780" s="2" t="s">
        <v>51</v>
      </c>
      <c r="I780" s="2" t="s">
        <v>52</v>
      </c>
      <c r="J780" s="2" t="s">
        <v>53</v>
      </c>
      <c r="K780" s="2" t="s">
        <v>2509</v>
      </c>
      <c r="L780" s="2" t="s">
        <v>2510</v>
      </c>
      <c r="M780" s="2" t="s">
        <v>392</v>
      </c>
      <c r="N780" s="2" t="s">
        <v>56</v>
      </c>
      <c r="O780" s="2" t="s">
        <v>2405</v>
      </c>
      <c r="P780" s="2"/>
      <c r="Q780" s="2" t="s">
        <v>2515</v>
      </c>
      <c r="R780" s="2"/>
    </row>
    <row r="781" spans="1:18">
      <c r="A781" s="2" t="s">
        <v>2516</v>
      </c>
      <c r="B781" s="2" t="s">
        <v>2507</v>
      </c>
      <c r="C781" s="2" t="s">
        <v>2517</v>
      </c>
      <c r="D781" s="2">
        <v>1483062678.37</v>
      </c>
      <c r="E781" s="2">
        <v>1</v>
      </c>
      <c r="F781" s="3">
        <f>IF(COUNT(D781,E781)=2,D781*E781,NA())</f>
        <v>1483062678.37</v>
      </c>
      <c r="G781" s="2" t="s">
        <v>50</v>
      </c>
      <c r="H781" s="2" t="s">
        <v>51</v>
      </c>
      <c r="I781" s="2" t="s">
        <v>52</v>
      </c>
      <c r="J781" s="2" t="s">
        <v>53</v>
      </c>
      <c r="K781" s="2" t="s">
        <v>2518</v>
      </c>
      <c r="L781" s="2" t="s">
        <v>2519</v>
      </c>
      <c r="M781" s="2" t="s">
        <v>392</v>
      </c>
      <c r="N781" s="2" t="s">
        <v>56</v>
      </c>
      <c r="O781" s="2" t="s">
        <v>2405</v>
      </c>
      <c r="P781" s="2"/>
      <c r="Q781" s="2" t="s">
        <v>2520</v>
      </c>
      <c r="R781" s="2"/>
    </row>
    <row r="782" spans="1:18">
      <c r="A782" s="2" t="s">
        <v>2521</v>
      </c>
      <c r="B782" s="2" t="s">
        <v>2513</v>
      </c>
      <c r="C782" s="2" t="s">
        <v>2522</v>
      </c>
      <c r="D782" s="2">
        <v>-262745918.72</v>
      </c>
      <c r="E782" s="2">
        <v>1</v>
      </c>
      <c r="F782" s="3">
        <f>IF(COUNT(D782,E782)=2,D782*E782,NA())</f>
        <v>-262745918.72</v>
      </c>
      <c r="G782" s="2" t="s">
        <v>50</v>
      </c>
      <c r="H782" s="2" t="s">
        <v>51</v>
      </c>
      <c r="I782" s="2" t="s">
        <v>52</v>
      </c>
      <c r="J782" s="2" t="s">
        <v>53</v>
      </c>
      <c r="K782" s="2" t="s">
        <v>2518</v>
      </c>
      <c r="L782" s="2" t="s">
        <v>2519</v>
      </c>
      <c r="M782" s="2" t="s">
        <v>392</v>
      </c>
      <c r="N782" s="2" t="s">
        <v>56</v>
      </c>
      <c r="O782" s="2" t="s">
        <v>2405</v>
      </c>
      <c r="P782" s="2"/>
      <c r="Q782" s="2" t="s">
        <v>2523</v>
      </c>
      <c r="R782" s="2"/>
    </row>
    <row r="783" spans="1:18">
      <c r="A783" s="2" t="s">
        <v>2524</v>
      </c>
      <c r="B783" s="2" t="s">
        <v>2507</v>
      </c>
      <c r="C783" s="2" t="s">
        <v>2525</v>
      </c>
      <c r="D783" s="2">
        <v>1340940976.69</v>
      </c>
      <c r="E783" s="2">
        <v>1</v>
      </c>
      <c r="F783" s="3">
        <f>IF(COUNT(D783,E783)=2,D783*E783,NA())</f>
        <v>1340940976.69</v>
      </c>
      <c r="G783" s="2" t="s">
        <v>50</v>
      </c>
      <c r="H783" s="2" t="s">
        <v>51</v>
      </c>
      <c r="I783" s="2" t="s">
        <v>52</v>
      </c>
      <c r="J783" s="2" t="s">
        <v>53</v>
      </c>
      <c r="K783" s="2" t="s">
        <v>1552</v>
      </c>
      <c r="L783" s="2" t="s">
        <v>54</v>
      </c>
      <c r="M783" s="2" t="s">
        <v>392</v>
      </c>
      <c r="N783" s="2" t="s">
        <v>56</v>
      </c>
      <c r="O783" s="2" t="s">
        <v>2405</v>
      </c>
      <c r="P783" s="2"/>
      <c r="Q783" s="2" t="s">
        <v>2526</v>
      </c>
      <c r="R783" s="2"/>
    </row>
    <row r="784" spans="1:18">
      <c r="A784" s="2" t="s">
        <v>2527</v>
      </c>
      <c r="B784" s="2" t="s">
        <v>2513</v>
      </c>
      <c r="C784" s="2" t="s">
        <v>2528</v>
      </c>
      <c r="D784" s="2">
        <v>1143546285.82</v>
      </c>
      <c r="E784" s="2">
        <v>1</v>
      </c>
      <c r="F784" s="3">
        <f>IF(COUNT(D784,E784)=2,D784*E784,NA())</f>
        <v>1143546285.82</v>
      </c>
      <c r="G784" s="2" t="s">
        <v>50</v>
      </c>
      <c r="H784" s="2" t="s">
        <v>51</v>
      </c>
      <c r="I784" s="2" t="s">
        <v>52</v>
      </c>
      <c r="J784" s="2" t="s">
        <v>53</v>
      </c>
      <c r="K784" s="2" t="s">
        <v>1552</v>
      </c>
      <c r="L784" s="2" t="s">
        <v>54</v>
      </c>
      <c r="M784" s="2" t="s">
        <v>392</v>
      </c>
      <c r="N784" s="2" t="s">
        <v>56</v>
      </c>
      <c r="O784" s="2" t="s">
        <v>2405</v>
      </c>
      <c r="P784" s="2"/>
      <c r="Q784" s="2" t="s">
        <v>2529</v>
      </c>
      <c r="R784" s="2"/>
    </row>
    <row r="785" spans="1:18">
      <c r="A785" s="2" t="s">
        <v>2530</v>
      </c>
      <c r="B785" s="2" t="s">
        <v>2531</v>
      </c>
      <c r="C785" s="2" t="s">
        <v>2532</v>
      </c>
      <c r="D785" s="2">
        <v>953293.41</v>
      </c>
      <c r="E785" s="2">
        <v>1</v>
      </c>
      <c r="F785" s="3">
        <f>IF(COUNT(D785,E785)=2,D785*E785,NA())</f>
        <v>953293.41</v>
      </c>
      <c r="G785" s="2" t="s">
        <v>50</v>
      </c>
      <c r="H785" s="2" t="s">
        <v>51</v>
      </c>
      <c r="I785" s="2" t="s">
        <v>52</v>
      </c>
      <c r="J785" s="2" t="s">
        <v>53</v>
      </c>
      <c r="K785" s="2" t="s">
        <v>391</v>
      </c>
      <c r="L785" s="2" t="s">
        <v>54</v>
      </c>
      <c r="M785" s="2" t="s">
        <v>392</v>
      </c>
      <c r="N785" s="2" t="s">
        <v>56</v>
      </c>
      <c r="O785" s="2" t="s">
        <v>2405</v>
      </c>
      <c r="P785" s="2"/>
      <c r="Q785" s="2" t="s">
        <v>2533</v>
      </c>
      <c r="R785" s="2"/>
    </row>
    <row r="786" spans="1:18">
      <c r="A786" s="2" t="s">
        <v>2534</v>
      </c>
      <c r="B786" s="2" t="s">
        <v>2535</v>
      </c>
      <c r="C786" s="2" t="s">
        <v>2536</v>
      </c>
      <c r="D786" s="2">
        <v>1538893522.81</v>
      </c>
      <c r="E786" s="2">
        <v>1</v>
      </c>
      <c r="F786" s="3">
        <f>IF(COUNT(D786,E786)=2,D786*E786,NA())</f>
        <v>1538893522.81</v>
      </c>
      <c r="G786" s="2" t="s">
        <v>50</v>
      </c>
      <c r="H786" s="2" t="s">
        <v>51</v>
      </c>
      <c r="I786" s="2" t="s">
        <v>52</v>
      </c>
      <c r="J786" s="2" t="s">
        <v>53</v>
      </c>
      <c r="K786" s="2"/>
      <c r="L786" s="2" t="s">
        <v>1702</v>
      </c>
      <c r="M786" s="2" t="s">
        <v>55</v>
      </c>
      <c r="N786" s="2" t="s">
        <v>56</v>
      </c>
      <c r="O786" s="2" t="s">
        <v>2405</v>
      </c>
      <c r="P786" s="2"/>
      <c r="Q786" s="2" t="s">
        <v>2537</v>
      </c>
      <c r="R786" s="2"/>
    </row>
    <row r="787" spans="1:18">
      <c r="A787" s="2" t="s">
        <v>2538</v>
      </c>
      <c r="B787" s="2" t="s">
        <v>2539</v>
      </c>
      <c r="C787" s="2" t="s">
        <v>2540</v>
      </c>
      <c r="D787" s="2">
        <v>395487256.65</v>
      </c>
      <c r="E787" s="2">
        <v>1</v>
      </c>
      <c r="F787" s="3">
        <f>IF(COUNT(D787,E787)=2,D787*E787,NA())</f>
        <v>395487256.65</v>
      </c>
      <c r="G787" s="2" t="s">
        <v>50</v>
      </c>
      <c r="H787" s="2" t="s">
        <v>51</v>
      </c>
      <c r="I787" s="2" t="s">
        <v>52</v>
      </c>
      <c r="J787" s="2" t="s">
        <v>53</v>
      </c>
      <c r="K787" s="2"/>
      <c r="L787" s="2" t="s">
        <v>1702</v>
      </c>
      <c r="M787" s="2" t="s">
        <v>55</v>
      </c>
      <c r="N787" s="2" t="s">
        <v>56</v>
      </c>
      <c r="O787" s="2" t="s">
        <v>2405</v>
      </c>
      <c r="P787" s="2" t="s">
        <v>2541</v>
      </c>
      <c r="Q787" s="2" t="s">
        <v>2542</v>
      </c>
      <c r="R787" s="2"/>
    </row>
    <row r="788" spans="1:18">
      <c r="A788" s="2" t="s">
        <v>2543</v>
      </c>
      <c r="B788" s="2" t="s">
        <v>2544</v>
      </c>
      <c r="C788" s="2" t="s">
        <v>2545</v>
      </c>
      <c r="D788" s="2">
        <v>544544.3100000001</v>
      </c>
      <c r="E788" s="2">
        <v>1</v>
      </c>
      <c r="F788" s="3">
        <f>IF(COUNT(D788,E788)=2,D788*E788,NA())</f>
        <v>544544.31</v>
      </c>
      <c r="G788" s="2" t="s">
        <v>50</v>
      </c>
      <c r="H788" s="2" t="s">
        <v>51</v>
      </c>
      <c r="I788" s="2" t="s">
        <v>52</v>
      </c>
      <c r="J788" s="2" t="s">
        <v>53</v>
      </c>
      <c r="K788" s="2"/>
      <c r="L788" s="2" t="s">
        <v>54</v>
      </c>
      <c r="M788" s="2" t="s">
        <v>55</v>
      </c>
      <c r="N788" s="2" t="s">
        <v>56</v>
      </c>
      <c r="O788" s="2" t="s">
        <v>2405</v>
      </c>
      <c r="P788" s="2"/>
      <c r="Q788" s="2" t="s">
        <v>2546</v>
      </c>
      <c r="R788" s="2"/>
    </row>
    <row r="789" spans="1:18">
      <c r="A789" s="2" t="s">
        <v>2547</v>
      </c>
      <c r="B789" s="2" t="s">
        <v>2548</v>
      </c>
      <c r="C789" s="2" t="s">
        <v>2549</v>
      </c>
      <c r="D789" s="2">
        <v>395116000</v>
      </c>
      <c r="E789" s="2">
        <v>1</v>
      </c>
      <c r="F789" s="3">
        <f>IF(COUNT(D789,E789)=2,D789*E789,NA())</f>
        <v>395116000.0</v>
      </c>
      <c r="G789" s="2" t="s">
        <v>50</v>
      </c>
      <c r="H789" s="2" t="s">
        <v>51</v>
      </c>
      <c r="I789" s="2" t="s">
        <v>52</v>
      </c>
      <c r="J789" s="2" t="s">
        <v>53</v>
      </c>
      <c r="K789" s="2"/>
      <c r="L789" s="2" t="s">
        <v>54</v>
      </c>
      <c r="M789" s="2" t="s">
        <v>55</v>
      </c>
      <c r="N789" s="2" t="s">
        <v>56</v>
      </c>
      <c r="O789" s="2" t="s">
        <v>2405</v>
      </c>
      <c r="P789" s="2" t="s">
        <v>2550</v>
      </c>
      <c r="Q789" s="2" t="s">
        <v>2551</v>
      </c>
      <c r="R789" s="2"/>
    </row>
    <row r="790" spans="1:18">
      <c r="A790" s="2" t="s">
        <v>2552</v>
      </c>
      <c r="B790" s="2" t="s">
        <v>2553</v>
      </c>
      <c r="C790" s="2" t="s">
        <v>2554</v>
      </c>
      <c r="D790" s="2">
        <v>11448000</v>
      </c>
      <c r="E790" s="2">
        <v>1</v>
      </c>
      <c r="F790" s="3">
        <f>IF(COUNT(D790,E790)=2,D790*E790,NA())</f>
        <v>11448000.0</v>
      </c>
      <c r="G790" s="2" t="s">
        <v>50</v>
      </c>
      <c r="H790" s="2" t="s">
        <v>51</v>
      </c>
      <c r="I790" s="2" t="s">
        <v>52</v>
      </c>
      <c r="J790" s="2" t="s">
        <v>53</v>
      </c>
      <c r="K790" s="2"/>
      <c r="L790" s="2" t="s">
        <v>54</v>
      </c>
      <c r="M790" s="2" t="s">
        <v>55</v>
      </c>
      <c r="N790" s="2" t="s">
        <v>56</v>
      </c>
      <c r="O790" s="2" t="s">
        <v>2405</v>
      </c>
      <c r="P790" s="2"/>
      <c r="Q790" s="2" t="s">
        <v>2555</v>
      </c>
      <c r="R790" s="2"/>
    </row>
    <row r="791" spans="1:18">
      <c r="A791" s="2" t="s">
        <v>2556</v>
      </c>
      <c r="B791" s="2" t="s">
        <v>2557</v>
      </c>
      <c r="C791" s="2" t="s">
        <v>2558</v>
      </c>
      <c r="D791" s="2">
        <v>335970.48</v>
      </c>
      <c r="E791" s="2">
        <v>1</v>
      </c>
      <c r="F791" s="3">
        <f>IF(COUNT(D791,E791)=2,D791*E791,NA())</f>
        <v>335970.48</v>
      </c>
      <c r="G791" s="2" t="s">
        <v>50</v>
      </c>
      <c r="H791" s="2" t="s">
        <v>51</v>
      </c>
      <c r="I791" s="2" t="s">
        <v>52</v>
      </c>
      <c r="J791" s="2" t="s">
        <v>53</v>
      </c>
      <c r="K791" s="2"/>
      <c r="L791" s="2" t="s">
        <v>54</v>
      </c>
      <c r="M791" s="2" t="s">
        <v>55</v>
      </c>
      <c r="N791" s="2" t="s">
        <v>56</v>
      </c>
      <c r="O791" s="2" t="s">
        <v>2405</v>
      </c>
      <c r="P791" s="2"/>
      <c r="Q791" s="2" t="s">
        <v>2559</v>
      </c>
      <c r="R791" s="2"/>
    </row>
    <row r="792" spans="1:18">
      <c r="A792" s="2" t="s">
        <v>2560</v>
      </c>
      <c r="B792" s="2" t="s">
        <v>823</v>
      </c>
      <c r="C792" s="2" t="s">
        <v>2561</v>
      </c>
      <c r="D792" s="2">
        <v>11001813.71</v>
      </c>
      <c r="E792" s="2">
        <v>1</v>
      </c>
      <c r="F792" s="3">
        <f>IF(COUNT(D792,E792)=2,D792*E792,NA())</f>
        <v>11001813.71</v>
      </c>
      <c r="G792" s="2" t="s">
        <v>50</v>
      </c>
      <c r="H792" s="2" t="s">
        <v>51</v>
      </c>
      <c r="I792" s="2" t="s">
        <v>52</v>
      </c>
      <c r="J792" s="2" t="s">
        <v>53</v>
      </c>
      <c r="K792" s="2"/>
      <c r="L792" s="2" t="s">
        <v>54</v>
      </c>
      <c r="M792" s="2" t="s">
        <v>55</v>
      </c>
      <c r="N792" s="2" t="s">
        <v>56</v>
      </c>
      <c r="O792" s="2" t="s">
        <v>2405</v>
      </c>
      <c r="P792" s="2"/>
      <c r="Q792" s="2" t="s">
        <v>2562</v>
      </c>
      <c r="R792" s="2"/>
    </row>
    <row r="793" spans="1:18">
      <c r="A793" s="2" t="s">
        <v>2563</v>
      </c>
      <c r="B793" s="2" t="s">
        <v>833</v>
      </c>
      <c r="C793" s="2" t="s">
        <v>2564</v>
      </c>
      <c r="D793" s="2">
        <v>22530890.53</v>
      </c>
      <c r="E793" s="2">
        <v>1</v>
      </c>
      <c r="F793" s="3">
        <f>IF(COUNT(D793,E793)=2,D793*E793,NA())</f>
        <v>22530890.53</v>
      </c>
      <c r="G793" s="2" t="s">
        <v>50</v>
      </c>
      <c r="H793" s="2" t="s">
        <v>51</v>
      </c>
      <c r="I793" s="2" t="s">
        <v>52</v>
      </c>
      <c r="J793" s="2" t="s">
        <v>53</v>
      </c>
      <c r="K793" s="2"/>
      <c r="L793" s="2" t="s">
        <v>54</v>
      </c>
      <c r="M793" s="2" t="s">
        <v>55</v>
      </c>
      <c r="N793" s="2" t="s">
        <v>56</v>
      </c>
      <c r="O793" s="2" t="s">
        <v>2405</v>
      </c>
      <c r="P793" s="2"/>
      <c r="Q793" s="2" t="s">
        <v>2565</v>
      </c>
      <c r="R793" s="2"/>
    </row>
    <row r="794" spans="1:18">
      <c r="A794" s="2" t="s">
        <v>2566</v>
      </c>
      <c r="B794" s="2" t="s">
        <v>2567</v>
      </c>
      <c r="C794" s="2" t="s">
        <v>2568</v>
      </c>
      <c r="D794" s="2">
        <v>108000</v>
      </c>
      <c r="E794" s="2">
        <v>10000</v>
      </c>
      <c r="F794" s="3">
        <f>IF(COUNT(D794,E794)=2,D794*E794,NA())</f>
        <v>1080000000.0</v>
      </c>
      <c r="G794" s="2" t="s">
        <v>50</v>
      </c>
      <c r="H794" s="2" t="s">
        <v>51</v>
      </c>
      <c r="I794" s="2" t="s">
        <v>52</v>
      </c>
      <c r="J794" s="2" t="s">
        <v>53</v>
      </c>
      <c r="K794" s="2"/>
      <c r="L794" s="2" t="s">
        <v>54</v>
      </c>
      <c r="M794" s="2" t="s">
        <v>55</v>
      </c>
      <c r="N794" s="2" t="s">
        <v>56</v>
      </c>
      <c r="O794" s="2" t="s">
        <v>2405</v>
      </c>
      <c r="P794" s="2" t="s">
        <v>2569</v>
      </c>
      <c r="Q794" s="2" t="s">
        <v>2570</v>
      </c>
      <c r="R794" s="2"/>
    </row>
    <row r="795" spans="1:18">
      <c r="A795" s="2" t="s">
        <v>2571</v>
      </c>
      <c r="B795" s="2" t="s">
        <v>2572</v>
      </c>
      <c r="C795" s="2" t="s">
        <v>2573</v>
      </c>
      <c r="D795" s="2">
        <v>1109971693</v>
      </c>
      <c r="E795" s="2">
        <v>1</v>
      </c>
      <c r="F795" s="3">
        <f>IF(COUNT(D795,E795)=2,D795*E795,NA())</f>
        <v>1109971693.0</v>
      </c>
      <c r="G795" s="2" t="s">
        <v>1972</v>
      </c>
      <c r="H795" s="2"/>
      <c r="I795" s="2" t="s">
        <v>52</v>
      </c>
      <c r="J795" s="2" t="s">
        <v>2574</v>
      </c>
      <c r="K795" s="2"/>
      <c r="L795" s="2" t="s">
        <v>2575</v>
      </c>
      <c r="M795" s="2" t="s">
        <v>55</v>
      </c>
      <c r="N795" s="2" t="s">
        <v>56</v>
      </c>
      <c r="O795" s="2" t="s">
        <v>2576</v>
      </c>
      <c r="P795" s="2" t="s">
        <v>2577</v>
      </c>
      <c r="Q795" s="2" t="s">
        <v>2578</v>
      </c>
      <c r="R795" s="2" t="s">
        <v>2032</v>
      </c>
    </row>
    <row r="796" spans="1:18">
      <c r="A796" s="2" t="s">
        <v>2579</v>
      </c>
      <c r="B796" s="2" t="s">
        <v>2580</v>
      </c>
      <c r="C796" s="2" t="s">
        <v>2581</v>
      </c>
      <c r="D796" s="2">
        <v>1935184381.75</v>
      </c>
      <c r="E796" s="2">
        <v>1</v>
      </c>
      <c r="F796" s="3">
        <f>IF(COUNT(D796,E796)=2,D796*E796,NA())</f>
        <v>1935184381.75</v>
      </c>
      <c r="G796" s="2" t="s">
        <v>50</v>
      </c>
      <c r="H796" s="2" t="s">
        <v>51</v>
      </c>
      <c r="I796" s="2" t="s">
        <v>52</v>
      </c>
      <c r="J796" s="2" t="s">
        <v>1294</v>
      </c>
      <c r="K796" s="2"/>
      <c r="L796" s="2" t="s">
        <v>54</v>
      </c>
      <c r="M796" s="2" t="s">
        <v>55</v>
      </c>
      <c r="N796" s="2" t="s">
        <v>56</v>
      </c>
      <c r="O796" s="2" t="s">
        <v>2582</v>
      </c>
      <c r="P796" s="2" t="s">
        <v>2583</v>
      </c>
      <c r="Q796" s="2" t="s">
        <v>2584</v>
      </c>
      <c r="R796" s="2"/>
    </row>
    <row r="797" spans="1:18">
      <c r="A797" s="2" t="s">
        <v>2585</v>
      </c>
      <c r="B797" s="2" t="s">
        <v>2586</v>
      </c>
      <c r="C797" s="2" t="s">
        <v>2587</v>
      </c>
      <c r="D797" s="2">
        <v>799139470.86</v>
      </c>
      <c r="E797" s="2">
        <v>1</v>
      </c>
      <c r="F797" s="3">
        <f>IF(COUNT(D797,E797)=2,D797*E797,NA())</f>
        <v>799139470.86</v>
      </c>
      <c r="G797" s="2" t="s">
        <v>50</v>
      </c>
      <c r="H797" s="2" t="s">
        <v>51</v>
      </c>
      <c r="I797" s="2" t="s">
        <v>52</v>
      </c>
      <c r="J797" s="2" t="s">
        <v>1294</v>
      </c>
      <c r="K797" s="2"/>
      <c r="L797" s="2" t="s">
        <v>54</v>
      </c>
      <c r="M797" s="2" t="s">
        <v>55</v>
      </c>
      <c r="N797" s="2" t="s">
        <v>56</v>
      </c>
      <c r="O797" s="2" t="s">
        <v>2582</v>
      </c>
      <c r="P797" s="2" t="s">
        <v>2583</v>
      </c>
      <c r="Q797" s="2" t="s">
        <v>2588</v>
      </c>
      <c r="R797" s="2"/>
    </row>
    <row r="798" spans="1:18">
      <c r="A798" s="2" t="s">
        <v>2589</v>
      </c>
      <c r="B798" s="2" t="s">
        <v>2590</v>
      </c>
      <c r="C798" s="2" t="s">
        <v>2591</v>
      </c>
      <c r="D798" s="2">
        <v>1579399896.6</v>
      </c>
      <c r="E798" s="2">
        <v>1</v>
      </c>
      <c r="F798" s="3">
        <f>IF(COUNT(D798,E798)=2,D798*E798,NA())</f>
        <v>1579399896.6</v>
      </c>
      <c r="G798" s="2" t="s">
        <v>50</v>
      </c>
      <c r="H798" s="2" t="s">
        <v>51</v>
      </c>
      <c r="I798" s="2" t="s">
        <v>52</v>
      </c>
      <c r="J798" s="2" t="s">
        <v>1294</v>
      </c>
      <c r="K798" s="2"/>
      <c r="L798" s="2" t="s">
        <v>54</v>
      </c>
      <c r="M798" s="2" t="s">
        <v>55</v>
      </c>
      <c r="N798" s="2" t="s">
        <v>56</v>
      </c>
      <c r="O798" s="2" t="s">
        <v>2582</v>
      </c>
      <c r="P798" s="2" t="s">
        <v>2583</v>
      </c>
      <c r="Q798" s="2" t="s">
        <v>2592</v>
      </c>
      <c r="R798" s="2"/>
    </row>
    <row r="799" spans="1:18">
      <c r="A799" s="2" t="s">
        <v>2593</v>
      </c>
      <c r="B799" s="2" t="s">
        <v>2594</v>
      </c>
      <c r="C799" s="2" t="s">
        <v>2595</v>
      </c>
      <c r="D799" s="2">
        <v>416446753.35</v>
      </c>
      <c r="E799" s="2">
        <v>1</v>
      </c>
      <c r="F799" s="3">
        <f>IF(COUNT(D799,E799)=2,D799*E799,NA())</f>
        <v>416446753.35</v>
      </c>
      <c r="G799" s="2" t="s">
        <v>50</v>
      </c>
      <c r="H799" s="2" t="s">
        <v>51</v>
      </c>
      <c r="I799" s="2" t="s">
        <v>52</v>
      </c>
      <c r="J799" s="2" t="s">
        <v>1294</v>
      </c>
      <c r="K799" s="2"/>
      <c r="L799" s="2" t="s">
        <v>54</v>
      </c>
      <c r="M799" s="2" t="s">
        <v>55</v>
      </c>
      <c r="N799" s="2" t="s">
        <v>56</v>
      </c>
      <c r="O799" s="2" t="s">
        <v>2582</v>
      </c>
      <c r="P799" s="2" t="s">
        <v>2583</v>
      </c>
      <c r="Q799" s="2" t="s">
        <v>2596</v>
      </c>
      <c r="R799" s="2"/>
    </row>
    <row r="800" spans="1:18">
      <c r="A800" s="2" t="s">
        <v>2597</v>
      </c>
      <c r="B800" s="2" t="s">
        <v>2598</v>
      </c>
      <c r="C800" s="2" t="s">
        <v>2599</v>
      </c>
      <c r="D800" s="2">
        <v>399067537.86</v>
      </c>
      <c r="E800" s="2">
        <v>1</v>
      </c>
      <c r="F800" s="3">
        <f>IF(COUNT(D800,E800)=2,D800*E800,NA())</f>
        <v>399067537.86</v>
      </c>
      <c r="G800" s="2" t="s">
        <v>50</v>
      </c>
      <c r="H800" s="2" t="s">
        <v>51</v>
      </c>
      <c r="I800" s="2" t="s">
        <v>52</v>
      </c>
      <c r="J800" s="2" t="s">
        <v>1294</v>
      </c>
      <c r="K800" s="2"/>
      <c r="L800" s="2" t="s">
        <v>54</v>
      </c>
      <c r="M800" s="2" t="s">
        <v>55</v>
      </c>
      <c r="N800" s="2" t="s">
        <v>56</v>
      </c>
      <c r="O800" s="2" t="s">
        <v>2582</v>
      </c>
      <c r="P800" s="2" t="s">
        <v>2583</v>
      </c>
      <c r="Q800" s="2" t="s">
        <v>2600</v>
      </c>
      <c r="R800" s="2"/>
    </row>
    <row r="801" spans="1:18">
      <c r="A801" s="2" t="s">
        <v>2601</v>
      </c>
      <c r="B801" s="2" t="s">
        <v>2602</v>
      </c>
      <c r="C801" s="2" t="s">
        <v>2603</v>
      </c>
      <c r="D801" s="2">
        <v>4632192095.49</v>
      </c>
      <c r="E801" s="2">
        <v>1</v>
      </c>
      <c r="F801" s="3">
        <f>IF(COUNT(D801,E801)=2,D801*E801,NA())</f>
        <v>4632192095.49</v>
      </c>
      <c r="G801" s="2" t="s">
        <v>50</v>
      </c>
      <c r="H801" s="2" t="s">
        <v>51</v>
      </c>
      <c r="I801" s="2" t="s">
        <v>52</v>
      </c>
      <c r="J801" s="2" t="s">
        <v>1294</v>
      </c>
      <c r="K801" s="2"/>
      <c r="L801" s="2" t="s">
        <v>54</v>
      </c>
      <c r="M801" s="2" t="s">
        <v>55</v>
      </c>
      <c r="N801" s="2" t="s">
        <v>56</v>
      </c>
      <c r="O801" s="2" t="s">
        <v>2582</v>
      </c>
      <c r="P801" s="2" t="s">
        <v>2583</v>
      </c>
      <c r="Q801" s="2" t="s">
        <v>2604</v>
      </c>
      <c r="R801" s="2"/>
    </row>
    <row r="802" spans="1:18">
      <c r="A802" s="2" t="s">
        <v>2605</v>
      </c>
      <c r="B802" s="2" t="s">
        <v>2606</v>
      </c>
      <c r="C802" s="2" t="s">
        <v>2607</v>
      </c>
      <c r="D802" s="2">
        <v>2313383227.05</v>
      </c>
      <c r="E802" s="2">
        <v>1</v>
      </c>
      <c r="F802" s="3">
        <f>IF(COUNT(D802,E802)=2,D802*E802,NA())</f>
        <v>2313383227.05</v>
      </c>
      <c r="G802" s="2" t="s">
        <v>50</v>
      </c>
      <c r="H802" s="2" t="s">
        <v>51</v>
      </c>
      <c r="I802" s="2" t="s">
        <v>52</v>
      </c>
      <c r="J802" s="2" t="s">
        <v>1294</v>
      </c>
      <c r="K802" s="2"/>
      <c r="L802" s="2" t="s">
        <v>54</v>
      </c>
      <c r="M802" s="2" t="s">
        <v>55</v>
      </c>
      <c r="N802" s="2" t="s">
        <v>56</v>
      </c>
      <c r="O802" s="2" t="s">
        <v>2582</v>
      </c>
      <c r="P802" s="2" t="s">
        <v>2583</v>
      </c>
      <c r="Q802" s="2" t="s">
        <v>2608</v>
      </c>
      <c r="R802" s="2"/>
    </row>
    <row r="803" spans="1:18">
      <c r="A803" s="2" t="s">
        <v>2609</v>
      </c>
      <c r="B803" s="2" t="s">
        <v>2610</v>
      </c>
      <c r="C803" s="2" t="s">
        <v>2611</v>
      </c>
      <c r="D803" s="2">
        <v>521016327.84</v>
      </c>
      <c r="E803" s="2">
        <v>1</v>
      </c>
      <c r="F803" s="3">
        <f>IF(COUNT(D803,E803)=2,D803*E803,NA())</f>
        <v>521016327.84</v>
      </c>
      <c r="G803" s="2" t="s">
        <v>50</v>
      </c>
      <c r="H803" s="2" t="s">
        <v>51</v>
      </c>
      <c r="I803" s="2" t="s">
        <v>52</v>
      </c>
      <c r="J803" s="2" t="s">
        <v>1294</v>
      </c>
      <c r="K803" s="2" t="s">
        <v>391</v>
      </c>
      <c r="L803" s="2" t="s">
        <v>54</v>
      </c>
      <c r="M803" s="2" t="s">
        <v>392</v>
      </c>
      <c r="N803" s="2" t="s">
        <v>56</v>
      </c>
      <c r="O803" s="2" t="s">
        <v>2582</v>
      </c>
      <c r="P803" s="2" t="s">
        <v>2583</v>
      </c>
      <c r="Q803" s="2" t="s">
        <v>2612</v>
      </c>
      <c r="R803" s="2"/>
    </row>
    <row r="804" spans="1:18">
      <c r="A804" s="2" t="s">
        <v>2613</v>
      </c>
      <c r="B804" s="2" t="s">
        <v>2614</v>
      </c>
      <c r="C804" s="2" t="s">
        <v>2615</v>
      </c>
      <c r="D804" s="2">
        <v>1098.92</v>
      </c>
      <c r="E804" s="2">
        <v>10000</v>
      </c>
      <c r="F804" s="3">
        <f>IF(COUNT(D804,E804)=2,D804*E804,NA())</f>
        <v>10989200.0</v>
      </c>
      <c r="G804" s="2" t="s">
        <v>50</v>
      </c>
      <c r="H804" s="2" t="s">
        <v>51</v>
      </c>
      <c r="I804" s="2" t="s">
        <v>52</v>
      </c>
      <c r="J804" s="2" t="s">
        <v>2616</v>
      </c>
      <c r="K804" s="2"/>
      <c r="L804" s="2" t="s">
        <v>54</v>
      </c>
      <c r="M804" s="2" t="s">
        <v>55</v>
      </c>
      <c r="N804" s="2" t="s">
        <v>56</v>
      </c>
      <c r="O804" s="2" t="s">
        <v>2617</v>
      </c>
      <c r="P804" s="2" t="s">
        <v>2618</v>
      </c>
      <c r="Q804" s="2" t="s">
        <v>2619</v>
      </c>
      <c r="R804" s="2"/>
    </row>
    <row r="805" spans="1:18">
      <c r="A805" s="2" t="s">
        <v>2620</v>
      </c>
      <c r="B805" s="2" t="s">
        <v>2621</v>
      </c>
      <c r="C805" s="2" t="s">
        <v>2615</v>
      </c>
      <c r="D805" s="2">
        <v>5494.62</v>
      </c>
      <c r="E805" s="2">
        <v>10000</v>
      </c>
      <c r="F805" s="3">
        <f>IF(COUNT(D805,E805)=2,D805*E805,NA())</f>
        <v>54946200.0</v>
      </c>
      <c r="G805" s="2" t="s">
        <v>50</v>
      </c>
      <c r="H805" s="2" t="s">
        <v>51</v>
      </c>
      <c r="I805" s="2" t="s">
        <v>52</v>
      </c>
      <c r="J805" s="2" t="s">
        <v>2616</v>
      </c>
      <c r="K805" s="2"/>
      <c r="L805" s="2" t="s">
        <v>54</v>
      </c>
      <c r="M805" s="2" t="s">
        <v>55</v>
      </c>
      <c r="N805" s="2" t="s">
        <v>56</v>
      </c>
      <c r="O805" s="2" t="s">
        <v>2617</v>
      </c>
      <c r="P805" s="2" t="s">
        <v>2618</v>
      </c>
      <c r="Q805" s="2" t="s">
        <v>2622</v>
      </c>
      <c r="R805" s="2"/>
    </row>
    <row r="806" spans="1:18">
      <c r="A806" s="2" t="s">
        <v>2623</v>
      </c>
      <c r="B806" s="2" t="s">
        <v>2624</v>
      </c>
      <c r="C806" s="2" t="s">
        <v>2615</v>
      </c>
      <c r="D806" s="2">
        <v>256706.51</v>
      </c>
      <c r="E806" s="2">
        <v>10000</v>
      </c>
      <c r="F806" s="3">
        <f>IF(COUNT(D806,E806)=2,D806*E806,NA())</f>
        <v>2567065100.0</v>
      </c>
      <c r="G806" s="2" t="s">
        <v>50</v>
      </c>
      <c r="H806" s="2" t="s">
        <v>51</v>
      </c>
      <c r="I806" s="2" t="s">
        <v>52</v>
      </c>
      <c r="J806" s="2" t="s">
        <v>2616</v>
      </c>
      <c r="K806" s="2"/>
      <c r="L806" s="2" t="s">
        <v>54</v>
      </c>
      <c r="M806" s="2" t="s">
        <v>55</v>
      </c>
      <c r="N806" s="2" t="s">
        <v>56</v>
      </c>
      <c r="O806" s="2" t="s">
        <v>2617</v>
      </c>
      <c r="P806" s="2" t="s">
        <v>2618</v>
      </c>
      <c r="Q806" s="2" t="s">
        <v>2625</v>
      </c>
      <c r="R806" s="2"/>
    </row>
    <row r="807" spans="1:18">
      <c r="A807" s="2" t="s">
        <v>2626</v>
      </c>
      <c r="B807" s="2" t="s">
        <v>2627</v>
      </c>
      <c r="C807" s="2" t="s">
        <v>2615</v>
      </c>
      <c r="D807" s="2">
        <v>263300.05</v>
      </c>
      <c r="E807" s="2">
        <v>10000</v>
      </c>
      <c r="F807" s="3">
        <f>IF(COUNT(D807,E807)=2,D807*E807,NA())</f>
        <v>2633000500.0</v>
      </c>
      <c r="G807" s="2" t="s">
        <v>50</v>
      </c>
      <c r="H807" s="2" t="s">
        <v>51</v>
      </c>
      <c r="I807" s="2" t="s">
        <v>52</v>
      </c>
      <c r="J807" s="2" t="s">
        <v>2616</v>
      </c>
      <c r="K807" s="2"/>
      <c r="L807" s="2" t="s">
        <v>54</v>
      </c>
      <c r="M807" s="2" t="s">
        <v>55</v>
      </c>
      <c r="N807" s="2" t="s">
        <v>56</v>
      </c>
      <c r="O807" s="2" t="s">
        <v>2617</v>
      </c>
      <c r="P807" s="2" t="s">
        <v>2618</v>
      </c>
      <c r="Q807" s="2" t="s">
        <v>2628</v>
      </c>
      <c r="R807" s="2"/>
    </row>
  </sheetData>
  <autoFilter ref="A1:R807"/>
  <pageMargins left="0.7" right="0.7" top="0.75" bottom="0.75" header="0.3" footer="0.3"/>
</worksheet>
</file>

<file path=xl/worksheets/sheet3.xml><?xml version="1.0" encoding="utf-8"?>
<worksheet xmlns="http://schemas.openxmlformats.org/spreadsheetml/2006/main" xmlns:r="http://schemas.openxmlformats.org/officeDocument/2006/relationships">
  <sheetPr>
    <pageSetUpPr fitToPage="1"/>
  </sheetPr>
  <dimension ref="A1:O249"/>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4.7109375" customWidth="1"/>
    <col min="2" max="2" width="20.7109375" customWidth="1"/>
    <col min="3" max="3" width="44.7109375" customWidth="1"/>
    <col min="4" max="5" width="24.7109375" customWidth="1"/>
    <col min="6" max="6" width="13.7109375" customWidth="1"/>
    <col min="7" max="7" width="18.7109375" customWidth="1"/>
    <col min="8" max="8" width="22.7109375" customWidth="1"/>
    <col min="9" max="9" width="24.7109375" customWidth="1"/>
    <col min="10" max="10" width="12.7109375" customWidth="1"/>
    <col min="11" max="11" width="8.7109375" customWidth="1"/>
    <col min="12" max="12" width="16.7109375" customWidth="1"/>
    <col min="13" max="13" width="10.7109375" customWidth="1"/>
    <col min="14" max="15" width="11.7109375" customWidth="1"/>
  </cols>
  <sheetData>
    <row r="1" spans="1:15" ht="32" customHeight="1">
      <c r="A1" s="1" t="s">
        <v>31</v>
      </c>
      <c r="B1" s="1" t="s">
        <v>2629</v>
      </c>
      <c r="C1" s="1" t="s">
        <v>2630</v>
      </c>
      <c r="D1" s="1" t="s">
        <v>2631</v>
      </c>
      <c r="E1" s="1" t="s">
        <v>2632</v>
      </c>
      <c r="F1" s="1" t="s">
        <v>43</v>
      </c>
      <c r="G1" s="1" t="s">
        <v>2633</v>
      </c>
      <c r="H1" s="1" t="s">
        <v>2634</v>
      </c>
      <c r="I1" s="1" t="s">
        <v>2635</v>
      </c>
      <c r="J1" s="1" t="s">
        <v>2636</v>
      </c>
      <c r="K1" s="1" t="s">
        <v>35</v>
      </c>
      <c r="L1" s="1" t="s">
        <v>39</v>
      </c>
      <c r="M1" s="1" t="s">
        <v>8</v>
      </c>
      <c r="N1" s="1" t="s">
        <v>40</v>
      </c>
      <c r="O1" s="1" t="s">
        <v>41</v>
      </c>
    </row>
    <row r="2" spans="1:15">
      <c r="A2" s="2" t="s">
        <v>2637</v>
      </c>
      <c r="B2" s="2" t="s">
        <v>2638</v>
      </c>
      <c r="C2" s="2" t="s">
        <v>3097</v>
      </c>
      <c r="D2" s="3">
        <f>(('Facts'!F2*1)+('Facts'!F4*1)+('Facts'!F6*1)+('Facts'!F8*1)+('Facts'!F10*1)+('Facts'!F12*1)+('Facts'!F14*1)+('Facts'!F16*1)+('Facts'!F18*1)+('Facts'!F21*1))*1</f>
        <v>7987756263.87</v>
      </c>
      <c r="E2" s="3">
        <f>D2/K2</f>
        <v>7987756263.87</v>
      </c>
      <c r="F2" s="2" t="str">
        <f>IF(ISNUMBER(D2),"calculated","not_calculated")</f>
        <v>calculated</v>
      </c>
      <c r="G2" s="2">
        <f>IF(ISNUMBER(D2),"","检查缺失值、分母与输入；口径变更须重跑Python")</f>
        <v/>
      </c>
      <c r="H2" s="2" t="s">
        <v>2638</v>
      </c>
      <c r="I2" s="2" t="s">
        <v>2640</v>
      </c>
      <c r="J2" s="2" t="s">
        <v>51</v>
      </c>
      <c r="K2" s="2">
        <v>1</v>
      </c>
      <c r="L2" s="2" t="s">
        <v>52</v>
      </c>
      <c r="M2" s="2" t="s">
        <v>53</v>
      </c>
      <c r="N2" s="2"/>
      <c r="O2" s="2" t="s">
        <v>54</v>
      </c>
    </row>
    <row r="3" spans="1:15">
      <c r="A3" s="2" t="s">
        <v>2641</v>
      </c>
      <c r="B3" s="2" t="s">
        <v>2642</v>
      </c>
      <c r="C3" s="2" t="s">
        <v>3098</v>
      </c>
      <c r="D3" s="3">
        <f>(('Facts'!F26*1)+('Facts'!F28*1)+('Facts'!F30*1)+('Facts'!F32*1)+('Facts'!F34*1)+('Facts'!F36*1)+('Facts'!F38*1)+('Facts'!F40*1)+('Facts'!F42*1)+('Facts'!F44*1)+('Facts'!F46*1)+('Facts'!F48*1))*1</f>
        <v>4412319599.86</v>
      </c>
      <c r="E3" s="3">
        <f>D3/K3</f>
        <v>4412319599.86</v>
      </c>
      <c r="F3" s="2" t="str">
        <f>IF(ISNUMBER(D3),"calculated","not_calculated")</f>
        <v>calculated</v>
      </c>
      <c r="G3" s="2">
        <f>IF(ISNUMBER(D3),"","检查缺失值、分母与输入；口径变更须重跑Python")</f>
        <v/>
      </c>
      <c r="H3" s="2" t="s">
        <v>2642</v>
      </c>
      <c r="I3" s="2" t="s">
        <v>2640</v>
      </c>
      <c r="J3" s="2" t="s">
        <v>51</v>
      </c>
      <c r="K3" s="2">
        <v>1</v>
      </c>
      <c r="L3" s="2" t="s">
        <v>52</v>
      </c>
      <c r="M3" s="2" t="s">
        <v>53</v>
      </c>
      <c r="N3" s="2"/>
      <c r="O3" s="2" t="s">
        <v>54</v>
      </c>
    </row>
    <row r="4" spans="1:15">
      <c r="A4" s="2" t="s">
        <v>2643</v>
      </c>
      <c r="B4" s="2" t="s">
        <v>2644</v>
      </c>
      <c r="C4" s="2" t="s">
        <v>3099</v>
      </c>
      <c r="D4" s="3">
        <f>(('Facts'!F54*1)+('Facts'!F56*1)+('Facts'!F58*1)+('Facts'!F60*1)+('Facts'!F62*1)+('Facts'!F64*1)+('Facts'!F66*1)+('Facts'!F68*1)+('Facts'!F70*1))*1</f>
        <v>5692405541.79</v>
      </c>
      <c r="E4" s="3">
        <f>D4/K4</f>
        <v>5692405541.79</v>
      </c>
      <c r="F4" s="2" t="str">
        <f>IF(ISNUMBER(D4),"calculated","not_calculated")</f>
        <v>calculated</v>
      </c>
      <c r="G4" s="2">
        <f>IF(ISNUMBER(D4),"","检查缺失值、分母与输入；口径变更须重跑Python")</f>
        <v/>
      </c>
      <c r="H4" s="2" t="s">
        <v>2644</v>
      </c>
      <c r="I4" s="2" t="s">
        <v>2640</v>
      </c>
      <c r="J4" s="2" t="s">
        <v>51</v>
      </c>
      <c r="K4" s="2">
        <v>1</v>
      </c>
      <c r="L4" s="2" t="s">
        <v>52</v>
      </c>
      <c r="M4" s="2" t="s">
        <v>53</v>
      </c>
      <c r="N4" s="2"/>
      <c r="O4" s="2" t="s">
        <v>54</v>
      </c>
    </row>
    <row r="5" spans="1:15">
      <c r="A5" s="2" t="s">
        <v>2645</v>
      </c>
      <c r="B5" s="2" t="s">
        <v>2646</v>
      </c>
      <c r="C5" s="2" t="s">
        <v>3100</v>
      </c>
      <c r="D5" s="3">
        <f>(('Facts'!F74*1)+('Facts'!F76*1)+('Facts'!F78*1)+('Facts'!F80*1)+('Facts'!F82*1)+('Facts'!F84*1))*1</f>
        <v>2655596517.19</v>
      </c>
      <c r="E5" s="3">
        <f>D5/K5</f>
        <v>2655596517.19</v>
      </c>
      <c r="F5" s="2" t="str">
        <f>IF(ISNUMBER(D5),"calculated","not_calculated")</f>
        <v>calculated</v>
      </c>
      <c r="G5" s="2">
        <f>IF(ISNUMBER(D5),"","检查缺失值、分母与输入；口径变更须重跑Python")</f>
        <v/>
      </c>
      <c r="H5" s="2" t="s">
        <v>2646</v>
      </c>
      <c r="I5" s="2" t="s">
        <v>2640</v>
      </c>
      <c r="J5" s="2" t="s">
        <v>51</v>
      </c>
      <c r="K5" s="2">
        <v>1</v>
      </c>
      <c r="L5" s="2" t="s">
        <v>52</v>
      </c>
      <c r="M5" s="2" t="s">
        <v>53</v>
      </c>
      <c r="N5" s="2"/>
      <c r="O5" s="2" t="s">
        <v>54</v>
      </c>
    </row>
    <row r="6" spans="1:15">
      <c r="A6" s="2" t="s">
        <v>2647</v>
      </c>
      <c r="B6" s="2" t="s">
        <v>2648</v>
      </c>
      <c r="C6" s="2" t="s">
        <v>3101</v>
      </c>
      <c r="D6" s="3">
        <f>(('Facts'!F90*1)+('Facts'!F92*1)+('Facts'!F94*1)+('Facts'!F96*1)+('Facts'!F98*1)+('Facts'!F100*1)+('Facts'!F103*1))*1</f>
        <v>3968797075.77</v>
      </c>
      <c r="E6" s="3">
        <f>D6/K6</f>
        <v>3968797075.77</v>
      </c>
      <c r="F6" s="2" t="str">
        <f>IF(ISNUMBER(D6),"calculated","not_calculated")</f>
        <v>calculated</v>
      </c>
      <c r="G6" s="2">
        <f>IF(ISNUMBER(D6),"","检查缺失值、分母与输入；口径变更须重跑Python")</f>
        <v/>
      </c>
      <c r="H6" s="2" t="s">
        <v>2648</v>
      </c>
      <c r="I6" s="2" t="s">
        <v>2640</v>
      </c>
      <c r="J6" s="2" t="s">
        <v>51</v>
      </c>
      <c r="K6" s="2">
        <v>1</v>
      </c>
      <c r="L6" s="2" t="s">
        <v>52</v>
      </c>
      <c r="M6" s="2" t="s">
        <v>53</v>
      </c>
      <c r="N6" s="2"/>
      <c r="O6" s="2" t="s">
        <v>54</v>
      </c>
    </row>
    <row r="7" spans="1:15">
      <c r="A7" s="2" t="s">
        <v>2649</v>
      </c>
      <c r="B7" s="2" t="s">
        <v>2650</v>
      </c>
      <c r="C7" s="2" t="s">
        <v>3102</v>
      </c>
      <c r="D7" s="3">
        <f>(('Facts'!F105*1)+('Facts'!F107*1))*1</f>
        <v>4052073804.75</v>
      </c>
      <c r="E7" s="3">
        <f>D7/K7</f>
        <v>4052073804.75</v>
      </c>
      <c r="F7" s="2" t="str">
        <f>IF(ISNUMBER(D7),"calculated","not_calculated")</f>
        <v>calculated</v>
      </c>
      <c r="G7" s="2">
        <f>IF(ISNUMBER(D7),"","检查缺失值、分母与输入；口径变更须重跑Python")</f>
        <v/>
      </c>
      <c r="H7" s="2" t="s">
        <v>2650</v>
      </c>
      <c r="I7" s="2" t="s">
        <v>2640</v>
      </c>
      <c r="J7" s="2" t="s">
        <v>51</v>
      </c>
      <c r="K7" s="2">
        <v>1</v>
      </c>
      <c r="L7" s="2" t="s">
        <v>52</v>
      </c>
      <c r="M7" s="2" t="s">
        <v>53</v>
      </c>
      <c r="N7" s="2"/>
      <c r="O7" s="2" t="s">
        <v>54</v>
      </c>
    </row>
    <row r="8" spans="1:15">
      <c r="A8" s="2" t="s">
        <v>2651</v>
      </c>
      <c r="B8" s="2" t="s">
        <v>2652</v>
      </c>
      <c r="C8" s="2" t="s">
        <v>3103</v>
      </c>
      <c r="D8" s="3">
        <f>(('Facts'!F23*1)+('Facts'!F50*1))*1</f>
        <v>12400075863.73</v>
      </c>
      <c r="E8" s="3">
        <f>D8/K8</f>
        <v>12400075863.73</v>
      </c>
      <c r="F8" s="2" t="str">
        <f>IF(ISNUMBER(D8),"calculated","not_calculated")</f>
        <v>calculated</v>
      </c>
      <c r="G8" s="2">
        <f>IF(ISNUMBER(D8),"","检查缺失值、分母与输入；口径变更须重跑Python")</f>
        <v/>
      </c>
      <c r="H8" s="2" t="s">
        <v>2652</v>
      </c>
      <c r="I8" s="2" t="s">
        <v>2640</v>
      </c>
      <c r="J8" s="2" t="s">
        <v>51</v>
      </c>
      <c r="K8" s="2">
        <v>1</v>
      </c>
      <c r="L8" s="2" t="s">
        <v>52</v>
      </c>
      <c r="M8" s="2" t="s">
        <v>53</v>
      </c>
      <c r="N8" s="2"/>
      <c r="O8" s="2" t="s">
        <v>54</v>
      </c>
    </row>
    <row r="9" spans="1:15">
      <c r="A9" s="2" t="s">
        <v>2653</v>
      </c>
      <c r="B9" s="2" t="s">
        <v>2654</v>
      </c>
      <c r="C9" s="2" t="s">
        <v>3104</v>
      </c>
      <c r="D9" s="3">
        <f>(('Facts'!F72*1)+('Facts'!F86*1))*1</f>
        <v>8348002058.98</v>
      </c>
      <c r="E9" s="3">
        <f>D9/K9</f>
        <v>8348002058.98</v>
      </c>
      <c r="F9" s="2" t="str">
        <f>IF(ISNUMBER(D9),"calculated","not_calculated")</f>
        <v>calculated</v>
      </c>
      <c r="G9" s="2">
        <f>IF(ISNUMBER(D9),"","检查缺失值、分母与输入；口径变更须重跑Python")</f>
        <v/>
      </c>
      <c r="H9" s="2" t="s">
        <v>2654</v>
      </c>
      <c r="I9" s="2" t="s">
        <v>2640</v>
      </c>
      <c r="J9" s="2" t="s">
        <v>51</v>
      </c>
      <c r="K9" s="2">
        <v>1</v>
      </c>
      <c r="L9" s="2" t="s">
        <v>52</v>
      </c>
      <c r="M9" s="2" t="s">
        <v>53</v>
      </c>
      <c r="N9" s="2"/>
      <c r="O9" s="2" t="s">
        <v>54</v>
      </c>
    </row>
    <row r="10" spans="1:15">
      <c r="A10" s="2" t="s">
        <v>2655</v>
      </c>
      <c r="B10" s="2" t="s">
        <v>2656</v>
      </c>
      <c r="C10" s="2" t="s">
        <v>3105</v>
      </c>
      <c r="D10" s="3">
        <f>(('Facts'!F88*1)+('Facts'!F109*1))*1</f>
        <v>12400075863.73</v>
      </c>
      <c r="E10" s="3">
        <f>D10/K10</f>
        <v>12400075863.73</v>
      </c>
      <c r="F10" s="2" t="str">
        <f>IF(ISNUMBER(D10),"calculated","not_calculated")</f>
        <v>calculated</v>
      </c>
      <c r="G10" s="2">
        <f>IF(ISNUMBER(D10),"","检查缺失值、分母与输入；口径变更须重跑Python")</f>
        <v/>
      </c>
      <c r="H10" s="2" t="s">
        <v>2656</v>
      </c>
      <c r="I10" s="2" t="s">
        <v>2640</v>
      </c>
      <c r="J10" s="2" t="s">
        <v>51</v>
      </c>
      <c r="K10" s="2">
        <v>1</v>
      </c>
      <c r="L10" s="2" t="s">
        <v>52</v>
      </c>
      <c r="M10" s="2" t="s">
        <v>53</v>
      </c>
      <c r="N10" s="2"/>
      <c r="O10" s="2" t="s">
        <v>54</v>
      </c>
    </row>
    <row r="11" spans="1:15">
      <c r="A11" s="2" t="s">
        <v>2657</v>
      </c>
      <c r="B11" s="2" t="s">
        <v>2658</v>
      </c>
      <c r="C11" s="2" t="s">
        <v>3106</v>
      </c>
      <c r="D11" s="3">
        <f>(('Facts'!F113*1)+('Facts'!F115*1)+('Facts'!F117*1)+('Facts'!F119*1)+('Facts'!F121*1)+('Facts'!F123*1))*1</f>
        <v>5847847312.01</v>
      </c>
      <c r="E11" s="3">
        <f>D11/K11</f>
        <v>5847847312.01</v>
      </c>
      <c r="F11" s="2" t="str">
        <f>IF(ISNUMBER(D11),"calculated","not_calculated")</f>
        <v>calculated</v>
      </c>
      <c r="G11" s="2">
        <f>IF(ISNUMBER(D11),"","检查缺失值、分母与输入；口径变更须重跑Python")</f>
        <v/>
      </c>
      <c r="H11" s="2" t="s">
        <v>2658</v>
      </c>
      <c r="I11" s="2" t="s">
        <v>2640</v>
      </c>
      <c r="J11" s="2" t="s">
        <v>51</v>
      </c>
      <c r="K11" s="2">
        <v>1</v>
      </c>
      <c r="L11" s="2" t="s">
        <v>52</v>
      </c>
      <c r="M11" s="2" t="s">
        <v>53</v>
      </c>
      <c r="N11" s="2" t="s">
        <v>391</v>
      </c>
      <c r="O11" s="2" t="s">
        <v>54</v>
      </c>
    </row>
    <row r="12" spans="1:15">
      <c r="A12" s="2" t="s">
        <v>2659</v>
      </c>
      <c r="B12" s="2" t="s">
        <v>2660</v>
      </c>
      <c r="C12" s="2" t="s">
        <v>3107</v>
      </c>
      <c r="D12" s="3">
        <f>(('Facts'!F143*1)+('Facts'!F145*1)+('Facts'!F147*-1))*1</f>
        <v>-592194206.56</v>
      </c>
      <c r="E12" s="3">
        <f>D12/K12</f>
        <v>-592194206.56</v>
      </c>
      <c r="F12" s="2" t="str">
        <f>IF(ISNUMBER(D12),"calculated","not_calculated")</f>
        <v>calculated</v>
      </c>
      <c r="G12" s="2">
        <f>IF(ISNUMBER(D12),"","检查缺失值、分母与输入；口径变更须重跑Python")</f>
        <v/>
      </c>
      <c r="H12" s="2" t="s">
        <v>2660</v>
      </c>
      <c r="I12" s="2" t="s">
        <v>2640</v>
      </c>
      <c r="J12" s="2" t="s">
        <v>51</v>
      </c>
      <c r="K12" s="2">
        <v>1</v>
      </c>
      <c r="L12" s="2" t="s">
        <v>52</v>
      </c>
      <c r="M12" s="2" t="s">
        <v>53</v>
      </c>
      <c r="N12" s="2" t="s">
        <v>391</v>
      </c>
      <c r="O12" s="2" t="s">
        <v>54</v>
      </c>
    </row>
    <row r="13" spans="1:15">
      <c r="A13" s="2" t="s">
        <v>2661</v>
      </c>
      <c r="B13" s="2" t="s">
        <v>2662</v>
      </c>
      <c r="C13" s="2" t="s">
        <v>3108</v>
      </c>
      <c r="D13" s="3">
        <f>(('Facts'!F149-'Facts'!F151))*1</f>
        <v>-547795215.55</v>
      </c>
      <c r="E13" s="3">
        <f>D13/K13</f>
        <v>-547795215.55</v>
      </c>
      <c r="F13" s="2" t="str">
        <f>IF(ISNUMBER(D13),"calculated","not_calculated")</f>
        <v>calculated</v>
      </c>
      <c r="G13" s="2">
        <f>IF(ISNUMBER(D13),"","检查缺失值、分母与输入；口径变更须重跑Python")</f>
        <v/>
      </c>
      <c r="H13" s="2" t="s">
        <v>2662</v>
      </c>
      <c r="I13" s="2" t="s">
        <v>2640</v>
      </c>
      <c r="J13" s="2" t="s">
        <v>51</v>
      </c>
      <c r="K13" s="2">
        <v>1</v>
      </c>
      <c r="L13" s="2" t="s">
        <v>52</v>
      </c>
      <c r="M13" s="2" t="s">
        <v>53</v>
      </c>
      <c r="N13" s="2" t="s">
        <v>391</v>
      </c>
      <c r="O13" s="2" t="s">
        <v>54</v>
      </c>
    </row>
    <row r="14" spans="1:15">
      <c r="A14" s="2" t="s">
        <v>2663</v>
      </c>
      <c r="B14" s="2" t="s">
        <v>2664</v>
      </c>
      <c r="C14" s="2" t="s">
        <v>3109</v>
      </c>
      <c r="D14" s="3">
        <f>(('Facts'!F153*1)+('Facts'!F159*1))*1</f>
        <v>-562363500.69</v>
      </c>
      <c r="E14" s="3">
        <f>D14/K14</f>
        <v>-562363500.69</v>
      </c>
      <c r="F14" s="2" t="str">
        <f>IF(ISNUMBER(D14),"calculated","not_calculated")</f>
        <v>calculated</v>
      </c>
      <c r="G14" s="2">
        <f>IF(ISNUMBER(D14),"","检查缺失值、分母与输入；口径变更须重跑Python")</f>
        <v/>
      </c>
      <c r="H14" s="2" t="s">
        <v>2664</v>
      </c>
      <c r="I14" s="2" t="s">
        <v>2640</v>
      </c>
      <c r="J14" s="2" t="s">
        <v>51</v>
      </c>
      <c r="K14" s="2">
        <v>1</v>
      </c>
      <c r="L14" s="2" t="s">
        <v>52</v>
      </c>
      <c r="M14" s="2" t="s">
        <v>53</v>
      </c>
      <c r="N14" s="2" t="s">
        <v>391</v>
      </c>
      <c r="O14" s="2" t="s">
        <v>54</v>
      </c>
    </row>
    <row r="15" spans="1:15">
      <c r="A15" s="2" t="s">
        <v>2665</v>
      </c>
      <c r="B15" s="2" t="s">
        <v>2666</v>
      </c>
      <c r="C15" s="2" t="s">
        <v>3110</v>
      </c>
      <c r="D15" s="3">
        <f>(('Facts'!F163*1)+('Facts'!F165*1)+('Facts'!F167*1))*1</f>
        <v>7442861858.8</v>
      </c>
      <c r="E15" s="3">
        <f>D15/K15</f>
        <v>7442861858.8</v>
      </c>
      <c r="F15" s="2" t="str">
        <f>IF(ISNUMBER(D15),"calculated","not_calculated")</f>
        <v>calculated</v>
      </c>
      <c r="G15" s="2">
        <f>IF(ISNUMBER(D15),"","检查缺失值、分母与输入；口径变更须重跑Python")</f>
        <v/>
      </c>
      <c r="H15" s="2" t="s">
        <v>2666</v>
      </c>
      <c r="I15" s="2" t="s">
        <v>2640</v>
      </c>
      <c r="J15" s="2" t="s">
        <v>51</v>
      </c>
      <c r="K15" s="2">
        <v>1</v>
      </c>
      <c r="L15" s="2" t="s">
        <v>52</v>
      </c>
      <c r="M15" s="2" t="s">
        <v>53</v>
      </c>
      <c r="N15" s="2" t="s">
        <v>391</v>
      </c>
      <c r="O15" s="2" t="s">
        <v>54</v>
      </c>
    </row>
    <row r="16" spans="1:15">
      <c r="A16" s="2" t="s">
        <v>2667</v>
      </c>
      <c r="B16" s="2" t="s">
        <v>2668</v>
      </c>
      <c r="C16" s="2" t="s">
        <v>3111</v>
      </c>
      <c r="D16" s="3">
        <f>(('Facts'!F171*1)+('Facts'!F173*1)+('Facts'!F175*1)+('Facts'!F177*1))*1</f>
        <v>7123233838.15</v>
      </c>
      <c r="E16" s="3">
        <f>D16/K16</f>
        <v>7123233838.15</v>
      </c>
      <c r="F16" s="2" t="str">
        <f>IF(ISNUMBER(D16),"calculated","not_calculated")</f>
        <v>calculated</v>
      </c>
      <c r="G16" s="2">
        <f>IF(ISNUMBER(D16),"","检查缺失值、分母与输入；口径变更须重跑Python")</f>
        <v/>
      </c>
      <c r="H16" s="2" t="s">
        <v>2668</v>
      </c>
      <c r="I16" s="2" t="s">
        <v>2640</v>
      </c>
      <c r="J16" s="2" t="s">
        <v>51</v>
      </c>
      <c r="K16" s="2">
        <v>1</v>
      </c>
      <c r="L16" s="2" t="s">
        <v>52</v>
      </c>
      <c r="M16" s="2" t="s">
        <v>53</v>
      </c>
      <c r="N16" s="2" t="s">
        <v>391</v>
      </c>
      <c r="O16" s="2" t="s">
        <v>54</v>
      </c>
    </row>
    <row r="17" spans="1:15">
      <c r="A17" s="2" t="s">
        <v>2669</v>
      </c>
      <c r="B17" s="2" t="s">
        <v>2670</v>
      </c>
      <c r="C17" s="2" t="s">
        <v>3112</v>
      </c>
      <c r="D17" s="3">
        <f>(('Facts'!F169-'Facts'!F179))*1</f>
        <v>319628020.65</v>
      </c>
      <c r="E17" s="3">
        <f>D17/K17</f>
        <v>319628020.65</v>
      </c>
      <c r="F17" s="2" t="str">
        <f>IF(ISNUMBER(D17),"calculated","not_calculated")</f>
        <v>calculated</v>
      </c>
      <c r="G17" s="2">
        <f>IF(ISNUMBER(D17),"","检查缺失值、分母与输入；口径变更须重跑Python")</f>
        <v/>
      </c>
      <c r="H17" s="2" t="s">
        <v>2670</v>
      </c>
      <c r="I17" s="2" t="s">
        <v>2640</v>
      </c>
      <c r="J17" s="2" t="s">
        <v>51</v>
      </c>
      <c r="K17" s="2">
        <v>1</v>
      </c>
      <c r="L17" s="2" t="s">
        <v>52</v>
      </c>
      <c r="M17" s="2" t="s">
        <v>53</v>
      </c>
      <c r="N17" s="2" t="s">
        <v>391</v>
      </c>
      <c r="O17" s="2" t="s">
        <v>54</v>
      </c>
    </row>
    <row r="18" spans="1:15">
      <c r="A18" s="2" t="s">
        <v>2671</v>
      </c>
      <c r="B18" s="2" t="s">
        <v>2672</v>
      </c>
      <c r="C18" s="2" t="s">
        <v>3113</v>
      </c>
      <c r="D18" s="3">
        <f>(('Facts'!F192-'Facts'!F202))*1</f>
        <v>-433307536.06</v>
      </c>
      <c r="E18" s="3">
        <f>D18/K18</f>
        <v>-433307536.06</v>
      </c>
      <c r="F18" s="2" t="str">
        <f>IF(ISNUMBER(D18),"calculated","not_calculated")</f>
        <v>calculated</v>
      </c>
      <c r="G18" s="2">
        <f>IF(ISNUMBER(D18),"","检查缺失值、分母与输入；口径变更须重跑Python")</f>
        <v/>
      </c>
      <c r="H18" s="2" t="s">
        <v>2672</v>
      </c>
      <c r="I18" s="2" t="s">
        <v>2640</v>
      </c>
      <c r="J18" s="2" t="s">
        <v>51</v>
      </c>
      <c r="K18" s="2">
        <v>1</v>
      </c>
      <c r="L18" s="2" t="s">
        <v>52</v>
      </c>
      <c r="M18" s="2" t="s">
        <v>53</v>
      </c>
      <c r="N18" s="2" t="s">
        <v>391</v>
      </c>
      <c r="O18" s="2" t="s">
        <v>54</v>
      </c>
    </row>
    <row r="19" spans="1:15">
      <c r="A19" s="2" t="s">
        <v>2673</v>
      </c>
      <c r="B19" s="2" t="s">
        <v>2674</v>
      </c>
      <c r="C19" s="2" t="s">
        <v>3114</v>
      </c>
      <c r="D19" s="3">
        <f>(('Facts'!F212-'Facts'!F220))*1</f>
        <v>-601099422.34</v>
      </c>
      <c r="E19" s="3">
        <f>D19/K19</f>
        <v>-601099422.34</v>
      </c>
      <c r="F19" s="2" t="str">
        <f>IF(ISNUMBER(D19),"calculated","not_calculated")</f>
        <v>calculated</v>
      </c>
      <c r="G19" s="2">
        <f>IF(ISNUMBER(D19),"","检查缺失值、分母与输入；口径变更须重跑Python")</f>
        <v/>
      </c>
      <c r="H19" s="2" t="s">
        <v>2674</v>
      </c>
      <c r="I19" s="2" t="s">
        <v>2640</v>
      </c>
      <c r="J19" s="2" t="s">
        <v>51</v>
      </c>
      <c r="K19" s="2">
        <v>1</v>
      </c>
      <c r="L19" s="2" t="s">
        <v>52</v>
      </c>
      <c r="M19" s="2" t="s">
        <v>53</v>
      </c>
      <c r="N19" s="2" t="s">
        <v>391</v>
      </c>
      <c r="O19" s="2" t="s">
        <v>54</v>
      </c>
    </row>
    <row r="20" spans="1:15">
      <c r="A20" s="2" t="s">
        <v>2675</v>
      </c>
      <c r="B20" s="2" t="s">
        <v>2676</v>
      </c>
      <c r="C20" s="2" t="s">
        <v>3115</v>
      </c>
      <c r="D20" s="3">
        <f>(('Facts'!F181*1)+('Facts'!F204*1)+('Facts'!F222*1)+('Facts'!F224*1))*1</f>
        <v>-721842541.11</v>
      </c>
      <c r="E20" s="3">
        <f>D20/K20</f>
        <v>-721842541.11</v>
      </c>
      <c r="F20" s="2" t="str">
        <f>IF(ISNUMBER(D20),"calculated","not_calculated")</f>
        <v>calculated</v>
      </c>
      <c r="G20" s="2">
        <f>IF(ISNUMBER(D20),"","检查缺失值、分母与输入；口径变更须重跑Python")</f>
        <v/>
      </c>
      <c r="H20" s="2" t="s">
        <v>2676</v>
      </c>
      <c r="I20" s="2" t="s">
        <v>2640</v>
      </c>
      <c r="J20" s="2" t="s">
        <v>51</v>
      </c>
      <c r="K20" s="2">
        <v>1</v>
      </c>
      <c r="L20" s="2" t="s">
        <v>52</v>
      </c>
      <c r="M20" s="2" t="s">
        <v>53</v>
      </c>
      <c r="N20" s="2" t="s">
        <v>391</v>
      </c>
      <c r="O20" s="2" t="s">
        <v>54</v>
      </c>
    </row>
    <row r="21" spans="1:15">
      <c r="A21" s="2" t="s">
        <v>2677</v>
      </c>
      <c r="B21" s="2" t="s">
        <v>2678</v>
      </c>
      <c r="C21" s="2" t="s">
        <v>3116</v>
      </c>
      <c r="D21" s="3">
        <f>(('Facts'!F155*1)+('Facts'!F157*1))*1</f>
        <v>-547795215.55</v>
      </c>
      <c r="E21" s="3">
        <f>D21/K21</f>
        <v>-547795215.55</v>
      </c>
      <c r="F21" s="2" t="str">
        <f>IF(ISNUMBER(D21),"calculated","not_calculated")</f>
        <v>calculated</v>
      </c>
      <c r="G21" s="2">
        <f>IF(ISNUMBER(D21),"","检查缺失值、分母与输入；口径变更须重跑Python")</f>
        <v/>
      </c>
      <c r="H21" s="2" t="s">
        <v>2678</v>
      </c>
      <c r="I21" s="2" t="s">
        <v>2640</v>
      </c>
      <c r="J21" s="2" t="s">
        <v>51</v>
      </c>
      <c r="K21" s="2">
        <v>1</v>
      </c>
      <c r="L21" s="2" t="s">
        <v>52</v>
      </c>
      <c r="M21" s="2" t="s">
        <v>53</v>
      </c>
      <c r="N21" s="2" t="s">
        <v>391</v>
      </c>
      <c r="O21" s="2" t="s">
        <v>54</v>
      </c>
    </row>
    <row r="22" spans="1:15">
      <c r="A22" s="2" t="s">
        <v>2679</v>
      </c>
      <c r="B22" s="2" t="s">
        <v>2680</v>
      </c>
      <c r="C22" s="2" t="s">
        <v>3117</v>
      </c>
      <c r="D22" s="3">
        <f>(('Facts'!F111*1)+('Facts'!F129*-1)+('Facts'!F131*1)+('Facts'!F133*1)+('Facts'!F135*1)+('Facts'!F137*1)+('Facts'!F139*1)+('Facts'!F141*1))*1</f>
        <v>-575696838.86</v>
      </c>
      <c r="E22" s="3">
        <f>D22/K22</f>
        <v>-575696838.86</v>
      </c>
      <c r="F22" s="2" t="str">
        <f>IF(ISNUMBER(D22),"calculated","not_calculated")</f>
        <v>calculated</v>
      </c>
      <c r="G22" s="2">
        <f>IF(ISNUMBER(D22),"","检查缺失值、分母与输入；口径变更须重跑Python")</f>
        <v/>
      </c>
      <c r="H22" s="2" t="s">
        <v>2680</v>
      </c>
      <c r="I22" s="2" t="s">
        <v>2640</v>
      </c>
      <c r="J22" s="2" t="s">
        <v>51</v>
      </c>
      <c r="K22" s="2">
        <v>1</v>
      </c>
      <c r="L22" s="2" t="s">
        <v>52</v>
      </c>
      <c r="M22" s="2" t="s">
        <v>53</v>
      </c>
      <c r="N22" s="2" t="s">
        <v>391</v>
      </c>
      <c r="O22" s="2" t="s">
        <v>54</v>
      </c>
    </row>
    <row r="23" spans="1:15">
      <c r="A23" s="2" t="s">
        <v>2681</v>
      </c>
      <c r="B23" s="2" t="s">
        <v>2682</v>
      </c>
      <c r="C23" s="2" t="s">
        <v>3118</v>
      </c>
      <c r="D23" s="3">
        <f>(('Facts'!F229*1)+('Facts'!F226*1))*1</f>
        <v>1607718678.61</v>
      </c>
      <c r="E23" s="3">
        <f>D23/K23</f>
        <v>1607718678.61</v>
      </c>
      <c r="F23" s="2" t="str">
        <f>IF(ISNUMBER(D23),"calculated","not_calculated")</f>
        <v>calculated</v>
      </c>
      <c r="G23" s="2">
        <f>IF(ISNUMBER(D23),"","检查缺失值、分母与输入；口径变更须重跑Python")</f>
        <v/>
      </c>
      <c r="H23" s="2" t="s">
        <v>2682</v>
      </c>
      <c r="I23" s="2" t="s">
        <v>2640</v>
      </c>
      <c r="J23" s="2" t="s">
        <v>51</v>
      </c>
      <c r="K23" s="2">
        <v>1</v>
      </c>
      <c r="L23" s="2" t="s">
        <v>52</v>
      </c>
      <c r="M23" s="2" t="s">
        <v>53</v>
      </c>
      <c r="N23" s="2" t="s">
        <v>391</v>
      </c>
      <c r="O23" s="2" t="s">
        <v>54</v>
      </c>
    </row>
    <row r="24" spans="1:15">
      <c r="A24" s="2" t="s">
        <v>2683</v>
      </c>
      <c r="B24" s="2" t="s">
        <v>2684</v>
      </c>
      <c r="C24" s="2" t="s">
        <v>3119</v>
      </c>
      <c r="D24" s="3">
        <f>(('Facts'!F228*1)+('Facts'!F230*1))*1</f>
        <v>2319406225.62</v>
      </c>
      <c r="E24" s="3">
        <f>D24/K24</f>
        <v>2319406225.62</v>
      </c>
      <c r="F24" s="2" t="str">
        <f>IF(ISNUMBER(D24),"calculated","not_calculated")</f>
        <v>calculated</v>
      </c>
      <c r="G24" s="2">
        <f>IF(ISNUMBER(D24),"","检查缺失值、分母与输入；口径变更须重跑Python")</f>
        <v/>
      </c>
      <c r="H24" s="2" t="s">
        <v>2684</v>
      </c>
      <c r="I24" s="2" t="s">
        <v>2640</v>
      </c>
      <c r="J24" s="2" t="s">
        <v>51</v>
      </c>
      <c r="K24" s="2">
        <v>1</v>
      </c>
      <c r="L24" s="2" t="s">
        <v>52</v>
      </c>
      <c r="M24" s="2" t="s">
        <v>53</v>
      </c>
      <c r="N24" s="2"/>
      <c r="O24" s="2" t="s">
        <v>54</v>
      </c>
    </row>
    <row r="25" spans="1:15">
      <c r="A25" s="2" t="s">
        <v>2685</v>
      </c>
      <c r="B25" s="2" t="s">
        <v>2686</v>
      </c>
      <c r="C25" s="2" t="s">
        <v>3120</v>
      </c>
      <c r="D25" s="3">
        <f>(('Facts'!F232*1)+('Facts'!F234*1)+('Facts'!F236*1)+('Facts'!F238*1)+('Facts'!F240*1)+('Facts'!F242*1)+('Facts'!F244*1))*1</f>
        <v>711687547.01</v>
      </c>
      <c r="E25" s="3">
        <f>D25/K25</f>
        <v>711687547.01</v>
      </c>
      <c r="F25" s="2" t="str">
        <f>IF(ISNUMBER(D25),"calculated","not_calculated")</f>
        <v>calculated</v>
      </c>
      <c r="G25" s="2">
        <f>IF(ISNUMBER(D25),"","检查缺失值、分母与输入；口径变更须重跑Python")</f>
        <v/>
      </c>
      <c r="H25" s="2" t="s">
        <v>2686</v>
      </c>
      <c r="I25" s="2" t="s">
        <v>2640</v>
      </c>
      <c r="J25" s="2" t="s">
        <v>51</v>
      </c>
      <c r="K25" s="2">
        <v>1</v>
      </c>
      <c r="L25" s="2" t="s">
        <v>52</v>
      </c>
      <c r="M25" s="2" t="s">
        <v>53</v>
      </c>
      <c r="N25" s="2"/>
      <c r="O25" s="2" t="s">
        <v>54</v>
      </c>
    </row>
    <row r="26" spans="1:15">
      <c r="A26" s="2" t="s">
        <v>2687</v>
      </c>
      <c r="B26" s="2" t="s">
        <v>2688</v>
      </c>
      <c r="C26" s="2" t="s">
        <v>3121</v>
      </c>
      <c r="D26" s="3">
        <f>(('Facts'!F153*1)+('Facts'!F364*1)+('Facts'!F366*1)+('Facts'!F368*1)+('Facts'!F370*1)+('Facts'!F372*1)+('Facts'!F374*1)+('Facts'!F376*1)+('Facts'!F378*1)+('Facts'!F380*1)+('Facts'!F382*1)+('Facts'!F384*1)+('Facts'!F386*1)+('Facts'!F388*1)+('Facts'!F390*1)+('Facts'!F392*1)+('Facts'!F394*1))*1</f>
        <v>319628020.65</v>
      </c>
      <c r="E26" s="3">
        <f>D26/K26</f>
        <v>319628020.65</v>
      </c>
      <c r="F26" s="2" t="str">
        <f>IF(ISNUMBER(D26),"calculated","not_calculated")</f>
        <v>calculated</v>
      </c>
      <c r="G26" s="2">
        <f>IF(ISNUMBER(D26),"","检查缺失值、分母与输入；口径变更须重跑Python")</f>
        <v/>
      </c>
      <c r="H26" s="2" t="s">
        <v>2688</v>
      </c>
      <c r="I26" s="2" t="s">
        <v>2640</v>
      </c>
      <c r="J26" s="2" t="s">
        <v>51</v>
      </c>
      <c r="K26" s="2">
        <v>1</v>
      </c>
      <c r="L26" s="2" t="s">
        <v>52</v>
      </c>
      <c r="M26" s="2" t="s">
        <v>53</v>
      </c>
      <c r="N26" s="2" t="s">
        <v>391</v>
      </c>
      <c r="O26" s="2" t="s">
        <v>54</v>
      </c>
    </row>
    <row r="27" spans="1:15">
      <c r="A27" s="2" t="s">
        <v>2689</v>
      </c>
      <c r="B27" s="2" t="s">
        <v>2690</v>
      </c>
      <c r="C27" s="2" t="s">
        <v>3122</v>
      </c>
      <c r="D27" s="3">
        <f>(('Facts'!F264-'Facts'!F266))*1</f>
        <v>3294515959.2</v>
      </c>
      <c r="E27" s="3">
        <f>D27/K27</f>
        <v>3294515959.2</v>
      </c>
      <c r="F27" s="2" t="str">
        <f>IF(ISNUMBER(D27),"calculated","not_calculated")</f>
        <v>calculated</v>
      </c>
      <c r="G27" s="2">
        <f>IF(ISNUMBER(D27),"","检查缺失值、分母与输入；口径变更须重跑Python")</f>
        <v/>
      </c>
      <c r="H27" s="2" t="s">
        <v>2690</v>
      </c>
      <c r="I27" s="2" t="s">
        <v>2640</v>
      </c>
      <c r="J27" s="2" t="s">
        <v>51</v>
      </c>
      <c r="K27" s="2">
        <v>1</v>
      </c>
      <c r="L27" s="2" t="s">
        <v>52</v>
      </c>
      <c r="M27" s="2" t="s">
        <v>53</v>
      </c>
      <c r="N27" s="2"/>
      <c r="O27" s="2" t="s">
        <v>54</v>
      </c>
    </row>
    <row r="28" spans="1:15">
      <c r="A28" s="2" t="s">
        <v>2691</v>
      </c>
      <c r="B28" s="2" t="s">
        <v>2692</v>
      </c>
      <c r="C28" s="2" t="s">
        <v>3123</v>
      </c>
      <c r="D28" s="3">
        <f>(('Facts'!F304-'Facts'!F306))*1</f>
        <v>339665159.75</v>
      </c>
      <c r="E28" s="3">
        <f>D28/K28</f>
        <v>339665159.75</v>
      </c>
      <c r="F28" s="2" t="str">
        <f>IF(ISNUMBER(D28),"calculated","not_calculated")</f>
        <v>calculated</v>
      </c>
      <c r="G28" s="2">
        <f>IF(ISNUMBER(D28),"","检查缺失值、分母与输入；口径变更须重跑Python")</f>
        <v/>
      </c>
      <c r="H28" s="2" t="s">
        <v>2692</v>
      </c>
      <c r="I28" s="2" t="s">
        <v>2640</v>
      </c>
      <c r="J28" s="2" t="s">
        <v>51</v>
      </c>
      <c r="K28" s="2">
        <v>1</v>
      </c>
      <c r="L28" s="2" t="s">
        <v>52</v>
      </c>
      <c r="M28" s="2" t="s">
        <v>53</v>
      </c>
      <c r="N28" s="2"/>
      <c r="O28" s="2" t="s">
        <v>54</v>
      </c>
    </row>
    <row r="29" spans="1:15">
      <c r="A29" s="2" t="s">
        <v>2693</v>
      </c>
      <c r="B29" s="2" t="s">
        <v>2694</v>
      </c>
      <c r="C29" s="2" t="s">
        <v>3124</v>
      </c>
      <c r="D29" s="3">
        <f>(('Facts'!F312-'Facts'!F314))*1</f>
        <v>424169761.35</v>
      </c>
      <c r="E29" s="3">
        <f>D29/K29</f>
        <v>424169761.35</v>
      </c>
      <c r="F29" s="2" t="str">
        <f>IF(ISNUMBER(D29),"calculated","not_calculated")</f>
        <v>calculated</v>
      </c>
      <c r="G29" s="2">
        <f>IF(ISNUMBER(D29),"","检查缺失值、分母与输入；口径变更须重跑Python")</f>
        <v/>
      </c>
      <c r="H29" s="2" t="s">
        <v>2694</v>
      </c>
      <c r="I29" s="2" t="s">
        <v>2640</v>
      </c>
      <c r="J29" s="2" t="s">
        <v>51</v>
      </c>
      <c r="K29" s="2">
        <v>1</v>
      </c>
      <c r="L29" s="2" t="s">
        <v>52</v>
      </c>
      <c r="M29" s="2" t="s">
        <v>53</v>
      </c>
      <c r="N29" s="2"/>
      <c r="O29" s="2" t="s">
        <v>54</v>
      </c>
    </row>
    <row r="30" spans="1:15">
      <c r="A30" s="2" t="s">
        <v>2695</v>
      </c>
      <c r="B30" s="2" t="s">
        <v>2696</v>
      </c>
      <c r="C30" s="2" t="s">
        <v>3125</v>
      </c>
      <c r="D30" s="3">
        <f>(('Facts'!F290-'Facts'!F292))*1</f>
        <v>391302589.91</v>
      </c>
      <c r="E30" s="3">
        <f>D30/K30</f>
        <v>391302589.91</v>
      </c>
      <c r="F30" s="2" t="str">
        <f>IF(ISNUMBER(D30),"calculated","not_calculated")</f>
        <v>calculated</v>
      </c>
      <c r="G30" s="2">
        <f>IF(ISNUMBER(D30),"","检查缺失值、分母与输入；口径变更须重跑Python")</f>
        <v/>
      </c>
      <c r="H30" s="2" t="s">
        <v>2696</v>
      </c>
      <c r="I30" s="2" t="s">
        <v>2640</v>
      </c>
      <c r="J30" s="2" t="s">
        <v>51</v>
      </c>
      <c r="K30" s="2">
        <v>1</v>
      </c>
      <c r="L30" s="2" t="s">
        <v>52</v>
      </c>
      <c r="M30" s="2" t="s">
        <v>53</v>
      </c>
      <c r="N30" s="2"/>
      <c r="O30" s="2" t="s">
        <v>54</v>
      </c>
    </row>
    <row r="31" spans="1:15">
      <c r="A31" s="2" t="s">
        <v>2697</v>
      </c>
      <c r="B31" s="2" t="s">
        <v>2698</v>
      </c>
      <c r="C31" s="2" t="s">
        <v>3126</v>
      </c>
      <c r="D31" s="3">
        <f>(('Facts'!F294-'Facts'!F296))*1</f>
        <v>83837683.81</v>
      </c>
      <c r="E31" s="3">
        <f>D31/K31</f>
        <v>83837683.81</v>
      </c>
      <c r="F31" s="2" t="str">
        <f>IF(ISNUMBER(D31),"calculated","not_calculated")</f>
        <v>calculated</v>
      </c>
      <c r="G31" s="2">
        <f>IF(ISNUMBER(D31),"","检查缺失值、分母与输入；口径变更须重跑Python")</f>
        <v/>
      </c>
      <c r="H31" s="2" t="s">
        <v>2698</v>
      </c>
      <c r="I31" s="2" t="s">
        <v>2640</v>
      </c>
      <c r="J31" s="2" t="s">
        <v>51</v>
      </c>
      <c r="K31" s="2">
        <v>1</v>
      </c>
      <c r="L31" s="2" t="s">
        <v>52</v>
      </c>
      <c r="M31" s="2" t="s">
        <v>53</v>
      </c>
      <c r="N31" s="2"/>
      <c r="O31" s="2" t="s">
        <v>54</v>
      </c>
    </row>
    <row r="32" spans="1:15">
      <c r="A32" s="2" t="s">
        <v>2699</v>
      </c>
      <c r="B32" s="2" t="s">
        <v>2700</v>
      </c>
      <c r="C32" s="2" t="s">
        <v>3127</v>
      </c>
      <c r="D32" s="3">
        <f>(('Facts'!F316-'Facts'!F318))*1</f>
        <v>786141439.39</v>
      </c>
      <c r="E32" s="3">
        <f>D32/K32</f>
        <v>786141439.39</v>
      </c>
      <c r="F32" s="2" t="str">
        <f>IF(ISNUMBER(D32),"calculated","not_calculated")</f>
        <v>calculated</v>
      </c>
      <c r="G32" s="2">
        <f>IF(ISNUMBER(D32),"","检查缺失值、分母与输入；口径变更须重跑Python")</f>
        <v/>
      </c>
      <c r="H32" s="2" t="s">
        <v>2700</v>
      </c>
      <c r="I32" s="2" t="s">
        <v>2640</v>
      </c>
      <c r="J32" s="2" t="s">
        <v>51</v>
      </c>
      <c r="K32" s="2">
        <v>1</v>
      </c>
      <c r="L32" s="2" t="s">
        <v>52</v>
      </c>
      <c r="M32" s="2" t="s">
        <v>53</v>
      </c>
      <c r="N32" s="2"/>
      <c r="O32" s="2" t="s">
        <v>54</v>
      </c>
    </row>
    <row r="33" spans="1:15">
      <c r="A33" s="2" t="s">
        <v>2701</v>
      </c>
      <c r="B33" s="2" t="s">
        <v>2702</v>
      </c>
      <c r="C33" s="2" t="s">
        <v>3128</v>
      </c>
      <c r="D33" s="3">
        <f>(('Facts'!F268*1)+('Facts'!F270*1)+('Facts'!F272*1)+('Facts'!F274*1))*1</f>
        <v>5161349798.41</v>
      </c>
      <c r="E33" s="3">
        <f>D33/K33</f>
        <v>5161349798.41</v>
      </c>
      <c r="F33" s="2" t="str">
        <f>IF(ISNUMBER(D33),"calculated","not_calculated")</f>
        <v>calculated</v>
      </c>
      <c r="G33" s="2">
        <f>IF(ISNUMBER(D33),"","检查缺失值、分母与输入；口径变更须重跑Python")</f>
        <v/>
      </c>
      <c r="H33" s="2" t="s">
        <v>2702</v>
      </c>
      <c r="I33" s="2" t="s">
        <v>2640</v>
      </c>
      <c r="J33" s="2" t="s">
        <v>51</v>
      </c>
      <c r="K33" s="2">
        <v>1</v>
      </c>
      <c r="L33" s="2" t="s">
        <v>52</v>
      </c>
      <c r="M33" s="2" t="s">
        <v>53</v>
      </c>
      <c r="N33" s="2"/>
      <c r="O33" s="2" t="s">
        <v>54</v>
      </c>
    </row>
    <row r="34" spans="1:15">
      <c r="A34" s="2" t="s">
        <v>2703</v>
      </c>
      <c r="B34" s="2" t="s">
        <v>2704</v>
      </c>
      <c r="C34" s="2" t="s">
        <v>3129</v>
      </c>
      <c r="D34" s="3">
        <f>(('Facts'!F398*1)+('Facts'!F400*1))*1</f>
        <v>460079528.49</v>
      </c>
      <c r="E34" s="3">
        <f>D34/K34</f>
        <v>460079528.49</v>
      </c>
      <c r="F34" s="2" t="str">
        <f>IF(ISNUMBER(D34),"calculated","not_calculated")</f>
        <v>calculated</v>
      </c>
      <c r="G34" s="2">
        <f>IF(ISNUMBER(D34),"","检查缺失值、分母与输入；口径变更须重跑Python")</f>
        <v/>
      </c>
      <c r="H34" s="2" t="s">
        <v>2704</v>
      </c>
      <c r="I34" s="2" t="s">
        <v>2640</v>
      </c>
      <c r="J34" s="2" t="s">
        <v>51</v>
      </c>
      <c r="K34" s="2">
        <v>1</v>
      </c>
      <c r="L34" s="2" t="s">
        <v>52</v>
      </c>
      <c r="M34" s="2" t="s">
        <v>53</v>
      </c>
      <c r="N34" s="2"/>
      <c r="O34" s="2" t="s">
        <v>54</v>
      </c>
    </row>
    <row r="35" spans="1:15">
      <c r="A35" s="2" t="s">
        <v>2705</v>
      </c>
      <c r="B35" s="2" t="s">
        <v>2706</v>
      </c>
      <c r="C35" s="2" t="s">
        <v>3130</v>
      </c>
      <c r="D35" s="3">
        <f>(('Facts'!F358-'Facts'!F360))*1</f>
        <v>99603249.54</v>
      </c>
      <c r="E35" s="3">
        <f>D35/K35</f>
        <v>99603249.54</v>
      </c>
      <c r="F35" s="2" t="str">
        <f>IF(ISNUMBER(D35),"calculated","not_calculated")</f>
        <v>calculated</v>
      </c>
      <c r="G35" s="2">
        <f>IF(ISNUMBER(D35),"","检查缺失值、分母与输入；口径变更须重跑Python")</f>
        <v/>
      </c>
      <c r="H35" s="2" t="s">
        <v>2706</v>
      </c>
      <c r="I35" s="2" t="s">
        <v>2640</v>
      </c>
      <c r="J35" s="2" t="s">
        <v>51</v>
      </c>
      <c r="K35" s="2">
        <v>1</v>
      </c>
      <c r="L35" s="2" t="s">
        <v>52</v>
      </c>
      <c r="M35" s="2" t="s">
        <v>53</v>
      </c>
      <c r="N35" s="2" t="s">
        <v>391</v>
      </c>
      <c r="O35" s="2" t="s">
        <v>54</v>
      </c>
    </row>
    <row r="36" spans="1:15">
      <c r="A36" s="2" t="s">
        <v>2707</v>
      </c>
      <c r="B36" s="2" t="s">
        <v>2708</v>
      </c>
      <c r="C36" s="2" t="s">
        <v>3131</v>
      </c>
      <c r="D36" s="3">
        <f>(('Facts'!F111-'Facts'!F113))*1</f>
        <v>1462751529.93</v>
      </c>
      <c r="E36" s="3">
        <f>D36/K36</f>
        <v>1462751529.93</v>
      </c>
      <c r="F36" s="2" t="str">
        <f>IF(ISNUMBER(D36),"calculated","not_calculated")</f>
        <v>calculated</v>
      </c>
      <c r="G36" s="2">
        <f>IF(ISNUMBER(D36),"","检查缺失值、分母与输入；口径变更须重跑Python")</f>
        <v/>
      </c>
      <c r="H36" s="2" t="s">
        <v>2708</v>
      </c>
      <c r="I36" s="2" t="s">
        <v>2640</v>
      </c>
      <c r="J36" s="2" t="s">
        <v>51</v>
      </c>
      <c r="K36" s="2">
        <v>1</v>
      </c>
      <c r="L36" s="2" t="s">
        <v>52</v>
      </c>
      <c r="M36" s="2" t="s">
        <v>53</v>
      </c>
      <c r="N36" s="2" t="s">
        <v>391</v>
      </c>
      <c r="O36" s="2" t="s">
        <v>54</v>
      </c>
    </row>
    <row r="37" spans="1:15">
      <c r="A37" s="2" t="s">
        <v>2709</v>
      </c>
      <c r="B37" s="2" t="s">
        <v>2710</v>
      </c>
      <c r="C37" s="2" t="s">
        <v>3132</v>
      </c>
      <c r="D37" s="3">
        <f>IF('Facts'!F111&lt;=0,NA(),(('Calculations'!D36/'Facts'!F111))*1)</f>
        <v>0.2420121324306308</v>
      </c>
      <c r="E37" s="4">
        <f>D37/K37</f>
        <v>0.2420121324306308</v>
      </c>
      <c r="F37" s="2" t="str">
        <f>IF(ISNUMBER(D37),"calculated","not_calculated")</f>
        <v>calculated</v>
      </c>
      <c r="G37" s="2">
        <f>IF(ISNUMBER(D37),"","检查缺失值、分母与输入；口径变更须重跑Python")</f>
        <v/>
      </c>
      <c r="H37" s="2" t="s">
        <v>2710</v>
      </c>
      <c r="I37" s="2" t="s">
        <v>2640</v>
      </c>
      <c r="J37" s="2" t="s">
        <v>2711</v>
      </c>
      <c r="K37" s="2">
        <v>1</v>
      </c>
      <c r="L37" s="2" t="s">
        <v>52</v>
      </c>
      <c r="M37" s="2" t="s">
        <v>53</v>
      </c>
      <c r="N37" s="2" t="s">
        <v>391</v>
      </c>
      <c r="O37" s="2" t="s">
        <v>54</v>
      </c>
    </row>
    <row r="38" spans="1:15">
      <c r="A38" s="2" t="s">
        <v>2712</v>
      </c>
      <c r="B38" s="2" t="s">
        <v>2713</v>
      </c>
      <c r="C38" s="2" t="s">
        <v>3133</v>
      </c>
      <c r="D38" s="3">
        <f>(('Facts'!F149*1)+('Facts'!F125*1))*1</f>
        <v>-492590957.02</v>
      </c>
      <c r="E38" s="3">
        <f>D38/K38</f>
        <v>-492590957.02</v>
      </c>
      <c r="F38" s="2" t="str">
        <f>IF(ISNUMBER(D38),"calculated","not_calculated")</f>
        <v>calculated</v>
      </c>
      <c r="G38" s="2">
        <f>IF(ISNUMBER(D38),"","检查缺失值、分母与输入；口径变更须重跑Python")</f>
        <v/>
      </c>
      <c r="H38" s="2" t="s">
        <v>2713</v>
      </c>
      <c r="I38" s="2" t="s">
        <v>2640</v>
      </c>
      <c r="J38" s="2" t="s">
        <v>51</v>
      </c>
      <c r="K38" s="2">
        <v>1</v>
      </c>
      <c r="L38" s="2" t="s">
        <v>52</v>
      </c>
      <c r="M38" s="2" t="s">
        <v>53</v>
      </c>
      <c r="N38" s="2" t="s">
        <v>391</v>
      </c>
      <c r="O38" s="2" t="s">
        <v>54</v>
      </c>
    </row>
    <row r="39" spans="1:15">
      <c r="A39" s="2" t="s">
        <v>2714</v>
      </c>
      <c r="B39" s="2" t="s">
        <v>2715</v>
      </c>
      <c r="C39" s="2" t="s">
        <v>3134</v>
      </c>
      <c r="D39" s="3">
        <f>(('Calculations'!D38*1)+('Facts'!F366*1)+('Facts'!F368*1)+('Facts'!F370*1)+('Facts'!F372*1))*1</f>
        <v>-210909429.07</v>
      </c>
      <c r="E39" s="3">
        <f>D39/K39</f>
        <v>-210909429.07</v>
      </c>
      <c r="F39" s="2" t="str">
        <f>IF(ISNUMBER(D39),"calculated","not_calculated")</f>
        <v>calculated</v>
      </c>
      <c r="G39" s="2">
        <f>IF(ISNUMBER(D39),"","检查缺失值、分母与输入；口径变更须重跑Python")</f>
        <v/>
      </c>
      <c r="H39" s="2" t="s">
        <v>2716</v>
      </c>
      <c r="I39" s="2" t="s">
        <v>2640</v>
      </c>
      <c r="J39" s="2" t="s">
        <v>51</v>
      </c>
      <c r="K39" s="2">
        <v>1</v>
      </c>
      <c r="L39" s="2" t="s">
        <v>52</v>
      </c>
      <c r="M39" s="2" t="s">
        <v>53</v>
      </c>
      <c r="N39" s="2" t="s">
        <v>391</v>
      </c>
      <c r="O39" s="2" t="s">
        <v>54</v>
      </c>
    </row>
    <row r="40" spans="1:15">
      <c r="A40" s="2" t="s">
        <v>2717</v>
      </c>
      <c r="B40" s="2" t="s">
        <v>2718</v>
      </c>
      <c r="C40" s="2" t="s">
        <v>3135</v>
      </c>
      <c r="D40" s="3">
        <f>(('Facts'!F404*1)+('Facts'!F56*1)+('Facts'!F258*1))*1</f>
        <v>5273052807.96</v>
      </c>
      <c r="E40" s="3">
        <f>D40/K40</f>
        <v>5273052807.96</v>
      </c>
      <c r="F40" s="2" t="str">
        <f>IF(ISNUMBER(D40),"calculated","not_calculated")</f>
        <v>calculated</v>
      </c>
      <c r="G40" s="2">
        <f>IF(ISNUMBER(D40),"","检查缺失值、分母与输入；口径变更须重跑Python")</f>
        <v/>
      </c>
      <c r="H40" s="2" t="s">
        <v>2719</v>
      </c>
      <c r="I40" s="2" t="s">
        <v>2640</v>
      </c>
      <c r="J40" s="2" t="s">
        <v>51</v>
      </c>
      <c r="K40" s="2">
        <v>1</v>
      </c>
      <c r="L40" s="2" t="s">
        <v>52</v>
      </c>
      <c r="M40" s="2" t="s">
        <v>53</v>
      </c>
      <c r="N40" s="2"/>
      <c r="O40" s="2" t="s">
        <v>54</v>
      </c>
    </row>
    <row r="41" spans="1:15">
      <c r="A41" s="2" t="s">
        <v>2720</v>
      </c>
      <c r="B41" s="2" t="s">
        <v>2721</v>
      </c>
      <c r="C41" s="2" t="s">
        <v>3136</v>
      </c>
      <c r="D41" s="3">
        <f>(('Facts'!F54*1)+('Facts'!F56*1)+('Facts'!F251*1)+('Facts'!F253*1)+('Facts'!F258*1))*1</f>
        <v>2806260819.89</v>
      </c>
      <c r="E41" s="3">
        <f>D41/K41</f>
        <v>2806260819.89</v>
      </c>
      <c r="F41" s="2" t="str">
        <f>IF(ISNUMBER(D41),"calculated","not_calculated")</f>
        <v>calculated</v>
      </c>
      <c r="G41" s="2">
        <f>IF(ISNUMBER(D41),"","检查缺失值、分母与输入；口径变更须重跑Python")</f>
        <v/>
      </c>
      <c r="H41" s="2" t="s">
        <v>2721</v>
      </c>
      <c r="I41" s="2" t="s">
        <v>2640</v>
      </c>
      <c r="J41" s="2" t="s">
        <v>51</v>
      </c>
      <c r="K41" s="2">
        <v>1</v>
      </c>
      <c r="L41" s="2" t="s">
        <v>52</v>
      </c>
      <c r="M41" s="2" t="s">
        <v>53</v>
      </c>
      <c r="N41" s="2"/>
      <c r="O41" s="2" t="s">
        <v>54</v>
      </c>
    </row>
    <row r="42" spans="1:15">
      <c r="A42" s="2" t="s">
        <v>2722</v>
      </c>
      <c r="B42" s="2" t="s">
        <v>2723</v>
      </c>
      <c r="C42" s="2" t="s">
        <v>3137</v>
      </c>
      <c r="D42" s="3">
        <f>(('Calculations'!D40*1)+('Facts'!F109*1))*1</f>
        <v>9325126612.71</v>
      </c>
      <c r="E42" s="3">
        <f>D42/K42</f>
        <v>9325126612.71</v>
      </c>
      <c r="F42" s="2" t="str">
        <f>IF(ISNUMBER(D42),"calculated","not_calculated")</f>
        <v>calculated</v>
      </c>
      <c r="G42" s="2">
        <f>IF(ISNUMBER(D42),"","检查缺失值、分母与输入；口径变更须重跑Python")</f>
        <v/>
      </c>
      <c r="H42" s="2" t="s">
        <v>2723</v>
      </c>
      <c r="I42" s="2" t="s">
        <v>2640</v>
      </c>
      <c r="J42" s="2" t="s">
        <v>51</v>
      </c>
      <c r="K42" s="2">
        <v>1</v>
      </c>
      <c r="L42" s="2" t="s">
        <v>52</v>
      </c>
      <c r="M42" s="2" t="s">
        <v>53</v>
      </c>
      <c r="N42" s="2"/>
      <c r="O42" s="2" t="s">
        <v>54</v>
      </c>
    </row>
    <row r="43" spans="1:15">
      <c r="A43" s="2" t="s">
        <v>2724</v>
      </c>
      <c r="B43" s="2" t="s">
        <v>2725</v>
      </c>
      <c r="C43" s="2" t="s">
        <v>3138</v>
      </c>
      <c r="D43" s="3">
        <f>(('Calculations'!D40-'Facts'!F228))*1</f>
        <v>3665334129.35</v>
      </c>
      <c r="E43" s="3">
        <f>D43/K43</f>
        <v>3665334129.35</v>
      </c>
      <c r="F43" s="2" t="str">
        <f>IF(ISNUMBER(D43),"calculated","not_calculated")</f>
        <v>calculated</v>
      </c>
      <c r="G43" s="2">
        <f>IF(ISNUMBER(D43),"","检查缺失值、分母与输入；口径变更须重跑Python")</f>
        <v/>
      </c>
      <c r="H43" s="2" t="s">
        <v>2726</v>
      </c>
      <c r="I43" s="2" t="s">
        <v>2640</v>
      </c>
      <c r="J43" s="2" t="s">
        <v>51</v>
      </c>
      <c r="K43" s="2">
        <v>1</v>
      </c>
      <c r="L43" s="2" t="s">
        <v>52</v>
      </c>
      <c r="M43" s="2" t="s">
        <v>53</v>
      </c>
      <c r="N43" s="2"/>
      <c r="O43" s="2" t="s">
        <v>54</v>
      </c>
    </row>
    <row r="44" spans="1:15">
      <c r="A44" s="2" t="s">
        <v>2727</v>
      </c>
      <c r="B44" s="2" t="s">
        <v>2728</v>
      </c>
      <c r="C44" s="2" t="s">
        <v>3139</v>
      </c>
      <c r="D44" s="3">
        <f>IF('Facts'!F52&lt;=0,NA(),(('Facts'!F88/'Facts'!F52))*1)</f>
        <v>0.6732218536983113</v>
      </c>
      <c r="E44" s="4">
        <f>D44/K44</f>
        <v>0.6732218536983113</v>
      </c>
      <c r="F44" s="2" t="str">
        <f>IF(ISNUMBER(D44),"calculated","not_calculated")</f>
        <v>calculated</v>
      </c>
      <c r="G44" s="2">
        <f>IF(ISNUMBER(D44),"","检查缺失值、分母与输入；口径变更须重跑Python")</f>
        <v/>
      </c>
      <c r="H44" s="2" t="s">
        <v>2728</v>
      </c>
      <c r="I44" s="2" t="s">
        <v>2640</v>
      </c>
      <c r="J44" s="2" t="s">
        <v>2711</v>
      </c>
      <c r="K44" s="2">
        <v>1</v>
      </c>
      <c r="L44" s="2" t="s">
        <v>52</v>
      </c>
      <c r="M44" s="2" t="s">
        <v>53</v>
      </c>
      <c r="N44" s="2"/>
      <c r="O44" s="2" t="s">
        <v>54</v>
      </c>
    </row>
    <row r="45" spans="1:15">
      <c r="A45" s="2" t="s">
        <v>2729</v>
      </c>
      <c r="B45" s="2" t="s">
        <v>2730</v>
      </c>
      <c r="C45" s="2" t="s">
        <v>3140</v>
      </c>
      <c r="D45" s="3">
        <f>IF('Calculations'!D42&lt;=0,NA(),(('Calculations'!D40/'Calculations'!D42))*1)</f>
        <v>0.5654671541695651</v>
      </c>
      <c r="E45" s="4">
        <f>D45/K45</f>
        <v>0.5654671541695651</v>
      </c>
      <c r="F45" s="2" t="str">
        <f>IF(ISNUMBER(D45),"calculated","not_calculated")</f>
        <v>calculated</v>
      </c>
      <c r="G45" s="2">
        <f>IF(ISNUMBER(D45),"","检查缺失值、分母与输入；口径变更须重跑Python")</f>
        <v/>
      </c>
      <c r="H45" s="2" t="s">
        <v>2730</v>
      </c>
      <c r="I45" s="2" t="s">
        <v>2640</v>
      </c>
      <c r="J45" s="2" t="s">
        <v>2711</v>
      </c>
      <c r="K45" s="2">
        <v>1</v>
      </c>
      <c r="L45" s="2" t="s">
        <v>52</v>
      </c>
      <c r="M45" s="2" t="s">
        <v>53</v>
      </c>
      <c r="N45" s="2"/>
      <c r="O45" s="2" t="s">
        <v>54</v>
      </c>
    </row>
    <row r="46" spans="1:15">
      <c r="A46" s="2" t="s">
        <v>2731</v>
      </c>
      <c r="B46" s="2" t="s">
        <v>2732</v>
      </c>
      <c r="C46" s="2" t="s">
        <v>3141</v>
      </c>
      <c r="D46" s="3">
        <f>IF('Facts'!F72&lt;=0,NA(),(('Facts'!F23/'Facts'!F72))*1)</f>
        <v>1.4032303575753702</v>
      </c>
      <c r="E46" s="5">
        <f>D46/K46</f>
        <v>1.4032303575753702</v>
      </c>
      <c r="F46" s="2" t="str">
        <f>IF(ISNUMBER(D46),"calculated","not_calculated")</f>
        <v>calculated</v>
      </c>
      <c r="G46" s="2">
        <f>IF(ISNUMBER(D46),"","检查缺失值、分母与输入；口径变更须重跑Python")</f>
        <v/>
      </c>
      <c r="H46" s="2" t="s">
        <v>2732</v>
      </c>
      <c r="I46" s="2" t="s">
        <v>2640</v>
      </c>
      <c r="J46" s="2" t="s">
        <v>2733</v>
      </c>
      <c r="K46" s="2">
        <v>1</v>
      </c>
      <c r="L46" s="2" t="s">
        <v>52</v>
      </c>
      <c r="M46" s="2" t="s">
        <v>53</v>
      </c>
      <c r="N46" s="2"/>
      <c r="O46" s="2" t="s">
        <v>54</v>
      </c>
    </row>
    <row r="47" spans="1:15">
      <c r="A47" s="2" t="s">
        <v>2734</v>
      </c>
      <c r="B47" s="2" t="s">
        <v>2735</v>
      </c>
      <c r="C47" s="2" t="s">
        <v>3142</v>
      </c>
      <c r="D47" s="3">
        <f>IF('Calculations'!D41&lt;=0,NA(),(('Facts'!F228/'Calculations'!D41))*1)</f>
        <v>0.5729042244451887</v>
      </c>
      <c r="E47" s="5">
        <f>D47/K47</f>
        <v>0.5729042244451887</v>
      </c>
      <c r="F47" s="2" t="str">
        <f>IF(ISNUMBER(D47),"calculated","not_calculated")</f>
        <v>calculated</v>
      </c>
      <c r="G47" s="2">
        <f>IF(ISNUMBER(D47),"","检查缺失值、分母与输入；口径变更须重跑Python")</f>
        <v/>
      </c>
      <c r="H47" s="2" t="s">
        <v>2735</v>
      </c>
      <c r="I47" s="2" t="s">
        <v>2640</v>
      </c>
      <c r="J47" s="2" t="s">
        <v>2733</v>
      </c>
      <c r="K47" s="2">
        <v>1</v>
      </c>
      <c r="L47" s="2" t="s">
        <v>52</v>
      </c>
      <c r="M47" s="2" t="s">
        <v>53</v>
      </c>
      <c r="N47" s="2"/>
      <c r="O47" s="2" t="s">
        <v>54</v>
      </c>
    </row>
    <row r="48" spans="1:15">
      <c r="A48" s="2" t="s">
        <v>2736</v>
      </c>
      <c r="B48" s="2" t="s">
        <v>2737</v>
      </c>
      <c r="C48" s="2" t="s">
        <v>3143</v>
      </c>
      <c r="D48" s="3">
        <f>IF('Calculations'!D41&lt;=0,NA(),(('Facts'!F2/'Calculations'!D41))*1)</f>
        <v>0.8265112811969189</v>
      </c>
      <c r="E48" s="5">
        <f>D48/K48</f>
        <v>0.8265112811969189</v>
      </c>
      <c r="F48" s="2" t="str">
        <f>IF(ISNUMBER(D48),"calculated","not_calculated")</f>
        <v>calculated</v>
      </c>
      <c r="G48" s="2">
        <f>IF(ISNUMBER(D48),"","检查缺失值、分母与输入；口径变更须重跑Python")</f>
        <v/>
      </c>
      <c r="H48" s="2" t="s">
        <v>2737</v>
      </c>
      <c r="I48" s="2" t="s">
        <v>2640</v>
      </c>
      <c r="J48" s="2" t="s">
        <v>2733</v>
      </c>
      <c r="K48" s="2">
        <v>1</v>
      </c>
      <c r="L48" s="2" t="s">
        <v>52</v>
      </c>
      <c r="M48" s="2" t="s">
        <v>53</v>
      </c>
      <c r="N48" s="2"/>
      <c r="O48" s="2" t="s">
        <v>54</v>
      </c>
    </row>
    <row r="49" spans="1:15">
      <c r="A49" s="2" t="s">
        <v>2738</v>
      </c>
      <c r="B49" s="2" t="s">
        <v>2739</v>
      </c>
      <c r="C49" s="2" t="s">
        <v>3144</v>
      </c>
      <c r="D49" s="3">
        <f>IF('Calculations'!D40&lt;=0,NA(),(('Facts'!F181/'Calculations'!D40))*1)</f>
        <v>0.06061536500592251</v>
      </c>
      <c r="E49" s="4">
        <f>D49/K49</f>
        <v>0.06061536500592251</v>
      </c>
      <c r="F49" s="2" t="str">
        <f>IF(ISNUMBER(D49),"calculated","not_calculated")</f>
        <v>calculated</v>
      </c>
      <c r="G49" s="2">
        <f>IF(ISNUMBER(D49),"","检查缺失值、分母与输入；口径变更须重跑Python")</f>
        <v/>
      </c>
      <c r="H49" s="2" t="s">
        <v>2739</v>
      </c>
      <c r="I49" s="2" t="s">
        <v>2640</v>
      </c>
      <c r="J49" s="2" t="s">
        <v>2711</v>
      </c>
      <c r="K49" s="2">
        <v>1</v>
      </c>
      <c r="L49" s="2" t="s">
        <v>52</v>
      </c>
      <c r="M49" s="2" t="s">
        <v>53</v>
      </c>
      <c r="N49" s="2" t="s">
        <v>391</v>
      </c>
      <c r="O49" s="2" t="s">
        <v>54</v>
      </c>
    </row>
    <row r="50" spans="1:15">
      <c r="A50" s="2" t="s">
        <v>2740</v>
      </c>
      <c r="B50" s="2" t="s">
        <v>2741</v>
      </c>
      <c r="C50" s="2" t="s">
        <v>3145</v>
      </c>
      <c r="D50" s="3">
        <f>IF('Facts'!F358&lt;=0,NA(),(('Calculations'!D39/'Facts'!F358))*1)</f>
        <v>-1.6613075072697103</v>
      </c>
      <c r="E50" s="5">
        <f>D50/K50</f>
        <v>-1.6613075072697103</v>
      </c>
      <c r="F50" s="2" t="str">
        <f>IF(ISNUMBER(D50),"calculated","not_calculated")</f>
        <v>calculated</v>
      </c>
      <c r="G50" s="2">
        <f>IF(ISNUMBER(D50),"","检查缺失值、分母与输入；口径变更须重跑Python")</f>
        <v/>
      </c>
      <c r="H50" s="2" t="s">
        <v>2741</v>
      </c>
      <c r="I50" s="2" t="s">
        <v>2640</v>
      </c>
      <c r="J50" s="2" t="s">
        <v>2733</v>
      </c>
      <c r="K50" s="2">
        <v>1</v>
      </c>
      <c r="L50" s="2" t="s">
        <v>52</v>
      </c>
      <c r="M50" s="2" t="s">
        <v>53</v>
      </c>
      <c r="N50" s="2" t="s">
        <v>391</v>
      </c>
      <c r="O50" s="2" t="s">
        <v>54</v>
      </c>
    </row>
    <row r="51" spans="1:15">
      <c r="A51" s="2" t="s">
        <v>2742</v>
      </c>
      <c r="B51" s="2" t="s">
        <v>2743</v>
      </c>
      <c r="C51" s="2" t="s">
        <v>3146</v>
      </c>
      <c r="D51" s="3">
        <f>IF('Facts'!F264&lt;=0,NA(),(('Facts'!F266/'Facts'!F264))*1)</f>
        <v>0.3616948883768922</v>
      </c>
      <c r="E51" s="4">
        <f>D51/K51</f>
        <v>0.3616948883768922</v>
      </c>
      <c r="F51" s="2" t="str">
        <f>IF(ISNUMBER(D51),"calculated","not_calculated")</f>
        <v>calculated</v>
      </c>
      <c r="G51" s="2">
        <f>IF(ISNUMBER(D51),"","检查缺失值、分母与输入；口径变更须重跑Python")</f>
        <v/>
      </c>
      <c r="H51" s="2" t="s">
        <v>2743</v>
      </c>
      <c r="I51" s="2" t="s">
        <v>2640</v>
      </c>
      <c r="J51" s="2" t="s">
        <v>2711</v>
      </c>
      <c r="K51" s="2">
        <v>1</v>
      </c>
      <c r="L51" s="2" t="s">
        <v>52</v>
      </c>
      <c r="M51" s="2" t="s">
        <v>53</v>
      </c>
      <c r="N51" s="2"/>
      <c r="O51" s="2" t="s">
        <v>54</v>
      </c>
    </row>
    <row r="52" spans="1:15">
      <c r="A52" s="2" t="s">
        <v>2744</v>
      </c>
      <c r="B52" s="2" t="s">
        <v>2745</v>
      </c>
      <c r="C52" s="2" t="s">
        <v>3147</v>
      </c>
      <c r="D52" s="3">
        <f>IF('Facts'!F264&lt;=0,NA(),(('Facts'!F274/'Facts'!F264))*1)</f>
        <v>0.3255596004358472</v>
      </c>
      <c r="E52" s="4">
        <f>D52/K52</f>
        <v>0.3255596004358472</v>
      </c>
      <c r="F52" s="2" t="str">
        <f>IF(ISNUMBER(D52),"calculated","not_calculated")</f>
        <v>calculated</v>
      </c>
      <c r="G52" s="2">
        <f>IF(ISNUMBER(D52),"","检查缺失值、分母与输入；口径变更须重跑Python")</f>
        <v/>
      </c>
      <c r="H52" s="2" t="s">
        <v>2745</v>
      </c>
      <c r="I52" s="2" t="s">
        <v>2640</v>
      </c>
      <c r="J52" s="2" t="s">
        <v>2711</v>
      </c>
      <c r="K52" s="2">
        <v>1</v>
      </c>
      <c r="L52" s="2" t="s">
        <v>52</v>
      </c>
      <c r="M52" s="2" t="s">
        <v>53</v>
      </c>
      <c r="N52" s="2"/>
      <c r="O52" s="2" t="s">
        <v>54</v>
      </c>
    </row>
    <row r="53" spans="1:15">
      <c r="A53" s="2" t="s">
        <v>2746</v>
      </c>
      <c r="B53" s="2" t="s">
        <v>2747</v>
      </c>
      <c r="C53" s="2" t="s">
        <v>3148</v>
      </c>
      <c r="D53" s="3">
        <f>IF('Facts'!F358&lt;=0,NA(),(('Facts'!F360/'Facts'!F358))*1)</f>
        <v>0.21543751296988747</v>
      </c>
      <c r="E53" s="4">
        <f>D53/K53</f>
        <v>0.21543751296988747</v>
      </c>
      <c r="F53" s="2" t="str">
        <f>IF(ISNUMBER(D53),"calculated","not_calculated")</f>
        <v>calculated</v>
      </c>
      <c r="G53" s="2">
        <f>IF(ISNUMBER(D53),"","检查缺失值、分母与输入；口径变更须重跑Python")</f>
        <v/>
      </c>
      <c r="H53" s="2" t="s">
        <v>2747</v>
      </c>
      <c r="I53" s="2" t="s">
        <v>2640</v>
      </c>
      <c r="J53" s="2" t="s">
        <v>2711</v>
      </c>
      <c r="K53" s="2">
        <v>1</v>
      </c>
      <c r="L53" s="2" t="s">
        <v>52</v>
      </c>
      <c r="M53" s="2" t="s">
        <v>53</v>
      </c>
      <c r="N53" s="2" t="s">
        <v>391</v>
      </c>
      <c r="O53" s="2" t="s">
        <v>54</v>
      </c>
    </row>
    <row r="54" spans="1:15">
      <c r="A54" s="2" t="s">
        <v>2748</v>
      </c>
      <c r="B54" s="2" t="s">
        <v>2749</v>
      </c>
      <c r="C54" s="2" t="s">
        <v>3149</v>
      </c>
      <c r="D54" s="3">
        <f>IF('Facts'!F111&lt;=0,NA(),(('Facts'!F354/'Facts'!F111))*1)</f>
        <v>0.03232708772873709</v>
      </c>
      <c r="E54" s="4">
        <f>D54/K54</f>
        <v>0.03232708772873709</v>
      </c>
      <c r="F54" s="2" t="str">
        <f>IF(ISNUMBER(D54),"calculated","not_calculated")</f>
        <v>calculated</v>
      </c>
      <c r="G54" s="2">
        <f>IF(ISNUMBER(D54),"","检查缺失值、分母与输入；口径变更须重跑Python")</f>
        <v/>
      </c>
      <c r="H54" s="2" t="s">
        <v>2749</v>
      </c>
      <c r="I54" s="2" t="s">
        <v>2640</v>
      </c>
      <c r="J54" s="2" t="s">
        <v>2711</v>
      </c>
      <c r="K54" s="2">
        <v>1</v>
      </c>
      <c r="L54" s="2" t="s">
        <v>52</v>
      </c>
      <c r="M54" s="2" t="s">
        <v>53</v>
      </c>
      <c r="N54" s="2" t="s">
        <v>391</v>
      </c>
      <c r="O54" s="2" t="s">
        <v>54</v>
      </c>
    </row>
    <row r="55" spans="1:15">
      <c r="A55" s="2" t="s">
        <v>2750</v>
      </c>
      <c r="B55" s="2" t="s">
        <v>2751</v>
      </c>
      <c r="C55" s="2" t="s">
        <v>3150</v>
      </c>
      <c r="D55" s="3">
        <f>(('Facts'!F181-'Facts'!F194))*1</f>
        <v>147125647.94</v>
      </c>
      <c r="E55" s="3">
        <f>D55/K55</f>
        <v>147125647.94</v>
      </c>
      <c r="F55" s="2" t="str">
        <f>IF(ISNUMBER(D55),"calculated","not_calculated")</f>
        <v>calculated</v>
      </c>
      <c r="G55" s="2">
        <f>IF(ISNUMBER(D55),"","检查缺失值、分母与输入；口径变更须重跑Python")</f>
        <v/>
      </c>
      <c r="H55" s="2" t="s">
        <v>2752</v>
      </c>
      <c r="I55" s="2" t="s">
        <v>2640</v>
      </c>
      <c r="J55" s="2" t="s">
        <v>51</v>
      </c>
      <c r="K55" s="2">
        <v>1</v>
      </c>
      <c r="L55" s="2" t="s">
        <v>52</v>
      </c>
      <c r="M55" s="2" t="s">
        <v>53</v>
      </c>
      <c r="N55" s="2" t="s">
        <v>391</v>
      </c>
      <c r="O55" s="2" t="s">
        <v>54</v>
      </c>
    </row>
    <row r="56" spans="1:15">
      <c r="A56" s="2" t="s">
        <v>2753</v>
      </c>
      <c r="B56" s="2" t="s">
        <v>2754</v>
      </c>
      <c r="C56" s="2" t="s">
        <v>3151</v>
      </c>
      <c r="D56" s="3">
        <f>(('Facts'!F330-'Facts'!F332))*1</f>
        <v>744686037.29</v>
      </c>
      <c r="E56" s="3">
        <f>D56/K56</f>
        <v>744686037.29</v>
      </c>
      <c r="F56" s="2" t="str">
        <f>IF(ISNUMBER(D56),"calculated","not_calculated")</f>
        <v>calculated</v>
      </c>
      <c r="G56" s="2">
        <f>IF(ISNUMBER(D56),"","检查缺失值、分母与输入；口径变更须重跑Python")</f>
        <v/>
      </c>
      <c r="H56" s="2" t="s">
        <v>2754</v>
      </c>
      <c r="I56" s="2" t="s">
        <v>2640</v>
      </c>
      <c r="J56" s="2" t="s">
        <v>51</v>
      </c>
      <c r="K56" s="2">
        <v>1</v>
      </c>
      <c r="L56" s="2" t="s">
        <v>52</v>
      </c>
      <c r="M56" s="2" t="s">
        <v>53</v>
      </c>
      <c r="N56" s="2" t="s">
        <v>391</v>
      </c>
      <c r="O56" s="2" t="s">
        <v>54</v>
      </c>
    </row>
    <row r="57" spans="1:15">
      <c r="A57" s="2" t="s">
        <v>2755</v>
      </c>
      <c r="B57" s="2" t="s">
        <v>2756</v>
      </c>
      <c r="C57" s="2" t="s">
        <v>3152</v>
      </c>
      <c r="D57" s="3">
        <f>IF('Facts'!F330&lt;=0,NA(),(('Calculations'!D56/'Facts'!F330))*1)</f>
        <v>0.24244662514281004</v>
      </c>
      <c r="E57" s="4">
        <f>D57/K57</f>
        <v>0.24244662514281004</v>
      </c>
      <c r="F57" s="2" t="str">
        <f>IF(ISNUMBER(D57),"calculated","not_calculated")</f>
        <v>calculated</v>
      </c>
      <c r="G57" s="2">
        <f>IF(ISNUMBER(D57),"","检查缺失值、分母与输入；口径变更须重跑Python")</f>
        <v/>
      </c>
      <c r="H57" s="2" t="s">
        <v>2756</v>
      </c>
      <c r="I57" s="2" t="s">
        <v>2640</v>
      </c>
      <c r="J57" s="2" t="s">
        <v>2711</v>
      </c>
      <c r="K57" s="2">
        <v>1</v>
      </c>
      <c r="L57" s="2" t="s">
        <v>52</v>
      </c>
      <c r="M57" s="2" t="s">
        <v>53</v>
      </c>
      <c r="N57" s="2" t="s">
        <v>391</v>
      </c>
      <c r="O57" s="2" t="s">
        <v>54</v>
      </c>
    </row>
    <row r="58" spans="1:15">
      <c r="A58" s="2" t="s">
        <v>2757</v>
      </c>
      <c r="B58" s="2" t="s">
        <v>2758</v>
      </c>
      <c r="C58" s="2" t="s">
        <v>3153</v>
      </c>
      <c r="D58" s="3">
        <f>(('Facts'!F334-'Facts'!F336))*1</f>
        <v>590969632.61</v>
      </c>
      <c r="E58" s="3">
        <f>D58/K58</f>
        <v>590969632.61</v>
      </c>
      <c r="F58" s="2" t="str">
        <f>IF(ISNUMBER(D58),"calculated","not_calculated")</f>
        <v>calculated</v>
      </c>
      <c r="G58" s="2">
        <f>IF(ISNUMBER(D58),"","检查缺失值、分母与输入；口径变更须重跑Python")</f>
        <v/>
      </c>
      <c r="H58" s="2" t="s">
        <v>2758</v>
      </c>
      <c r="I58" s="2" t="s">
        <v>2640</v>
      </c>
      <c r="J58" s="2" t="s">
        <v>51</v>
      </c>
      <c r="K58" s="2">
        <v>1</v>
      </c>
      <c r="L58" s="2" t="s">
        <v>52</v>
      </c>
      <c r="M58" s="2" t="s">
        <v>53</v>
      </c>
      <c r="N58" s="2" t="s">
        <v>391</v>
      </c>
      <c r="O58" s="2" t="s">
        <v>54</v>
      </c>
    </row>
    <row r="59" spans="1:15">
      <c r="A59" s="2" t="s">
        <v>2759</v>
      </c>
      <c r="B59" s="2" t="s">
        <v>2760</v>
      </c>
      <c r="C59" s="2" t="s">
        <v>3154</v>
      </c>
      <c r="D59" s="3">
        <f>IF('Facts'!F334&lt;=0,NA(),(('Calculations'!D58/'Facts'!F334))*1)</f>
        <v>0.3721509653592553</v>
      </c>
      <c r="E59" s="4">
        <f>D59/K59</f>
        <v>0.3721509653592553</v>
      </c>
      <c r="F59" s="2" t="str">
        <f>IF(ISNUMBER(D59),"calculated","not_calculated")</f>
        <v>calculated</v>
      </c>
      <c r="G59" s="2">
        <f>IF(ISNUMBER(D59),"","检查缺失值、分母与输入；口径变更须重跑Python")</f>
        <v/>
      </c>
      <c r="H59" s="2" t="s">
        <v>2760</v>
      </c>
      <c r="I59" s="2" t="s">
        <v>2640</v>
      </c>
      <c r="J59" s="2" t="s">
        <v>2711</v>
      </c>
      <c r="K59" s="2">
        <v>1</v>
      </c>
      <c r="L59" s="2" t="s">
        <v>52</v>
      </c>
      <c r="M59" s="2" t="s">
        <v>53</v>
      </c>
      <c r="N59" s="2" t="s">
        <v>391</v>
      </c>
      <c r="O59" s="2" t="s">
        <v>54</v>
      </c>
    </row>
    <row r="60" spans="1:15">
      <c r="A60" s="2" t="s">
        <v>2761</v>
      </c>
      <c r="B60" s="2" t="s">
        <v>2762</v>
      </c>
      <c r="C60" s="2" t="s">
        <v>3155</v>
      </c>
      <c r="D60" s="3">
        <f>(('Facts'!F338-'Facts'!F340))*1</f>
        <v>67752543.39</v>
      </c>
      <c r="E60" s="3">
        <f>D60/K60</f>
        <v>67752543.39</v>
      </c>
      <c r="F60" s="2" t="str">
        <f>IF(ISNUMBER(D60),"calculated","not_calculated")</f>
        <v>calculated</v>
      </c>
      <c r="G60" s="2">
        <f>IF(ISNUMBER(D60),"","检查缺失值、分母与输入；口径变更须重跑Python")</f>
        <v/>
      </c>
      <c r="H60" s="2" t="s">
        <v>2762</v>
      </c>
      <c r="I60" s="2" t="s">
        <v>2640</v>
      </c>
      <c r="J60" s="2" t="s">
        <v>51</v>
      </c>
      <c r="K60" s="2">
        <v>1</v>
      </c>
      <c r="L60" s="2" t="s">
        <v>52</v>
      </c>
      <c r="M60" s="2" t="s">
        <v>53</v>
      </c>
      <c r="N60" s="2" t="s">
        <v>391</v>
      </c>
      <c r="O60" s="2" t="s">
        <v>54</v>
      </c>
    </row>
    <row r="61" spans="1:15">
      <c r="A61" s="2" t="s">
        <v>2763</v>
      </c>
      <c r="B61" s="2" t="s">
        <v>2764</v>
      </c>
      <c r="C61" s="2" t="s">
        <v>3156</v>
      </c>
      <c r="D61" s="3">
        <f>IF('Facts'!F338&lt;=0,NA(),(('Calculations'!D60/'Facts'!F338))*1)</f>
        <v>0.0624908504446893</v>
      </c>
      <c r="E61" s="4">
        <f>D61/K61</f>
        <v>0.0624908504446893</v>
      </c>
      <c r="F61" s="2" t="str">
        <f>IF(ISNUMBER(D61),"calculated","not_calculated")</f>
        <v>calculated</v>
      </c>
      <c r="G61" s="2">
        <f>IF(ISNUMBER(D61),"","检查缺失值、分母与输入；口径变更须重跑Python")</f>
        <v/>
      </c>
      <c r="H61" s="2" t="s">
        <v>2764</v>
      </c>
      <c r="I61" s="2" t="s">
        <v>2640</v>
      </c>
      <c r="J61" s="2" t="s">
        <v>2711</v>
      </c>
      <c r="K61" s="2">
        <v>1</v>
      </c>
      <c r="L61" s="2" t="s">
        <v>52</v>
      </c>
      <c r="M61" s="2" t="s">
        <v>53</v>
      </c>
      <c r="N61" s="2" t="s">
        <v>391</v>
      </c>
      <c r="O61" s="2" t="s">
        <v>54</v>
      </c>
    </row>
    <row r="62" spans="1:15">
      <c r="A62" s="2" t="s">
        <v>2765</v>
      </c>
      <c r="B62" s="2" t="s">
        <v>2766</v>
      </c>
      <c r="C62" s="2" t="s">
        <v>3157</v>
      </c>
      <c r="D62" s="3">
        <f>(('Facts'!F342-'Facts'!F344))*1</f>
        <v>18326530.33</v>
      </c>
      <c r="E62" s="3">
        <f>D62/K62</f>
        <v>18326530.33</v>
      </c>
      <c r="F62" s="2" t="str">
        <f>IF(ISNUMBER(D62),"calculated","not_calculated")</f>
        <v>calculated</v>
      </c>
      <c r="G62" s="2">
        <f>IF(ISNUMBER(D62),"","检查缺失值、分母与输入；口径变更须重跑Python")</f>
        <v/>
      </c>
      <c r="H62" s="2" t="s">
        <v>2766</v>
      </c>
      <c r="I62" s="2" t="s">
        <v>2640</v>
      </c>
      <c r="J62" s="2" t="s">
        <v>51</v>
      </c>
      <c r="K62" s="2">
        <v>1</v>
      </c>
      <c r="L62" s="2" t="s">
        <v>52</v>
      </c>
      <c r="M62" s="2" t="s">
        <v>53</v>
      </c>
      <c r="N62" s="2" t="s">
        <v>391</v>
      </c>
      <c r="O62" s="2" t="s">
        <v>54</v>
      </c>
    </row>
    <row r="63" spans="1:15">
      <c r="A63" s="2" t="s">
        <v>2767</v>
      </c>
      <c r="B63" s="2" t="s">
        <v>2768</v>
      </c>
      <c r="C63" s="2" t="s">
        <v>3158</v>
      </c>
      <c r="D63" s="3">
        <f>IF('Facts'!F342&lt;=0,NA(),(('Calculations'!D62/'Facts'!F342))*1)</f>
        <v>0.11386737961492832</v>
      </c>
      <c r="E63" s="4">
        <f>D63/K63</f>
        <v>0.11386737961492832</v>
      </c>
      <c r="F63" s="2" t="str">
        <f>IF(ISNUMBER(D63),"calculated","not_calculated")</f>
        <v>calculated</v>
      </c>
      <c r="G63" s="2">
        <f>IF(ISNUMBER(D63),"","检查缺失值、分母与输入；口径变更须重跑Python")</f>
        <v/>
      </c>
      <c r="H63" s="2" t="s">
        <v>2768</v>
      </c>
      <c r="I63" s="2" t="s">
        <v>2640</v>
      </c>
      <c r="J63" s="2" t="s">
        <v>2711</v>
      </c>
      <c r="K63" s="2">
        <v>1</v>
      </c>
      <c r="L63" s="2" t="s">
        <v>52</v>
      </c>
      <c r="M63" s="2" t="s">
        <v>53</v>
      </c>
      <c r="N63" s="2" t="s">
        <v>391</v>
      </c>
      <c r="O63" s="2" t="s">
        <v>54</v>
      </c>
    </row>
    <row r="64" spans="1:15">
      <c r="A64" s="2" t="s">
        <v>2769</v>
      </c>
      <c r="B64" s="2" t="s">
        <v>2770</v>
      </c>
      <c r="C64" s="2" t="s">
        <v>3159</v>
      </c>
      <c r="D64" s="3">
        <f>(('Facts'!F346-'Facts'!F348))*1</f>
        <v>25160913.79</v>
      </c>
      <c r="E64" s="3">
        <f>D64/K64</f>
        <v>25160913.79</v>
      </c>
      <c r="F64" s="2" t="str">
        <f>IF(ISNUMBER(D64),"calculated","not_calculated")</f>
        <v>calculated</v>
      </c>
      <c r="G64" s="2">
        <f>IF(ISNUMBER(D64),"","检查缺失值、分母与输入；口径变更须重跑Python")</f>
        <v/>
      </c>
      <c r="H64" s="2" t="s">
        <v>2770</v>
      </c>
      <c r="I64" s="2" t="s">
        <v>2640</v>
      </c>
      <c r="J64" s="2" t="s">
        <v>51</v>
      </c>
      <c r="K64" s="2">
        <v>1</v>
      </c>
      <c r="L64" s="2" t="s">
        <v>52</v>
      </c>
      <c r="M64" s="2" t="s">
        <v>53</v>
      </c>
      <c r="N64" s="2" t="s">
        <v>391</v>
      </c>
      <c r="O64" s="2" t="s">
        <v>54</v>
      </c>
    </row>
    <row r="65" spans="1:15">
      <c r="A65" s="2" t="s">
        <v>2771</v>
      </c>
      <c r="B65" s="2" t="s">
        <v>2772</v>
      </c>
      <c r="C65" s="2" t="s">
        <v>3160</v>
      </c>
      <c r="D65" s="3">
        <f>IF('Facts'!F346&lt;=0,NA(),(('Calculations'!D64/'Facts'!F346))*1)</f>
        <v>0.360131445883259</v>
      </c>
      <c r="E65" s="4">
        <f>D65/K65</f>
        <v>0.360131445883259</v>
      </c>
      <c r="F65" s="2" t="str">
        <f>IF(ISNUMBER(D65),"calculated","not_calculated")</f>
        <v>calculated</v>
      </c>
      <c r="G65" s="2">
        <f>IF(ISNUMBER(D65),"","检查缺失值、分母与输入；口径变更须重跑Python")</f>
        <v/>
      </c>
      <c r="H65" s="2" t="s">
        <v>2772</v>
      </c>
      <c r="I65" s="2" t="s">
        <v>2640</v>
      </c>
      <c r="J65" s="2" t="s">
        <v>2711</v>
      </c>
      <c r="K65" s="2">
        <v>1</v>
      </c>
      <c r="L65" s="2" t="s">
        <v>52</v>
      </c>
      <c r="M65" s="2" t="s">
        <v>53</v>
      </c>
      <c r="N65" s="2" t="s">
        <v>391</v>
      </c>
      <c r="O65" s="2" t="s">
        <v>54</v>
      </c>
    </row>
    <row r="66" spans="1:15">
      <c r="A66" s="2" t="s">
        <v>2773</v>
      </c>
      <c r="B66" s="2" t="s">
        <v>2774</v>
      </c>
      <c r="C66" s="2" t="s">
        <v>3161</v>
      </c>
      <c r="D66" s="3">
        <f>(('Facts'!F350-'Facts'!F352))*1</f>
        <v>15855872.52</v>
      </c>
      <c r="E66" s="3">
        <f>D66/K66</f>
        <v>15855872.52</v>
      </c>
      <c r="F66" s="2" t="str">
        <f>IF(ISNUMBER(D66),"calculated","not_calculated")</f>
        <v>calculated</v>
      </c>
      <c r="G66" s="2">
        <f>IF(ISNUMBER(D66),"","检查缺失值、分母与输入；口径变更须重跑Python")</f>
        <v/>
      </c>
      <c r="H66" s="2" t="s">
        <v>2774</v>
      </c>
      <c r="I66" s="2" t="s">
        <v>2640</v>
      </c>
      <c r="J66" s="2" t="s">
        <v>51</v>
      </c>
      <c r="K66" s="2">
        <v>1</v>
      </c>
      <c r="L66" s="2" t="s">
        <v>52</v>
      </c>
      <c r="M66" s="2" t="s">
        <v>53</v>
      </c>
      <c r="N66" s="2" t="s">
        <v>391</v>
      </c>
      <c r="O66" s="2" t="s">
        <v>54</v>
      </c>
    </row>
    <row r="67" spans="1:15">
      <c r="A67" s="2" t="s">
        <v>2775</v>
      </c>
      <c r="B67" s="2" t="s">
        <v>2776</v>
      </c>
      <c r="C67" s="2" t="s">
        <v>3162</v>
      </c>
      <c r="D67" s="3">
        <f>IF('Facts'!F350&lt;=0,NA(),(('Calculations'!D66/'Facts'!F350))*1)</f>
        <v>0.22786903243184997</v>
      </c>
      <c r="E67" s="4">
        <f>D67/K67</f>
        <v>0.22786903243184997</v>
      </c>
      <c r="F67" s="2" t="str">
        <f>IF(ISNUMBER(D67),"calculated","not_calculated")</f>
        <v>calculated</v>
      </c>
      <c r="G67" s="2">
        <f>IF(ISNUMBER(D67),"","检查缺失值、分母与输入；口径变更须重跑Python")</f>
        <v/>
      </c>
      <c r="H67" s="2" t="s">
        <v>2776</v>
      </c>
      <c r="I67" s="2" t="s">
        <v>2640</v>
      </c>
      <c r="J67" s="2" t="s">
        <v>2711</v>
      </c>
      <c r="K67" s="2">
        <v>1</v>
      </c>
      <c r="L67" s="2" t="s">
        <v>52</v>
      </c>
      <c r="M67" s="2" t="s">
        <v>53</v>
      </c>
      <c r="N67" s="2" t="s">
        <v>391</v>
      </c>
      <c r="O67" s="2" t="s">
        <v>54</v>
      </c>
    </row>
    <row r="68" spans="1:15">
      <c r="A68" s="2" t="s">
        <v>2777</v>
      </c>
      <c r="B68" s="2" t="s">
        <v>2778</v>
      </c>
      <c r="C68" s="2" t="s">
        <v>3163</v>
      </c>
      <c r="D68" s="3">
        <f>(('Facts'!F330*1)+('Facts'!F334*1)+('Facts'!F338*1)+('Facts'!F342*1)+('Facts'!F346*1)+('Facts'!F350*1))*1</f>
        <v>6044124793.41</v>
      </c>
      <c r="E68" s="3">
        <f>D68/K68</f>
        <v>6044124793.41</v>
      </c>
      <c r="F68" s="2" t="str">
        <f>IF(ISNUMBER(D68),"calculated","not_calculated")</f>
        <v>calculated</v>
      </c>
      <c r="G68" s="2">
        <f>IF(ISNUMBER(D68),"","检查缺失值、分母与输入；口径变更须重跑Python")</f>
        <v/>
      </c>
      <c r="H68" s="2" t="s">
        <v>2778</v>
      </c>
      <c r="I68" s="2" t="s">
        <v>2640</v>
      </c>
      <c r="J68" s="2" t="s">
        <v>51</v>
      </c>
      <c r="K68" s="2">
        <v>1</v>
      </c>
      <c r="L68" s="2" t="s">
        <v>52</v>
      </c>
      <c r="M68" s="2" t="s">
        <v>53</v>
      </c>
      <c r="N68" s="2" t="s">
        <v>391</v>
      </c>
      <c r="O68" s="2" t="s">
        <v>54</v>
      </c>
    </row>
    <row r="69" spans="1:15">
      <c r="A69" s="2" t="s">
        <v>2779</v>
      </c>
      <c r="B69" s="2" t="s">
        <v>2780</v>
      </c>
      <c r="C69" s="2" t="s">
        <v>3164</v>
      </c>
      <c r="D69" s="3">
        <f>(('Facts'!F332*1)+('Facts'!F336*1)+('Facts'!F340*1)+('Facts'!F344*1)+('Facts'!F348*1)+('Facts'!F352*1))*1</f>
        <v>4581373263.48</v>
      </c>
      <c r="E69" s="3">
        <f>D69/K69</f>
        <v>4581373263.48</v>
      </c>
      <c r="F69" s="2" t="str">
        <f>IF(ISNUMBER(D69),"calculated","not_calculated")</f>
        <v>calculated</v>
      </c>
      <c r="G69" s="2">
        <f>IF(ISNUMBER(D69),"","检查缺失值、分母与输入；口径变更须重跑Python")</f>
        <v/>
      </c>
      <c r="H69" s="2" t="s">
        <v>2780</v>
      </c>
      <c r="I69" s="2" t="s">
        <v>2640</v>
      </c>
      <c r="J69" s="2" t="s">
        <v>51</v>
      </c>
      <c r="K69" s="2">
        <v>1</v>
      </c>
      <c r="L69" s="2" t="s">
        <v>52</v>
      </c>
      <c r="M69" s="2" t="s">
        <v>53</v>
      </c>
      <c r="N69" s="2" t="s">
        <v>391</v>
      </c>
      <c r="O69" s="2" t="s">
        <v>54</v>
      </c>
    </row>
    <row r="70" spans="1:15">
      <c r="A70" s="2" t="s">
        <v>2781</v>
      </c>
      <c r="B70" s="2" t="s">
        <v>2638</v>
      </c>
      <c r="C70" s="2" t="s">
        <v>3165</v>
      </c>
      <c r="D70" s="3">
        <f>(('Facts'!F3*1)+('Facts'!F5*1)+('Facts'!F7*1)+('Facts'!F9*1)+('Facts'!F11*1)+('Facts'!F13*1)+('Facts'!F15*1)+('Facts'!F17*1)+('Facts'!F19*1)+('Facts'!F22*1)+('Facts'!F20*1))*1</f>
        <v>9920020650.34</v>
      </c>
      <c r="E70" s="3">
        <f>D70/K70</f>
        <v>9920020650.34</v>
      </c>
      <c r="F70" s="2" t="str">
        <f>IF(ISNUMBER(D70),"calculated","not_calculated")</f>
        <v>calculated</v>
      </c>
      <c r="G70" s="2">
        <f>IF(ISNUMBER(D70),"","检查缺失值、分母与输入；口径变更须重跑Python")</f>
        <v/>
      </c>
      <c r="H70" s="2" t="s">
        <v>2638</v>
      </c>
      <c r="I70" s="2" t="s">
        <v>2640</v>
      </c>
      <c r="J70" s="2" t="s">
        <v>51</v>
      </c>
      <c r="K70" s="2">
        <v>1</v>
      </c>
      <c r="L70" s="2" t="s">
        <v>52</v>
      </c>
      <c r="M70" s="2" t="s">
        <v>53</v>
      </c>
      <c r="N70" s="2"/>
      <c r="O70" s="2" t="s">
        <v>61</v>
      </c>
    </row>
    <row r="71" spans="1:15">
      <c r="A71" s="2" t="s">
        <v>2782</v>
      </c>
      <c r="B71" s="2" t="s">
        <v>2642</v>
      </c>
      <c r="C71" s="2" t="s">
        <v>3166</v>
      </c>
      <c r="D71" s="3">
        <f>(('Facts'!F27*1)+('Facts'!F29*1)+('Facts'!F31*1)+('Facts'!F33*1)+('Facts'!F35*1)+('Facts'!F37*1)+('Facts'!F39*1)+('Facts'!F41*1)+('Facts'!F43*1)+('Facts'!F45*1)+('Facts'!F47*1)+('Facts'!F49*1)+('Facts'!F25*1))*1</f>
        <v>4224592457.46</v>
      </c>
      <c r="E71" s="3">
        <f>D71/K71</f>
        <v>4224592457.46</v>
      </c>
      <c r="F71" s="2" t="str">
        <f>IF(ISNUMBER(D71),"calculated","not_calculated")</f>
        <v>calculated</v>
      </c>
      <c r="G71" s="2">
        <f>IF(ISNUMBER(D71),"","检查缺失值、分母与输入；口径变更须重跑Python")</f>
        <v/>
      </c>
      <c r="H71" s="2" t="s">
        <v>2642</v>
      </c>
      <c r="I71" s="2" t="s">
        <v>2640</v>
      </c>
      <c r="J71" s="2" t="s">
        <v>51</v>
      </c>
      <c r="K71" s="2">
        <v>1</v>
      </c>
      <c r="L71" s="2" t="s">
        <v>52</v>
      </c>
      <c r="M71" s="2" t="s">
        <v>53</v>
      </c>
      <c r="N71" s="2"/>
      <c r="O71" s="2" t="s">
        <v>61</v>
      </c>
    </row>
    <row r="72" spans="1:15">
      <c r="A72" s="2" t="s">
        <v>2783</v>
      </c>
      <c r="B72" s="2" t="s">
        <v>2644</v>
      </c>
      <c r="C72" s="2" t="s">
        <v>3167</v>
      </c>
      <c r="D72" s="3">
        <f>(('Facts'!F55*1)+('Facts'!F57*1)+('Facts'!F59*1)+('Facts'!F61*1)+('Facts'!F63*1)+('Facts'!F65*1)+('Facts'!F67*1)+('Facts'!F69*1)+('Facts'!F71*1))*1</f>
        <v>6136199867.15</v>
      </c>
      <c r="E72" s="3">
        <f>D72/K72</f>
        <v>6136199867.15</v>
      </c>
      <c r="F72" s="2" t="str">
        <f>IF(ISNUMBER(D72),"calculated","not_calculated")</f>
        <v>calculated</v>
      </c>
      <c r="G72" s="2">
        <f>IF(ISNUMBER(D72),"","检查缺失值、分母与输入；口径变更须重跑Python")</f>
        <v/>
      </c>
      <c r="H72" s="2" t="s">
        <v>2644</v>
      </c>
      <c r="I72" s="2" t="s">
        <v>2640</v>
      </c>
      <c r="J72" s="2" t="s">
        <v>51</v>
      </c>
      <c r="K72" s="2">
        <v>1</v>
      </c>
      <c r="L72" s="2" t="s">
        <v>52</v>
      </c>
      <c r="M72" s="2" t="s">
        <v>53</v>
      </c>
      <c r="N72" s="2"/>
      <c r="O72" s="2" t="s">
        <v>61</v>
      </c>
    </row>
    <row r="73" spans="1:15">
      <c r="A73" s="2" t="s">
        <v>2784</v>
      </c>
      <c r="B73" s="2" t="s">
        <v>2646</v>
      </c>
      <c r="C73" s="2" t="s">
        <v>3168</v>
      </c>
      <c r="D73" s="3">
        <f>(('Facts'!F75*1)+('Facts'!F77*1)+('Facts'!F79*1)+('Facts'!F81*1)+('Facts'!F83*1)+('Facts'!F85*1))*1</f>
        <v>2941330804.14</v>
      </c>
      <c r="E73" s="3">
        <f>D73/K73</f>
        <v>2941330804.14</v>
      </c>
      <c r="F73" s="2" t="str">
        <f>IF(ISNUMBER(D73),"calculated","not_calculated")</f>
        <v>calculated</v>
      </c>
      <c r="G73" s="2">
        <f>IF(ISNUMBER(D73),"","检查缺失值、分母与输入；口径变更须重跑Python")</f>
        <v/>
      </c>
      <c r="H73" s="2" t="s">
        <v>2646</v>
      </c>
      <c r="I73" s="2" t="s">
        <v>2640</v>
      </c>
      <c r="J73" s="2" t="s">
        <v>51</v>
      </c>
      <c r="K73" s="2">
        <v>1</v>
      </c>
      <c r="L73" s="2" t="s">
        <v>52</v>
      </c>
      <c r="M73" s="2" t="s">
        <v>53</v>
      </c>
      <c r="N73" s="2"/>
      <c r="O73" s="2" t="s">
        <v>61</v>
      </c>
    </row>
    <row r="74" spans="1:15">
      <c r="A74" s="2" t="s">
        <v>2785</v>
      </c>
      <c r="B74" s="2" t="s">
        <v>2648</v>
      </c>
      <c r="C74" s="2" t="s">
        <v>3169</v>
      </c>
      <c r="D74" s="3">
        <f>(('Facts'!F91*1)+('Facts'!F93*1)+('Facts'!F95*1)+('Facts'!F97*1)+('Facts'!F99*1)+('Facts'!F101*1)+('Facts'!F104*1)+('Facts'!F102*1))*1</f>
        <v>4982499577.27</v>
      </c>
      <c r="E74" s="3">
        <f>D74/K74</f>
        <v>4982499577.27</v>
      </c>
      <c r="F74" s="2" t="str">
        <f>IF(ISNUMBER(D74),"calculated","not_calculated")</f>
        <v>calculated</v>
      </c>
      <c r="G74" s="2">
        <f>IF(ISNUMBER(D74),"","检查缺失值、分母与输入；口径变更须重跑Python")</f>
        <v/>
      </c>
      <c r="H74" s="2" t="s">
        <v>2648</v>
      </c>
      <c r="I74" s="2" t="s">
        <v>2640</v>
      </c>
      <c r="J74" s="2" t="s">
        <v>51</v>
      </c>
      <c r="K74" s="2">
        <v>1</v>
      </c>
      <c r="L74" s="2" t="s">
        <v>52</v>
      </c>
      <c r="M74" s="2" t="s">
        <v>53</v>
      </c>
      <c r="N74" s="2"/>
      <c r="O74" s="2" t="s">
        <v>61</v>
      </c>
    </row>
    <row r="75" spans="1:15">
      <c r="A75" s="2" t="s">
        <v>2786</v>
      </c>
      <c r="B75" s="2" t="s">
        <v>2650</v>
      </c>
      <c r="C75" s="2" t="s">
        <v>3170</v>
      </c>
      <c r="D75" s="3">
        <f>(('Facts'!F106*1)+('Facts'!F108*1))*1</f>
        <v>5067082436.51</v>
      </c>
      <c r="E75" s="3">
        <f>D75/K75</f>
        <v>5067082436.51</v>
      </c>
      <c r="F75" s="2" t="str">
        <f>IF(ISNUMBER(D75),"calculated","not_calculated")</f>
        <v>calculated</v>
      </c>
      <c r="G75" s="2">
        <f>IF(ISNUMBER(D75),"","检查缺失值、分母与输入；口径变更须重跑Python")</f>
        <v/>
      </c>
      <c r="H75" s="2" t="s">
        <v>2650</v>
      </c>
      <c r="I75" s="2" t="s">
        <v>2640</v>
      </c>
      <c r="J75" s="2" t="s">
        <v>51</v>
      </c>
      <c r="K75" s="2">
        <v>1</v>
      </c>
      <c r="L75" s="2" t="s">
        <v>52</v>
      </c>
      <c r="M75" s="2" t="s">
        <v>53</v>
      </c>
      <c r="N75" s="2"/>
      <c r="O75" s="2" t="s">
        <v>61</v>
      </c>
    </row>
    <row r="76" spans="1:15">
      <c r="A76" s="2" t="s">
        <v>2787</v>
      </c>
      <c r="B76" s="2" t="s">
        <v>2652</v>
      </c>
      <c r="C76" s="2" t="s">
        <v>3171</v>
      </c>
      <c r="D76" s="3">
        <f>(('Facts'!F24*1)+('Facts'!F51*1))*1</f>
        <v>14144613107.8</v>
      </c>
      <c r="E76" s="3">
        <f>D76/K76</f>
        <v>14144613107.8</v>
      </c>
      <c r="F76" s="2" t="str">
        <f>IF(ISNUMBER(D76),"calculated","not_calculated")</f>
        <v>calculated</v>
      </c>
      <c r="G76" s="2">
        <f>IF(ISNUMBER(D76),"","检查缺失值、分母与输入；口径变更须重跑Python")</f>
        <v/>
      </c>
      <c r="H76" s="2" t="s">
        <v>2652</v>
      </c>
      <c r="I76" s="2" t="s">
        <v>2640</v>
      </c>
      <c r="J76" s="2" t="s">
        <v>51</v>
      </c>
      <c r="K76" s="2">
        <v>1</v>
      </c>
      <c r="L76" s="2" t="s">
        <v>52</v>
      </c>
      <c r="M76" s="2" t="s">
        <v>53</v>
      </c>
      <c r="N76" s="2"/>
      <c r="O76" s="2" t="s">
        <v>61</v>
      </c>
    </row>
    <row r="77" spans="1:15">
      <c r="A77" s="2" t="s">
        <v>2788</v>
      </c>
      <c r="B77" s="2" t="s">
        <v>2654</v>
      </c>
      <c r="C77" s="2" t="s">
        <v>3172</v>
      </c>
      <c r="D77" s="3">
        <f>(('Facts'!F73*1)+('Facts'!F87*1))*1</f>
        <v>9077530671.29</v>
      </c>
      <c r="E77" s="3">
        <f>D77/K77</f>
        <v>9077530671.29</v>
      </c>
      <c r="F77" s="2" t="str">
        <f>IF(ISNUMBER(D77),"calculated","not_calculated")</f>
        <v>calculated</v>
      </c>
      <c r="G77" s="2">
        <f>IF(ISNUMBER(D77),"","检查缺失值、分母与输入；口径变更须重跑Python")</f>
        <v/>
      </c>
      <c r="H77" s="2" t="s">
        <v>2654</v>
      </c>
      <c r="I77" s="2" t="s">
        <v>2640</v>
      </c>
      <c r="J77" s="2" t="s">
        <v>51</v>
      </c>
      <c r="K77" s="2">
        <v>1</v>
      </c>
      <c r="L77" s="2" t="s">
        <v>52</v>
      </c>
      <c r="M77" s="2" t="s">
        <v>53</v>
      </c>
      <c r="N77" s="2"/>
      <c r="O77" s="2" t="s">
        <v>61</v>
      </c>
    </row>
    <row r="78" spans="1:15">
      <c r="A78" s="2" t="s">
        <v>2789</v>
      </c>
      <c r="B78" s="2" t="s">
        <v>2656</v>
      </c>
      <c r="C78" s="2" t="s">
        <v>3173</v>
      </c>
      <c r="D78" s="3">
        <f>(('Facts'!F89*1)+('Facts'!F110*1))*1</f>
        <v>14144613107.8</v>
      </c>
      <c r="E78" s="3">
        <f>D78/K78</f>
        <v>14144613107.8</v>
      </c>
      <c r="F78" s="2" t="str">
        <f>IF(ISNUMBER(D78),"calculated","not_calculated")</f>
        <v>calculated</v>
      </c>
      <c r="G78" s="2">
        <f>IF(ISNUMBER(D78),"","检查缺失值、分母与输入；口径变更须重跑Python")</f>
        <v/>
      </c>
      <c r="H78" s="2" t="s">
        <v>2656</v>
      </c>
      <c r="I78" s="2" t="s">
        <v>2640</v>
      </c>
      <c r="J78" s="2" t="s">
        <v>51</v>
      </c>
      <c r="K78" s="2">
        <v>1</v>
      </c>
      <c r="L78" s="2" t="s">
        <v>52</v>
      </c>
      <c r="M78" s="2" t="s">
        <v>53</v>
      </c>
      <c r="N78" s="2"/>
      <c r="O78" s="2" t="s">
        <v>61</v>
      </c>
    </row>
    <row r="79" spans="1:15">
      <c r="A79" s="2" t="s">
        <v>2790</v>
      </c>
      <c r="B79" s="2" t="s">
        <v>2658</v>
      </c>
      <c r="C79" s="2" t="s">
        <v>3174</v>
      </c>
      <c r="D79" s="3">
        <f>(('Facts'!F114*1)+('Facts'!F116*1)+('Facts'!F118*1)+('Facts'!F120*1)+('Facts'!F122*1)+('Facts'!F124*1))*1</f>
        <v>6724194459.25</v>
      </c>
      <c r="E79" s="3">
        <f>D79/K79</f>
        <v>6724194459.25</v>
      </c>
      <c r="F79" s="2" t="str">
        <f>IF(ISNUMBER(D79),"calculated","not_calculated")</f>
        <v>calculated</v>
      </c>
      <c r="G79" s="2">
        <f>IF(ISNUMBER(D79),"","检查缺失值、分母与输入；口径变更须重跑Python")</f>
        <v/>
      </c>
      <c r="H79" s="2" t="s">
        <v>2658</v>
      </c>
      <c r="I79" s="2" t="s">
        <v>2640</v>
      </c>
      <c r="J79" s="2" t="s">
        <v>51</v>
      </c>
      <c r="K79" s="2">
        <v>1</v>
      </c>
      <c r="L79" s="2" t="s">
        <v>52</v>
      </c>
      <c r="M79" s="2" t="s">
        <v>53</v>
      </c>
      <c r="N79" s="2" t="s">
        <v>396</v>
      </c>
      <c r="O79" s="2" t="s">
        <v>61</v>
      </c>
    </row>
    <row r="80" spans="1:15">
      <c r="A80" s="2" t="s">
        <v>2791</v>
      </c>
      <c r="B80" s="2" t="s">
        <v>2660</v>
      </c>
      <c r="C80" s="2" t="s">
        <v>3175</v>
      </c>
      <c r="D80" s="3">
        <f>(('Facts'!F144*1)+('Facts'!F146*1)+('Facts'!F148*-1))*1</f>
        <v>46728192.77</v>
      </c>
      <c r="E80" s="3">
        <f>D80/K80</f>
        <v>46728192.77</v>
      </c>
      <c r="F80" s="2" t="str">
        <f>IF(ISNUMBER(D80),"calculated","not_calculated")</f>
        <v>calculated</v>
      </c>
      <c r="G80" s="2">
        <f>IF(ISNUMBER(D80),"","检查缺失值、分母与输入；口径变更须重跑Python")</f>
        <v/>
      </c>
      <c r="H80" s="2" t="s">
        <v>2660</v>
      </c>
      <c r="I80" s="2" t="s">
        <v>2640</v>
      </c>
      <c r="J80" s="2" t="s">
        <v>51</v>
      </c>
      <c r="K80" s="2">
        <v>1</v>
      </c>
      <c r="L80" s="2" t="s">
        <v>52</v>
      </c>
      <c r="M80" s="2" t="s">
        <v>53</v>
      </c>
      <c r="N80" s="2" t="s">
        <v>396</v>
      </c>
      <c r="O80" s="2" t="s">
        <v>61</v>
      </c>
    </row>
    <row r="81" spans="1:15">
      <c r="A81" s="2" t="s">
        <v>2792</v>
      </c>
      <c r="B81" s="2" t="s">
        <v>2662</v>
      </c>
      <c r="C81" s="2" t="s">
        <v>3176</v>
      </c>
      <c r="D81" s="3">
        <f>(('Facts'!F150-'Facts'!F152))*1</f>
        <v>23006139.05</v>
      </c>
      <c r="E81" s="3">
        <f>D81/K81</f>
        <v>23006139.05</v>
      </c>
      <c r="F81" s="2" t="str">
        <f>IF(ISNUMBER(D81),"calculated","not_calculated")</f>
        <v>calculated</v>
      </c>
      <c r="G81" s="2">
        <f>IF(ISNUMBER(D81),"","检查缺失值、分母与输入；口径变更须重跑Python")</f>
        <v/>
      </c>
      <c r="H81" s="2" t="s">
        <v>2662</v>
      </c>
      <c r="I81" s="2" t="s">
        <v>2640</v>
      </c>
      <c r="J81" s="2" t="s">
        <v>51</v>
      </c>
      <c r="K81" s="2">
        <v>1</v>
      </c>
      <c r="L81" s="2" t="s">
        <v>52</v>
      </c>
      <c r="M81" s="2" t="s">
        <v>53</v>
      </c>
      <c r="N81" s="2" t="s">
        <v>396</v>
      </c>
      <c r="O81" s="2" t="s">
        <v>61</v>
      </c>
    </row>
    <row r="82" spans="1:15">
      <c r="A82" s="2" t="s">
        <v>2793</v>
      </c>
      <c r="B82" s="2" t="s">
        <v>2664</v>
      </c>
      <c r="C82" s="2" t="s">
        <v>3177</v>
      </c>
      <c r="D82" s="3">
        <f>(('Facts'!F154*1)+('Facts'!F160*1))*1</f>
        <v>32858297.2</v>
      </c>
      <c r="E82" s="3">
        <f>D82/K82</f>
        <v>32858297.2</v>
      </c>
      <c r="F82" s="2" t="str">
        <f>IF(ISNUMBER(D82),"calculated","not_calculated")</f>
        <v>calculated</v>
      </c>
      <c r="G82" s="2">
        <f>IF(ISNUMBER(D82),"","检查缺失值、分母与输入；口径变更须重跑Python")</f>
        <v/>
      </c>
      <c r="H82" s="2" t="s">
        <v>2664</v>
      </c>
      <c r="I82" s="2" t="s">
        <v>2640</v>
      </c>
      <c r="J82" s="2" t="s">
        <v>51</v>
      </c>
      <c r="K82" s="2">
        <v>1</v>
      </c>
      <c r="L82" s="2" t="s">
        <v>52</v>
      </c>
      <c r="M82" s="2" t="s">
        <v>53</v>
      </c>
      <c r="N82" s="2" t="s">
        <v>396</v>
      </c>
      <c r="O82" s="2" t="s">
        <v>61</v>
      </c>
    </row>
    <row r="83" spans="1:15">
      <c r="A83" s="2" t="s">
        <v>2794</v>
      </c>
      <c r="B83" s="2" t="s">
        <v>2666</v>
      </c>
      <c r="C83" s="2" t="s">
        <v>3178</v>
      </c>
      <c r="D83" s="3">
        <f>(('Facts'!F164*1)+('Facts'!F166*1)+('Facts'!F168*1))*1</f>
        <v>7683687673.13</v>
      </c>
      <c r="E83" s="3">
        <f>D83/K83</f>
        <v>7683687673.13</v>
      </c>
      <c r="F83" s="2" t="str">
        <f>IF(ISNUMBER(D83),"calculated","not_calculated")</f>
        <v>calculated</v>
      </c>
      <c r="G83" s="2">
        <f>IF(ISNUMBER(D83),"","检查缺失值、分母与输入；口径变更须重跑Python")</f>
        <v/>
      </c>
      <c r="H83" s="2" t="s">
        <v>2666</v>
      </c>
      <c r="I83" s="2" t="s">
        <v>2640</v>
      </c>
      <c r="J83" s="2" t="s">
        <v>51</v>
      </c>
      <c r="K83" s="2">
        <v>1</v>
      </c>
      <c r="L83" s="2" t="s">
        <v>52</v>
      </c>
      <c r="M83" s="2" t="s">
        <v>53</v>
      </c>
      <c r="N83" s="2" t="s">
        <v>396</v>
      </c>
      <c r="O83" s="2" t="s">
        <v>61</v>
      </c>
    </row>
    <row r="84" spans="1:15">
      <c r="A84" s="2" t="s">
        <v>2795</v>
      </c>
      <c r="B84" s="2" t="s">
        <v>2668</v>
      </c>
      <c r="C84" s="2" t="s">
        <v>3179</v>
      </c>
      <c r="D84" s="3">
        <f>(('Facts'!F172*1)+('Facts'!F174*1)+('Facts'!F176*1)+('Facts'!F178*1))*1</f>
        <v>7368596837.2</v>
      </c>
      <c r="E84" s="3">
        <f>D84/K84</f>
        <v>7368596837.2</v>
      </c>
      <c r="F84" s="2" t="str">
        <f>IF(ISNUMBER(D84),"calculated","not_calculated")</f>
        <v>calculated</v>
      </c>
      <c r="G84" s="2">
        <f>IF(ISNUMBER(D84),"","检查缺失值、分母与输入；口径变更须重跑Python")</f>
        <v/>
      </c>
      <c r="H84" s="2" t="s">
        <v>2668</v>
      </c>
      <c r="I84" s="2" t="s">
        <v>2640</v>
      </c>
      <c r="J84" s="2" t="s">
        <v>51</v>
      </c>
      <c r="K84" s="2">
        <v>1</v>
      </c>
      <c r="L84" s="2" t="s">
        <v>52</v>
      </c>
      <c r="M84" s="2" t="s">
        <v>53</v>
      </c>
      <c r="N84" s="2" t="s">
        <v>396</v>
      </c>
      <c r="O84" s="2" t="s">
        <v>61</v>
      </c>
    </row>
    <row r="85" spans="1:15">
      <c r="A85" s="2" t="s">
        <v>2796</v>
      </c>
      <c r="B85" s="2" t="s">
        <v>2670</v>
      </c>
      <c r="C85" s="2" t="s">
        <v>3180</v>
      </c>
      <c r="D85" s="3">
        <f>(('Facts'!F170-'Facts'!F180))*1</f>
        <v>315090835.93</v>
      </c>
      <c r="E85" s="3">
        <f>D85/K85</f>
        <v>315090835.93</v>
      </c>
      <c r="F85" s="2" t="str">
        <f>IF(ISNUMBER(D85),"calculated","not_calculated")</f>
        <v>calculated</v>
      </c>
      <c r="G85" s="2">
        <f>IF(ISNUMBER(D85),"","检查缺失值、分母与输入；口径变更须重跑Python")</f>
        <v/>
      </c>
      <c r="H85" s="2" t="s">
        <v>2670</v>
      </c>
      <c r="I85" s="2" t="s">
        <v>2640</v>
      </c>
      <c r="J85" s="2" t="s">
        <v>51</v>
      </c>
      <c r="K85" s="2">
        <v>1</v>
      </c>
      <c r="L85" s="2" t="s">
        <v>52</v>
      </c>
      <c r="M85" s="2" t="s">
        <v>53</v>
      </c>
      <c r="N85" s="2" t="s">
        <v>396</v>
      </c>
      <c r="O85" s="2" t="s">
        <v>61</v>
      </c>
    </row>
    <row r="86" spans="1:15">
      <c r="A86" s="2" t="s">
        <v>2797</v>
      </c>
      <c r="B86" s="2" t="s">
        <v>2672</v>
      </c>
      <c r="C86" s="2" t="s">
        <v>3181</v>
      </c>
      <c r="D86" s="3">
        <f>(('Facts'!F193-'Facts'!F203))*1</f>
        <v>913277804.43</v>
      </c>
      <c r="E86" s="3">
        <f>D86/K86</f>
        <v>913277804.43</v>
      </c>
      <c r="F86" s="2" t="str">
        <f>IF(ISNUMBER(D86),"calculated","not_calculated")</f>
        <v>calculated</v>
      </c>
      <c r="G86" s="2">
        <f>IF(ISNUMBER(D86),"","检查缺失值、分母与输入；口径变更须重跑Python")</f>
        <v/>
      </c>
      <c r="H86" s="2" t="s">
        <v>2672</v>
      </c>
      <c r="I86" s="2" t="s">
        <v>2640</v>
      </c>
      <c r="J86" s="2" t="s">
        <v>51</v>
      </c>
      <c r="K86" s="2">
        <v>1</v>
      </c>
      <c r="L86" s="2" t="s">
        <v>52</v>
      </c>
      <c r="M86" s="2" t="s">
        <v>53</v>
      </c>
      <c r="N86" s="2" t="s">
        <v>396</v>
      </c>
      <c r="O86" s="2" t="s">
        <v>61</v>
      </c>
    </row>
    <row r="87" spans="1:15">
      <c r="A87" s="2" t="s">
        <v>2798</v>
      </c>
      <c r="B87" s="2" t="s">
        <v>2674</v>
      </c>
      <c r="C87" s="2" t="s">
        <v>3182</v>
      </c>
      <c r="D87" s="3">
        <f>(('Facts'!F213-'Facts'!F221))*1</f>
        <v>-897789704.33</v>
      </c>
      <c r="E87" s="3">
        <f>D87/K87</f>
        <v>-897789704.33</v>
      </c>
      <c r="F87" s="2" t="str">
        <f>IF(ISNUMBER(D87),"calculated","not_calculated")</f>
        <v>calculated</v>
      </c>
      <c r="G87" s="2">
        <f>IF(ISNUMBER(D87),"","检查缺失值、分母与输入；口径变更须重跑Python")</f>
        <v/>
      </c>
      <c r="H87" s="2" t="s">
        <v>2674</v>
      </c>
      <c r="I87" s="2" t="s">
        <v>2640</v>
      </c>
      <c r="J87" s="2" t="s">
        <v>51</v>
      </c>
      <c r="K87" s="2">
        <v>1</v>
      </c>
      <c r="L87" s="2" t="s">
        <v>52</v>
      </c>
      <c r="M87" s="2" t="s">
        <v>53</v>
      </c>
      <c r="N87" s="2" t="s">
        <v>396</v>
      </c>
      <c r="O87" s="2" t="s">
        <v>61</v>
      </c>
    </row>
    <row r="88" spans="1:15">
      <c r="A88" s="2" t="s">
        <v>2799</v>
      </c>
      <c r="B88" s="2" t="s">
        <v>2676</v>
      </c>
      <c r="C88" s="2" t="s">
        <v>3183</v>
      </c>
      <c r="D88" s="3">
        <f>(('Facts'!F182*1)+('Facts'!F205*1)+('Facts'!F223*1)+('Facts'!F225*1))*1</f>
        <v>333170458.62</v>
      </c>
      <c r="E88" s="3">
        <f>D88/K88</f>
        <v>333170458.62</v>
      </c>
      <c r="F88" s="2" t="str">
        <f>IF(ISNUMBER(D88),"calculated","not_calculated")</f>
        <v>calculated</v>
      </c>
      <c r="G88" s="2">
        <f>IF(ISNUMBER(D88),"","检查缺失值、分母与输入；口径变更须重跑Python")</f>
        <v/>
      </c>
      <c r="H88" s="2" t="s">
        <v>2676</v>
      </c>
      <c r="I88" s="2" t="s">
        <v>2640</v>
      </c>
      <c r="J88" s="2" t="s">
        <v>51</v>
      </c>
      <c r="K88" s="2">
        <v>1</v>
      </c>
      <c r="L88" s="2" t="s">
        <v>52</v>
      </c>
      <c r="M88" s="2" t="s">
        <v>53</v>
      </c>
      <c r="N88" s="2" t="s">
        <v>396</v>
      </c>
      <c r="O88" s="2" t="s">
        <v>61</v>
      </c>
    </row>
    <row r="89" spans="1:15">
      <c r="A89" s="2" t="s">
        <v>2800</v>
      </c>
      <c r="B89" s="2" t="s">
        <v>2678</v>
      </c>
      <c r="C89" s="2" t="s">
        <v>3184</v>
      </c>
      <c r="D89" s="3">
        <f>(('Facts'!F156*1)+('Facts'!F158*1))*1</f>
        <v>23006139.05</v>
      </c>
      <c r="E89" s="3">
        <f>D89/K89</f>
        <v>23006139.05</v>
      </c>
      <c r="F89" s="2" t="str">
        <f>IF(ISNUMBER(D89),"calculated","not_calculated")</f>
        <v>calculated</v>
      </c>
      <c r="G89" s="2">
        <f>IF(ISNUMBER(D89),"","检查缺失值、分母与输入；口径变更须重跑Python")</f>
        <v/>
      </c>
      <c r="H89" s="2" t="s">
        <v>2678</v>
      </c>
      <c r="I89" s="2" t="s">
        <v>2640</v>
      </c>
      <c r="J89" s="2" t="s">
        <v>51</v>
      </c>
      <c r="K89" s="2">
        <v>1</v>
      </c>
      <c r="L89" s="2" t="s">
        <v>52</v>
      </c>
      <c r="M89" s="2" t="s">
        <v>53</v>
      </c>
      <c r="N89" s="2" t="s">
        <v>396</v>
      </c>
      <c r="O89" s="2" t="s">
        <v>61</v>
      </c>
    </row>
    <row r="90" spans="1:15">
      <c r="A90" s="2" t="s">
        <v>2801</v>
      </c>
      <c r="B90" s="2" t="s">
        <v>2680</v>
      </c>
      <c r="C90" s="2" t="s">
        <v>3185</v>
      </c>
      <c r="D90" s="3">
        <f>(('Facts'!F112*1)+('Facts'!F130*-1)+('Facts'!F132*1)+('Facts'!F134*1)+('Facts'!F136*1)+('Facts'!F138*1)+('Facts'!F140*1)+('Facts'!F142*1))*1</f>
        <v>25503811.84</v>
      </c>
      <c r="E90" s="3">
        <f>D90/K90</f>
        <v>25503811.84</v>
      </c>
      <c r="F90" s="2" t="str">
        <f>IF(ISNUMBER(D90),"calculated","not_calculated")</f>
        <v>calculated</v>
      </c>
      <c r="G90" s="2">
        <f>IF(ISNUMBER(D90),"","检查缺失值、分母与输入；口径变更须重跑Python")</f>
        <v/>
      </c>
      <c r="H90" s="2" t="s">
        <v>2680</v>
      </c>
      <c r="I90" s="2" t="s">
        <v>2640</v>
      </c>
      <c r="J90" s="2" t="s">
        <v>51</v>
      </c>
      <c r="K90" s="2">
        <v>1</v>
      </c>
      <c r="L90" s="2" t="s">
        <v>52</v>
      </c>
      <c r="M90" s="2" t="s">
        <v>53</v>
      </c>
      <c r="N90" s="2" t="s">
        <v>396</v>
      </c>
      <c r="O90" s="2" t="s">
        <v>61</v>
      </c>
    </row>
    <row r="91" spans="1:15">
      <c r="A91" s="2" t="s">
        <v>2802</v>
      </c>
      <c r="B91" s="2" t="s">
        <v>2682</v>
      </c>
      <c r="C91" s="2" t="s">
        <v>3186</v>
      </c>
      <c r="D91" s="3">
        <f>(('Facts'!F250*1)+('Facts'!F227*1))*1</f>
        <v>2329561219.72</v>
      </c>
      <c r="E91" s="3">
        <f>D91/K91</f>
        <v>2329561219.72</v>
      </c>
      <c r="F91" s="2" t="str">
        <f>IF(ISNUMBER(D91),"calculated","not_calculated")</f>
        <v>calculated</v>
      </c>
      <c r="G91" s="2">
        <f>IF(ISNUMBER(D91),"","检查缺失值、分母与输入；口径变更须重跑Python")</f>
        <v/>
      </c>
      <c r="H91" s="2" t="s">
        <v>2682</v>
      </c>
      <c r="I91" s="2" t="s">
        <v>2640</v>
      </c>
      <c r="J91" s="2" t="s">
        <v>51</v>
      </c>
      <c r="K91" s="2">
        <v>1</v>
      </c>
      <c r="L91" s="2" t="s">
        <v>52</v>
      </c>
      <c r="M91" s="2" t="s">
        <v>53</v>
      </c>
      <c r="N91" s="2" t="s">
        <v>396</v>
      </c>
      <c r="O91" s="2" t="s">
        <v>61</v>
      </c>
    </row>
    <row r="92" spans="1:15">
      <c r="A92" s="2" t="s">
        <v>2803</v>
      </c>
      <c r="B92" s="2" t="s">
        <v>2684</v>
      </c>
      <c r="C92" s="2" t="s">
        <v>3187</v>
      </c>
      <c r="D92" s="3">
        <f>(('Facts'!F229*1)+('Facts'!F231*1))*1</f>
        <v>3416078844.83</v>
      </c>
      <c r="E92" s="3">
        <f>D92/K92</f>
        <v>3416078844.83</v>
      </c>
      <c r="F92" s="2" t="str">
        <f>IF(ISNUMBER(D92),"calculated","not_calculated")</f>
        <v>calculated</v>
      </c>
      <c r="G92" s="2">
        <f>IF(ISNUMBER(D92),"","检查缺失值、分母与输入；口径变更须重跑Python")</f>
        <v/>
      </c>
      <c r="H92" s="2" t="s">
        <v>2684</v>
      </c>
      <c r="I92" s="2" t="s">
        <v>2640</v>
      </c>
      <c r="J92" s="2" t="s">
        <v>51</v>
      </c>
      <c r="K92" s="2">
        <v>1</v>
      </c>
      <c r="L92" s="2" t="s">
        <v>52</v>
      </c>
      <c r="M92" s="2" t="s">
        <v>53</v>
      </c>
      <c r="N92" s="2"/>
      <c r="O92" s="2" t="s">
        <v>61</v>
      </c>
    </row>
    <row r="93" spans="1:15">
      <c r="A93" s="2" t="s">
        <v>2804</v>
      </c>
      <c r="B93" s="2" t="s">
        <v>2686</v>
      </c>
      <c r="C93" s="2" t="s">
        <v>3188</v>
      </c>
      <c r="D93" s="3">
        <f>(('Facts'!F233*1)+('Facts'!F235*1)+('Facts'!F237*1)+('Facts'!F239*1)+('Facts'!F241*1)+('Facts'!F243*1)+('Facts'!F245*1))*1</f>
        <v>1086517625.11</v>
      </c>
      <c r="E93" s="3">
        <f>D93/K93</f>
        <v>1086517625.11</v>
      </c>
      <c r="F93" s="2" t="str">
        <f>IF(ISNUMBER(D93),"calculated","not_calculated")</f>
        <v>calculated</v>
      </c>
      <c r="G93" s="2">
        <f>IF(ISNUMBER(D93),"","检查缺失值、分母与输入；口径变更须重跑Python")</f>
        <v/>
      </c>
      <c r="H93" s="2" t="s">
        <v>2686</v>
      </c>
      <c r="I93" s="2" t="s">
        <v>2640</v>
      </c>
      <c r="J93" s="2" t="s">
        <v>51</v>
      </c>
      <c r="K93" s="2">
        <v>1</v>
      </c>
      <c r="L93" s="2" t="s">
        <v>52</v>
      </c>
      <c r="M93" s="2" t="s">
        <v>53</v>
      </c>
      <c r="N93" s="2"/>
      <c r="O93" s="2" t="s">
        <v>61</v>
      </c>
    </row>
    <row r="94" spans="1:15">
      <c r="A94" s="2" t="s">
        <v>2805</v>
      </c>
      <c r="B94" s="2" t="s">
        <v>2688</v>
      </c>
      <c r="C94" s="2" t="s">
        <v>3189</v>
      </c>
      <c r="D94" s="3">
        <f>(('Facts'!F154*1)+('Facts'!F365*1)+('Facts'!F367*1)+('Facts'!F369*1)+('Facts'!F371*1)+('Facts'!F373*1)+('Facts'!F375*1)+('Facts'!F377*1)+('Facts'!F379*1)+('Facts'!F381*1)+('Facts'!F383*1)+('Facts'!F385*1)+('Facts'!F387*1)+('Facts'!F389*1)+('Facts'!F391*1)+('Facts'!F393*1)+('Facts'!F395*1))*1</f>
        <v>315090835.93</v>
      </c>
      <c r="E94" s="3">
        <f>D94/K94</f>
        <v>315090835.93</v>
      </c>
      <c r="F94" s="2" t="str">
        <f>IF(ISNUMBER(D94),"calculated","not_calculated")</f>
        <v>calculated</v>
      </c>
      <c r="G94" s="2">
        <f>IF(ISNUMBER(D94),"","检查缺失值、分母与输入；口径变更须重跑Python")</f>
        <v/>
      </c>
      <c r="H94" s="2" t="s">
        <v>2688</v>
      </c>
      <c r="I94" s="2" t="s">
        <v>2640</v>
      </c>
      <c r="J94" s="2" t="s">
        <v>51</v>
      </c>
      <c r="K94" s="2">
        <v>1</v>
      </c>
      <c r="L94" s="2" t="s">
        <v>52</v>
      </c>
      <c r="M94" s="2" t="s">
        <v>53</v>
      </c>
      <c r="N94" s="2" t="s">
        <v>396</v>
      </c>
      <c r="O94" s="2" t="s">
        <v>61</v>
      </c>
    </row>
    <row r="95" spans="1:15">
      <c r="A95" s="2" t="s">
        <v>2806</v>
      </c>
      <c r="B95" s="2" t="s">
        <v>2690</v>
      </c>
      <c r="C95" s="2" t="s">
        <v>3190</v>
      </c>
      <c r="D95" s="3">
        <f>(('Facts'!F265-'Facts'!F267))*1</f>
        <v>4072793425.11</v>
      </c>
      <c r="E95" s="3">
        <f>D95/K95</f>
        <v>4072793425.11</v>
      </c>
      <c r="F95" s="2" t="str">
        <f>IF(ISNUMBER(D95),"calculated","not_calculated")</f>
        <v>calculated</v>
      </c>
      <c r="G95" s="2">
        <f>IF(ISNUMBER(D95),"","检查缺失值、分母与输入；口径变更须重跑Python")</f>
        <v/>
      </c>
      <c r="H95" s="2" t="s">
        <v>2690</v>
      </c>
      <c r="I95" s="2" t="s">
        <v>2640</v>
      </c>
      <c r="J95" s="2" t="s">
        <v>51</v>
      </c>
      <c r="K95" s="2">
        <v>1</v>
      </c>
      <c r="L95" s="2" t="s">
        <v>52</v>
      </c>
      <c r="M95" s="2" t="s">
        <v>53</v>
      </c>
      <c r="N95" s="2"/>
      <c r="O95" s="2" t="s">
        <v>61</v>
      </c>
    </row>
    <row r="96" spans="1:15">
      <c r="A96" s="2" t="s">
        <v>2807</v>
      </c>
      <c r="B96" s="2" t="s">
        <v>2692</v>
      </c>
      <c r="C96" s="2" t="s">
        <v>3191</v>
      </c>
      <c r="D96" s="3">
        <f>(('Facts'!F305-'Facts'!F307))*1</f>
        <v>338390689.3</v>
      </c>
      <c r="E96" s="3">
        <f>D96/K96</f>
        <v>338390689.3</v>
      </c>
      <c r="F96" s="2" t="str">
        <f>IF(ISNUMBER(D96),"calculated","not_calculated")</f>
        <v>calculated</v>
      </c>
      <c r="G96" s="2">
        <f>IF(ISNUMBER(D96),"","检查缺失值、分母与输入；口径变更须重跑Python")</f>
        <v/>
      </c>
      <c r="H96" s="2" t="s">
        <v>2692</v>
      </c>
      <c r="I96" s="2" t="s">
        <v>2640</v>
      </c>
      <c r="J96" s="2" t="s">
        <v>51</v>
      </c>
      <c r="K96" s="2">
        <v>1</v>
      </c>
      <c r="L96" s="2" t="s">
        <v>52</v>
      </c>
      <c r="M96" s="2" t="s">
        <v>53</v>
      </c>
      <c r="N96" s="2"/>
      <c r="O96" s="2" t="s">
        <v>61</v>
      </c>
    </row>
    <row r="97" spans="1:15">
      <c r="A97" s="2" t="s">
        <v>2808</v>
      </c>
      <c r="B97" s="2" t="s">
        <v>2694</v>
      </c>
      <c r="C97" s="2" t="s">
        <v>3192</v>
      </c>
      <c r="D97" s="3">
        <f>(('Facts'!F313-'Facts'!F315))*1</f>
        <v>501975812.22</v>
      </c>
      <c r="E97" s="3">
        <f>D97/K97</f>
        <v>501975812.22</v>
      </c>
      <c r="F97" s="2" t="str">
        <f>IF(ISNUMBER(D97),"calculated","not_calculated")</f>
        <v>calculated</v>
      </c>
      <c r="G97" s="2">
        <f>IF(ISNUMBER(D97),"","检查缺失值、分母与输入；口径变更须重跑Python")</f>
        <v/>
      </c>
      <c r="H97" s="2" t="s">
        <v>2694</v>
      </c>
      <c r="I97" s="2" t="s">
        <v>2640</v>
      </c>
      <c r="J97" s="2" t="s">
        <v>51</v>
      </c>
      <c r="K97" s="2">
        <v>1</v>
      </c>
      <c r="L97" s="2" t="s">
        <v>52</v>
      </c>
      <c r="M97" s="2" t="s">
        <v>53</v>
      </c>
      <c r="N97" s="2"/>
      <c r="O97" s="2" t="s">
        <v>61</v>
      </c>
    </row>
    <row r="98" spans="1:15">
      <c r="A98" s="2" t="s">
        <v>2809</v>
      </c>
      <c r="B98" s="2" t="s">
        <v>2696</v>
      </c>
      <c r="C98" s="2" t="s">
        <v>3193</v>
      </c>
      <c r="D98" s="3">
        <f>(('Facts'!F291-'Facts'!F293))*1</f>
        <v>374997920.64</v>
      </c>
      <c r="E98" s="3">
        <f>D98/K98</f>
        <v>374997920.64</v>
      </c>
      <c r="F98" s="2" t="str">
        <f>IF(ISNUMBER(D98),"calculated","not_calculated")</f>
        <v>calculated</v>
      </c>
      <c r="G98" s="2">
        <f>IF(ISNUMBER(D98),"","检查缺失值、分母与输入；口径变更须重跑Python")</f>
        <v/>
      </c>
      <c r="H98" s="2" t="s">
        <v>2696</v>
      </c>
      <c r="I98" s="2" t="s">
        <v>2640</v>
      </c>
      <c r="J98" s="2" t="s">
        <v>51</v>
      </c>
      <c r="K98" s="2">
        <v>1</v>
      </c>
      <c r="L98" s="2" t="s">
        <v>52</v>
      </c>
      <c r="M98" s="2" t="s">
        <v>53</v>
      </c>
      <c r="N98" s="2"/>
      <c r="O98" s="2" t="s">
        <v>61</v>
      </c>
    </row>
    <row r="99" spans="1:15">
      <c r="A99" s="2" t="s">
        <v>2810</v>
      </c>
      <c r="B99" s="2" t="s">
        <v>2698</v>
      </c>
      <c r="C99" s="2" t="s">
        <v>3194</v>
      </c>
      <c r="D99" s="3">
        <f>(('Facts'!F295-'Facts'!F297))*1</f>
        <v>88740940.15</v>
      </c>
      <c r="E99" s="3">
        <f>D99/K99</f>
        <v>88740940.15</v>
      </c>
      <c r="F99" s="2" t="str">
        <f>IF(ISNUMBER(D99),"calculated","not_calculated")</f>
        <v>calculated</v>
      </c>
      <c r="G99" s="2">
        <f>IF(ISNUMBER(D99),"","检查缺失值、分母与输入；口径变更须重跑Python")</f>
        <v/>
      </c>
      <c r="H99" s="2" t="s">
        <v>2698</v>
      </c>
      <c r="I99" s="2" t="s">
        <v>2640</v>
      </c>
      <c r="J99" s="2" t="s">
        <v>51</v>
      </c>
      <c r="K99" s="2">
        <v>1</v>
      </c>
      <c r="L99" s="2" t="s">
        <v>52</v>
      </c>
      <c r="M99" s="2" t="s">
        <v>53</v>
      </c>
      <c r="N99" s="2"/>
      <c r="O99" s="2" t="s">
        <v>61</v>
      </c>
    </row>
    <row r="100" spans="1:15">
      <c r="A100" s="2" t="s">
        <v>2811</v>
      </c>
      <c r="B100" s="2" t="s">
        <v>2700</v>
      </c>
      <c r="C100" s="2" t="s">
        <v>3195</v>
      </c>
      <c r="D100" s="3">
        <f>(('Facts'!F317-'Facts'!F319))*1</f>
        <v>531037209.99</v>
      </c>
      <c r="E100" s="3">
        <f>D100/K100</f>
        <v>531037209.99</v>
      </c>
      <c r="F100" s="2" t="str">
        <f>IF(ISNUMBER(D100),"calculated","not_calculated")</f>
        <v>calculated</v>
      </c>
      <c r="G100" s="2">
        <f>IF(ISNUMBER(D100),"","检查缺失值、分母与输入；口径变更须重跑Python")</f>
        <v/>
      </c>
      <c r="H100" s="2" t="s">
        <v>2700</v>
      </c>
      <c r="I100" s="2" t="s">
        <v>2640</v>
      </c>
      <c r="J100" s="2" t="s">
        <v>51</v>
      </c>
      <c r="K100" s="2">
        <v>1</v>
      </c>
      <c r="L100" s="2" t="s">
        <v>52</v>
      </c>
      <c r="M100" s="2" t="s">
        <v>53</v>
      </c>
      <c r="N100" s="2"/>
      <c r="O100" s="2" t="s">
        <v>61</v>
      </c>
    </row>
    <row r="101" spans="1:15">
      <c r="A101" s="2" t="s">
        <v>2812</v>
      </c>
      <c r="B101" s="2" t="s">
        <v>2702</v>
      </c>
      <c r="C101" s="2" t="s">
        <v>3196</v>
      </c>
      <c r="D101" s="3">
        <f>(('Facts'!F269*1)+('Facts'!F271*1)+('Facts'!F273*1)+('Facts'!F275*1))*1</f>
        <v>5617470349.39</v>
      </c>
      <c r="E101" s="3">
        <f>D101/K101</f>
        <v>5617470349.39</v>
      </c>
      <c r="F101" s="2" t="str">
        <f>IF(ISNUMBER(D101),"calculated","not_calculated")</f>
        <v>calculated</v>
      </c>
      <c r="G101" s="2">
        <f>IF(ISNUMBER(D101),"","检查缺失值、分母与输入；口径变更须重跑Python")</f>
        <v/>
      </c>
      <c r="H101" s="2" t="s">
        <v>2702</v>
      </c>
      <c r="I101" s="2" t="s">
        <v>2640</v>
      </c>
      <c r="J101" s="2" t="s">
        <v>51</v>
      </c>
      <c r="K101" s="2">
        <v>1</v>
      </c>
      <c r="L101" s="2" t="s">
        <v>52</v>
      </c>
      <c r="M101" s="2" t="s">
        <v>53</v>
      </c>
      <c r="N101" s="2"/>
      <c r="O101" s="2" t="s">
        <v>61</v>
      </c>
    </row>
    <row r="102" spans="1:15">
      <c r="A102" s="2" t="s">
        <v>2813</v>
      </c>
      <c r="B102" s="2" t="s">
        <v>2704</v>
      </c>
      <c r="C102" s="2" t="s">
        <v>3197</v>
      </c>
      <c r="D102" s="3">
        <f>(('Facts'!F399*1)+('Facts'!F401*1))*1</f>
        <v>148176934.86</v>
      </c>
      <c r="E102" s="3">
        <f>D102/K102</f>
        <v>148176934.86</v>
      </c>
      <c r="F102" s="2" t="str">
        <f>IF(ISNUMBER(D102),"calculated","not_calculated")</f>
        <v>calculated</v>
      </c>
      <c r="G102" s="2">
        <f>IF(ISNUMBER(D102),"","检查缺失值、分母与输入；口径变更须重跑Python")</f>
        <v/>
      </c>
      <c r="H102" s="2" t="s">
        <v>2704</v>
      </c>
      <c r="I102" s="2" t="s">
        <v>2640</v>
      </c>
      <c r="J102" s="2" t="s">
        <v>51</v>
      </c>
      <c r="K102" s="2">
        <v>1</v>
      </c>
      <c r="L102" s="2" t="s">
        <v>52</v>
      </c>
      <c r="M102" s="2" t="s">
        <v>53</v>
      </c>
      <c r="N102" s="2"/>
      <c r="O102" s="2" t="s">
        <v>61</v>
      </c>
    </row>
    <row r="103" spans="1:15">
      <c r="A103" s="2" t="s">
        <v>2814</v>
      </c>
      <c r="B103" s="2" t="s">
        <v>2706</v>
      </c>
      <c r="C103" s="2" t="s">
        <v>3198</v>
      </c>
      <c r="D103" s="3">
        <f>(('Facts'!F359-'Facts'!F361))*1</f>
        <v>108606169.27</v>
      </c>
      <c r="E103" s="3">
        <f>D103/K103</f>
        <v>108606169.27</v>
      </c>
      <c r="F103" s="2" t="str">
        <f>IF(ISNUMBER(D103),"calculated","not_calculated")</f>
        <v>calculated</v>
      </c>
      <c r="G103" s="2">
        <f>IF(ISNUMBER(D103),"","检查缺失值、分母与输入；口径变更须重跑Python")</f>
        <v/>
      </c>
      <c r="H103" s="2" t="s">
        <v>2706</v>
      </c>
      <c r="I103" s="2" t="s">
        <v>2640</v>
      </c>
      <c r="J103" s="2" t="s">
        <v>51</v>
      </c>
      <c r="K103" s="2">
        <v>1</v>
      </c>
      <c r="L103" s="2" t="s">
        <v>52</v>
      </c>
      <c r="M103" s="2" t="s">
        <v>53</v>
      </c>
      <c r="N103" s="2" t="s">
        <v>396</v>
      </c>
      <c r="O103" s="2" t="s">
        <v>61</v>
      </c>
    </row>
    <row r="104" spans="1:15">
      <c r="A104" s="2" t="s">
        <v>2815</v>
      </c>
      <c r="B104" s="2" t="s">
        <v>2708</v>
      </c>
      <c r="C104" s="2" t="s">
        <v>3199</v>
      </c>
      <c r="D104" s="3">
        <f>(('Facts'!F112-'Facts'!F114))*1</f>
        <v>1486559944.62</v>
      </c>
      <c r="E104" s="3">
        <f>D104/K104</f>
        <v>1486559944.62</v>
      </c>
      <c r="F104" s="2" t="str">
        <f>IF(ISNUMBER(D104),"calculated","not_calculated")</f>
        <v>calculated</v>
      </c>
      <c r="G104" s="2">
        <f>IF(ISNUMBER(D104),"","检查缺失值、分母与输入；口径变更须重跑Python")</f>
        <v/>
      </c>
      <c r="H104" s="2" t="s">
        <v>2708</v>
      </c>
      <c r="I104" s="2" t="s">
        <v>2640</v>
      </c>
      <c r="J104" s="2" t="s">
        <v>51</v>
      </c>
      <c r="K104" s="2">
        <v>1</v>
      </c>
      <c r="L104" s="2" t="s">
        <v>52</v>
      </c>
      <c r="M104" s="2" t="s">
        <v>53</v>
      </c>
      <c r="N104" s="2" t="s">
        <v>396</v>
      </c>
      <c r="O104" s="2" t="s">
        <v>61</v>
      </c>
    </row>
    <row r="105" spans="1:15">
      <c r="A105" s="2" t="s">
        <v>2816</v>
      </c>
      <c r="B105" s="2" t="s">
        <v>2710</v>
      </c>
      <c r="C105" s="2" t="s">
        <v>3200</v>
      </c>
      <c r="D105" s="3">
        <f>IF('Facts'!F112&lt;=0,NA(),(('Calculations'!D104/'Facts'!F112))*1)</f>
        <v>0.2176896702515939</v>
      </c>
      <c r="E105" s="4">
        <f>D105/K105</f>
        <v>0.2176896702515939</v>
      </c>
      <c r="F105" s="2" t="str">
        <f>IF(ISNUMBER(D105),"calculated","not_calculated")</f>
        <v>calculated</v>
      </c>
      <c r="G105" s="2">
        <f>IF(ISNUMBER(D105),"","检查缺失值、分母与输入；口径变更须重跑Python")</f>
        <v/>
      </c>
      <c r="H105" s="2" t="s">
        <v>2710</v>
      </c>
      <c r="I105" s="2" t="s">
        <v>2640</v>
      </c>
      <c r="J105" s="2" t="s">
        <v>2711</v>
      </c>
      <c r="K105" s="2">
        <v>1</v>
      </c>
      <c r="L105" s="2" t="s">
        <v>52</v>
      </c>
      <c r="M105" s="2" t="s">
        <v>53</v>
      </c>
      <c r="N105" s="2" t="s">
        <v>396</v>
      </c>
      <c r="O105" s="2" t="s">
        <v>61</v>
      </c>
    </row>
    <row r="106" spans="1:15">
      <c r="A106" s="2" t="s">
        <v>2817</v>
      </c>
      <c r="B106" s="2" t="s">
        <v>2713</v>
      </c>
      <c r="C106" s="2" t="s">
        <v>3201</v>
      </c>
      <c r="D106" s="3">
        <f>(('Facts'!F150*1)+('Facts'!F126*1))*1</f>
        <v>155334362.04</v>
      </c>
      <c r="E106" s="3">
        <f>D106/K106</f>
        <v>155334362.04</v>
      </c>
      <c r="F106" s="2" t="str">
        <f>IF(ISNUMBER(D106),"calculated","not_calculated")</f>
        <v>calculated</v>
      </c>
      <c r="G106" s="2">
        <f>IF(ISNUMBER(D106),"","检查缺失值、分母与输入；口径变更须重跑Python")</f>
        <v/>
      </c>
      <c r="H106" s="2" t="s">
        <v>2713</v>
      </c>
      <c r="I106" s="2" t="s">
        <v>2640</v>
      </c>
      <c r="J106" s="2" t="s">
        <v>51</v>
      </c>
      <c r="K106" s="2">
        <v>1</v>
      </c>
      <c r="L106" s="2" t="s">
        <v>52</v>
      </c>
      <c r="M106" s="2" t="s">
        <v>53</v>
      </c>
      <c r="N106" s="2" t="s">
        <v>396</v>
      </c>
      <c r="O106" s="2" t="s">
        <v>61</v>
      </c>
    </row>
    <row r="107" spans="1:15">
      <c r="A107" s="2" t="s">
        <v>2818</v>
      </c>
      <c r="B107" s="2" t="s">
        <v>2715</v>
      </c>
      <c r="C107" s="2" t="s">
        <v>3202</v>
      </c>
      <c r="D107" s="3">
        <f>(('Calculations'!D106*1)+('Facts'!F367*1)+('Facts'!F369*1)+('Facts'!F371*1)+('Facts'!F373*1))*1</f>
        <v>433958766.72</v>
      </c>
      <c r="E107" s="3">
        <f>D107/K107</f>
        <v>433958766.72</v>
      </c>
      <c r="F107" s="2" t="str">
        <f>IF(ISNUMBER(D107),"calculated","not_calculated")</f>
        <v>calculated</v>
      </c>
      <c r="G107" s="2">
        <f>IF(ISNUMBER(D107),"","检查缺失值、分母与输入；口径变更须重跑Python")</f>
        <v/>
      </c>
      <c r="H107" s="2" t="s">
        <v>2716</v>
      </c>
      <c r="I107" s="2" t="s">
        <v>2640</v>
      </c>
      <c r="J107" s="2" t="s">
        <v>51</v>
      </c>
      <c r="K107" s="2">
        <v>1</v>
      </c>
      <c r="L107" s="2" t="s">
        <v>52</v>
      </c>
      <c r="M107" s="2" t="s">
        <v>53</v>
      </c>
      <c r="N107" s="2" t="s">
        <v>396</v>
      </c>
      <c r="O107" s="2" t="s">
        <v>61</v>
      </c>
    </row>
    <row r="108" spans="1:15">
      <c r="A108" s="2" t="s">
        <v>2819</v>
      </c>
      <c r="B108" s="2" t="s">
        <v>2718</v>
      </c>
      <c r="C108" s="2" t="s">
        <v>3203</v>
      </c>
      <c r="D108" s="3">
        <f>(('Facts'!F405*1)+('Facts'!F57*1)+('Facts'!F259*1))*1</f>
        <v>6045995942.45</v>
      </c>
      <c r="E108" s="3">
        <f>D108/K108</f>
        <v>6045995942.45</v>
      </c>
      <c r="F108" s="2" t="str">
        <f>IF(ISNUMBER(D108),"calculated","not_calculated")</f>
        <v>calculated</v>
      </c>
      <c r="G108" s="2">
        <f>IF(ISNUMBER(D108),"","检查缺失值、分母与输入；口径变更须重跑Python")</f>
        <v/>
      </c>
      <c r="H108" s="2" t="s">
        <v>2719</v>
      </c>
      <c r="I108" s="2" t="s">
        <v>2640</v>
      </c>
      <c r="J108" s="2" t="s">
        <v>51</v>
      </c>
      <c r="K108" s="2">
        <v>1</v>
      </c>
      <c r="L108" s="2" t="s">
        <v>52</v>
      </c>
      <c r="M108" s="2" t="s">
        <v>53</v>
      </c>
      <c r="N108" s="2"/>
      <c r="O108" s="2" t="s">
        <v>61</v>
      </c>
    </row>
    <row r="109" spans="1:15">
      <c r="A109" s="2" t="s">
        <v>2820</v>
      </c>
      <c r="B109" s="2" t="s">
        <v>2721</v>
      </c>
      <c r="C109" s="2" t="s">
        <v>3204</v>
      </c>
      <c r="D109" s="3">
        <f>(('Facts'!F55*1)+('Facts'!F57*1)+('Facts'!F252*1)+('Facts'!F254*1)+('Facts'!F259*1)+('Facts'!F255*1))*1</f>
        <v>3294706379.88</v>
      </c>
      <c r="E109" s="3">
        <f>D109/K109</f>
        <v>3294706379.88</v>
      </c>
      <c r="F109" s="2" t="str">
        <f>IF(ISNUMBER(D109),"calculated","not_calculated")</f>
        <v>calculated</v>
      </c>
      <c r="G109" s="2">
        <f>IF(ISNUMBER(D109),"","检查缺失值、分母与输入；口径变更须重跑Python")</f>
        <v/>
      </c>
      <c r="H109" s="2" t="s">
        <v>2721</v>
      </c>
      <c r="I109" s="2" t="s">
        <v>2640</v>
      </c>
      <c r="J109" s="2" t="s">
        <v>51</v>
      </c>
      <c r="K109" s="2">
        <v>1</v>
      </c>
      <c r="L109" s="2" t="s">
        <v>52</v>
      </c>
      <c r="M109" s="2" t="s">
        <v>53</v>
      </c>
      <c r="N109" s="2"/>
      <c r="O109" s="2" t="s">
        <v>61</v>
      </c>
    </row>
    <row r="110" spans="1:15">
      <c r="A110" s="2" t="s">
        <v>2821</v>
      </c>
      <c r="B110" s="2" t="s">
        <v>2723</v>
      </c>
      <c r="C110" s="2" t="s">
        <v>3205</v>
      </c>
      <c r="D110" s="3">
        <f>(('Calculations'!D108*1)+('Facts'!F110*1))*1</f>
        <v>11113078378.96</v>
      </c>
      <c r="E110" s="3">
        <f>D110/K110</f>
        <v>11113078378.96</v>
      </c>
      <c r="F110" s="2" t="str">
        <f>IF(ISNUMBER(D110),"calculated","not_calculated")</f>
        <v>calculated</v>
      </c>
      <c r="G110" s="2">
        <f>IF(ISNUMBER(D110),"","检查缺失值、分母与输入；口径变更须重跑Python")</f>
        <v/>
      </c>
      <c r="H110" s="2" t="s">
        <v>2723</v>
      </c>
      <c r="I110" s="2" t="s">
        <v>2640</v>
      </c>
      <c r="J110" s="2" t="s">
        <v>51</v>
      </c>
      <c r="K110" s="2">
        <v>1</v>
      </c>
      <c r="L110" s="2" t="s">
        <v>52</v>
      </c>
      <c r="M110" s="2" t="s">
        <v>53</v>
      </c>
      <c r="N110" s="2"/>
      <c r="O110" s="2" t="s">
        <v>61</v>
      </c>
    </row>
    <row r="111" spans="1:15">
      <c r="A111" s="2" t="s">
        <v>2822</v>
      </c>
      <c r="B111" s="2" t="s">
        <v>2725</v>
      </c>
      <c r="C111" s="2" t="s">
        <v>3206</v>
      </c>
      <c r="D111" s="3">
        <f>(('Calculations'!D108-'Facts'!F229))*1</f>
        <v>3716434722.73</v>
      </c>
      <c r="E111" s="3">
        <f>D111/K111</f>
        <v>3716434722.73</v>
      </c>
      <c r="F111" s="2" t="str">
        <f>IF(ISNUMBER(D111),"calculated","not_calculated")</f>
        <v>calculated</v>
      </c>
      <c r="G111" s="2">
        <f>IF(ISNUMBER(D111),"","检查缺失值、分母与输入；口径变更须重跑Python")</f>
        <v/>
      </c>
      <c r="H111" s="2" t="s">
        <v>2726</v>
      </c>
      <c r="I111" s="2" t="s">
        <v>2640</v>
      </c>
      <c r="J111" s="2" t="s">
        <v>51</v>
      </c>
      <c r="K111" s="2">
        <v>1</v>
      </c>
      <c r="L111" s="2" t="s">
        <v>52</v>
      </c>
      <c r="M111" s="2" t="s">
        <v>53</v>
      </c>
      <c r="N111" s="2"/>
      <c r="O111" s="2" t="s">
        <v>61</v>
      </c>
    </row>
    <row r="112" spans="1:15">
      <c r="A112" s="2" t="s">
        <v>2823</v>
      </c>
      <c r="B112" s="2" t="s">
        <v>2728</v>
      </c>
      <c r="C112" s="2" t="s">
        <v>3207</v>
      </c>
      <c r="D112" s="3">
        <f>IF('Facts'!F53&lt;=0,NA(),(('Facts'!F89/'Facts'!F53))*1)</f>
        <v>0.6417659219172439</v>
      </c>
      <c r="E112" s="4">
        <f>D112/K112</f>
        <v>0.6417659219172439</v>
      </c>
      <c r="F112" s="2" t="str">
        <f>IF(ISNUMBER(D112),"calculated","not_calculated")</f>
        <v>calculated</v>
      </c>
      <c r="G112" s="2">
        <f>IF(ISNUMBER(D112),"","检查缺失值、分母与输入；口径变更须重跑Python")</f>
        <v/>
      </c>
      <c r="H112" s="2" t="s">
        <v>2728</v>
      </c>
      <c r="I112" s="2" t="s">
        <v>2640</v>
      </c>
      <c r="J112" s="2" t="s">
        <v>2711</v>
      </c>
      <c r="K112" s="2">
        <v>1</v>
      </c>
      <c r="L112" s="2" t="s">
        <v>52</v>
      </c>
      <c r="M112" s="2" t="s">
        <v>53</v>
      </c>
      <c r="N112" s="2"/>
      <c r="O112" s="2" t="s">
        <v>61</v>
      </c>
    </row>
    <row r="113" spans="1:15">
      <c r="A113" s="2" t="s">
        <v>2824</v>
      </c>
      <c r="B113" s="2" t="s">
        <v>2730</v>
      </c>
      <c r="C113" s="2" t="s">
        <v>3208</v>
      </c>
      <c r="D113" s="3">
        <f>IF('Calculations'!D110&lt;=0,NA(),(('Calculations'!D108/'Calculations'!D110))*1)</f>
        <v>0.5440433097184549</v>
      </c>
      <c r="E113" s="4">
        <f>D113/K113</f>
        <v>0.5440433097184549</v>
      </c>
      <c r="F113" s="2" t="str">
        <f>IF(ISNUMBER(D113),"calculated","not_calculated")</f>
        <v>calculated</v>
      </c>
      <c r="G113" s="2">
        <f>IF(ISNUMBER(D113),"","检查缺失值、分母与输入；口径变更须重跑Python")</f>
        <v/>
      </c>
      <c r="H113" s="2" t="s">
        <v>2730</v>
      </c>
      <c r="I113" s="2" t="s">
        <v>2640</v>
      </c>
      <c r="J113" s="2" t="s">
        <v>2711</v>
      </c>
      <c r="K113" s="2">
        <v>1</v>
      </c>
      <c r="L113" s="2" t="s">
        <v>52</v>
      </c>
      <c r="M113" s="2" t="s">
        <v>53</v>
      </c>
      <c r="N113" s="2"/>
      <c r="O113" s="2" t="s">
        <v>61</v>
      </c>
    </row>
    <row r="114" spans="1:15">
      <c r="A114" s="2" t="s">
        <v>2825</v>
      </c>
      <c r="B114" s="2" t="s">
        <v>2732</v>
      </c>
      <c r="C114" s="2" t="s">
        <v>3209</v>
      </c>
      <c r="D114" s="3">
        <f>IF('Facts'!F73&lt;=0,NA(),(('Facts'!F24/'Facts'!F73))*1)</f>
        <v>1.6166391032089087</v>
      </c>
      <c r="E114" s="5">
        <f>D114/K114</f>
        <v>1.6166391032089087</v>
      </c>
      <c r="F114" s="2" t="str">
        <f>IF(ISNUMBER(D114),"calculated","not_calculated")</f>
        <v>calculated</v>
      </c>
      <c r="G114" s="2">
        <f>IF(ISNUMBER(D114),"","检查缺失值、分母与输入；口径变更须重跑Python")</f>
        <v/>
      </c>
      <c r="H114" s="2" t="s">
        <v>2732</v>
      </c>
      <c r="I114" s="2" t="s">
        <v>2640</v>
      </c>
      <c r="J114" s="2" t="s">
        <v>2733</v>
      </c>
      <c r="K114" s="2">
        <v>1</v>
      </c>
      <c r="L114" s="2" t="s">
        <v>52</v>
      </c>
      <c r="M114" s="2" t="s">
        <v>53</v>
      </c>
      <c r="N114" s="2"/>
      <c r="O114" s="2" t="s">
        <v>61</v>
      </c>
    </row>
    <row r="115" spans="1:15">
      <c r="A115" s="2" t="s">
        <v>2826</v>
      </c>
      <c r="B115" s="2" t="s">
        <v>2735</v>
      </c>
      <c r="C115" s="2" t="s">
        <v>3210</v>
      </c>
      <c r="D115" s="3">
        <f>IF('Calculations'!D109&lt;=0,NA(),(('Facts'!F229/'Calculations'!D109))*1)</f>
        <v>0.7070618595775588</v>
      </c>
      <c r="E115" s="5">
        <f>D115/K115</f>
        <v>0.7070618595775588</v>
      </c>
      <c r="F115" s="2" t="str">
        <f>IF(ISNUMBER(D115),"calculated","not_calculated")</f>
        <v>calculated</v>
      </c>
      <c r="G115" s="2">
        <f>IF(ISNUMBER(D115),"","检查缺失值、分母与输入；口径变更须重跑Python")</f>
        <v/>
      </c>
      <c r="H115" s="2" t="s">
        <v>2735</v>
      </c>
      <c r="I115" s="2" t="s">
        <v>2640</v>
      </c>
      <c r="J115" s="2" t="s">
        <v>2733</v>
      </c>
      <c r="K115" s="2">
        <v>1</v>
      </c>
      <c r="L115" s="2" t="s">
        <v>52</v>
      </c>
      <c r="M115" s="2" t="s">
        <v>53</v>
      </c>
      <c r="N115" s="2"/>
      <c r="O115" s="2" t="s">
        <v>61</v>
      </c>
    </row>
    <row r="116" spans="1:15">
      <c r="A116" s="2" t="s">
        <v>2827</v>
      </c>
      <c r="B116" s="2" t="s">
        <v>2737</v>
      </c>
      <c r="C116" s="2" t="s">
        <v>3211</v>
      </c>
      <c r="D116" s="3">
        <f>IF('Calculations'!D109&lt;=0,NA(),(('Facts'!F3/'Calculations'!D109))*1)</f>
        <v>1.0368386286836342</v>
      </c>
      <c r="E116" s="5">
        <f>D116/K116</f>
        <v>1.0368386286836342</v>
      </c>
      <c r="F116" s="2" t="str">
        <f>IF(ISNUMBER(D116),"calculated","not_calculated")</f>
        <v>calculated</v>
      </c>
      <c r="G116" s="2">
        <f>IF(ISNUMBER(D116),"","检查缺失值、分母与输入；口径变更须重跑Python")</f>
        <v/>
      </c>
      <c r="H116" s="2" t="s">
        <v>2737</v>
      </c>
      <c r="I116" s="2" t="s">
        <v>2640</v>
      </c>
      <c r="J116" s="2" t="s">
        <v>2733</v>
      </c>
      <c r="K116" s="2">
        <v>1</v>
      </c>
      <c r="L116" s="2" t="s">
        <v>52</v>
      </c>
      <c r="M116" s="2" t="s">
        <v>53</v>
      </c>
      <c r="N116" s="2"/>
      <c r="O116" s="2" t="s">
        <v>61</v>
      </c>
    </row>
    <row r="117" spans="1:15">
      <c r="A117" s="2" t="s">
        <v>2828</v>
      </c>
      <c r="B117" s="2" t="s">
        <v>2739</v>
      </c>
      <c r="C117" s="2" t="s">
        <v>3212</v>
      </c>
      <c r="D117" s="3">
        <f>IF('Calculations'!D108&lt;=0,NA(),(('Facts'!F182/'Calculations'!D108))*1)</f>
        <v>0.05211562146737345</v>
      </c>
      <c r="E117" s="4">
        <f>D117/K117</f>
        <v>0.05211562146737345</v>
      </c>
      <c r="F117" s="2" t="str">
        <f>IF(ISNUMBER(D117),"calculated","not_calculated")</f>
        <v>calculated</v>
      </c>
      <c r="G117" s="2">
        <f>IF(ISNUMBER(D117),"","检查缺失值、分母与输入；口径变更须重跑Python")</f>
        <v/>
      </c>
      <c r="H117" s="2" t="s">
        <v>2739</v>
      </c>
      <c r="I117" s="2" t="s">
        <v>2640</v>
      </c>
      <c r="J117" s="2" t="s">
        <v>2711</v>
      </c>
      <c r="K117" s="2">
        <v>1</v>
      </c>
      <c r="L117" s="2" t="s">
        <v>52</v>
      </c>
      <c r="M117" s="2" t="s">
        <v>53</v>
      </c>
      <c r="N117" s="2" t="s">
        <v>396</v>
      </c>
      <c r="O117" s="2" t="s">
        <v>61</v>
      </c>
    </row>
    <row r="118" spans="1:15">
      <c r="A118" s="2" t="s">
        <v>2829</v>
      </c>
      <c r="B118" s="2" t="s">
        <v>2741</v>
      </c>
      <c r="C118" s="2" t="s">
        <v>3213</v>
      </c>
      <c r="D118" s="3">
        <f>IF('Facts'!F359&lt;=0,NA(),(('Calculations'!D107/'Facts'!F359))*1)</f>
        <v>2.8740591777036357</v>
      </c>
      <c r="E118" s="5">
        <f>D118/K118</f>
        <v>2.8740591777036357</v>
      </c>
      <c r="F118" s="2" t="str">
        <f>IF(ISNUMBER(D118),"calculated","not_calculated")</f>
        <v>calculated</v>
      </c>
      <c r="G118" s="2">
        <f>IF(ISNUMBER(D118),"","检查缺失值、分母与输入；口径变更须重跑Python")</f>
        <v/>
      </c>
      <c r="H118" s="2" t="s">
        <v>2741</v>
      </c>
      <c r="I118" s="2" t="s">
        <v>2640</v>
      </c>
      <c r="J118" s="2" t="s">
        <v>2733</v>
      </c>
      <c r="K118" s="2">
        <v>1</v>
      </c>
      <c r="L118" s="2" t="s">
        <v>52</v>
      </c>
      <c r="M118" s="2" t="s">
        <v>53</v>
      </c>
      <c r="N118" s="2" t="s">
        <v>396</v>
      </c>
      <c r="O118" s="2" t="s">
        <v>61</v>
      </c>
    </row>
    <row r="119" spans="1:15">
      <c r="A119" s="2" t="s">
        <v>2830</v>
      </c>
      <c r="B119" s="2" t="s">
        <v>2743</v>
      </c>
      <c r="C119" s="2" t="s">
        <v>3214</v>
      </c>
      <c r="D119" s="3">
        <f>IF('Facts'!F265&lt;=0,NA(),(('Facts'!F267/'Facts'!F265))*1)</f>
        <v>0.27497731687141636</v>
      </c>
      <c r="E119" s="4">
        <f>D119/K119</f>
        <v>0.27497731687141636</v>
      </c>
      <c r="F119" s="2" t="str">
        <f>IF(ISNUMBER(D119),"calculated","not_calculated")</f>
        <v>calculated</v>
      </c>
      <c r="G119" s="2">
        <f>IF(ISNUMBER(D119),"","检查缺失值、分母与输入；口径变更须重跑Python")</f>
        <v/>
      </c>
      <c r="H119" s="2" t="s">
        <v>2743</v>
      </c>
      <c r="I119" s="2" t="s">
        <v>2640</v>
      </c>
      <c r="J119" s="2" t="s">
        <v>2711</v>
      </c>
      <c r="K119" s="2">
        <v>1</v>
      </c>
      <c r="L119" s="2" t="s">
        <v>52</v>
      </c>
      <c r="M119" s="2" t="s">
        <v>53</v>
      </c>
      <c r="N119" s="2"/>
      <c r="O119" s="2" t="s">
        <v>61</v>
      </c>
    </row>
    <row r="120" spans="1:15">
      <c r="A120" s="2" t="s">
        <v>2831</v>
      </c>
      <c r="B120" s="2" t="s">
        <v>2745</v>
      </c>
      <c r="C120" s="2" t="s">
        <v>3215</v>
      </c>
      <c r="D120" s="3">
        <f>IF('Facts'!F265&lt;=0,NA(),(('Facts'!F275/'Facts'!F265))*1)</f>
        <v>0.23780539907879733</v>
      </c>
      <c r="E120" s="4">
        <f>D120/K120</f>
        <v>0.23780539907879733</v>
      </c>
      <c r="F120" s="2" t="str">
        <f>IF(ISNUMBER(D120),"calculated","not_calculated")</f>
        <v>calculated</v>
      </c>
      <c r="G120" s="2">
        <f>IF(ISNUMBER(D120),"","检查缺失值、分母与输入；口径变更须重跑Python")</f>
        <v/>
      </c>
      <c r="H120" s="2" t="s">
        <v>2745</v>
      </c>
      <c r="I120" s="2" t="s">
        <v>2640</v>
      </c>
      <c r="J120" s="2" t="s">
        <v>2711</v>
      </c>
      <c r="K120" s="2">
        <v>1</v>
      </c>
      <c r="L120" s="2" t="s">
        <v>52</v>
      </c>
      <c r="M120" s="2" t="s">
        <v>53</v>
      </c>
      <c r="N120" s="2"/>
      <c r="O120" s="2" t="s">
        <v>61</v>
      </c>
    </row>
    <row r="121" spans="1:15">
      <c r="A121" s="2" t="s">
        <v>2832</v>
      </c>
      <c r="B121" s="2" t="s">
        <v>2747</v>
      </c>
      <c r="C121" s="2" t="s">
        <v>3216</v>
      </c>
      <c r="D121" s="3">
        <f>IF('Facts'!F359&lt;=0,NA(),(('Facts'!F361/'Facts'!F359))*1)</f>
        <v>0.280713787844553</v>
      </c>
      <c r="E121" s="4">
        <f>D121/K121</f>
        <v>0.280713787844553</v>
      </c>
      <c r="F121" s="2" t="str">
        <f>IF(ISNUMBER(D121),"calculated","not_calculated")</f>
        <v>calculated</v>
      </c>
      <c r="G121" s="2">
        <f>IF(ISNUMBER(D121),"","检查缺失值、分母与输入；口径变更须重跑Python")</f>
        <v/>
      </c>
      <c r="H121" s="2" t="s">
        <v>2747</v>
      </c>
      <c r="I121" s="2" t="s">
        <v>2640</v>
      </c>
      <c r="J121" s="2" t="s">
        <v>2711</v>
      </c>
      <c r="K121" s="2">
        <v>1</v>
      </c>
      <c r="L121" s="2" t="s">
        <v>52</v>
      </c>
      <c r="M121" s="2" t="s">
        <v>53</v>
      </c>
      <c r="N121" s="2" t="s">
        <v>396</v>
      </c>
      <c r="O121" s="2" t="s">
        <v>61</v>
      </c>
    </row>
    <row r="122" spans="1:15">
      <c r="A122" s="2" t="s">
        <v>2833</v>
      </c>
      <c r="B122" s="2" t="s">
        <v>2749</v>
      </c>
      <c r="C122" s="2" t="s">
        <v>3217</v>
      </c>
      <c r="D122" s="3">
        <f>IF('Facts'!F112&lt;=0,NA(),(('Facts'!F355/'Facts'!F112))*1)</f>
        <v>0.020012021356021047</v>
      </c>
      <c r="E122" s="4">
        <f>D122/K122</f>
        <v>0.020012021356021047</v>
      </c>
      <c r="F122" s="2" t="str">
        <f>IF(ISNUMBER(D122),"calculated","not_calculated")</f>
        <v>calculated</v>
      </c>
      <c r="G122" s="2">
        <f>IF(ISNUMBER(D122),"","检查缺失值、分母与输入；口径变更须重跑Python")</f>
        <v/>
      </c>
      <c r="H122" s="2" t="s">
        <v>2749</v>
      </c>
      <c r="I122" s="2" t="s">
        <v>2640</v>
      </c>
      <c r="J122" s="2" t="s">
        <v>2711</v>
      </c>
      <c r="K122" s="2">
        <v>1</v>
      </c>
      <c r="L122" s="2" t="s">
        <v>52</v>
      </c>
      <c r="M122" s="2" t="s">
        <v>53</v>
      </c>
      <c r="N122" s="2" t="s">
        <v>396</v>
      </c>
      <c r="O122" s="2" t="s">
        <v>61</v>
      </c>
    </row>
    <row r="123" spans="1:15">
      <c r="A123" s="2" t="s">
        <v>2834</v>
      </c>
      <c r="B123" s="2" t="s">
        <v>2751</v>
      </c>
      <c r="C123" s="2" t="s">
        <v>3218</v>
      </c>
      <c r="D123" s="3">
        <f>(('Facts'!F182-'Facts'!F195))*1</f>
        <v>63414173.64</v>
      </c>
      <c r="E123" s="3">
        <f>D123/K123</f>
        <v>63414173.64</v>
      </c>
      <c r="F123" s="2" t="str">
        <f>IF(ISNUMBER(D123),"calculated","not_calculated")</f>
        <v>calculated</v>
      </c>
      <c r="G123" s="2">
        <f>IF(ISNUMBER(D123),"","检查缺失值、分母与输入；口径变更须重跑Python")</f>
        <v/>
      </c>
      <c r="H123" s="2" t="s">
        <v>2752</v>
      </c>
      <c r="I123" s="2" t="s">
        <v>2640</v>
      </c>
      <c r="J123" s="2" t="s">
        <v>51</v>
      </c>
      <c r="K123" s="2">
        <v>1</v>
      </c>
      <c r="L123" s="2" t="s">
        <v>52</v>
      </c>
      <c r="M123" s="2" t="s">
        <v>53</v>
      </c>
      <c r="N123" s="2" t="s">
        <v>396</v>
      </c>
      <c r="O123" s="2" t="s">
        <v>61</v>
      </c>
    </row>
    <row r="124" spans="1:15">
      <c r="A124" s="2" t="s">
        <v>2835</v>
      </c>
      <c r="B124" s="2" t="s">
        <v>2754</v>
      </c>
      <c r="C124" s="2" t="s">
        <v>3219</v>
      </c>
      <c r="D124" s="3">
        <f>(('Facts'!F331-'Facts'!F333))*1</f>
        <v>683507374.03</v>
      </c>
      <c r="E124" s="3">
        <f>D124/K124</f>
        <v>683507374.03</v>
      </c>
      <c r="F124" s="2" t="str">
        <f>IF(ISNUMBER(D124),"calculated","not_calculated")</f>
        <v>calculated</v>
      </c>
      <c r="G124" s="2">
        <f>IF(ISNUMBER(D124),"","检查缺失值、分母与输入；口径变更须重跑Python")</f>
        <v/>
      </c>
      <c r="H124" s="2" t="s">
        <v>2754</v>
      </c>
      <c r="I124" s="2" t="s">
        <v>2640</v>
      </c>
      <c r="J124" s="2" t="s">
        <v>51</v>
      </c>
      <c r="K124" s="2">
        <v>1</v>
      </c>
      <c r="L124" s="2" t="s">
        <v>52</v>
      </c>
      <c r="M124" s="2" t="s">
        <v>53</v>
      </c>
      <c r="N124" s="2" t="s">
        <v>396</v>
      </c>
      <c r="O124" s="2" t="s">
        <v>61</v>
      </c>
    </row>
    <row r="125" spans="1:15">
      <c r="A125" s="2" t="s">
        <v>2836</v>
      </c>
      <c r="B125" s="2" t="s">
        <v>2756</v>
      </c>
      <c r="C125" s="2" t="s">
        <v>3220</v>
      </c>
      <c r="D125" s="3">
        <f>IF('Facts'!F331&lt;=0,NA(),(('Calculations'!D124/'Facts'!F331))*1)</f>
        <v>0.19225389775685606</v>
      </c>
      <c r="E125" s="4">
        <f>D125/K125</f>
        <v>0.19225389775685606</v>
      </c>
      <c r="F125" s="2" t="str">
        <f>IF(ISNUMBER(D125),"calculated","not_calculated")</f>
        <v>calculated</v>
      </c>
      <c r="G125" s="2">
        <f>IF(ISNUMBER(D125),"","检查缺失值、分母与输入；口径变更须重跑Python")</f>
        <v/>
      </c>
      <c r="H125" s="2" t="s">
        <v>2756</v>
      </c>
      <c r="I125" s="2" t="s">
        <v>2640</v>
      </c>
      <c r="J125" s="2" t="s">
        <v>2711</v>
      </c>
      <c r="K125" s="2">
        <v>1</v>
      </c>
      <c r="L125" s="2" t="s">
        <v>52</v>
      </c>
      <c r="M125" s="2" t="s">
        <v>53</v>
      </c>
      <c r="N125" s="2" t="s">
        <v>396</v>
      </c>
      <c r="O125" s="2" t="s">
        <v>61</v>
      </c>
    </row>
    <row r="126" spans="1:15">
      <c r="A126" s="2" t="s">
        <v>2837</v>
      </c>
      <c r="B126" s="2" t="s">
        <v>2758</v>
      </c>
      <c r="C126" s="2" t="s">
        <v>3221</v>
      </c>
      <c r="D126" s="3">
        <f>(('Facts'!F335-'Facts'!F337))*1</f>
        <v>601737168.81</v>
      </c>
      <c r="E126" s="3">
        <f>D126/K126</f>
        <v>601737168.81</v>
      </c>
      <c r="F126" s="2" t="str">
        <f>IF(ISNUMBER(D126),"calculated","not_calculated")</f>
        <v>calculated</v>
      </c>
      <c r="G126" s="2">
        <f>IF(ISNUMBER(D126),"","检查缺失值、分母与输入；口径变更须重跑Python")</f>
        <v/>
      </c>
      <c r="H126" s="2" t="s">
        <v>2758</v>
      </c>
      <c r="I126" s="2" t="s">
        <v>2640</v>
      </c>
      <c r="J126" s="2" t="s">
        <v>51</v>
      </c>
      <c r="K126" s="2">
        <v>1</v>
      </c>
      <c r="L126" s="2" t="s">
        <v>52</v>
      </c>
      <c r="M126" s="2" t="s">
        <v>53</v>
      </c>
      <c r="N126" s="2" t="s">
        <v>396</v>
      </c>
      <c r="O126" s="2" t="s">
        <v>61</v>
      </c>
    </row>
    <row r="127" spans="1:15">
      <c r="A127" s="2" t="s">
        <v>2838</v>
      </c>
      <c r="B127" s="2" t="s">
        <v>2760</v>
      </c>
      <c r="C127" s="2" t="s">
        <v>3222</v>
      </c>
      <c r="D127" s="3">
        <f>IF('Facts'!F335&lt;=0,NA(),(('Calculations'!D126/'Facts'!F335))*1)</f>
        <v>0.33674387328465527</v>
      </c>
      <c r="E127" s="4">
        <f>D127/K127</f>
        <v>0.33674387328465527</v>
      </c>
      <c r="F127" s="2" t="str">
        <f>IF(ISNUMBER(D127),"calculated","not_calculated")</f>
        <v>calculated</v>
      </c>
      <c r="G127" s="2">
        <f>IF(ISNUMBER(D127),"","检查缺失值、分母与输入；口径变更须重跑Python")</f>
        <v/>
      </c>
      <c r="H127" s="2" t="s">
        <v>2760</v>
      </c>
      <c r="I127" s="2" t="s">
        <v>2640</v>
      </c>
      <c r="J127" s="2" t="s">
        <v>2711</v>
      </c>
      <c r="K127" s="2">
        <v>1</v>
      </c>
      <c r="L127" s="2" t="s">
        <v>52</v>
      </c>
      <c r="M127" s="2" t="s">
        <v>53</v>
      </c>
      <c r="N127" s="2" t="s">
        <v>396</v>
      </c>
      <c r="O127" s="2" t="s">
        <v>61</v>
      </c>
    </row>
    <row r="128" spans="1:15">
      <c r="A128" s="2" t="s">
        <v>2839</v>
      </c>
      <c r="B128" s="2" t="s">
        <v>2762</v>
      </c>
      <c r="C128" s="2" t="s">
        <v>3223</v>
      </c>
      <c r="D128" s="3">
        <f>(('Facts'!F339-'Facts'!F341))*1</f>
        <v>138595910.64</v>
      </c>
      <c r="E128" s="3">
        <f>D128/K128</f>
        <v>138595910.64</v>
      </c>
      <c r="F128" s="2" t="str">
        <f>IF(ISNUMBER(D128),"calculated","not_calculated")</f>
        <v>calculated</v>
      </c>
      <c r="G128" s="2">
        <f>IF(ISNUMBER(D128),"","检查缺失值、分母与输入；口径变更须重跑Python")</f>
        <v/>
      </c>
      <c r="H128" s="2" t="s">
        <v>2762</v>
      </c>
      <c r="I128" s="2" t="s">
        <v>2640</v>
      </c>
      <c r="J128" s="2" t="s">
        <v>51</v>
      </c>
      <c r="K128" s="2">
        <v>1</v>
      </c>
      <c r="L128" s="2" t="s">
        <v>52</v>
      </c>
      <c r="M128" s="2" t="s">
        <v>53</v>
      </c>
      <c r="N128" s="2" t="s">
        <v>396</v>
      </c>
      <c r="O128" s="2" t="s">
        <v>61</v>
      </c>
    </row>
    <row r="129" spans="1:15">
      <c r="A129" s="2" t="s">
        <v>2840</v>
      </c>
      <c r="B129" s="2" t="s">
        <v>2764</v>
      </c>
      <c r="C129" s="2" t="s">
        <v>3224</v>
      </c>
      <c r="D129" s="3">
        <f>IF('Facts'!F339&lt;=0,NA(),(('Calculations'!D128/'Facts'!F339))*1)</f>
        <v>0.11418364714672824</v>
      </c>
      <c r="E129" s="4">
        <f>D129/K129</f>
        <v>0.11418364714672824</v>
      </c>
      <c r="F129" s="2" t="str">
        <f>IF(ISNUMBER(D129),"calculated","not_calculated")</f>
        <v>calculated</v>
      </c>
      <c r="G129" s="2">
        <f>IF(ISNUMBER(D129),"","检查缺失值、分母与输入；口径变更须重跑Python")</f>
        <v/>
      </c>
      <c r="H129" s="2" t="s">
        <v>2764</v>
      </c>
      <c r="I129" s="2" t="s">
        <v>2640</v>
      </c>
      <c r="J129" s="2" t="s">
        <v>2711</v>
      </c>
      <c r="K129" s="2">
        <v>1</v>
      </c>
      <c r="L129" s="2" t="s">
        <v>52</v>
      </c>
      <c r="M129" s="2" t="s">
        <v>53</v>
      </c>
      <c r="N129" s="2" t="s">
        <v>396</v>
      </c>
      <c r="O129" s="2" t="s">
        <v>61</v>
      </c>
    </row>
    <row r="130" spans="1:15">
      <c r="A130" s="2" t="s">
        <v>2841</v>
      </c>
      <c r="B130" s="2" t="s">
        <v>2766</v>
      </c>
      <c r="C130" s="2" t="s">
        <v>3225</v>
      </c>
      <c r="D130" s="3">
        <f>(('Facts'!F343-'Facts'!F345))*1</f>
        <v>13898130.38</v>
      </c>
      <c r="E130" s="3">
        <f>D130/K130</f>
        <v>13898130.38</v>
      </c>
      <c r="F130" s="2" t="str">
        <f>IF(ISNUMBER(D130),"calculated","not_calculated")</f>
        <v>calculated</v>
      </c>
      <c r="G130" s="2">
        <f>IF(ISNUMBER(D130),"","检查缺失值、分母与输入；口径变更须重跑Python")</f>
        <v/>
      </c>
      <c r="H130" s="2" t="s">
        <v>2766</v>
      </c>
      <c r="I130" s="2" t="s">
        <v>2640</v>
      </c>
      <c r="J130" s="2" t="s">
        <v>51</v>
      </c>
      <c r="K130" s="2">
        <v>1</v>
      </c>
      <c r="L130" s="2" t="s">
        <v>52</v>
      </c>
      <c r="M130" s="2" t="s">
        <v>53</v>
      </c>
      <c r="N130" s="2" t="s">
        <v>396</v>
      </c>
      <c r="O130" s="2" t="s">
        <v>61</v>
      </c>
    </row>
    <row r="131" spans="1:15">
      <c r="A131" s="2" t="s">
        <v>2842</v>
      </c>
      <c r="B131" s="2" t="s">
        <v>2768</v>
      </c>
      <c r="C131" s="2" t="s">
        <v>3226</v>
      </c>
      <c r="D131" s="3">
        <f>IF('Facts'!F343&lt;=0,NA(),(('Calculations'!D130/'Facts'!F343))*1)</f>
        <v>0.12167989548732532</v>
      </c>
      <c r="E131" s="4">
        <f>D131/K131</f>
        <v>0.12167989548732532</v>
      </c>
      <c r="F131" s="2" t="str">
        <f>IF(ISNUMBER(D131),"calculated","not_calculated")</f>
        <v>calculated</v>
      </c>
      <c r="G131" s="2">
        <f>IF(ISNUMBER(D131),"","检查缺失值、分母与输入；口径变更须重跑Python")</f>
        <v/>
      </c>
      <c r="H131" s="2" t="s">
        <v>2768</v>
      </c>
      <c r="I131" s="2" t="s">
        <v>2640</v>
      </c>
      <c r="J131" s="2" t="s">
        <v>2711</v>
      </c>
      <c r="K131" s="2">
        <v>1</v>
      </c>
      <c r="L131" s="2" t="s">
        <v>52</v>
      </c>
      <c r="M131" s="2" t="s">
        <v>53</v>
      </c>
      <c r="N131" s="2" t="s">
        <v>396</v>
      </c>
      <c r="O131" s="2" t="s">
        <v>61</v>
      </c>
    </row>
    <row r="132" spans="1:15">
      <c r="A132" s="2" t="s">
        <v>2843</v>
      </c>
      <c r="B132" s="2" t="s">
        <v>2770</v>
      </c>
      <c r="C132" s="2" t="s">
        <v>3227</v>
      </c>
      <c r="D132" s="3">
        <f>(('Facts'!F347-'Facts'!F349))*1</f>
        <v>30820750.32</v>
      </c>
      <c r="E132" s="3">
        <f>D132/K132</f>
        <v>30820750.32</v>
      </c>
      <c r="F132" s="2" t="str">
        <f>IF(ISNUMBER(D132),"calculated","not_calculated")</f>
        <v>calculated</v>
      </c>
      <c r="G132" s="2">
        <f>IF(ISNUMBER(D132),"","检查缺失值、分母与输入；口径变更须重跑Python")</f>
        <v/>
      </c>
      <c r="H132" s="2" t="s">
        <v>2770</v>
      </c>
      <c r="I132" s="2" t="s">
        <v>2640</v>
      </c>
      <c r="J132" s="2" t="s">
        <v>51</v>
      </c>
      <c r="K132" s="2">
        <v>1</v>
      </c>
      <c r="L132" s="2" t="s">
        <v>52</v>
      </c>
      <c r="M132" s="2" t="s">
        <v>53</v>
      </c>
      <c r="N132" s="2" t="s">
        <v>396</v>
      </c>
      <c r="O132" s="2" t="s">
        <v>61</v>
      </c>
    </row>
    <row r="133" spans="1:15">
      <c r="A133" s="2" t="s">
        <v>2844</v>
      </c>
      <c r="B133" s="2" t="s">
        <v>2772</v>
      </c>
      <c r="C133" s="2" t="s">
        <v>3228</v>
      </c>
      <c r="D133" s="3">
        <f>IF('Facts'!F347&lt;=0,NA(),(('Calculations'!D132/'Facts'!F347))*1)</f>
        <v>0.28677491730218924</v>
      </c>
      <c r="E133" s="4">
        <f>D133/K133</f>
        <v>0.28677491730218924</v>
      </c>
      <c r="F133" s="2" t="str">
        <f>IF(ISNUMBER(D133),"calculated","not_calculated")</f>
        <v>calculated</v>
      </c>
      <c r="G133" s="2">
        <f>IF(ISNUMBER(D133),"","检查缺失值、分母与输入；口径变更须重跑Python")</f>
        <v/>
      </c>
      <c r="H133" s="2" t="s">
        <v>2772</v>
      </c>
      <c r="I133" s="2" t="s">
        <v>2640</v>
      </c>
      <c r="J133" s="2" t="s">
        <v>2711</v>
      </c>
      <c r="K133" s="2">
        <v>1</v>
      </c>
      <c r="L133" s="2" t="s">
        <v>52</v>
      </c>
      <c r="M133" s="2" t="s">
        <v>53</v>
      </c>
      <c r="N133" s="2" t="s">
        <v>396</v>
      </c>
      <c r="O133" s="2" t="s">
        <v>61</v>
      </c>
    </row>
    <row r="134" spans="1:15">
      <c r="A134" s="2" t="s">
        <v>2845</v>
      </c>
      <c r="B134" s="2" t="s">
        <v>2774</v>
      </c>
      <c r="C134" s="2" t="s">
        <v>3229</v>
      </c>
      <c r="D134" s="3">
        <f>(('Facts'!F351-'Facts'!F353))*1</f>
        <v>18000610.44</v>
      </c>
      <c r="E134" s="3">
        <f>D134/K134</f>
        <v>18000610.44</v>
      </c>
      <c r="F134" s="2" t="str">
        <f>IF(ISNUMBER(D134),"calculated","not_calculated")</f>
        <v>calculated</v>
      </c>
      <c r="G134" s="2">
        <f>IF(ISNUMBER(D134),"","检查缺失值、分母与输入；口径变更须重跑Python")</f>
        <v/>
      </c>
      <c r="H134" s="2" t="s">
        <v>2774</v>
      </c>
      <c r="I134" s="2" t="s">
        <v>2640</v>
      </c>
      <c r="J134" s="2" t="s">
        <v>51</v>
      </c>
      <c r="K134" s="2">
        <v>1</v>
      </c>
      <c r="L134" s="2" t="s">
        <v>52</v>
      </c>
      <c r="M134" s="2" t="s">
        <v>53</v>
      </c>
      <c r="N134" s="2" t="s">
        <v>396</v>
      </c>
      <c r="O134" s="2" t="s">
        <v>61</v>
      </c>
    </row>
    <row r="135" spans="1:15">
      <c r="A135" s="2" t="s">
        <v>2846</v>
      </c>
      <c r="B135" s="2" t="s">
        <v>2776</v>
      </c>
      <c r="C135" s="2" t="s">
        <v>3230</v>
      </c>
      <c r="D135" s="3">
        <f>IF('Facts'!F351&lt;=0,NA(),(('Calculations'!D134/'Facts'!F351))*1)</f>
        <v>0.3519081883966973</v>
      </c>
      <c r="E135" s="4">
        <f>D135/K135</f>
        <v>0.3519081883966973</v>
      </c>
      <c r="F135" s="2" t="str">
        <f>IF(ISNUMBER(D135),"calculated","not_calculated")</f>
        <v>calculated</v>
      </c>
      <c r="G135" s="2">
        <f>IF(ISNUMBER(D135),"","检查缺失值、分母与输入；口径变更须重跑Python")</f>
        <v/>
      </c>
      <c r="H135" s="2" t="s">
        <v>2776</v>
      </c>
      <c r="I135" s="2" t="s">
        <v>2640</v>
      </c>
      <c r="J135" s="2" t="s">
        <v>2711</v>
      </c>
      <c r="K135" s="2">
        <v>1</v>
      </c>
      <c r="L135" s="2" t="s">
        <v>52</v>
      </c>
      <c r="M135" s="2" t="s">
        <v>53</v>
      </c>
      <c r="N135" s="2" t="s">
        <v>396</v>
      </c>
      <c r="O135" s="2" t="s">
        <v>61</v>
      </c>
    </row>
    <row r="136" spans="1:15">
      <c r="A136" s="2" t="s">
        <v>2847</v>
      </c>
      <c r="B136" s="2" t="s">
        <v>2778</v>
      </c>
      <c r="C136" s="2" t="s">
        <v>3231</v>
      </c>
      <c r="D136" s="3">
        <f>(('Facts'!F331*1)+('Facts'!F335*1)+('Facts'!F339*1)+('Facts'!F343*1)+('Facts'!F347*1)+('Facts'!F351*1))*1</f>
        <v>6828803327.7</v>
      </c>
      <c r="E136" s="3">
        <f>D136/K136</f>
        <v>6828803327.7</v>
      </c>
      <c r="F136" s="2" t="str">
        <f>IF(ISNUMBER(D136),"calculated","not_calculated")</f>
        <v>calculated</v>
      </c>
      <c r="G136" s="2">
        <f>IF(ISNUMBER(D136),"","检查缺失值、分母与输入；口径变更须重跑Python")</f>
        <v/>
      </c>
      <c r="H136" s="2" t="s">
        <v>2778</v>
      </c>
      <c r="I136" s="2" t="s">
        <v>2640</v>
      </c>
      <c r="J136" s="2" t="s">
        <v>51</v>
      </c>
      <c r="K136" s="2">
        <v>1</v>
      </c>
      <c r="L136" s="2" t="s">
        <v>52</v>
      </c>
      <c r="M136" s="2" t="s">
        <v>53</v>
      </c>
      <c r="N136" s="2" t="s">
        <v>396</v>
      </c>
      <c r="O136" s="2" t="s">
        <v>61</v>
      </c>
    </row>
    <row r="137" spans="1:15">
      <c r="A137" s="2" t="s">
        <v>2848</v>
      </c>
      <c r="B137" s="2" t="s">
        <v>2780</v>
      </c>
      <c r="C137" s="2" t="s">
        <v>3232</v>
      </c>
      <c r="D137" s="3">
        <f>(('Facts'!F333*1)+('Facts'!F337*1)+('Facts'!F341*1)+('Facts'!F345*1)+('Facts'!F349*1)+('Facts'!F353*1))*1</f>
        <v>5342243383.08</v>
      </c>
      <c r="E137" s="3">
        <f>D137/K137</f>
        <v>5342243383.08</v>
      </c>
      <c r="F137" s="2" t="str">
        <f>IF(ISNUMBER(D137),"calculated","not_calculated")</f>
        <v>calculated</v>
      </c>
      <c r="G137" s="2">
        <f>IF(ISNUMBER(D137),"","检查缺失值、分母与输入；口径变更须重跑Python")</f>
        <v/>
      </c>
      <c r="H137" s="2" t="s">
        <v>2780</v>
      </c>
      <c r="I137" s="2" t="s">
        <v>2640</v>
      </c>
      <c r="J137" s="2" t="s">
        <v>51</v>
      </c>
      <c r="K137" s="2">
        <v>1</v>
      </c>
      <c r="L137" s="2" t="s">
        <v>52</v>
      </c>
      <c r="M137" s="2" t="s">
        <v>53</v>
      </c>
      <c r="N137" s="2" t="s">
        <v>396</v>
      </c>
      <c r="O137" s="2" t="s">
        <v>61</v>
      </c>
    </row>
    <row r="138" spans="1:15">
      <c r="A138" s="2" t="s">
        <v>2849</v>
      </c>
      <c r="B138" s="2" t="s">
        <v>2850</v>
      </c>
      <c r="C138" s="2" t="s">
        <v>3233</v>
      </c>
      <c r="D138" s="3">
        <f>IF(OR('Facts'!F112&lt;=0,'Facts'!F111&lt;0),NA(),((('Facts'!F111-'Facts'!F112)/'Facts'!F112))*1)</f>
        <v>-0.11490718016538434</v>
      </c>
      <c r="E138" s="4">
        <f>D138/K138</f>
        <v>-0.11490718016538434</v>
      </c>
      <c r="F138" s="2" t="str">
        <f>IF(ISNUMBER(D138),"calculated","not_calculated")</f>
        <v>calculated</v>
      </c>
      <c r="G138" s="2">
        <f>IF(ISNUMBER(D138),"","检查缺失值、分母与输入；口径变更须重跑Python")</f>
        <v/>
      </c>
      <c r="H138" s="2" t="s">
        <v>2850</v>
      </c>
      <c r="I138" s="2" t="s">
        <v>2640</v>
      </c>
      <c r="J138" s="2" t="s">
        <v>2711</v>
      </c>
      <c r="K138" s="2">
        <v>1</v>
      </c>
      <c r="L138" s="2" t="s">
        <v>52</v>
      </c>
      <c r="M138" s="2" t="s">
        <v>53</v>
      </c>
      <c r="N138" s="2" t="s">
        <v>391</v>
      </c>
      <c r="O138" s="2" t="s">
        <v>54</v>
      </c>
    </row>
    <row r="139" spans="1:15">
      <c r="A139" s="2" t="s">
        <v>2851</v>
      </c>
      <c r="B139" s="2" t="s">
        <v>2852</v>
      </c>
      <c r="C139" s="2" t="s">
        <v>3234</v>
      </c>
      <c r="D139" s="3">
        <f>(('Facts'!F8-'Facts'!F9))*1</f>
        <v>-778277465.91</v>
      </c>
      <c r="E139" s="3">
        <f>D139/K139</f>
        <v>-778277465.91</v>
      </c>
      <c r="F139" s="2" t="str">
        <f>IF(ISNUMBER(D139),"calculated","not_calculated")</f>
        <v>calculated</v>
      </c>
      <c r="G139" s="2">
        <f>IF(ISNUMBER(D139),"","检查缺失值、分母与输入；口径变更须重跑Python")</f>
        <v/>
      </c>
      <c r="H139" s="2" t="s">
        <v>2852</v>
      </c>
      <c r="I139" s="2" t="s">
        <v>2640</v>
      </c>
      <c r="J139" s="2" t="s">
        <v>51</v>
      </c>
      <c r="K139" s="2">
        <v>1</v>
      </c>
      <c r="L139" s="2" t="s">
        <v>52</v>
      </c>
      <c r="M139" s="2" t="s">
        <v>53</v>
      </c>
      <c r="N139" s="2"/>
      <c r="O139" s="2" t="s">
        <v>54</v>
      </c>
    </row>
    <row r="140" spans="1:15">
      <c r="A140" s="2" t="s">
        <v>2853</v>
      </c>
      <c r="B140" s="2" t="s">
        <v>2854</v>
      </c>
      <c r="C140" s="2" t="s">
        <v>3235</v>
      </c>
      <c r="D140" s="3">
        <f>(('Facts'!F267*1)+('Facts'!F432*1)+('Facts'!F433*-1)+('Facts'!F434*-1)+('Facts'!F435*1))*1</f>
        <v>1866771407.57</v>
      </c>
      <c r="E140" s="3">
        <f>D140/K140</f>
        <v>1866771407.57</v>
      </c>
      <c r="F140" s="2" t="str">
        <f>IF(ISNUMBER(D140),"calculated","not_calculated")</f>
        <v>calculated</v>
      </c>
      <c r="G140" s="2">
        <f>IF(ISNUMBER(D140),"","检查缺失值、分母与输入；口径变更须重跑Python")</f>
        <v/>
      </c>
      <c r="H140" s="2" t="s">
        <v>2854</v>
      </c>
      <c r="I140" s="2" t="s">
        <v>2640</v>
      </c>
      <c r="J140" s="2" t="s">
        <v>51</v>
      </c>
      <c r="K140" s="2">
        <v>1</v>
      </c>
      <c r="L140" s="2" t="s">
        <v>52</v>
      </c>
      <c r="M140" s="2" t="s">
        <v>53</v>
      </c>
      <c r="N140" s="2" t="s">
        <v>391</v>
      </c>
      <c r="O140" s="2" t="s">
        <v>54</v>
      </c>
    </row>
    <row r="141" spans="1:15">
      <c r="A141" s="2" t="s">
        <v>2855</v>
      </c>
      <c r="B141" s="2" t="s">
        <v>2856</v>
      </c>
      <c r="C141" s="2" t="s">
        <v>3236</v>
      </c>
      <c r="D141" s="3">
        <f>(('Facts'!F307*1)+('Facts'!F436*1)+('Facts'!F437*-1)+('Facts'!F438*-1))*1</f>
        <v>286261649.71</v>
      </c>
      <c r="E141" s="3">
        <f>D141/K141</f>
        <v>286261649.71</v>
      </c>
      <c r="F141" s="2" t="str">
        <f>IF(ISNUMBER(D141),"calculated","not_calculated")</f>
        <v>calculated</v>
      </c>
      <c r="G141" s="2">
        <f>IF(ISNUMBER(D141),"","检查缺失值、分母与输入；口径变更须重跑Python")</f>
        <v/>
      </c>
      <c r="H141" s="2" t="s">
        <v>2856</v>
      </c>
      <c r="I141" s="2" t="s">
        <v>2640</v>
      </c>
      <c r="J141" s="2" t="s">
        <v>51</v>
      </c>
      <c r="K141" s="2">
        <v>1</v>
      </c>
      <c r="L141" s="2" t="s">
        <v>52</v>
      </c>
      <c r="M141" s="2" t="s">
        <v>53</v>
      </c>
      <c r="N141" s="2" t="s">
        <v>391</v>
      </c>
      <c r="O141" s="2" t="s">
        <v>54</v>
      </c>
    </row>
    <row r="142" spans="1:15">
      <c r="A142" s="2" t="s">
        <v>2857</v>
      </c>
      <c r="B142" s="2" t="s">
        <v>2858</v>
      </c>
      <c r="C142" s="2" t="s">
        <v>3237</v>
      </c>
      <c r="D142" s="3">
        <f>(('Facts'!F315*1)+('Facts'!F439*1)+('Facts'!F440*-1))*1</f>
        <v>43384280.77</v>
      </c>
      <c r="E142" s="3">
        <f>D142/K142</f>
        <v>43384280.77</v>
      </c>
      <c r="F142" s="2" t="str">
        <f>IF(ISNUMBER(D142),"calculated","not_calculated")</f>
        <v>calculated</v>
      </c>
      <c r="G142" s="2">
        <f>IF(ISNUMBER(D142),"","检查缺失值、分母与输入；口径变更须重跑Python")</f>
        <v/>
      </c>
      <c r="H142" s="2" t="s">
        <v>2858</v>
      </c>
      <c r="I142" s="2" t="s">
        <v>2640</v>
      </c>
      <c r="J142" s="2" t="s">
        <v>51</v>
      </c>
      <c r="K142" s="2">
        <v>1</v>
      </c>
      <c r="L142" s="2" t="s">
        <v>52</v>
      </c>
      <c r="M142" s="2" t="s">
        <v>53</v>
      </c>
      <c r="N142" s="2" t="s">
        <v>391</v>
      </c>
      <c r="O142" s="2" t="s">
        <v>54</v>
      </c>
    </row>
    <row r="143" spans="1:15">
      <c r="A143" s="2" t="s">
        <v>2859</v>
      </c>
      <c r="B143" s="2" t="s">
        <v>2860</v>
      </c>
      <c r="C143" s="2" t="s">
        <v>3238</v>
      </c>
      <c r="D143" s="3">
        <f>(('Facts'!F323*1)+('Facts'!F454*1)+('Facts'!F455*-1))*1</f>
        <v>3467081100.22</v>
      </c>
      <c r="E143" s="3">
        <f>D143/K143</f>
        <v>3467081100.22</v>
      </c>
      <c r="F143" s="2" t="str">
        <f>IF(ISNUMBER(D143),"calculated","not_calculated")</f>
        <v>calculated</v>
      </c>
      <c r="G143" s="2">
        <f>IF(ISNUMBER(D143),"","检查缺失值、分母与输入；口径变更须重跑Python")</f>
        <v/>
      </c>
      <c r="H143" s="2" t="s">
        <v>2860</v>
      </c>
      <c r="I143" s="2" t="s">
        <v>2640</v>
      </c>
      <c r="J143" s="2" t="s">
        <v>51</v>
      </c>
      <c r="K143" s="2">
        <v>1</v>
      </c>
      <c r="L143" s="2" t="s">
        <v>52</v>
      </c>
      <c r="M143" s="2" t="s">
        <v>53</v>
      </c>
      <c r="N143" s="2" t="s">
        <v>391</v>
      </c>
      <c r="O143" s="2" t="s">
        <v>54</v>
      </c>
    </row>
    <row r="144" spans="1:15">
      <c r="A144" s="2" t="s">
        <v>2861</v>
      </c>
      <c r="B144" s="2" t="s">
        <v>2862</v>
      </c>
      <c r="C144" s="2" t="s">
        <v>3239</v>
      </c>
      <c r="D144" s="3">
        <f>(('Facts'!F325*1)+('Facts'!F456*1)+('Facts'!F457*-1))*1</f>
        <v>1219258212.39</v>
      </c>
      <c r="E144" s="3">
        <f>D144/K144</f>
        <v>1219258212.39</v>
      </c>
      <c r="F144" s="2" t="str">
        <f>IF(ISNUMBER(D144),"calculated","not_calculated")</f>
        <v>calculated</v>
      </c>
      <c r="G144" s="2">
        <f>IF(ISNUMBER(D144),"","检查缺失值、分母与输入；口径变更须重跑Python")</f>
        <v/>
      </c>
      <c r="H144" s="2" t="s">
        <v>2862</v>
      </c>
      <c r="I144" s="2" t="s">
        <v>2640</v>
      </c>
      <c r="J144" s="2" t="s">
        <v>51</v>
      </c>
      <c r="K144" s="2">
        <v>1</v>
      </c>
      <c r="L144" s="2" t="s">
        <v>52</v>
      </c>
      <c r="M144" s="2" t="s">
        <v>53</v>
      </c>
      <c r="N144" s="2" t="s">
        <v>391</v>
      </c>
      <c r="O144" s="2" t="s">
        <v>54</v>
      </c>
    </row>
    <row r="145" spans="1:15">
      <c r="A145" s="2" t="s">
        <v>2863</v>
      </c>
      <c r="B145" s="2" t="s">
        <v>2864</v>
      </c>
      <c r="C145" s="2" t="s">
        <v>3240</v>
      </c>
      <c r="D145" s="3">
        <f>(('Facts'!F327*1)+('Facts'!F458*1)+('Facts'!F459*1)+('Facts'!F460*-1))*1</f>
        <v>45754097.75</v>
      </c>
      <c r="E145" s="3">
        <f>D145/K145</f>
        <v>45754097.75</v>
      </c>
      <c r="F145" s="2" t="str">
        <f>IF(ISNUMBER(D145),"calculated","not_calculated")</f>
        <v>calculated</v>
      </c>
      <c r="G145" s="2">
        <f>IF(ISNUMBER(D145),"","检查缺失值、分母与输入；口径变更须重跑Python")</f>
        <v/>
      </c>
      <c r="H145" s="2" t="s">
        <v>2864</v>
      </c>
      <c r="I145" s="2" t="s">
        <v>2640</v>
      </c>
      <c r="J145" s="2" t="s">
        <v>51</v>
      </c>
      <c r="K145" s="2">
        <v>1</v>
      </c>
      <c r="L145" s="2" t="s">
        <v>52</v>
      </c>
      <c r="M145" s="2" t="s">
        <v>53</v>
      </c>
      <c r="N145" s="2" t="s">
        <v>391</v>
      </c>
      <c r="O145" s="2" t="s">
        <v>54</v>
      </c>
    </row>
    <row r="146" spans="1:15">
      <c r="A146" s="2" t="s">
        <v>2865</v>
      </c>
      <c r="B146" s="2" t="s">
        <v>2866</v>
      </c>
      <c r="C146" s="2" t="s">
        <v>3241</v>
      </c>
      <c r="D146" s="3">
        <f>(('Facts'!F461*1)+('Facts'!F462*1)+('Facts'!F463*-1))*1</f>
        <v>31325809.18</v>
      </c>
      <c r="E146" s="3">
        <f>D146/K146</f>
        <v>31325809.18</v>
      </c>
      <c r="F146" s="2" t="str">
        <f>IF(ISNUMBER(D146),"calculated","not_calculated")</f>
        <v>calculated</v>
      </c>
      <c r="G146" s="2">
        <f>IF(ISNUMBER(D146),"","检查缺失值、分母与输入；口径变更须重跑Python")</f>
        <v/>
      </c>
      <c r="H146" s="2" t="s">
        <v>2867</v>
      </c>
      <c r="I146" s="2" t="s">
        <v>2640</v>
      </c>
      <c r="J146" s="2" t="s">
        <v>51</v>
      </c>
      <c r="K146" s="2">
        <v>1</v>
      </c>
      <c r="L146" s="2" t="s">
        <v>52</v>
      </c>
      <c r="M146" s="2" t="s">
        <v>53</v>
      </c>
      <c r="N146" s="2" t="s">
        <v>391</v>
      </c>
      <c r="O146" s="2" t="s">
        <v>54</v>
      </c>
    </row>
    <row r="147" spans="1:15">
      <c r="A147" s="2" t="s">
        <v>2868</v>
      </c>
      <c r="B147" s="2" t="s">
        <v>2869</v>
      </c>
      <c r="C147" s="2" t="s">
        <v>3242</v>
      </c>
      <c r="D147" s="3">
        <f>(('Facts'!F77*1)+('Facts'!F472*1)+('Facts'!F473*1)+('Facts'!F474*-1)+('Facts'!F475*-1))*1</f>
        <v>2313383227.05</v>
      </c>
      <c r="E147" s="3">
        <f>D147/K147</f>
        <v>2313383227.05</v>
      </c>
      <c r="F147" s="2" t="str">
        <f>IF(ISNUMBER(D147),"calculated","not_calculated")</f>
        <v>calculated</v>
      </c>
      <c r="G147" s="2">
        <f>IF(ISNUMBER(D147),"","检查缺失值、分母与输入；口径变更须重跑Python")</f>
        <v/>
      </c>
      <c r="H147" s="2" t="s">
        <v>2869</v>
      </c>
      <c r="I147" s="2" t="s">
        <v>2640</v>
      </c>
      <c r="J147" s="2" t="s">
        <v>51</v>
      </c>
      <c r="K147" s="2">
        <v>1</v>
      </c>
      <c r="L147" s="2" t="s">
        <v>52</v>
      </c>
      <c r="M147" s="2" t="s">
        <v>53</v>
      </c>
      <c r="N147" s="2" t="s">
        <v>391</v>
      </c>
      <c r="O147" s="2" t="s">
        <v>54</v>
      </c>
    </row>
    <row r="148" spans="1:15">
      <c r="A148" s="2" t="s">
        <v>2870</v>
      </c>
      <c r="B148" s="2" t="s">
        <v>2871</v>
      </c>
      <c r="C148" s="2" t="s">
        <v>3243</v>
      </c>
      <c r="D148" s="3">
        <f>(('Facts'!F405*1)+('Facts'!F476*1)+('Facts'!F477*-1)+('Facts'!F478*1))*1</f>
        <v>4372555720.76</v>
      </c>
      <c r="E148" s="3">
        <f>D148/K148</f>
        <v>4372555720.76</v>
      </c>
      <c r="F148" s="2" t="str">
        <f>IF(ISNUMBER(D148),"calculated","not_calculated")</f>
        <v>calculated</v>
      </c>
      <c r="G148" s="2">
        <f>IF(ISNUMBER(D148),"","检查缺失值、分母与输入；口径变更须重跑Python")</f>
        <v/>
      </c>
      <c r="H148" s="2" t="s">
        <v>2871</v>
      </c>
      <c r="I148" s="2" t="s">
        <v>2640</v>
      </c>
      <c r="J148" s="2" t="s">
        <v>51</v>
      </c>
      <c r="K148" s="2">
        <v>1</v>
      </c>
      <c r="L148" s="2" t="s">
        <v>52</v>
      </c>
      <c r="M148" s="2" t="s">
        <v>53</v>
      </c>
      <c r="N148" s="2" t="s">
        <v>391</v>
      </c>
      <c r="O148" s="2" t="s">
        <v>54</v>
      </c>
    </row>
    <row r="149" spans="1:15">
      <c r="A149" s="2" t="s">
        <v>2872</v>
      </c>
      <c r="B149" s="2" t="s">
        <v>2873</v>
      </c>
      <c r="C149" s="2" t="s">
        <v>3244</v>
      </c>
      <c r="D149" s="3">
        <f>(('Facts'!F110*1)+('Facts'!F161*1)+('Facts'!F482*1)+('Facts'!F481*-1)+('Facts'!F483*1)+('Facts'!F484*1))*1</f>
        <v>4052073804.75</v>
      </c>
      <c r="E149" s="3">
        <f>D149/K149</f>
        <v>4052073804.75</v>
      </c>
      <c r="F149" s="2" t="str">
        <f>IF(ISNUMBER(D149),"calculated","not_calculated")</f>
        <v>calculated</v>
      </c>
      <c r="G149" s="2">
        <f>IF(ISNUMBER(D149),"","检查缺失值、分母与输入；口径变更须重跑Python")</f>
        <v/>
      </c>
      <c r="H149" s="2" t="s">
        <v>2873</v>
      </c>
      <c r="I149" s="2" t="s">
        <v>2640</v>
      </c>
      <c r="J149" s="2" t="s">
        <v>51</v>
      </c>
      <c r="K149" s="2">
        <v>1</v>
      </c>
      <c r="L149" s="2" t="s">
        <v>52</v>
      </c>
      <c r="M149" s="2" t="s">
        <v>53</v>
      </c>
      <c r="N149" s="2" t="s">
        <v>391</v>
      </c>
      <c r="O149" s="2" t="s">
        <v>54</v>
      </c>
    </row>
    <row r="150" spans="1:15">
      <c r="A150" s="2" t="s">
        <v>2874</v>
      </c>
      <c r="B150" s="2" t="s">
        <v>2875</v>
      </c>
      <c r="C150" s="2" t="s">
        <v>3245</v>
      </c>
      <c r="D150" s="3">
        <f>(('Facts'!F469*1)+('Facts'!F470*1))*1</f>
        <v>-44398991.01</v>
      </c>
      <c r="E150" s="3">
        <f>D150/K150</f>
        <v>-44398991.01</v>
      </c>
      <c r="F150" s="2" t="str">
        <f>IF(ISNUMBER(D150),"calculated","not_calculated")</f>
        <v>calculated</v>
      </c>
      <c r="G150" s="2">
        <f>IF(ISNUMBER(D150),"","检查缺失值、分母与输入；口径变更须重跑Python")</f>
        <v/>
      </c>
      <c r="H150" s="2" t="s">
        <v>2875</v>
      </c>
      <c r="I150" s="2" t="s">
        <v>2640</v>
      </c>
      <c r="J150" s="2" t="s">
        <v>51</v>
      </c>
      <c r="K150" s="2">
        <v>1</v>
      </c>
      <c r="L150" s="2" t="s">
        <v>52</v>
      </c>
      <c r="M150" s="2" t="s">
        <v>53</v>
      </c>
      <c r="N150" s="2" t="s">
        <v>391</v>
      </c>
      <c r="O150" s="2" t="s">
        <v>54</v>
      </c>
    </row>
    <row r="151" spans="1:15">
      <c r="A151" s="2" t="s">
        <v>2876</v>
      </c>
      <c r="B151" s="2" t="s">
        <v>2877</v>
      </c>
      <c r="C151" s="2" t="s">
        <v>3246</v>
      </c>
      <c r="D151" s="3">
        <f>IF('Facts'!F181&lt;=0,NA(),(('Facts'!F481/'Facts'!F181))*1)</f>
        <v>1.2154410217538605</v>
      </c>
      <c r="E151" s="5">
        <f>D151/K151</f>
        <v>1.2154410217538605</v>
      </c>
      <c r="F151" s="2" t="str">
        <f>IF(ISNUMBER(D151),"calculated","not_calculated")</f>
        <v>calculated</v>
      </c>
      <c r="G151" s="2">
        <f>IF(ISNUMBER(D151),"","检查缺失值、分母与输入；口径变更须重跑Python")</f>
        <v/>
      </c>
      <c r="H151" s="2" t="s">
        <v>2877</v>
      </c>
      <c r="I151" s="2" t="s">
        <v>2640</v>
      </c>
      <c r="J151" s="2" t="s">
        <v>2733</v>
      </c>
      <c r="K151" s="2">
        <v>1</v>
      </c>
      <c r="L151" s="2" t="s">
        <v>52</v>
      </c>
      <c r="M151" s="2" t="s">
        <v>53</v>
      </c>
      <c r="N151" s="2" t="s">
        <v>391</v>
      </c>
      <c r="O151" s="2" t="s">
        <v>54</v>
      </c>
    </row>
    <row r="152" spans="1:15">
      <c r="A152" s="2" t="s">
        <v>2878</v>
      </c>
      <c r="B152" s="2" t="s">
        <v>2879</v>
      </c>
      <c r="C152" s="2" t="s">
        <v>3247</v>
      </c>
      <c r="D152" s="3">
        <f>(('Calculations'!D55-'Facts'!F481))*1</f>
        <v>-241363360.06</v>
      </c>
      <c r="E152" s="3">
        <f>D152/K152</f>
        <v>-241363360.06</v>
      </c>
      <c r="F152" s="2" t="str">
        <f>IF(ISNUMBER(D152),"calculated","not_calculated")</f>
        <v>calculated</v>
      </c>
      <c r="G152" s="2">
        <f>IF(ISNUMBER(D152),"","检查缺失值、分母与输入；口径变更须重跑Python")</f>
        <v/>
      </c>
      <c r="H152" s="2" t="s">
        <v>2879</v>
      </c>
      <c r="I152" s="2" t="s">
        <v>2640</v>
      </c>
      <c r="J152" s="2" t="s">
        <v>51</v>
      </c>
      <c r="K152" s="2">
        <v>1</v>
      </c>
      <c r="L152" s="2" t="s">
        <v>52</v>
      </c>
      <c r="M152" s="2" t="s">
        <v>53</v>
      </c>
      <c r="N152" s="2" t="s">
        <v>391</v>
      </c>
      <c r="O152" s="2" t="s">
        <v>54</v>
      </c>
    </row>
    <row r="153" spans="1:15">
      <c r="A153" s="2" t="s">
        <v>2880</v>
      </c>
      <c r="B153" s="2" t="s">
        <v>2881</v>
      </c>
      <c r="C153" s="2" t="s">
        <v>3248</v>
      </c>
      <c r="D153" s="3">
        <f>(('Calculations'!D40*1)+('Facts'!F398*1))*1</f>
        <v>5450525503.92</v>
      </c>
      <c r="E153" s="3">
        <f>D153/K153</f>
        <v>5450525503.92</v>
      </c>
      <c r="F153" s="2" t="str">
        <f>IF(ISNUMBER(D153),"calculated","not_calculated")</f>
        <v>calculated</v>
      </c>
      <c r="G153" s="2">
        <f>IF(ISNUMBER(D153),"","检查缺失值、分母与输入；口径变更须重跑Python")</f>
        <v/>
      </c>
      <c r="H153" s="2" t="s">
        <v>2882</v>
      </c>
      <c r="I153" s="2" t="s">
        <v>2640</v>
      </c>
      <c r="J153" s="2" t="s">
        <v>51</v>
      </c>
      <c r="K153" s="2">
        <v>1</v>
      </c>
      <c r="L153" s="2" t="s">
        <v>52</v>
      </c>
      <c r="M153" s="2" t="s">
        <v>53</v>
      </c>
      <c r="N153" s="2"/>
      <c r="O153" s="2" t="s">
        <v>54</v>
      </c>
    </row>
    <row r="154" spans="1:15">
      <c r="A154" s="2" t="s">
        <v>2883</v>
      </c>
      <c r="B154" s="2" t="s">
        <v>2884</v>
      </c>
      <c r="C154" s="2" t="s">
        <v>3249</v>
      </c>
      <c r="D154" s="3">
        <f>(('Calculations'!D153*1)+('Facts'!F109*1))*1</f>
        <v>9502599308.67</v>
      </c>
      <c r="E154" s="3">
        <f>D154/K154</f>
        <v>9502599308.67</v>
      </c>
      <c r="F154" s="2" t="str">
        <f>IF(ISNUMBER(D154),"calculated","not_calculated")</f>
        <v>calculated</v>
      </c>
      <c r="G154" s="2">
        <f>IF(ISNUMBER(D154),"","检查缺失值、分母与输入；口径变更须重跑Python")</f>
        <v/>
      </c>
      <c r="H154" s="2" t="s">
        <v>2884</v>
      </c>
      <c r="I154" s="2" t="s">
        <v>2640</v>
      </c>
      <c r="J154" s="2" t="s">
        <v>51</v>
      </c>
      <c r="K154" s="2">
        <v>1</v>
      </c>
      <c r="L154" s="2" t="s">
        <v>52</v>
      </c>
      <c r="M154" s="2" t="s">
        <v>53</v>
      </c>
      <c r="N154" s="2"/>
      <c r="O154" s="2" t="s">
        <v>54</v>
      </c>
    </row>
    <row r="155" spans="1:15">
      <c r="A155" s="2" t="s">
        <v>2885</v>
      </c>
      <c r="B155" s="2" t="s">
        <v>2886</v>
      </c>
      <c r="C155" s="2" t="s">
        <v>3250</v>
      </c>
      <c r="D155" s="3">
        <f>IF('Calculations'!D154&lt;=0,NA(),(('Calculations'!D153/'Calculations'!D154))*1)</f>
        <v>0.5735825879711711</v>
      </c>
      <c r="E155" s="4">
        <f>D155/K155</f>
        <v>0.5735825879711711</v>
      </c>
      <c r="F155" s="2" t="str">
        <f>IF(ISNUMBER(D155),"calculated","not_calculated")</f>
        <v>calculated</v>
      </c>
      <c r="G155" s="2">
        <f>IF(ISNUMBER(D155),"","检查缺失值、分母与输入；口径变更须重跑Python")</f>
        <v/>
      </c>
      <c r="H155" s="2" t="s">
        <v>2886</v>
      </c>
      <c r="I155" s="2" t="s">
        <v>2640</v>
      </c>
      <c r="J155" s="2" t="s">
        <v>2711</v>
      </c>
      <c r="K155" s="2">
        <v>1</v>
      </c>
      <c r="L155" s="2" t="s">
        <v>52</v>
      </c>
      <c r="M155" s="2" t="s">
        <v>53</v>
      </c>
      <c r="N155" s="2"/>
      <c r="O155" s="2" t="s">
        <v>54</v>
      </c>
    </row>
    <row r="156" spans="1:15">
      <c r="A156" s="2" t="s">
        <v>2887</v>
      </c>
      <c r="B156" s="2" t="s">
        <v>2888</v>
      </c>
      <c r="C156" s="2" t="s">
        <v>3251</v>
      </c>
      <c r="D156" s="3">
        <f>(('Facts'!F8*1)+('Facts'!F18*1)+('Facts'!F298*1)+('Facts'!F320*1)+('Facts'!F14*1))*1</f>
        <v>4895462832.06</v>
      </c>
      <c r="E156" s="3">
        <f>D156/K156</f>
        <v>4895462832.06</v>
      </c>
      <c r="F156" s="2" t="str">
        <f>IF(ISNUMBER(D156),"calculated","not_calculated")</f>
        <v>calculated</v>
      </c>
      <c r="G156" s="2">
        <f>IF(ISNUMBER(D156),"","检查缺失值、分母与输入；口径变更须重跑Python")</f>
        <v/>
      </c>
      <c r="H156" s="2" t="s">
        <v>2889</v>
      </c>
      <c r="I156" s="2" t="s">
        <v>2640</v>
      </c>
      <c r="J156" s="2" t="s">
        <v>51</v>
      </c>
      <c r="K156" s="2">
        <v>1</v>
      </c>
      <c r="L156" s="2" t="s">
        <v>52</v>
      </c>
      <c r="M156" s="2" t="s">
        <v>53</v>
      </c>
      <c r="N156" s="2"/>
      <c r="O156" s="2" t="s">
        <v>54</v>
      </c>
    </row>
    <row r="157" spans="1:15">
      <c r="A157" s="2" t="s">
        <v>2890</v>
      </c>
      <c r="B157" s="2" t="s">
        <v>2891</v>
      </c>
      <c r="C157" s="2" t="s">
        <v>3252</v>
      </c>
      <c r="D157" s="3">
        <f>IF('Facts'!F52&lt;=0,NA(),(('Calculations'!D156/'Facts'!F52))*1)</f>
        <v>0.39479297432196697</v>
      </c>
      <c r="E157" s="4">
        <f>D157/K157</f>
        <v>0.39479297432196697</v>
      </c>
      <c r="F157" s="2" t="str">
        <f>IF(ISNUMBER(D157),"calculated","not_calculated")</f>
        <v>calculated</v>
      </c>
      <c r="G157" s="2">
        <f>IF(ISNUMBER(D157),"","检查缺失值、分母与输入；口径变更须重跑Python")</f>
        <v/>
      </c>
      <c r="H157" s="2" t="s">
        <v>2891</v>
      </c>
      <c r="I157" s="2" t="s">
        <v>2640</v>
      </c>
      <c r="J157" s="2" t="s">
        <v>2711</v>
      </c>
      <c r="K157" s="2">
        <v>1</v>
      </c>
      <c r="L157" s="2" t="s">
        <v>52</v>
      </c>
      <c r="M157" s="2" t="s">
        <v>53</v>
      </c>
      <c r="N157" s="2"/>
      <c r="O157" s="2" t="s">
        <v>54</v>
      </c>
    </row>
    <row r="158" spans="1:15">
      <c r="A158" s="2" t="s">
        <v>2892</v>
      </c>
      <c r="B158" s="2" t="s">
        <v>2893</v>
      </c>
      <c r="C158" s="2" t="s">
        <v>3253</v>
      </c>
      <c r="D158" s="3">
        <f>IF('Facts'!F109&lt;=0,NA(),(('Facts'!F46/'Facts'!F109))*1)</f>
        <v>0.12409646667356893</v>
      </c>
      <c r="E158" s="4">
        <f>D158/K158</f>
        <v>0.12409646667356893</v>
      </c>
      <c r="F158" s="2" t="str">
        <f>IF(ISNUMBER(D158),"calculated","not_calculated")</f>
        <v>calculated</v>
      </c>
      <c r="G158" s="2">
        <f>IF(ISNUMBER(D158),"","检查缺失值、分母与输入；口径变更须重跑Python")</f>
        <v/>
      </c>
      <c r="H158" s="2" t="s">
        <v>2893</v>
      </c>
      <c r="I158" s="2" t="s">
        <v>2640</v>
      </c>
      <c r="J158" s="2" t="s">
        <v>2711</v>
      </c>
      <c r="K158" s="2">
        <v>1</v>
      </c>
      <c r="L158" s="2" t="s">
        <v>52</v>
      </c>
      <c r="M158" s="2" t="s">
        <v>53</v>
      </c>
      <c r="N158" s="2"/>
      <c r="O158" s="2" t="s">
        <v>54</v>
      </c>
    </row>
    <row r="159" spans="1:15">
      <c r="A159" s="2" t="s">
        <v>2894</v>
      </c>
      <c r="B159" s="2" t="s">
        <v>2895</v>
      </c>
      <c r="C159" s="2" t="s">
        <v>3254</v>
      </c>
      <c r="D159" s="3">
        <f>(('Facts'!F408*1)+('Facts'!F410*1))*1</f>
        <v>10401170987.71</v>
      </c>
      <c r="E159" s="3">
        <f>D159/K159</f>
        <v>10401170987.71</v>
      </c>
      <c r="F159" s="2" t="str">
        <f>IF(ISNUMBER(D159),"calculated","not_calculated")</f>
        <v>calculated</v>
      </c>
      <c r="G159" s="2">
        <f>IF(ISNUMBER(D159),"","检查缺失值、分母与输入；口径变更须重跑Python")</f>
        <v/>
      </c>
      <c r="H159" s="2" t="s">
        <v>2895</v>
      </c>
      <c r="I159" s="2" t="s">
        <v>2640</v>
      </c>
      <c r="J159" s="2" t="s">
        <v>51</v>
      </c>
      <c r="K159" s="2">
        <v>1</v>
      </c>
      <c r="L159" s="2" t="s">
        <v>52</v>
      </c>
      <c r="M159" s="2" t="s">
        <v>1294</v>
      </c>
      <c r="N159" s="2"/>
      <c r="O159" s="2" t="s">
        <v>54</v>
      </c>
    </row>
    <row r="160" spans="1:15">
      <c r="A160" s="2" t="s">
        <v>2896</v>
      </c>
      <c r="B160" s="2" t="s">
        <v>2897</v>
      </c>
      <c r="C160" s="2" t="s">
        <v>3255</v>
      </c>
      <c r="D160" s="3">
        <f>(('Facts'!F422*1)+('Facts'!F424*1)+('Facts'!F426*1)+('Facts'!F428*1))*1</f>
        <v>-619340719.95</v>
      </c>
      <c r="E160" s="3">
        <f>D160/K160</f>
        <v>-619340719.95</v>
      </c>
      <c r="F160" s="2" t="str">
        <f>IF(ISNUMBER(D160),"calculated","not_calculated")</f>
        <v>calculated</v>
      </c>
      <c r="G160" s="2">
        <f>IF(ISNUMBER(D160),"","检查缺失值、分母与输入；口径变更须重跑Python")</f>
        <v/>
      </c>
      <c r="H160" s="2" t="s">
        <v>2897</v>
      </c>
      <c r="I160" s="2" t="s">
        <v>2640</v>
      </c>
      <c r="J160" s="2" t="s">
        <v>51</v>
      </c>
      <c r="K160" s="2">
        <v>1</v>
      </c>
      <c r="L160" s="2" t="s">
        <v>52</v>
      </c>
      <c r="M160" s="2" t="s">
        <v>1294</v>
      </c>
      <c r="N160" s="2" t="s">
        <v>391</v>
      </c>
      <c r="O160" s="2" t="s">
        <v>54</v>
      </c>
    </row>
    <row r="161" spans="1:15">
      <c r="A161" s="2" t="s">
        <v>2898</v>
      </c>
      <c r="B161" s="2" t="s">
        <v>2895</v>
      </c>
      <c r="C161" s="2" t="s">
        <v>3256</v>
      </c>
      <c r="D161" s="3">
        <f>(('Facts'!F409*1)+('Facts'!F411*1))*1</f>
        <v>15718736322.89</v>
      </c>
      <c r="E161" s="3">
        <f>D161/K161</f>
        <v>15718736322.89</v>
      </c>
      <c r="F161" s="2" t="str">
        <f>IF(ISNUMBER(D161),"calculated","not_calculated")</f>
        <v>calculated</v>
      </c>
      <c r="G161" s="2">
        <f>IF(ISNUMBER(D161),"","检查缺失值、分母与输入；口径变更须重跑Python")</f>
        <v/>
      </c>
      <c r="H161" s="2" t="s">
        <v>2895</v>
      </c>
      <c r="I161" s="2" t="s">
        <v>2640</v>
      </c>
      <c r="J161" s="2" t="s">
        <v>51</v>
      </c>
      <c r="K161" s="2">
        <v>1</v>
      </c>
      <c r="L161" s="2" t="s">
        <v>52</v>
      </c>
      <c r="M161" s="2" t="s">
        <v>1294</v>
      </c>
      <c r="N161" s="2"/>
      <c r="O161" s="2" t="s">
        <v>61</v>
      </c>
    </row>
    <row r="162" spans="1:15">
      <c r="A162" s="2" t="s">
        <v>2899</v>
      </c>
      <c r="B162" s="2" t="s">
        <v>2897</v>
      </c>
      <c r="C162" s="2" t="s">
        <v>3257</v>
      </c>
      <c r="D162" s="3">
        <f>(('Facts'!F423*1)+('Facts'!F425*1)+('Facts'!F427*1)+('Facts'!F429*1))*1</f>
        <v>350561656.88</v>
      </c>
      <c r="E162" s="3">
        <f>D162/K162</f>
        <v>350561656.88</v>
      </c>
      <c r="F162" s="2" t="str">
        <f>IF(ISNUMBER(D162),"calculated","not_calculated")</f>
        <v>calculated</v>
      </c>
      <c r="G162" s="2">
        <f>IF(ISNUMBER(D162),"","检查缺失值、分母与输入；口径变更须重跑Python")</f>
        <v/>
      </c>
      <c r="H162" s="2" t="s">
        <v>2897</v>
      </c>
      <c r="I162" s="2" t="s">
        <v>2640</v>
      </c>
      <c r="J162" s="2" t="s">
        <v>51</v>
      </c>
      <c r="K162" s="2">
        <v>1</v>
      </c>
      <c r="L162" s="2" t="s">
        <v>52</v>
      </c>
      <c r="M162" s="2" t="s">
        <v>1294</v>
      </c>
      <c r="N162" s="2" t="s">
        <v>396</v>
      </c>
      <c r="O162" s="2" t="s">
        <v>61</v>
      </c>
    </row>
    <row r="163" spans="1:15">
      <c r="A163" s="2" t="s">
        <v>2900</v>
      </c>
      <c r="B163" s="2" t="s">
        <v>2901</v>
      </c>
      <c r="C163" s="2" t="s">
        <v>3258</v>
      </c>
      <c r="D163" s="3">
        <f>(('Facts'!F411*1)+('Facts'!F577*1))*1</f>
        <v>3948078687.1</v>
      </c>
      <c r="E163" s="3">
        <f>D163/K163</f>
        <v>3948078687.1</v>
      </c>
      <c r="F163" s="2" t="str">
        <f>IF(ISNUMBER(D163),"calculated","not_calculated")</f>
        <v>calculated</v>
      </c>
      <c r="G163" s="2">
        <f>IF(ISNUMBER(D163),"","检查缺失值、分母与输入；口径变更须重跑Python")</f>
        <v/>
      </c>
      <c r="H163" s="2" t="s">
        <v>2901</v>
      </c>
      <c r="I163" s="2" t="s">
        <v>2640</v>
      </c>
      <c r="J163" s="2" t="s">
        <v>51</v>
      </c>
      <c r="K163" s="2">
        <v>1</v>
      </c>
      <c r="L163" s="2" t="s">
        <v>52</v>
      </c>
      <c r="M163" s="2" t="s">
        <v>1294</v>
      </c>
      <c r="N163" s="2"/>
      <c r="O163" s="2" t="s">
        <v>61</v>
      </c>
    </row>
    <row r="164" spans="1:15">
      <c r="A164" s="2" t="s">
        <v>2902</v>
      </c>
      <c r="B164" s="2" t="s">
        <v>2903</v>
      </c>
      <c r="C164" s="2" t="s">
        <v>3259</v>
      </c>
      <c r="D164" s="3">
        <f>(('Facts'!F576*1)+('Facts'!F418*1)+('Facts'!F578*1)+('Facts'!F579*-1)+('Facts'!F580*1))*1</f>
        <v>3354795252.08</v>
      </c>
      <c r="E164" s="3">
        <f>D164/K164</f>
        <v>3354795252.08</v>
      </c>
      <c r="F164" s="2" t="str">
        <f>IF(ISNUMBER(D164),"calculated","not_calculated")</f>
        <v>calculated</v>
      </c>
      <c r="G164" s="2">
        <f>IF(ISNUMBER(D164),"","检查缺失值、分母与输入；口径变更须重跑Python")</f>
        <v/>
      </c>
      <c r="H164" s="2" t="s">
        <v>2903</v>
      </c>
      <c r="I164" s="2" t="s">
        <v>2640</v>
      </c>
      <c r="J164" s="2" t="s">
        <v>51</v>
      </c>
      <c r="K164" s="2">
        <v>1</v>
      </c>
      <c r="L164" s="2" t="s">
        <v>52</v>
      </c>
      <c r="M164" s="2" t="s">
        <v>1294</v>
      </c>
      <c r="N164" s="2" t="s">
        <v>391</v>
      </c>
      <c r="O164" s="2" t="s">
        <v>54</v>
      </c>
    </row>
    <row r="165" spans="1:15">
      <c r="A165" s="2" t="s">
        <v>2904</v>
      </c>
      <c r="B165" s="2" t="s">
        <v>2905</v>
      </c>
      <c r="C165" s="2" t="s">
        <v>3260</v>
      </c>
      <c r="D165" s="3">
        <f>(('Facts'!F511*1)+('Facts'!F512*1))*1</f>
        <v>13780575635.03</v>
      </c>
      <c r="E165" s="3">
        <f>D165/K165</f>
        <v>13780575635.03</v>
      </c>
      <c r="F165" s="2" t="str">
        <f>IF(ISNUMBER(D165),"calculated","not_calculated")</f>
        <v>calculated</v>
      </c>
      <c r="G165" s="2">
        <f>IF(ISNUMBER(D165),"","检查缺失值、分母与输入；口径变更须重跑Python")</f>
        <v/>
      </c>
      <c r="H165" s="2" t="s">
        <v>2905</v>
      </c>
      <c r="I165" s="2" t="s">
        <v>2640</v>
      </c>
      <c r="J165" s="2" t="s">
        <v>51</v>
      </c>
      <c r="K165" s="2">
        <v>1</v>
      </c>
      <c r="L165" s="2" t="s">
        <v>52</v>
      </c>
      <c r="M165" s="2" t="s">
        <v>53</v>
      </c>
      <c r="N165" s="2"/>
      <c r="O165" s="2" t="s">
        <v>814</v>
      </c>
    </row>
    <row r="166" spans="1:15">
      <c r="A166" s="2" t="s">
        <v>2906</v>
      </c>
      <c r="B166" s="2" t="s">
        <v>2907</v>
      </c>
      <c r="C166" s="2" t="s">
        <v>3261</v>
      </c>
      <c r="D166" s="3">
        <f>(('Facts'!F526-'Facts'!F527))*1</f>
        <v>1660190889.0</v>
      </c>
      <c r="E166" s="3">
        <f>D166/K166</f>
        <v>1660190889.0</v>
      </c>
      <c r="F166" s="2" t="str">
        <f>IF(ISNUMBER(D166),"calculated","not_calculated")</f>
        <v>calculated</v>
      </c>
      <c r="G166" s="2">
        <f>IF(ISNUMBER(D166),"","检查缺失值、分母与输入；口径变更须重跑Python")</f>
        <v/>
      </c>
      <c r="H166" s="2" t="s">
        <v>2907</v>
      </c>
      <c r="I166" s="2" t="s">
        <v>2640</v>
      </c>
      <c r="J166" s="2" t="s">
        <v>51</v>
      </c>
      <c r="K166" s="2">
        <v>1</v>
      </c>
      <c r="L166" s="2" t="s">
        <v>52</v>
      </c>
      <c r="M166" s="2" t="s">
        <v>53</v>
      </c>
      <c r="N166" s="2" t="s">
        <v>1562</v>
      </c>
      <c r="O166" s="2" t="s">
        <v>814</v>
      </c>
    </row>
    <row r="167" spans="1:15">
      <c r="A167" s="2" t="s">
        <v>2908</v>
      </c>
      <c r="B167" s="2" t="s">
        <v>2909</v>
      </c>
      <c r="C167" s="2" t="s">
        <v>3262</v>
      </c>
      <c r="D167" s="3">
        <f>(('Facts'!F521*1)+('Facts'!F522*1))*1</f>
        <v>5768951731.28</v>
      </c>
      <c r="E167" s="3">
        <f>D167/K167</f>
        <v>5768951731.28</v>
      </c>
      <c r="F167" s="2" t="str">
        <f>IF(ISNUMBER(D167),"calculated","not_calculated")</f>
        <v>calculated</v>
      </c>
      <c r="G167" s="2">
        <f>IF(ISNUMBER(D167),"","检查缺失值、分母与输入；口径变更须重跑Python")</f>
        <v/>
      </c>
      <c r="H167" s="2" t="s">
        <v>2909</v>
      </c>
      <c r="I167" s="2" t="s">
        <v>2640</v>
      </c>
      <c r="J167" s="2" t="s">
        <v>51</v>
      </c>
      <c r="K167" s="2">
        <v>1</v>
      </c>
      <c r="L167" s="2" t="s">
        <v>52</v>
      </c>
      <c r="M167" s="2" t="s">
        <v>53</v>
      </c>
      <c r="N167" s="2"/>
      <c r="O167" s="2" t="s">
        <v>814</v>
      </c>
    </row>
    <row r="168" spans="1:15">
      <c r="A168" s="2" t="s">
        <v>2910</v>
      </c>
      <c r="B168" s="2" t="s">
        <v>2911</v>
      </c>
      <c r="C168" s="2" t="s">
        <v>3263</v>
      </c>
      <c r="D168" s="3">
        <f>(('Facts'!F528*1)+('Facts'!F533*1)+('Facts'!F534*1)+('Facts'!F535*1)+('Facts'!F536*1))*1</f>
        <v>-63263060.96</v>
      </c>
      <c r="E168" s="3">
        <f>D168/K168</f>
        <v>-63263060.96</v>
      </c>
      <c r="F168" s="2" t="str">
        <f>IF(ISNUMBER(D168),"calculated","not_calculated")</f>
        <v>calculated</v>
      </c>
      <c r="G168" s="2">
        <f>IF(ISNUMBER(D168),"","检查缺失值、分母与输入；口径变更须重跑Python")</f>
        <v/>
      </c>
      <c r="H168" s="2" t="s">
        <v>2911</v>
      </c>
      <c r="I168" s="2" t="s">
        <v>2640</v>
      </c>
      <c r="J168" s="2" t="s">
        <v>51</v>
      </c>
      <c r="K168" s="2">
        <v>1</v>
      </c>
      <c r="L168" s="2" t="s">
        <v>52</v>
      </c>
      <c r="M168" s="2" t="s">
        <v>53</v>
      </c>
      <c r="N168" s="2" t="s">
        <v>1562</v>
      </c>
      <c r="O168" s="2" t="s">
        <v>814</v>
      </c>
    </row>
    <row r="169" spans="1:15">
      <c r="A169" s="2" t="s">
        <v>2912</v>
      </c>
      <c r="B169" s="2" t="s">
        <v>2913</v>
      </c>
      <c r="C169" s="2" t="s">
        <v>3264</v>
      </c>
      <c r="D169" s="3">
        <f>(('Facts'!F537*1)+('Facts'!F538*1)+('Facts'!F539*1)+('Facts'!F540*1))*1</f>
        <v>89462436.42</v>
      </c>
      <c r="E169" s="3">
        <f>D169/K169</f>
        <v>89462436.42</v>
      </c>
      <c r="F169" s="2" t="str">
        <f>IF(ISNUMBER(D169),"calculated","not_calculated")</f>
        <v>calculated</v>
      </c>
      <c r="G169" s="2">
        <f>IF(ISNUMBER(D169),"","检查缺失值、分母与输入；口径变更须重跑Python")</f>
        <v/>
      </c>
      <c r="H169" s="2" t="s">
        <v>2913</v>
      </c>
      <c r="I169" s="2" t="s">
        <v>2640</v>
      </c>
      <c r="J169" s="2" t="s">
        <v>51</v>
      </c>
      <c r="K169" s="2">
        <v>1</v>
      </c>
      <c r="L169" s="2" t="s">
        <v>52</v>
      </c>
      <c r="M169" s="2" t="s">
        <v>53</v>
      </c>
      <c r="N169" s="2" t="s">
        <v>1562</v>
      </c>
      <c r="O169" s="2" t="s">
        <v>814</v>
      </c>
    </row>
    <row r="170" spans="1:15">
      <c r="A170" s="2" t="s">
        <v>2914</v>
      </c>
      <c r="B170" s="2" t="s">
        <v>2915</v>
      </c>
      <c r="C170" s="2" t="s">
        <v>3265</v>
      </c>
      <c r="D170" s="3">
        <f>IF('Facts'!F510&lt;=0,NA(),(('Facts'!F511/'Facts'!F510))*1)</f>
        <v>0.6288149093404062</v>
      </c>
      <c r="E170" s="4">
        <f>D170/K170</f>
        <v>0.6288149093404062</v>
      </c>
      <c r="F170" s="2" t="str">
        <f>IF(ISNUMBER(D170),"calculated","not_calculated")</f>
        <v>calculated</v>
      </c>
      <c r="G170" s="2">
        <f>IF(ISNUMBER(D170),"","检查缺失值、分母与输入；口径变更须重跑Python")</f>
        <v/>
      </c>
      <c r="H170" s="2" t="s">
        <v>2915</v>
      </c>
      <c r="I170" s="2" t="s">
        <v>2640</v>
      </c>
      <c r="J170" s="2" t="s">
        <v>2711</v>
      </c>
      <c r="K170" s="2">
        <v>1</v>
      </c>
      <c r="L170" s="2" t="s">
        <v>52</v>
      </c>
      <c r="M170" s="2" t="s">
        <v>53</v>
      </c>
      <c r="N170" s="2"/>
      <c r="O170" s="2" t="s">
        <v>814</v>
      </c>
    </row>
    <row r="171" spans="1:15">
      <c r="A171" s="2" t="s">
        <v>2916</v>
      </c>
      <c r="B171" s="2" t="s">
        <v>2917</v>
      </c>
      <c r="C171" s="2" t="s">
        <v>3266</v>
      </c>
      <c r="D171" s="3">
        <f>IF('Facts'!F526&lt;=0,NA(),(('Calculations'!D166/'Facts'!F526))*1)</f>
        <v>0.2089764215660355</v>
      </c>
      <c r="E171" s="4">
        <f>D171/K171</f>
        <v>0.2089764215660355</v>
      </c>
      <c r="F171" s="2" t="str">
        <f>IF(ISNUMBER(D171),"calculated","not_calculated")</f>
        <v>calculated</v>
      </c>
      <c r="G171" s="2">
        <f>IF(ISNUMBER(D171),"","检查缺失值、分母与输入；口径变更须重跑Python")</f>
        <v/>
      </c>
      <c r="H171" s="2" t="s">
        <v>2917</v>
      </c>
      <c r="I171" s="2" t="s">
        <v>2640</v>
      </c>
      <c r="J171" s="2" t="s">
        <v>2711</v>
      </c>
      <c r="K171" s="2">
        <v>1</v>
      </c>
      <c r="L171" s="2" t="s">
        <v>52</v>
      </c>
      <c r="M171" s="2" t="s">
        <v>53</v>
      </c>
      <c r="N171" s="2" t="s">
        <v>1562</v>
      </c>
      <c r="O171" s="2" t="s">
        <v>814</v>
      </c>
    </row>
    <row r="172" spans="1:15">
      <c r="A172" s="2" t="s">
        <v>2918</v>
      </c>
      <c r="B172" s="2" t="s">
        <v>2919</v>
      </c>
      <c r="C172" s="2" t="s">
        <v>3267</v>
      </c>
      <c r="D172" s="3">
        <f>IF('Calculations'!D167&lt;=0,NA(),(('Facts'!F537/'Calculations'!D167))*1)</f>
        <v>0.03325160487474523</v>
      </c>
      <c r="E172" s="4">
        <f>D172/K172</f>
        <v>0.03325160487474523</v>
      </c>
      <c r="F172" s="2" t="str">
        <f>IF(ISNUMBER(D172),"calculated","not_calculated")</f>
        <v>calculated</v>
      </c>
      <c r="G172" s="2">
        <f>IF(ISNUMBER(D172),"","检查缺失值、分母与输入；口径变更须重跑Python")</f>
        <v/>
      </c>
      <c r="H172" s="2" t="s">
        <v>2919</v>
      </c>
      <c r="I172" s="2" t="s">
        <v>2640</v>
      </c>
      <c r="J172" s="2" t="s">
        <v>2711</v>
      </c>
      <c r="K172" s="2">
        <v>1</v>
      </c>
      <c r="L172" s="2" t="s">
        <v>52</v>
      </c>
      <c r="M172" s="2" t="s">
        <v>53</v>
      </c>
      <c r="N172" s="2" t="s">
        <v>1562</v>
      </c>
      <c r="O172" s="2" t="s">
        <v>814</v>
      </c>
    </row>
    <row r="173" spans="1:15">
      <c r="A173" s="2" t="s">
        <v>2920</v>
      </c>
      <c r="B173" s="2" t="s">
        <v>2921</v>
      </c>
      <c r="C173" s="2" t="s">
        <v>3268</v>
      </c>
      <c r="D173" s="3">
        <f>(('Facts'!F550*1)+('Facts'!F551*1))*1</f>
        <v>12345316200.11</v>
      </c>
      <c r="E173" s="3">
        <f>D173/K173</f>
        <v>12345316200.11</v>
      </c>
      <c r="F173" s="2" t="str">
        <f>IF(ISNUMBER(D173),"calculated","not_calculated")</f>
        <v>calculated</v>
      </c>
      <c r="G173" s="2">
        <f>IF(ISNUMBER(D173),"","检查缺失值、分母与输入；口径变更须重跑Python")</f>
        <v/>
      </c>
      <c r="H173" s="2" t="s">
        <v>2921</v>
      </c>
      <c r="I173" s="2" t="s">
        <v>2640</v>
      </c>
      <c r="J173" s="2" t="s">
        <v>51</v>
      </c>
      <c r="K173" s="2">
        <v>1</v>
      </c>
      <c r="L173" s="2" t="s">
        <v>52</v>
      </c>
      <c r="M173" s="2" t="s">
        <v>53</v>
      </c>
      <c r="N173" s="2"/>
      <c r="O173" s="2" t="s">
        <v>1702</v>
      </c>
    </row>
    <row r="174" spans="1:15">
      <c r="A174" s="2" t="s">
        <v>2922</v>
      </c>
      <c r="B174" s="2" t="s">
        <v>2923</v>
      </c>
      <c r="C174" s="2" t="s">
        <v>3269</v>
      </c>
      <c r="D174" s="3">
        <f>(('Facts'!F568*1)+('Facts'!F569*1)+('Facts'!F570*1)+('Facts'!F571*1))*1</f>
        <v>82284050.57</v>
      </c>
      <c r="E174" s="3">
        <f>D174/K174</f>
        <v>82284050.57</v>
      </c>
      <c r="F174" s="2" t="str">
        <f>IF(ISNUMBER(D174),"calculated","not_calculated")</f>
        <v>calculated</v>
      </c>
      <c r="G174" s="2">
        <f>IF(ISNUMBER(D174),"","检查缺失值、分母与输入；口径变更须重跑Python")</f>
        <v/>
      </c>
      <c r="H174" s="2" t="s">
        <v>2923</v>
      </c>
      <c r="I174" s="2" t="s">
        <v>2640</v>
      </c>
      <c r="J174" s="2" t="s">
        <v>51</v>
      </c>
      <c r="K174" s="2">
        <v>1</v>
      </c>
      <c r="L174" s="2" t="s">
        <v>52</v>
      </c>
      <c r="M174" s="2" t="s">
        <v>53</v>
      </c>
      <c r="N174" s="2" t="s">
        <v>1731</v>
      </c>
      <c r="O174" s="2" t="s">
        <v>1702</v>
      </c>
    </row>
    <row r="175" spans="1:15">
      <c r="A175" s="2" t="s">
        <v>2924</v>
      </c>
      <c r="B175" s="2" t="s">
        <v>2925</v>
      </c>
      <c r="C175" s="2" t="s">
        <v>3270</v>
      </c>
      <c r="D175" s="3">
        <f>(('Facts'!F228*1)+('Facts'!F572*1))*1</f>
        <v>1690002729.18</v>
      </c>
      <c r="E175" s="3">
        <f>D175/K175</f>
        <v>1690002729.18</v>
      </c>
      <c r="F175" s="2" t="str">
        <f>IF(ISNUMBER(D175),"calculated","not_calculated")</f>
        <v>calculated</v>
      </c>
      <c r="G175" s="2">
        <f>IF(ISNUMBER(D175),"","检查缺失值、分母与输入；口径变更须重跑Python")</f>
        <v/>
      </c>
      <c r="H175" s="2" t="s">
        <v>2925</v>
      </c>
      <c r="I175" s="2" t="s">
        <v>2640</v>
      </c>
      <c r="J175" s="2" t="s">
        <v>51</v>
      </c>
      <c r="K175" s="2">
        <v>1</v>
      </c>
      <c r="L175" s="2" t="s">
        <v>52</v>
      </c>
      <c r="M175" s="2" t="s">
        <v>53</v>
      </c>
      <c r="N175" s="2" t="s">
        <v>1731</v>
      </c>
      <c r="O175" s="2" t="s">
        <v>1702</v>
      </c>
    </row>
    <row r="176" spans="1:15">
      <c r="A176" s="2" t="s">
        <v>2926</v>
      </c>
      <c r="B176" s="2" t="s">
        <v>2927</v>
      </c>
      <c r="C176" s="2" t="s">
        <v>3271</v>
      </c>
      <c r="D176" s="3">
        <f>(('Facts'!F562-'Facts'!F563))*1</f>
        <v>400439561.07</v>
      </c>
      <c r="E176" s="3">
        <f>D176/K176</f>
        <v>400439561.07</v>
      </c>
      <c r="F176" s="2" t="str">
        <f>IF(ISNUMBER(D176),"calculated","not_calculated")</f>
        <v>calculated</v>
      </c>
      <c r="G176" s="2">
        <f>IF(ISNUMBER(D176),"","检查缺失值、分母与输入；口径变更须重跑Python")</f>
        <v/>
      </c>
      <c r="H176" s="2" t="s">
        <v>2927</v>
      </c>
      <c r="I176" s="2" t="s">
        <v>2640</v>
      </c>
      <c r="J176" s="2" t="s">
        <v>51</v>
      </c>
      <c r="K176" s="2">
        <v>1</v>
      </c>
      <c r="L176" s="2" t="s">
        <v>52</v>
      </c>
      <c r="M176" s="2" t="s">
        <v>53</v>
      </c>
      <c r="N176" s="2" t="s">
        <v>1731</v>
      </c>
      <c r="O176" s="2" t="s">
        <v>1702</v>
      </c>
    </row>
    <row r="177" spans="1:15">
      <c r="A177" s="2" t="s">
        <v>2928</v>
      </c>
      <c r="B177" s="2" t="s">
        <v>2929</v>
      </c>
      <c r="C177" s="2" t="s">
        <v>3272</v>
      </c>
      <c r="D177" s="3">
        <f>IF('Facts'!F562&lt;=0,NA(),(('Calculations'!D176/'Facts'!F562))*1)</f>
        <v>0.27511362768744735</v>
      </c>
      <c r="E177" s="4">
        <f>D177/K177</f>
        <v>0.27511362768744735</v>
      </c>
      <c r="F177" s="2" t="str">
        <f>IF(ISNUMBER(D177),"calculated","not_calculated")</f>
        <v>calculated</v>
      </c>
      <c r="G177" s="2">
        <f>IF(ISNUMBER(D177),"","检查缺失值、分母与输入；口径变更须重跑Python")</f>
        <v/>
      </c>
      <c r="H177" s="2" t="s">
        <v>2929</v>
      </c>
      <c r="I177" s="2" t="s">
        <v>2640</v>
      </c>
      <c r="J177" s="2" t="s">
        <v>2711</v>
      </c>
      <c r="K177" s="2">
        <v>1</v>
      </c>
      <c r="L177" s="2" t="s">
        <v>52</v>
      </c>
      <c r="M177" s="2" t="s">
        <v>53</v>
      </c>
      <c r="N177" s="2" t="s">
        <v>1731</v>
      </c>
      <c r="O177" s="2" t="s">
        <v>1702</v>
      </c>
    </row>
    <row r="178" spans="1:15">
      <c r="A178" s="2" t="s">
        <v>2930</v>
      </c>
      <c r="B178" s="2" t="s">
        <v>2931</v>
      </c>
      <c r="C178" s="2" t="s">
        <v>3273</v>
      </c>
      <c r="D178" s="3">
        <f>IF('Facts'!F549&lt;=0,NA(),(('Facts'!F550/'Facts'!F549))*1)</f>
        <v>0.6662178175125815</v>
      </c>
      <c r="E178" s="4">
        <f>D178/K178</f>
        <v>0.6662178175125815</v>
      </c>
      <c r="F178" s="2" t="str">
        <f>IF(ISNUMBER(D178),"calculated","not_calculated")</f>
        <v>calculated</v>
      </c>
      <c r="G178" s="2">
        <f>IF(ISNUMBER(D178),"","检查缺失值、分母与输入；口径变更须重跑Python")</f>
        <v/>
      </c>
      <c r="H178" s="2" t="s">
        <v>2931</v>
      </c>
      <c r="I178" s="2" t="s">
        <v>2640</v>
      </c>
      <c r="J178" s="2" t="s">
        <v>2711</v>
      </c>
      <c r="K178" s="2">
        <v>1</v>
      </c>
      <c r="L178" s="2" t="s">
        <v>52</v>
      </c>
      <c r="M178" s="2" t="s">
        <v>53</v>
      </c>
      <c r="N178" s="2"/>
      <c r="O178" s="2" t="s">
        <v>1702</v>
      </c>
    </row>
    <row r="179" spans="1:15">
      <c r="A179" s="2" t="s">
        <v>2932</v>
      </c>
      <c r="B179" s="2" t="s">
        <v>2933</v>
      </c>
      <c r="C179" s="2" t="s">
        <v>3274</v>
      </c>
      <c r="D179" s="3">
        <f>(('Facts'!F568-'Facts'!F573))*1</f>
        <v>-87406327.34</v>
      </c>
      <c r="E179" s="3">
        <f>D179/K179</f>
        <v>-87406327.34</v>
      </c>
      <c r="F179" s="2" t="str">
        <f>IF(ISNUMBER(D179),"calculated","not_calculated")</f>
        <v>calculated</v>
      </c>
      <c r="G179" s="2">
        <f>IF(ISNUMBER(D179),"","检查缺失值、分母与输入；口径变更须重跑Python")</f>
        <v/>
      </c>
      <c r="H179" s="2" t="s">
        <v>2933</v>
      </c>
      <c r="I179" s="2" t="s">
        <v>2640</v>
      </c>
      <c r="J179" s="2" t="s">
        <v>51</v>
      </c>
      <c r="K179" s="2">
        <v>1</v>
      </c>
      <c r="L179" s="2" t="s">
        <v>52</v>
      </c>
      <c r="M179" s="2" t="s">
        <v>53</v>
      </c>
      <c r="N179" s="2" t="s">
        <v>1731</v>
      </c>
      <c r="O179" s="2" t="s">
        <v>1702</v>
      </c>
    </row>
    <row r="180" spans="1:15">
      <c r="A180" s="2" t="s">
        <v>2934</v>
      </c>
      <c r="B180" s="2" t="s">
        <v>2935</v>
      </c>
      <c r="C180" s="2" t="s">
        <v>3275</v>
      </c>
      <c r="D180" s="3">
        <f>(('Facts'!F508-'Facts'!F581))*1</f>
        <v>8715649727.69</v>
      </c>
      <c r="E180" s="3">
        <f>D180/K180</f>
        <v>8715649727.69</v>
      </c>
      <c r="F180" s="2" t="str">
        <f>IF(ISNUMBER(D180),"calculated","not_calculated")</f>
        <v>calculated</v>
      </c>
      <c r="G180" s="2">
        <f>IF(ISNUMBER(D180),"","检查缺失值、分母与输入；口径变更须重跑Python")</f>
        <v/>
      </c>
      <c r="H180" s="2" t="s">
        <v>2936</v>
      </c>
      <c r="I180" s="2" t="s">
        <v>2640</v>
      </c>
      <c r="J180" s="2" t="s">
        <v>51</v>
      </c>
      <c r="K180" s="2">
        <v>1</v>
      </c>
      <c r="L180" s="2" t="s">
        <v>52</v>
      </c>
      <c r="M180" s="2" t="s">
        <v>53</v>
      </c>
      <c r="N180" s="2"/>
      <c r="O180" s="2" t="s">
        <v>814</v>
      </c>
    </row>
    <row r="181" spans="1:15">
      <c r="A181" s="2" t="s">
        <v>2937</v>
      </c>
      <c r="B181" s="2" t="s">
        <v>2938</v>
      </c>
      <c r="C181" s="2" t="s">
        <v>3276</v>
      </c>
      <c r="D181" s="3">
        <f>(('Facts'!F582-'Facts'!F583))*1</f>
        <v>1086517625.11</v>
      </c>
      <c r="E181" s="3">
        <f>D181/K181</f>
        <v>1086517625.11</v>
      </c>
      <c r="F181" s="2" t="str">
        <f>IF(ISNUMBER(D181),"calculated","not_calculated")</f>
        <v>calculated</v>
      </c>
      <c r="G181" s="2">
        <f>IF(ISNUMBER(D181),"","检查缺失值、分母与输入；口径变更须重跑Python")</f>
        <v/>
      </c>
      <c r="H181" s="2" t="s">
        <v>2938</v>
      </c>
      <c r="I181" s="2" t="s">
        <v>2640</v>
      </c>
      <c r="J181" s="2" t="s">
        <v>51</v>
      </c>
      <c r="K181" s="2">
        <v>1</v>
      </c>
      <c r="L181" s="2" t="s">
        <v>52</v>
      </c>
      <c r="M181" s="2" t="s">
        <v>53</v>
      </c>
      <c r="N181" s="2"/>
      <c r="O181" s="2" t="s">
        <v>61</v>
      </c>
    </row>
    <row r="182" spans="1:15">
      <c r="A182" s="2" t="s">
        <v>2939</v>
      </c>
      <c r="B182" s="2" t="s">
        <v>2940</v>
      </c>
      <c r="C182" s="2" t="s">
        <v>3277</v>
      </c>
      <c r="D182" s="3">
        <f>(('Facts'!F584-'Facts'!F585))*1</f>
        <v>623308843.03</v>
      </c>
      <c r="E182" s="3">
        <f>D182/K182</f>
        <v>623308843.03</v>
      </c>
      <c r="F182" s="2" t="str">
        <f>IF(ISNUMBER(D182),"calculated","not_calculated")</f>
        <v>calculated</v>
      </c>
      <c r="G182" s="2">
        <f>IF(ISNUMBER(D182),"","检查缺失值、分母与输入；口径变更须重跑Python")</f>
        <v/>
      </c>
      <c r="H182" s="2" t="s">
        <v>2940</v>
      </c>
      <c r="I182" s="2" t="s">
        <v>2640</v>
      </c>
      <c r="J182" s="2" t="s">
        <v>51</v>
      </c>
      <c r="K182" s="2">
        <v>1</v>
      </c>
      <c r="L182" s="2" t="s">
        <v>52</v>
      </c>
      <c r="M182" s="2" t="s">
        <v>53</v>
      </c>
      <c r="N182" s="2"/>
      <c r="O182" s="2" t="s">
        <v>61</v>
      </c>
    </row>
    <row r="183" spans="1:15">
      <c r="A183" s="2" t="s">
        <v>2941</v>
      </c>
      <c r="B183" s="2" t="s">
        <v>2942</v>
      </c>
      <c r="C183" s="2" t="s">
        <v>3278</v>
      </c>
      <c r="D183" s="3">
        <f>(('Facts'!F235*1)+('Facts'!F233*1)+('Facts'!F237*1))*1</f>
        <v>623308843.03</v>
      </c>
      <c r="E183" s="3">
        <f>D183/K183</f>
        <v>623308843.03</v>
      </c>
      <c r="F183" s="2" t="str">
        <f>IF(ISNUMBER(D183),"calculated","not_calculated")</f>
        <v>calculated</v>
      </c>
      <c r="G183" s="2">
        <f>IF(ISNUMBER(D183),"","检查缺失值、分母与输入；口径变更须重跑Python")</f>
        <v/>
      </c>
      <c r="H183" s="2" t="s">
        <v>2942</v>
      </c>
      <c r="I183" s="2" t="s">
        <v>2640</v>
      </c>
      <c r="J183" s="2" t="s">
        <v>51</v>
      </c>
      <c r="K183" s="2">
        <v>1</v>
      </c>
      <c r="L183" s="2" t="s">
        <v>52</v>
      </c>
      <c r="M183" s="2" t="s">
        <v>53</v>
      </c>
      <c r="N183" s="2"/>
      <c r="O183" s="2" t="s">
        <v>61</v>
      </c>
    </row>
    <row r="184" spans="1:15">
      <c r="A184" s="2" t="s">
        <v>2943</v>
      </c>
      <c r="B184" s="2" t="s">
        <v>2944</v>
      </c>
      <c r="C184" s="2" t="s">
        <v>3279</v>
      </c>
      <c r="D184" s="3">
        <f>(('Facts'!F586*1)+('Facts'!F487*1))*1</f>
        <v>3416078844.83</v>
      </c>
      <c r="E184" s="3">
        <f>D184/K184</f>
        <v>3416078844.83</v>
      </c>
      <c r="F184" s="2" t="str">
        <f>IF(ISNUMBER(D184),"calculated","not_calculated")</f>
        <v>calculated</v>
      </c>
      <c r="G184" s="2">
        <f>IF(ISNUMBER(D184),"","检查缺失值、分母与输入；口径变更须重跑Python")</f>
        <v/>
      </c>
      <c r="H184" s="2" t="s">
        <v>2944</v>
      </c>
      <c r="I184" s="2" t="s">
        <v>2640</v>
      </c>
      <c r="J184" s="2" t="s">
        <v>51</v>
      </c>
      <c r="K184" s="2">
        <v>1</v>
      </c>
      <c r="L184" s="2" t="s">
        <v>52</v>
      </c>
      <c r="M184" s="2" t="s">
        <v>53</v>
      </c>
      <c r="N184" s="2"/>
      <c r="O184" s="2" t="s">
        <v>61</v>
      </c>
    </row>
    <row r="185" spans="1:15">
      <c r="A185" s="2" t="s">
        <v>2945</v>
      </c>
      <c r="B185" s="2" t="s">
        <v>2946</v>
      </c>
      <c r="C185" s="2" t="s">
        <v>3280</v>
      </c>
      <c r="D185" s="3">
        <f>(('Facts'!F587*1)+('Facts'!F487*1))*1</f>
        <v>2329561219.72</v>
      </c>
      <c r="E185" s="3">
        <f>D185/K185</f>
        <v>2329561219.72</v>
      </c>
      <c r="F185" s="2" t="str">
        <f>IF(ISNUMBER(D185),"calculated","not_calculated")</f>
        <v>calculated</v>
      </c>
      <c r="G185" s="2">
        <f>IF(ISNUMBER(D185),"","检查缺失值、分母与输入；口径变更须重跑Python")</f>
        <v/>
      </c>
      <c r="H185" s="2" t="s">
        <v>2946</v>
      </c>
      <c r="I185" s="2" t="s">
        <v>2640</v>
      </c>
      <c r="J185" s="2" t="s">
        <v>51</v>
      </c>
      <c r="K185" s="2">
        <v>1</v>
      </c>
      <c r="L185" s="2" t="s">
        <v>52</v>
      </c>
      <c r="M185" s="2" t="s">
        <v>53</v>
      </c>
      <c r="N185" s="2"/>
      <c r="O185" s="2" t="s">
        <v>61</v>
      </c>
    </row>
    <row r="186" spans="1:15">
      <c r="A186" s="2" t="s">
        <v>2947</v>
      </c>
      <c r="B186" s="2" t="s">
        <v>2948</v>
      </c>
      <c r="C186" s="2" t="s">
        <v>3281</v>
      </c>
      <c r="D186" s="3">
        <f>(AVERAGE('Facts'!F53,'Facts'!F508))*1</f>
        <v>14036304133.76</v>
      </c>
      <c r="E186" s="3">
        <f>D186/K186</f>
        <v>14036304133.76</v>
      </c>
      <c r="F186" s="2" t="str">
        <f>IF(ISNUMBER(D186),"calculated","not_calculated")</f>
        <v>calculated</v>
      </c>
      <c r="G186" s="2">
        <f>IF(ISNUMBER(D186),"","检查缺失值、分母与输入；口径变更须重跑Python")</f>
        <v/>
      </c>
      <c r="H186" s="2" t="s">
        <v>2948</v>
      </c>
      <c r="I186" s="2" t="s">
        <v>2640</v>
      </c>
      <c r="J186" s="2" t="s">
        <v>51</v>
      </c>
      <c r="K186" s="2">
        <v>1</v>
      </c>
      <c r="L186" s="2" t="s">
        <v>52</v>
      </c>
      <c r="M186" s="2" t="s">
        <v>53</v>
      </c>
      <c r="N186" s="2" t="s">
        <v>396</v>
      </c>
      <c r="O186" s="2" t="s">
        <v>61</v>
      </c>
    </row>
    <row r="187" spans="1:15">
      <c r="A187" s="2" t="s">
        <v>2949</v>
      </c>
      <c r="B187" s="2" t="s">
        <v>2950</v>
      </c>
      <c r="C187" s="2" t="s">
        <v>3282</v>
      </c>
      <c r="D187" s="3">
        <f>IF('Calculations'!D186&lt;=0,NA(),(('Facts'!F112/'Calculations'!D186))*1)</f>
        <v>0.4865100714991933</v>
      </c>
      <c r="E187" s="5">
        <f>D187/K187</f>
        <v>0.4865100714991933</v>
      </c>
      <c r="F187" s="2" t="str">
        <f>IF(ISNUMBER(D187),"calculated","not_calculated")</f>
        <v>calculated</v>
      </c>
      <c r="G187" s="2">
        <f>IF(ISNUMBER(D187),"","检查缺失值、分母与输入；口径变更须重跑Python")</f>
        <v/>
      </c>
      <c r="H187" s="2" t="s">
        <v>2950</v>
      </c>
      <c r="I187" s="2" t="s">
        <v>2640</v>
      </c>
      <c r="J187" s="2" t="s">
        <v>2733</v>
      </c>
      <c r="K187" s="2">
        <v>1</v>
      </c>
      <c r="L187" s="2" t="s">
        <v>52</v>
      </c>
      <c r="M187" s="2" t="s">
        <v>53</v>
      </c>
      <c r="N187" s="2" t="s">
        <v>396</v>
      </c>
      <c r="O187" s="2" t="s">
        <v>61</v>
      </c>
    </row>
    <row r="188" spans="1:15">
      <c r="A188" s="2" t="s">
        <v>2951</v>
      </c>
      <c r="B188" s="2" t="s">
        <v>2952</v>
      </c>
      <c r="C188" s="2" t="s">
        <v>3283</v>
      </c>
      <c r="D188" s="3">
        <f>IF('Calculations'!D186&lt;=0,NA(),(('Calculations'!D106/'Calculations'!D186))*1)</f>
        <v>0.011066614157097886</v>
      </c>
      <c r="E188" s="4">
        <f>D188/K188</f>
        <v>0.011066614157097886</v>
      </c>
      <c r="F188" s="2" t="str">
        <f>IF(ISNUMBER(D188),"calculated","not_calculated")</f>
        <v>calculated</v>
      </c>
      <c r="G188" s="2">
        <f>IF(ISNUMBER(D188),"","检查缺失值、分母与输入；口径变更须重跑Python")</f>
        <v/>
      </c>
      <c r="H188" s="2" t="s">
        <v>2952</v>
      </c>
      <c r="I188" s="2" t="s">
        <v>2640</v>
      </c>
      <c r="J188" s="2" t="s">
        <v>2711</v>
      </c>
      <c r="K188" s="2">
        <v>1</v>
      </c>
      <c r="L188" s="2" t="s">
        <v>52</v>
      </c>
      <c r="M188" s="2" t="s">
        <v>53</v>
      </c>
      <c r="N188" s="2" t="s">
        <v>396</v>
      </c>
      <c r="O188" s="2" t="s">
        <v>61</v>
      </c>
    </row>
    <row r="189" spans="1:15">
      <c r="A189" s="2" t="s">
        <v>2953</v>
      </c>
      <c r="B189" s="2" t="s">
        <v>2954</v>
      </c>
      <c r="C189" s="2" t="s">
        <v>3284</v>
      </c>
      <c r="D189" s="3">
        <f>(('Facts'!F112*1)+('Facts'!F114*-1)+('Facts'!F116*-1))*1</f>
        <v>1443354000.99</v>
      </c>
      <c r="E189" s="3">
        <f>D189/K189</f>
        <v>1443354000.99</v>
      </c>
      <c r="F189" s="2" t="str">
        <f>IF(ISNUMBER(D189),"calculated","not_calculated")</f>
        <v>calculated</v>
      </c>
      <c r="G189" s="2">
        <f>IF(ISNUMBER(D189),"","检查缺失值、分母与输入；口径变更须重跑Python")</f>
        <v/>
      </c>
      <c r="H189" s="2" t="s">
        <v>2954</v>
      </c>
      <c r="I189" s="2" t="s">
        <v>2640</v>
      </c>
      <c r="J189" s="2" t="s">
        <v>51</v>
      </c>
      <c r="K189" s="2">
        <v>1</v>
      </c>
      <c r="L189" s="2" t="s">
        <v>52</v>
      </c>
      <c r="M189" s="2" t="s">
        <v>53</v>
      </c>
      <c r="N189" s="2" t="s">
        <v>396</v>
      </c>
      <c r="O189" s="2" t="s">
        <v>61</v>
      </c>
    </row>
    <row r="190" spans="1:15">
      <c r="A190" s="2" t="s">
        <v>2955</v>
      </c>
      <c r="B190" s="2" t="s">
        <v>2956</v>
      </c>
      <c r="C190" s="2" t="s">
        <v>3285</v>
      </c>
      <c r="D190" s="3">
        <f>IF('Facts'!F112&lt;=0,NA(),(('Calculations'!D189/'Facts'!F112))*1)</f>
        <v>0.21136265487911396</v>
      </c>
      <c r="E190" s="4">
        <f>D190/K190</f>
        <v>0.21136265487911396</v>
      </c>
      <c r="F190" s="2" t="str">
        <f>IF(ISNUMBER(D190),"calculated","not_calculated")</f>
        <v>calculated</v>
      </c>
      <c r="G190" s="2">
        <f>IF(ISNUMBER(D190),"","检查缺失值、分母与输入；口径变更须重跑Python")</f>
        <v/>
      </c>
      <c r="H190" s="2" t="s">
        <v>2957</v>
      </c>
      <c r="I190" s="2" t="s">
        <v>2640</v>
      </c>
      <c r="J190" s="2" t="s">
        <v>2711</v>
      </c>
      <c r="K190" s="2">
        <v>1</v>
      </c>
      <c r="L190" s="2" t="s">
        <v>52</v>
      </c>
      <c r="M190" s="2" t="s">
        <v>53</v>
      </c>
      <c r="N190" s="2" t="s">
        <v>396</v>
      </c>
      <c r="O190" s="2" t="s">
        <v>61</v>
      </c>
    </row>
    <row r="191" spans="1:15">
      <c r="A191" s="2" t="s">
        <v>2958</v>
      </c>
      <c r="B191" s="2" t="s">
        <v>2959</v>
      </c>
      <c r="C191" s="2" t="s">
        <v>3286</v>
      </c>
      <c r="D191" s="3">
        <f>(('Facts'!F3*1)+('Facts'!F5*1)+('Facts'!F7*1)+('Facts'!F589*1))*1</f>
        <v>4078035565.33</v>
      </c>
      <c r="E191" s="3">
        <f>D191/K191</f>
        <v>4078035565.33</v>
      </c>
      <c r="F191" s="2" t="str">
        <f>IF(ISNUMBER(D191),"calculated","not_calculated")</f>
        <v>calculated</v>
      </c>
      <c r="G191" s="2">
        <f>IF(ISNUMBER(D191),"","检查缺失值、分母与输入；口径变更须重跑Python")</f>
        <v/>
      </c>
      <c r="H191" s="2" t="s">
        <v>2960</v>
      </c>
      <c r="I191" s="2" t="s">
        <v>2640</v>
      </c>
      <c r="J191" s="2" t="s">
        <v>51</v>
      </c>
      <c r="K191" s="2">
        <v>1</v>
      </c>
      <c r="L191" s="2" t="s">
        <v>52</v>
      </c>
      <c r="M191" s="2" t="s">
        <v>53</v>
      </c>
      <c r="N191" s="2"/>
      <c r="O191" s="2" t="s">
        <v>61</v>
      </c>
    </row>
    <row r="192" spans="1:15">
      <c r="A192" s="2" t="s">
        <v>2961</v>
      </c>
      <c r="B192" s="2" t="s">
        <v>2962</v>
      </c>
      <c r="C192" s="2" t="s">
        <v>3287</v>
      </c>
      <c r="D192" s="3">
        <f>(('Calculations'!D191*1)+('Facts'!F231*-1)+('Facts'!F595*-1))*1</f>
        <v>2991085969.52</v>
      </c>
      <c r="E192" s="3">
        <f>D192/K192</f>
        <v>2991085969.52</v>
      </c>
      <c r="F192" s="2" t="str">
        <f>IF(ISNUMBER(D192),"calculated","not_calculated")</f>
        <v>calculated</v>
      </c>
      <c r="G192" s="2">
        <f>IF(ISNUMBER(D192),"","检查缺失值、分母与输入；口径变更须重跑Python")</f>
        <v/>
      </c>
      <c r="H192" s="2" t="s">
        <v>2963</v>
      </c>
      <c r="I192" s="2" t="s">
        <v>2640</v>
      </c>
      <c r="J192" s="2" t="s">
        <v>51</v>
      </c>
      <c r="K192" s="2">
        <v>1</v>
      </c>
      <c r="L192" s="2" t="s">
        <v>52</v>
      </c>
      <c r="M192" s="2" t="s">
        <v>53</v>
      </c>
      <c r="N192" s="2"/>
      <c r="O192" s="2" t="s">
        <v>61</v>
      </c>
    </row>
    <row r="193" spans="1:15">
      <c r="A193" s="2" t="s">
        <v>2964</v>
      </c>
      <c r="B193" s="2" t="s">
        <v>2965</v>
      </c>
      <c r="C193" s="2" t="s">
        <v>3288</v>
      </c>
      <c r="D193" s="3">
        <f>IF('Calculations'!D109&lt;=0,NA(),(('Calculations'!D192/'Calculations'!D109))*1)</f>
        <v>0.9078459882755748</v>
      </c>
      <c r="E193" s="5">
        <f>D193/K193</f>
        <v>0.9078459882755748</v>
      </c>
      <c r="F193" s="2" t="str">
        <f>IF(ISNUMBER(D193),"calculated","not_calculated")</f>
        <v>calculated</v>
      </c>
      <c r="G193" s="2">
        <f>IF(ISNUMBER(D193),"","检查缺失值、分母与输入；口径变更须重跑Python")</f>
        <v/>
      </c>
      <c r="H193" s="2" t="s">
        <v>2965</v>
      </c>
      <c r="I193" s="2" t="s">
        <v>2640</v>
      </c>
      <c r="J193" s="2" t="s">
        <v>2733</v>
      </c>
      <c r="K193" s="2">
        <v>1</v>
      </c>
      <c r="L193" s="2" t="s">
        <v>52</v>
      </c>
      <c r="M193" s="2" t="s">
        <v>53</v>
      </c>
      <c r="N193" s="2"/>
      <c r="O193" s="2" t="s">
        <v>61</v>
      </c>
    </row>
    <row r="194" spans="1:15">
      <c r="A194" s="2" t="s">
        <v>2966</v>
      </c>
      <c r="B194" s="2" t="s">
        <v>2967</v>
      </c>
      <c r="C194" s="2" t="s">
        <v>3289</v>
      </c>
      <c r="D194" s="3">
        <f>(('Calculations'!D192-'Facts'!F597))*1</f>
        <v>2830068685.48</v>
      </c>
      <c r="E194" s="3">
        <f>D194/K194</f>
        <v>2830068685.48</v>
      </c>
      <c r="F194" s="2" t="str">
        <f>IF(ISNUMBER(D194),"calculated","not_calculated")</f>
        <v>calculated</v>
      </c>
      <c r="G194" s="2">
        <f>IF(ISNUMBER(D194),"","检查缺失值、分母与输入；口径变更须重跑Python")</f>
        <v/>
      </c>
      <c r="H194" s="2" t="s">
        <v>2968</v>
      </c>
      <c r="I194" s="2" t="s">
        <v>2640</v>
      </c>
      <c r="J194" s="2" t="s">
        <v>51</v>
      </c>
      <c r="K194" s="2">
        <v>1</v>
      </c>
      <c r="L194" s="2" t="s">
        <v>52</v>
      </c>
      <c r="M194" s="2" t="s">
        <v>53</v>
      </c>
      <c r="N194" s="2"/>
      <c r="O194" s="2" t="s">
        <v>61</v>
      </c>
    </row>
    <row r="195" spans="1:15">
      <c r="A195" s="2" t="s">
        <v>2969</v>
      </c>
      <c r="B195" s="2" t="s">
        <v>2970</v>
      </c>
      <c r="C195" s="2" t="s">
        <v>3290</v>
      </c>
      <c r="D195" s="3">
        <f>IF('Calculations'!D109&lt;=0,NA(),(('Calculations'!D194/'Calculations'!D109))*1)</f>
        <v>0.8589744757719736</v>
      </c>
      <c r="E195" s="5">
        <f>D195/K195</f>
        <v>0.8589744757719736</v>
      </c>
      <c r="F195" s="2" t="str">
        <f>IF(ISNUMBER(D195),"calculated","not_calculated")</f>
        <v>calculated</v>
      </c>
      <c r="G195" s="2">
        <f>IF(ISNUMBER(D195),"","检查缺失值、分母与输入；口径变更须重跑Python")</f>
        <v/>
      </c>
      <c r="H195" s="2" t="s">
        <v>2970</v>
      </c>
      <c r="I195" s="2" t="s">
        <v>2640</v>
      </c>
      <c r="J195" s="2" t="s">
        <v>2733</v>
      </c>
      <c r="K195" s="2">
        <v>1</v>
      </c>
      <c r="L195" s="2" t="s">
        <v>52</v>
      </c>
      <c r="M195" s="2" t="s">
        <v>53</v>
      </c>
      <c r="N195" s="2"/>
      <c r="O195" s="2" t="s">
        <v>61</v>
      </c>
    </row>
    <row r="196" spans="1:15">
      <c r="A196" s="2" t="s">
        <v>2971</v>
      </c>
      <c r="B196" s="2" t="s">
        <v>2972</v>
      </c>
      <c r="C196" s="2" t="s">
        <v>3291</v>
      </c>
      <c r="D196" s="3">
        <f>IF('Facts'!F73&lt;=0,NA(),(('Facts'!F164/'Facts'!F73))*1)</f>
        <v>1.198373445238733</v>
      </c>
      <c r="E196" s="5">
        <f>D196/K196</f>
        <v>1.198373445238733</v>
      </c>
      <c r="F196" s="2" t="str">
        <f>IF(ISNUMBER(D196),"calculated","not_calculated")</f>
        <v>calculated</v>
      </c>
      <c r="G196" s="2">
        <f>IF(ISNUMBER(D196),"","检查缺失值、分母与输入；口径变更须重跑Python")</f>
        <v/>
      </c>
      <c r="H196" s="2" t="s">
        <v>2972</v>
      </c>
      <c r="I196" s="2" t="s">
        <v>2640</v>
      </c>
      <c r="J196" s="2" t="s">
        <v>2733</v>
      </c>
      <c r="K196" s="2">
        <v>1</v>
      </c>
      <c r="L196" s="2" t="s">
        <v>52</v>
      </c>
      <c r="M196" s="2" t="s">
        <v>53</v>
      </c>
      <c r="N196" s="2" t="s">
        <v>396</v>
      </c>
      <c r="O196" s="2" t="s">
        <v>61</v>
      </c>
    </row>
    <row r="197" spans="1:15">
      <c r="A197" s="2" t="s">
        <v>2973</v>
      </c>
      <c r="B197" s="2" t="s">
        <v>2974</v>
      </c>
      <c r="C197" s="2" t="s">
        <v>3292</v>
      </c>
      <c r="D197" s="3" t="e">
        <f>(AVERAGE('Facts'!F9,'Facts'!F547))*1</f>
        <v>#N/A</v>
      </c>
      <c r="E197" s="3" t="e">
        <f>D197/K197</f>
        <v>#N/A</v>
      </c>
      <c r="F197" s="2" t="str">
        <f>IF(ISNUMBER(D197),"calculated","not_calculated")</f>
        <v>not_calculated</v>
      </c>
      <c r="G197" s="2" t="str">
        <f>IF(ISNUMBER(D197),"","检查缺失值、分母与输入；口径变更须重跑Python")</f>
        <v>检查缺失值、分母与输入；口径变更须重跑Python</v>
      </c>
      <c r="H197" s="2" t="s">
        <v>2974</v>
      </c>
      <c r="I197" s="2" t="s">
        <v>2640</v>
      </c>
      <c r="J197" s="2" t="s">
        <v>51</v>
      </c>
      <c r="K197" s="2">
        <v>1</v>
      </c>
      <c r="L197" s="2" t="s">
        <v>52</v>
      </c>
      <c r="M197" s="2" t="s">
        <v>53</v>
      </c>
      <c r="N197" s="2" t="s">
        <v>396</v>
      </c>
      <c r="O197" s="2" t="s">
        <v>61</v>
      </c>
    </row>
    <row r="198" spans="1:15">
      <c r="A198" s="2" t="s">
        <v>2977</v>
      </c>
      <c r="B198" s="2" t="s">
        <v>2978</v>
      </c>
      <c r="C198" s="2" t="s">
        <v>3293</v>
      </c>
      <c r="D198" s="3" t="e">
        <f>IF('Facts'!F112&lt;=0,NA(),(('Calculations'!D197/'Facts'!F112))*360)</f>
        <v>#N/A</v>
      </c>
      <c r="E198" s="3" t="e">
        <f>D198/K198</f>
        <v>#N/A</v>
      </c>
      <c r="F198" s="2" t="str">
        <f>IF(ISNUMBER(D198),"calculated","not_calculated")</f>
        <v>not_calculated</v>
      </c>
      <c r="G198" s="2" t="str">
        <f>IF(ISNUMBER(D198),"","检查缺失值、分母与输入；口径变更须重跑Python")</f>
        <v>检查缺失值、分母与输入；口径变更须重跑Python</v>
      </c>
      <c r="H198" s="2" t="s">
        <v>2978</v>
      </c>
      <c r="I198" s="2" t="s">
        <v>2640</v>
      </c>
      <c r="J198" s="2" t="s">
        <v>2979</v>
      </c>
      <c r="K198" s="2">
        <v>1</v>
      </c>
      <c r="L198" s="2" t="s">
        <v>52</v>
      </c>
      <c r="M198" s="2" t="s">
        <v>53</v>
      </c>
      <c r="N198" s="2" t="s">
        <v>396</v>
      </c>
      <c r="O198" s="2" t="s">
        <v>61</v>
      </c>
    </row>
    <row r="199" spans="1:15">
      <c r="A199" s="2" t="s">
        <v>2980</v>
      </c>
      <c r="B199" s="2" t="s">
        <v>2981</v>
      </c>
      <c r="C199" s="2" t="s">
        <v>3294</v>
      </c>
      <c r="D199" s="3" t="e">
        <f>(AVERAGE('Facts'!F17,'Facts'!F598))*1</f>
        <v>#N/A</v>
      </c>
      <c r="E199" s="3" t="e">
        <f>D199/K199</f>
        <v>#N/A</v>
      </c>
      <c r="F199" s="2" t="str">
        <f>IF(ISNUMBER(D199),"calculated","not_calculated")</f>
        <v>not_calculated</v>
      </c>
      <c r="G199" s="2" t="str">
        <f>IF(ISNUMBER(D199),"","检查缺失值、分母与输入；口径变更须重跑Python")</f>
        <v>检查缺失值、分母与输入；口径变更须重跑Python</v>
      </c>
      <c r="H199" s="2" t="s">
        <v>2981</v>
      </c>
      <c r="I199" s="2" t="s">
        <v>2640</v>
      </c>
      <c r="J199" s="2" t="s">
        <v>51</v>
      </c>
      <c r="K199" s="2">
        <v>1</v>
      </c>
      <c r="L199" s="2" t="s">
        <v>52</v>
      </c>
      <c r="M199" s="2" t="s">
        <v>53</v>
      </c>
      <c r="N199" s="2" t="s">
        <v>396</v>
      </c>
      <c r="O199" s="2" t="s">
        <v>61</v>
      </c>
    </row>
    <row r="200" spans="1:15">
      <c r="A200" s="2" t="s">
        <v>2982</v>
      </c>
      <c r="B200" s="2" t="s">
        <v>2983</v>
      </c>
      <c r="C200" s="2" t="s">
        <v>3295</v>
      </c>
      <c r="D200" s="3" t="e">
        <f>IF('Facts'!F114&lt;=0,NA(),(('Calculations'!D199/'Facts'!F114))*360)</f>
        <v>#N/A</v>
      </c>
      <c r="E200" s="3" t="e">
        <f>D200/K200</f>
        <v>#N/A</v>
      </c>
      <c r="F200" s="2" t="str">
        <f>IF(ISNUMBER(D200),"calculated","not_calculated")</f>
        <v>not_calculated</v>
      </c>
      <c r="G200" s="2" t="str">
        <f>IF(ISNUMBER(D200),"","检查缺失值、分母与输入；口径变更须重跑Python")</f>
        <v>检查缺失值、分母与输入；口径变更须重跑Python</v>
      </c>
      <c r="H200" s="2" t="s">
        <v>2983</v>
      </c>
      <c r="I200" s="2" t="s">
        <v>2640</v>
      </c>
      <c r="J200" s="2" t="s">
        <v>2979</v>
      </c>
      <c r="K200" s="2">
        <v>1</v>
      </c>
      <c r="L200" s="2" t="s">
        <v>52</v>
      </c>
      <c r="M200" s="2" t="s">
        <v>53</v>
      </c>
      <c r="N200" s="2" t="s">
        <v>396</v>
      </c>
      <c r="O200" s="2" t="s">
        <v>61</v>
      </c>
    </row>
    <row r="201" spans="1:15">
      <c r="A201" s="2" t="s">
        <v>2984</v>
      </c>
      <c r="B201" s="2" t="s">
        <v>2985</v>
      </c>
      <c r="C201" s="2" t="s">
        <v>3296</v>
      </c>
      <c r="D201" s="3" t="e">
        <f>(AVERAGE('Facts'!F59,'Facts'!F599))*1</f>
        <v>#N/A</v>
      </c>
      <c r="E201" s="3" t="e">
        <f>D201/K201</f>
        <v>#N/A</v>
      </c>
      <c r="F201" s="2" t="str">
        <f>IF(ISNUMBER(D201),"calculated","not_calculated")</f>
        <v>not_calculated</v>
      </c>
      <c r="G201" s="2" t="str">
        <f>IF(ISNUMBER(D201),"","检查缺失值、分母与输入；口径变更须重跑Python")</f>
        <v>检查缺失值、分母与输入；口径变更须重跑Python</v>
      </c>
      <c r="H201" s="2" t="s">
        <v>2985</v>
      </c>
      <c r="I201" s="2" t="s">
        <v>2640</v>
      </c>
      <c r="J201" s="2" t="s">
        <v>51</v>
      </c>
      <c r="K201" s="2">
        <v>1</v>
      </c>
      <c r="L201" s="2" t="s">
        <v>52</v>
      </c>
      <c r="M201" s="2" t="s">
        <v>53</v>
      </c>
      <c r="N201" s="2" t="s">
        <v>396</v>
      </c>
      <c r="O201" s="2" t="s">
        <v>61</v>
      </c>
    </row>
    <row r="202" spans="1:15">
      <c r="A202" s="2" t="s">
        <v>2986</v>
      </c>
      <c r="B202" s="2" t="s">
        <v>2987</v>
      </c>
      <c r="C202" s="2" t="s">
        <v>3297</v>
      </c>
      <c r="D202" s="3" t="e">
        <f>IF('Facts'!F114&lt;=0,NA(),(('Calculations'!D201/'Facts'!F114))*360)</f>
        <v>#N/A</v>
      </c>
      <c r="E202" s="3" t="e">
        <f>D202/K202</f>
        <v>#N/A</v>
      </c>
      <c r="F202" s="2" t="str">
        <f>IF(ISNUMBER(D202),"calculated","not_calculated")</f>
        <v>not_calculated</v>
      </c>
      <c r="G202" s="2" t="str">
        <f>IF(ISNUMBER(D202),"","检查缺失值、分母与输入；口径变更须重跑Python")</f>
        <v>检查缺失值、分母与输入；口径变更须重跑Python</v>
      </c>
      <c r="H202" s="2" t="s">
        <v>2987</v>
      </c>
      <c r="I202" s="2" t="s">
        <v>2640</v>
      </c>
      <c r="J202" s="2" t="s">
        <v>2979</v>
      </c>
      <c r="K202" s="2">
        <v>1</v>
      </c>
      <c r="L202" s="2" t="s">
        <v>52</v>
      </c>
      <c r="M202" s="2" t="s">
        <v>53</v>
      </c>
      <c r="N202" s="2" t="s">
        <v>396</v>
      </c>
      <c r="O202" s="2" t="s">
        <v>61</v>
      </c>
    </row>
    <row r="203" spans="1:15">
      <c r="A203" s="2" t="s">
        <v>2988</v>
      </c>
      <c r="B203" s="2" t="s">
        <v>2989</v>
      </c>
      <c r="C203" s="2" t="s">
        <v>3298</v>
      </c>
      <c r="D203" s="3" t="e">
        <f>(('Calculations'!D198*1)+('Calculations'!D200*1)+('Calculations'!D202*-1))*1</f>
        <v>#N/A</v>
      </c>
      <c r="E203" s="3" t="e">
        <f>D203/K203</f>
        <v>#N/A</v>
      </c>
      <c r="F203" s="2" t="str">
        <f>IF(ISNUMBER(D203),"calculated","not_calculated")</f>
        <v>not_calculated</v>
      </c>
      <c r="G203" s="2" t="str">
        <f>IF(ISNUMBER(D203),"","检查缺失值、分母与输入；口径变更须重跑Python")</f>
        <v>检查缺失值、分母与输入；口径变更须重跑Python</v>
      </c>
      <c r="H203" s="2" t="s">
        <v>2990</v>
      </c>
      <c r="I203" s="2" t="s">
        <v>2640</v>
      </c>
      <c r="J203" s="2" t="s">
        <v>2979</v>
      </c>
      <c r="K203" s="2">
        <v>1</v>
      </c>
      <c r="L203" s="2" t="s">
        <v>52</v>
      </c>
      <c r="M203" s="2" t="s">
        <v>53</v>
      </c>
      <c r="N203" s="2" t="s">
        <v>396</v>
      </c>
      <c r="O203" s="2" t="s">
        <v>61</v>
      </c>
    </row>
    <row r="204" spans="1:15">
      <c r="A204" s="2" t="s">
        <v>2991</v>
      </c>
      <c r="B204" s="2" t="s">
        <v>2948</v>
      </c>
      <c r="C204" s="2" t="s">
        <v>3299</v>
      </c>
      <c r="D204" s="3">
        <f>(AVERAGE('Facts'!F52,'Facts'!F53))*1</f>
        <v>13272344485.765</v>
      </c>
      <c r="E204" s="3">
        <f>D204/K204</f>
        <v>13272344485.765</v>
      </c>
      <c r="F204" s="2" t="str">
        <f>IF(ISNUMBER(D204),"calculated","not_calculated")</f>
        <v>calculated</v>
      </c>
      <c r="G204" s="2">
        <f>IF(ISNUMBER(D204),"","检查缺失值、分母与输入；口径变更须重跑Python")</f>
        <v/>
      </c>
      <c r="H204" s="2" t="s">
        <v>2948</v>
      </c>
      <c r="I204" s="2" t="s">
        <v>2640</v>
      </c>
      <c r="J204" s="2" t="s">
        <v>51</v>
      </c>
      <c r="K204" s="2">
        <v>1</v>
      </c>
      <c r="L204" s="2" t="s">
        <v>52</v>
      </c>
      <c r="M204" s="2" t="s">
        <v>53</v>
      </c>
      <c r="N204" s="2" t="s">
        <v>391</v>
      </c>
      <c r="O204" s="2" t="s">
        <v>54</v>
      </c>
    </row>
    <row r="205" spans="1:15">
      <c r="A205" s="2" t="s">
        <v>2992</v>
      </c>
      <c r="B205" s="2" t="s">
        <v>2950</v>
      </c>
      <c r="C205" s="2" t="s">
        <v>3300</v>
      </c>
      <c r="D205" s="3">
        <f>IF('Calculations'!D204&lt;=0,NA(),(('Facts'!F111/'Calculations'!D204))*1)</f>
        <v>0.45539239882543064</v>
      </c>
      <c r="E205" s="5">
        <f>D205/K205</f>
        <v>0.45539239882543064</v>
      </c>
      <c r="F205" s="2" t="str">
        <f>IF(ISNUMBER(D205),"calculated","not_calculated")</f>
        <v>calculated</v>
      </c>
      <c r="G205" s="2">
        <f>IF(ISNUMBER(D205),"","检查缺失值、分母与输入；口径变更须重跑Python")</f>
        <v/>
      </c>
      <c r="H205" s="2" t="s">
        <v>2950</v>
      </c>
      <c r="I205" s="2" t="s">
        <v>2640</v>
      </c>
      <c r="J205" s="2" t="s">
        <v>2733</v>
      </c>
      <c r="K205" s="2">
        <v>1</v>
      </c>
      <c r="L205" s="2" t="s">
        <v>52</v>
      </c>
      <c r="M205" s="2" t="s">
        <v>53</v>
      </c>
      <c r="N205" s="2" t="s">
        <v>391</v>
      </c>
      <c r="O205" s="2" t="s">
        <v>54</v>
      </c>
    </row>
    <row r="206" spans="1:15">
      <c r="A206" s="2" t="s">
        <v>2993</v>
      </c>
      <c r="B206" s="2" t="s">
        <v>2952</v>
      </c>
      <c r="C206" s="2" t="s">
        <v>3301</v>
      </c>
      <c r="D206" s="3">
        <f>IF('Calculations'!D204&lt;=0,NA(),(('Calculations'!D38/'Calculations'!D204))*1)</f>
        <v>-0.03711408768423085</v>
      </c>
      <c r="E206" s="4">
        <f>D206/K206</f>
        <v>-0.03711408768423085</v>
      </c>
      <c r="F206" s="2" t="str">
        <f>IF(ISNUMBER(D206),"calculated","not_calculated")</f>
        <v>calculated</v>
      </c>
      <c r="G206" s="2">
        <f>IF(ISNUMBER(D206),"","检查缺失值、分母与输入；口径变更须重跑Python")</f>
        <v/>
      </c>
      <c r="H206" s="2" t="s">
        <v>2952</v>
      </c>
      <c r="I206" s="2" t="s">
        <v>2640</v>
      </c>
      <c r="J206" s="2" t="s">
        <v>2711</v>
      </c>
      <c r="K206" s="2">
        <v>1</v>
      </c>
      <c r="L206" s="2" t="s">
        <v>52</v>
      </c>
      <c r="M206" s="2" t="s">
        <v>53</v>
      </c>
      <c r="N206" s="2" t="s">
        <v>391</v>
      </c>
      <c r="O206" s="2" t="s">
        <v>54</v>
      </c>
    </row>
    <row r="207" spans="1:15">
      <c r="A207" s="2" t="s">
        <v>2994</v>
      </c>
      <c r="B207" s="2" t="s">
        <v>2954</v>
      </c>
      <c r="C207" s="2" t="s">
        <v>3302</v>
      </c>
      <c r="D207" s="3">
        <f>(('Facts'!F111*1)+('Facts'!F113*-1)+('Facts'!F115*-1))*1</f>
        <v>1416974078.17</v>
      </c>
      <c r="E207" s="3">
        <f>D207/K207</f>
        <v>1416974078.17</v>
      </c>
      <c r="F207" s="2" t="str">
        <f>IF(ISNUMBER(D207),"calculated","not_calculated")</f>
        <v>calculated</v>
      </c>
      <c r="G207" s="2">
        <f>IF(ISNUMBER(D207),"","检查缺失值、分母与输入；口径变更须重跑Python")</f>
        <v/>
      </c>
      <c r="H207" s="2" t="s">
        <v>2954</v>
      </c>
      <c r="I207" s="2" t="s">
        <v>2640</v>
      </c>
      <c r="J207" s="2" t="s">
        <v>51</v>
      </c>
      <c r="K207" s="2">
        <v>1</v>
      </c>
      <c r="L207" s="2" t="s">
        <v>52</v>
      </c>
      <c r="M207" s="2" t="s">
        <v>53</v>
      </c>
      <c r="N207" s="2" t="s">
        <v>391</v>
      </c>
      <c r="O207" s="2" t="s">
        <v>54</v>
      </c>
    </row>
    <row r="208" spans="1:15">
      <c r="A208" s="2" t="s">
        <v>2995</v>
      </c>
      <c r="B208" s="2" t="s">
        <v>2956</v>
      </c>
      <c r="C208" s="2" t="s">
        <v>3303</v>
      </c>
      <c r="D208" s="3">
        <f>IF('Facts'!F111&lt;=0,NA(),(('Calculations'!D207/'Facts'!F111))*1)</f>
        <v>0.23443825642298916</v>
      </c>
      <c r="E208" s="4">
        <f>D208/K208</f>
        <v>0.23443825642298916</v>
      </c>
      <c r="F208" s="2" t="str">
        <f>IF(ISNUMBER(D208),"calculated","not_calculated")</f>
        <v>calculated</v>
      </c>
      <c r="G208" s="2">
        <f>IF(ISNUMBER(D208),"","检查缺失值、分母与输入；口径变更须重跑Python")</f>
        <v/>
      </c>
      <c r="H208" s="2" t="s">
        <v>2957</v>
      </c>
      <c r="I208" s="2" t="s">
        <v>2640</v>
      </c>
      <c r="J208" s="2" t="s">
        <v>2711</v>
      </c>
      <c r="K208" s="2">
        <v>1</v>
      </c>
      <c r="L208" s="2" t="s">
        <v>52</v>
      </c>
      <c r="M208" s="2" t="s">
        <v>53</v>
      </c>
      <c r="N208" s="2" t="s">
        <v>391</v>
      </c>
      <c r="O208" s="2" t="s">
        <v>54</v>
      </c>
    </row>
    <row r="209" spans="1:15">
      <c r="A209" s="2" t="s">
        <v>2996</v>
      </c>
      <c r="B209" s="2" t="s">
        <v>2959</v>
      </c>
      <c r="C209" s="2" t="s">
        <v>3304</v>
      </c>
      <c r="D209" s="3">
        <f>(('Facts'!F2*1)+('Facts'!F4*1)+('Facts'!F6*1)+('Facts'!F588*1))*1</f>
        <v>2992589253.62</v>
      </c>
      <c r="E209" s="3">
        <f>D209/K209</f>
        <v>2992589253.62</v>
      </c>
      <c r="F209" s="2" t="str">
        <f>IF(ISNUMBER(D209),"calculated","not_calculated")</f>
        <v>calculated</v>
      </c>
      <c r="G209" s="2">
        <f>IF(ISNUMBER(D209),"","检查缺失值、分母与输入；口径变更须重跑Python")</f>
        <v/>
      </c>
      <c r="H209" s="2" t="s">
        <v>2960</v>
      </c>
      <c r="I209" s="2" t="s">
        <v>2640</v>
      </c>
      <c r="J209" s="2" t="s">
        <v>51</v>
      </c>
      <c r="K209" s="2">
        <v>1</v>
      </c>
      <c r="L209" s="2" t="s">
        <v>52</v>
      </c>
      <c r="M209" s="2" t="s">
        <v>53</v>
      </c>
      <c r="N209" s="2"/>
      <c r="O209" s="2" t="s">
        <v>54</v>
      </c>
    </row>
    <row r="210" spans="1:15">
      <c r="A210" s="2" t="s">
        <v>2997</v>
      </c>
      <c r="B210" s="2" t="s">
        <v>2962</v>
      </c>
      <c r="C210" s="2" t="s">
        <v>3305</v>
      </c>
      <c r="D210" s="3">
        <f>(('Calculations'!D209*1)+('Facts'!F230*-1)+('Facts'!F594*-1))*1</f>
        <v>2279346275.33</v>
      </c>
      <c r="E210" s="3">
        <f>D210/K210</f>
        <v>2279346275.33</v>
      </c>
      <c r="F210" s="2" t="str">
        <f>IF(ISNUMBER(D210),"calculated","not_calculated")</f>
        <v>calculated</v>
      </c>
      <c r="G210" s="2">
        <f>IF(ISNUMBER(D210),"","检查缺失值、分母与输入；口径变更须重跑Python")</f>
        <v/>
      </c>
      <c r="H210" s="2" t="s">
        <v>2963</v>
      </c>
      <c r="I210" s="2" t="s">
        <v>2640</v>
      </c>
      <c r="J210" s="2" t="s">
        <v>51</v>
      </c>
      <c r="K210" s="2">
        <v>1</v>
      </c>
      <c r="L210" s="2" t="s">
        <v>52</v>
      </c>
      <c r="M210" s="2" t="s">
        <v>53</v>
      </c>
      <c r="N210" s="2"/>
      <c r="O210" s="2" t="s">
        <v>54</v>
      </c>
    </row>
    <row r="211" spans="1:15">
      <c r="A211" s="2" t="s">
        <v>2998</v>
      </c>
      <c r="B211" s="2" t="s">
        <v>2965</v>
      </c>
      <c r="C211" s="2" t="s">
        <v>3306</v>
      </c>
      <c r="D211" s="3">
        <f>IF('Calculations'!D41&lt;=0,NA(),(('Calculations'!D210/'Calculations'!D41))*1)</f>
        <v>0.8122360755545687</v>
      </c>
      <c r="E211" s="5">
        <f>D211/K211</f>
        <v>0.8122360755545687</v>
      </c>
      <c r="F211" s="2" t="str">
        <f>IF(ISNUMBER(D211),"calculated","not_calculated")</f>
        <v>calculated</v>
      </c>
      <c r="G211" s="2">
        <f>IF(ISNUMBER(D211),"","检查缺失值、分母与输入；口径变更须重跑Python")</f>
        <v/>
      </c>
      <c r="H211" s="2" t="s">
        <v>2965</v>
      </c>
      <c r="I211" s="2" t="s">
        <v>2640</v>
      </c>
      <c r="J211" s="2" t="s">
        <v>2733</v>
      </c>
      <c r="K211" s="2">
        <v>1</v>
      </c>
      <c r="L211" s="2" t="s">
        <v>52</v>
      </c>
      <c r="M211" s="2" t="s">
        <v>53</v>
      </c>
      <c r="N211" s="2"/>
      <c r="O211" s="2" t="s">
        <v>54</v>
      </c>
    </row>
    <row r="212" spans="1:15">
      <c r="A212" s="2" t="s">
        <v>2999</v>
      </c>
      <c r="B212" s="2" t="s">
        <v>2967</v>
      </c>
      <c r="C212" s="2" t="s">
        <v>3307</v>
      </c>
      <c r="D212" s="3">
        <f>(('Calculations'!D210-'Facts'!F596))*1</f>
        <v>2278534912.91</v>
      </c>
      <c r="E212" s="3">
        <f>D212/K212</f>
        <v>2278534912.91</v>
      </c>
      <c r="F212" s="2" t="str">
        <f>IF(ISNUMBER(D212),"calculated","not_calculated")</f>
        <v>calculated</v>
      </c>
      <c r="G212" s="2">
        <f>IF(ISNUMBER(D212),"","检查缺失值、分母与输入；口径变更须重跑Python")</f>
        <v/>
      </c>
      <c r="H212" s="2" t="s">
        <v>2968</v>
      </c>
      <c r="I212" s="2" t="s">
        <v>2640</v>
      </c>
      <c r="J212" s="2" t="s">
        <v>51</v>
      </c>
      <c r="K212" s="2">
        <v>1</v>
      </c>
      <c r="L212" s="2" t="s">
        <v>52</v>
      </c>
      <c r="M212" s="2" t="s">
        <v>53</v>
      </c>
      <c r="N212" s="2"/>
      <c r="O212" s="2" t="s">
        <v>54</v>
      </c>
    </row>
    <row r="213" spans="1:15">
      <c r="A213" s="2" t="s">
        <v>3000</v>
      </c>
      <c r="B213" s="2" t="s">
        <v>2970</v>
      </c>
      <c r="C213" s="2" t="s">
        <v>3308</v>
      </c>
      <c r="D213" s="3">
        <f>IF('Calculations'!D41&lt;=0,NA(),(('Calculations'!D212/'Calculations'!D41))*1)</f>
        <v>0.8119469497490666</v>
      </c>
      <c r="E213" s="5">
        <f>D213/K213</f>
        <v>0.8119469497490666</v>
      </c>
      <c r="F213" s="2" t="str">
        <f>IF(ISNUMBER(D213),"calculated","not_calculated")</f>
        <v>calculated</v>
      </c>
      <c r="G213" s="2">
        <f>IF(ISNUMBER(D213),"","检查缺失值、分母与输入；口径变更须重跑Python")</f>
        <v/>
      </c>
      <c r="H213" s="2" t="s">
        <v>2970</v>
      </c>
      <c r="I213" s="2" t="s">
        <v>2640</v>
      </c>
      <c r="J213" s="2" t="s">
        <v>2733</v>
      </c>
      <c r="K213" s="2">
        <v>1</v>
      </c>
      <c r="L213" s="2" t="s">
        <v>52</v>
      </c>
      <c r="M213" s="2" t="s">
        <v>53</v>
      </c>
      <c r="N213" s="2"/>
      <c r="O213" s="2" t="s">
        <v>54</v>
      </c>
    </row>
    <row r="214" spans="1:15">
      <c r="A214" s="2" t="s">
        <v>3001</v>
      </c>
      <c r="B214" s="2" t="s">
        <v>2972</v>
      </c>
      <c r="C214" s="2" t="s">
        <v>3309</v>
      </c>
      <c r="D214" s="3">
        <f>IF('Facts'!F72&lt;=0,NA(),(('Facts'!F163/'Facts'!F72))*1)</f>
        <v>1.2413113543010241</v>
      </c>
      <c r="E214" s="5">
        <f>D214/K214</f>
        <v>1.2413113543010241</v>
      </c>
      <c r="F214" s="2" t="str">
        <f>IF(ISNUMBER(D214),"calculated","not_calculated")</f>
        <v>calculated</v>
      </c>
      <c r="G214" s="2">
        <f>IF(ISNUMBER(D214),"","检查缺失值、分母与输入；口径变更须重跑Python")</f>
        <v/>
      </c>
      <c r="H214" s="2" t="s">
        <v>2972</v>
      </c>
      <c r="I214" s="2" t="s">
        <v>2640</v>
      </c>
      <c r="J214" s="2" t="s">
        <v>2733</v>
      </c>
      <c r="K214" s="2">
        <v>1</v>
      </c>
      <c r="L214" s="2" t="s">
        <v>52</v>
      </c>
      <c r="M214" s="2" t="s">
        <v>53</v>
      </c>
      <c r="N214" s="2" t="s">
        <v>391</v>
      </c>
      <c r="O214" s="2" t="s">
        <v>54</v>
      </c>
    </row>
    <row r="215" spans="1:15">
      <c r="A215" s="2" t="s">
        <v>3002</v>
      </c>
      <c r="B215" s="2" t="s">
        <v>2974</v>
      </c>
      <c r="C215" s="2" t="s">
        <v>3310</v>
      </c>
      <c r="D215" s="3">
        <f>(AVERAGE('Facts'!F8,'Facts'!F9))*1</f>
        <v>3683654692.155</v>
      </c>
      <c r="E215" s="3">
        <f>D215/K215</f>
        <v>3683654692.155</v>
      </c>
      <c r="F215" s="2" t="str">
        <f>IF(ISNUMBER(D215),"calculated","not_calculated")</f>
        <v>calculated</v>
      </c>
      <c r="G215" s="2">
        <f>IF(ISNUMBER(D215),"","检查缺失值、分母与输入；口径变更须重跑Python")</f>
        <v/>
      </c>
      <c r="H215" s="2" t="s">
        <v>2974</v>
      </c>
      <c r="I215" s="2" t="s">
        <v>2640</v>
      </c>
      <c r="J215" s="2" t="s">
        <v>51</v>
      </c>
      <c r="K215" s="2">
        <v>1</v>
      </c>
      <c r="L215" s="2" t="s">
        <v>52</v>
      </c>
      <c r="M215" s="2" t="s">
        <v>53</v>
      </c>
      <c r="N215" s="2" t="s">
        <v>391</v>
      </c>
      <c r="O215" s="2" t="s">
        <v>54</v>
      </c>
    </row>
    <row r="216" spans="1:15">
      <c r="A216" s="2" t="s">
        <v>3003</v>
      </c>
      <c r="B216" s="2" t="s">
        <v>2978</v>
      </c>
      <c r="C216" s="2" t="s">
        <v>3311</v>
      </c>
      <c r="D216" s="3">
        <f>IF('Facts'!F111&lt;=0,NA(),(('Calculations'!D215/'Facts'!F111))*360)</f>
        <v>219.40574268447995</v>
      </c>
      <c r="E216" s="3">
        <f>D216/K216</f>
        <v>219.40574268447995</v>
      </c>
      <c r="F216" s="2" t="str">
        <f>IF(ISNUMBER(D216),"calculated","not_calculated")</f>
        <v>calculated</v>
      </c>
      <c r="G216" s="2">
        <f>IF(ISNUMBER(D216),"","检查缺失值、分母与输入；口径变更须重跑Python")</f>
        <v/>
      </c>
      <c r="H216" s="2" t="s">
        <v>2978</v>
      </c>
      <c r="I216" s="2" t="s">
        <v>2640</v>
      </c>
      <c r="J216" s="2" t="s">
        <v>2979</v>
      </c>
      <c r="K216" s="2">
        <v>1</v>
      </c>
      <c r="L216" s="2" t="s">
        <v>52</v>
      </c>
      <c r="M216" s="2" t="s">
        <v>53</v>
      </c>
      <c r="N216" s="2" t="s">
        <v>391</v>
      </c>
      <c r="O216" s="2" t="s">
        <v>54</v>
      </c>
    </row>
    <row r="217" spans="1:15">
      <c r="A217" s="2" t="s">
        <v>3004</v>
      </c>
      <c r="B217" s="2" t="s">
        <v>2981</v>
      </c>
      <c r="C217" s="2" t="s">
        <v>3312</v>
      </c>
      <c r="D217" s="3">
        <f>(AVERAGE('Facts'!F16,'Facts'!F17))*1</f>
        <v>463072786.785</v>
      </c>
      <c r="E217" s="3">
        <f>D217/K217</f>
        <v>463072786.785</v>
      </c>
      <c r="F217" s="2" t="str">
        <f>IF(ISNUMBER(D217),"calculated","not_calculated")</f>
        <v>calculated</v>
      </c>
      <c r="G217" s="2">
        <f>IF(ISNUMBER(D217),"","检查缺失值、分母与输入；口径变更须重跑Python")</f>
        <v/>
      </c>
      <c r="H217" s="2" t="s">
        <v>2981</v>
      </c>
      <c r="I217" s="2" t="s">
        <v>2640</v>
      </c>
      <c r="J217" s="2" t="s">
        <v>51</v>
      </c>
      <c r="K217" s="2">
        <v>1</v>
      </c>
      <c r="L217" s="2" t="s">
        <v>52</v>
      </c>
      <c r="M217" s="2" t="s">
        <v>53</v>
      </c>
      <c r="N217" s="2" t="s">
        <v>391</v>
      </c>
      <c r="O217" s="2" t="s">
        <v>54</v>
      </c>
    </row>
    <row r="218" spans="1:15">
      <c r="A218" s="2" t="s">
        <v>3005</v>
      </c>
      <c r="B218" s="2" t="s">
        <v>2983</v>
      </c>
      <c r="C218" s="2" t="s">
        <v>3313</v>
      </c>
      <c r="D218" s="3">
        <f>IF('Facts'!F113&lt;=0,NA(),(('Calculations'!D217/'Facts'!F113))*360)</f>
        <v>36.38782383690133</v>
      </c>
      <c r="E218" s="3">
        <f>D218/K218</f>
        <v>36.38782383690133</v>
      </c>
      <c r="F218" s="2" t="str">
        <f>IF(ISNUMBER(D218),"calculated","not_calculated")</f>
        <v>calculated</v>
      </c>
      <c r="G218" s="2">
        <f>IF(ISNUMBER(D218),"","检查缺失值、分母与输入；口径变更须重跑Python")</f>
        <v/>
      </c>
      <c r="H218" s="2" t="s">
        <v>2983</v>
      </c>
      <c r="I218" s="2" t="s">
        <v>2640</v>
      </c>
      <c r="J218" s="2" t="s">
        <v>2979</v>
      </c>
      <c r="K218" s="2">
        <v>1</v>
      </c>
      <c r="L218" s="2" t="s">
        <v>52</v>
      </c>
      <c r="M218" s="2" t="s">
        <v>53</v>
      </c>
      <c r="N218" s="2" t="s">
        <v>391</v>
      </c>
      <c r="O218" s="2" t="s">
        <v>54</v>
      </c>
    </row>
    <row r="219" spans="1:15">
      <c r="A219" s="2" t="s">
        <v>3006</v>
      </c>
      <c r="B219" s="2" t="s">
        <v>2985</v>
      </c>
      <c r="C219" s="2" t="s">
        <v>3314</v>
      </c>
      <c r="D219" s="3">
        <f>(AVERAGE('Facts'!F58,'Facts'!F59))*1</f>
        <v>1597345753.015</v>
      </c>
      <c r="E219" s="3">
        <f>D219/K219</f>
        <v>1597345753.015</v>
      </c>
      <c r="F219" s="2" t="str">
        <f>IF(ISNUMBER(D219),"calculated","not_calculated")</f>
        <v>calculated</v>
      </c>
      <c r="G219" s="2">
        <f>IF(ISNUMBER(D219),"","检查缺失值、分母与输入；口径变更须重跑Python")</f>
        <v/>
      </c>
      <c r="H219" s="2" t="s">
        <v>2985</v>
      </c>
      <c r="I219" s="2" t="s">
        <v>2640</v>
      </c>
      <c r="J219" s="2" t="s">
        <v>51</v>
      </c>
      <c r="K219" s="2">
        <v>1</v>
      </c>
      <c r="L219" s="2" t="s">
        <v>52</v>
      </c>
      <c r="M219" s="2" t="s">
        <v>53</v>
      </c>
      <c r="N219" s="2" t="s">
        <v>391</v>
      </c>
      <c r="O219" s="2" t="s">
        <v>54</v>
      </c>
    </row>
    <row r="220" spans="1:15">
      <c r="A220" s="2" t="s">
        <v>3007</v>
      </c>
      <c r="B220" s="2" t="s">
        <v>2987</v>
      </c>
      <c r="C220" s="2" t="s">
        <v>3315</v>
      </c>
      <c r="D220" s="3">
        <f>IF('Facts'!F113&lt;=0,NA(),(('Calculations'!D219/'Facts'!F113))*360)</f>
        <v>125.51792617932153</v>
      </c>
      <c r="E220" s="3">
        <f>D220/K220</f>
        <v>125.51792617932153</v>
      </c>
      <c r="F220" s="2" t="str">
        <f>IF(ISNUMBER(D220),"calculated","not_calculated")</f>
        <v>calculated</v>
      </c>
      <c r="G220" s="2">
        <f>IF(ISNUMBER(D220),"","检查缺失值、分母与输入；口径变更须重跑Python")</f>
        <v/>
      </c>
      <c r="H220" s="2" t="s">
        <v>2987</v>
      </c>
      <c r="I220" s="2" t="s">
        <v>2640</v>
      </c>
      <c r="J220" s="2" t="s">
        <v>2979</v>
      </c>
      <c r="K220" s="2">
        <v>1</v>
      </c>
      <c r="L220" s="2" t="s">
        <v>52</v>
      </c>
      <c r="M220" s="2" t="s">
        <v>53</v>
      </c>
      <c r="N220" s="2" t="s">
        <v>391</v>
      </c>
      <c r="O220" s="2" t="s">
        <v>54</v>
      </c>
    </row>
    <row r="221" spans="1:15">
      <c r="A221" s="2" t="s">
        <v>3008</v>
      </c>
      <c r="B221" s="2" t="s">
        <v>2989</v>
      </c>
      <c r="C221" s="2" t="s">
        <v>3316</v>
      </c>
      <c r="D221" s="3">
        <f>(('Calculations'!D216*1)+('Calculations'!D218*1)+('Calculations'!D220*-1))*1</f>
        <v>130.27564034205975</v>
      </c>
      <c r="E221" s="3">
        <f>D221/K221</f>
        <v>130.27564034205975</v>
      </c>
      <c r="F221" s="2" t="str">
        <f>IF(ISNUMBER(D221),"calculated","not_calculated")</f>
        <v>calculated</v>
      </c>
      <c r="G221" s="2">
        <f>IF(ISNUMBER(D221),"","检查缺失值、分母与输入；口径变更须重跑Python")</f>
        <v/>
      </c>
      <c r="H221" s="2" t="s">
        <v>2990</v>
      </c>
      <c r="I221" s="2" t="s">
        <v>2640</v>
      </c>
      <c r="J221" s="2" t="s">
        <v>2979</v>
      </c>
      <c r="K221" s="2">
        <v>1</v>
      </c>
      <c r="L221" s="2" t="s">
        <v>52</v>
      </c>
      <c r="M221" s="2" t="s">
        <v>53</v>
      </c>
      <c r="N221" s="2" t="s">
        <v>391</v>
      </c>
      <c r="O221" s="2" t="s">
        <v>54</v>
      </c>
    </row>
    <row r="222" spans="1:15">
      <c r="A222" s="2" t="s">
        <v>3009</v>
      </c>
      <c r="B222" s="2" t="s">
        <v>3010</v>
      </c>
      <c r="C222" s="2" t="s">
        <v>3317</v>
      </c>
      <c r="D222" s="3">
        <f>(AVERAGE('Facts'!F264,'Facts'!F265))*1</f>
        <v>5389410073.9</v>
      </c>
      <c r="E222" s="3">
        <f>D222/K222</f>
        <v>5389410073.9</v>
      </c>
      <c r="F222" s="2" t="str">
        <f>IF(ISNUMBER(D222),"calculated","not_calculated")</f>
        <v>calculated</v>
      </c>
      <c r="G222" s="2">
        <f>IF(ISNUMBER(D222),"","检查缺失值、分母与输入；口径变更须重跑Python")</f>
        <v/>
      </c>
      <c r="H222" s="2" t="s">
        <v>3010</v>
      </c>
      <c r="I222" s="2" t="s">
        <v>2640</v>
      </c>
      <c r="J222" s="2" t="s">
        <v>51</v>
      </c>
      <c r="K222" s="2">
        <v>1</v>
      </c>
      <c r="L222" s="2" t="s">
        <v>52</v>
      </c>
      <c r="M222" s="2" t="s">
        <v>53</v>
      </c>
      <c r="N222" s="2" t="s">
        <v>391</v>
      </c>
      <c r="O222" s="2" t="s">
        <v>54</v>
      </c>
    </row>
    <row r="223" spans="1:15">
      <c r="A223" s="2" t="s">
        <v>3011</v>
      </c>
      <c r="B223" s="2" t="s">
        <v>3012</v>
      </c>
      <c r="C223" s="2" t="s">
        <v>3318</v>
      </c>
      <c r="D223" s="3">
        <f>IF('Facts'!F111&lt;=0,NA(),(('Calculations'!D222/'Facts'!F111))*360)</f>
        <v>321.0038993105198</v>
      </c>
      <c r="E223" s="3">
        <f>D223/K223</f>
        <v>321.0038993105198</v>
      </c>
      <c r="F223" s="2" t="str">
        <f>IF(ISNUMBER(D223),"calculated","not_calculated")</f>
        <v>calculated</v>
      </c>
      <c r="G223" s="2">
        <f>IF(ISNUMBER(D223),"","检查缺失值、分母与输入；口径变更须重跑Python")</f>
        <v/>
      </c>
      <c r="H223" s="2" t="s">
        <v>3012</v>
      </c>
      <c r="I223" s="2" t="s">
        <v>2640</v>
      </c>
      <c r="J223" s="2" t="s">
        <v>2979</v>
      </c>
      <c r="K223" s="2">
        <v>1</v>
      </c>
      <c r="L223" s="2" t="s">
        <v>52</v>
      </c>
      <c r="M223" s="2" t="s">
        <v>53</v>
      </c>
      <c r="N223" s="2" t="s">
        <v>391</v>
      </c>
      <c r="O223" s="2" t="s">
        <v>54</v>
      </c>
    </row>
    <row r="224" spans="1:15">
      <c r="A224" s="2" t="s">
        <v>3013</v>
      </c>
      <c r="B224" s="2" t="s">
        <v>3014</v>
      </c>
      <c r="C224" s="2" t="s">
        <v>3319</v>
      </c>
      <c r="D224" s="3">
        <f>(('Calculations'!D223*1)+('Calculations'!D218*1)+('Calculations'!D220*-1))*1</f>
        <v>231.8737969680996</v>
      </c>
      <c r="E224" s="3">
        <f>D224/K224</f>
        <v>231.8737969680996</v>
      </c>
      <c r="F224" s="2" t="str">
        <f>IF(ISNUMBER(D224),"calculated","not_calculated")</f>
        <v>calculated</v>
      </c>
      <c r="G224" s="2">
        <f>IF(ISNUMBER(D224),"","检查缺失值、分母与输入；口径变更须重跑Python")</f>
        <v/>
      </c>
      <c r="H224" s="2" t="s">
        <v>3015</v>
      </c>
      <c r="I224" s="2" t="s">
        <v>2640</v>
      </c>
      <c r="J224" s="2" t="s">
        <v>2979</v>
      </c>
      <c r="K224" s="2">
        <v>1</v>
      </c>
      <c r="L224" s="2" t="s">
        <v>52</v>
      </c>
      <c r="M224" s="2" t="s">
        <v>53</v>
      </c>
      <c r="N224" s="2" t="s">
        <v>391</v>
      </c>
      <c r="O224" s="2" t="s">
        <v>54</v>
      </c>
    </row>
    <row r="225" spans="1:15">
      <c r="A225" s="2" t="s">
        <v>3016</v>
      </c>
      <c r="B225" s="2" t="s">
        <v>3017</v>
      </c>
      <c r="C225" s="2" t="s">
        <v>3320</v>
      </c>
      <c r="D225" s="3" t="e">
        <f>(('Facts'!F544*1)+('Facts'!F602*1)+('Facts'!F603*1))*1</f>
        <v>#N/A</v>
      </c>
      <c r="E225" s="3" t="e">
        <f>D225/K225</f>
        <v>#N/A</v>
      </c>
      <c r="F225" s="2" t="str">
        <f>IF(ISNUMBER(D225),"calculated","not_calculated")</f>
        <v>not_calculated</v>
      </c>
      <c r="G225" s="2" t="str">
        <f>IF(ISNUMBER(D225),"","检查缺失值、分母与输入；口径变更须重跑Python")</f>
        <v>检查缺失值、分母与输入；口径变更须重跑Python</v>
      </c>
      <c r="H225" s="2" t="s">
        <v>3017</v>
      </c>
      <c r="I225" s="2" t="s">
        <v>2640</v>
      </c>
      <c r="J225" s="2" t="s">
        <v>51</v>
      </c>
      <c r="K225" s="2">
        <v>1</v>
      </c>
      <c r="L225" s="2" t="s">
        <v>52</v>
      </c>
      <c r="M225" s="2" t="s">
        <v>53</v>
      </c>
      <c r="N225" s="2" t="s">
        <v>1562</v>
      </c>
      <c r="O225" s="2" t="s">
        <v>814</v>
      </c>
    </row>
    <row r="226" spans="1:15">
      <c r="A226" s="2" t="s">
        <v>3018</v>
      </c>
      <c r="B226" s="2" t="s">
        <v>3019</v>
      </c>
      <c r="C226" s="2" t="s">
        <v>3321</v>
      </c>
      <c r="D226" s="3" t="e">
        <f>(('Facts'!F504*1)+('Facts'!F600*-1)+('Facts'!F601*-1))*1</f>
        <v>#N/A</v>
      </c>
      <c r="E226" s="3" t="e">
        <f>D226/K226</f>
        <v>#N/A</v>
      </c>
      <c r="F226" s="2" t="str">
        <f>IF(ISNUMBER(D226),"calculated","not_calculated")</f>
        <v>not_calculated</v>
      </c>
      <c r="G226" s="2" t="str">
        <f>IF(ISNUMBER(D226),"","检查缺失值、分母与输入；口径变更须重跑Python")</f>
        <v>检查缺失值、分母与输入；口径变更须重跑Python</v>
      </c>
      <c r="H226" s="2" t="s">
        <v>3019</v>
      </c>
      <c r="I226" s="2" t="s">
        <v>2640</v>
      </c>
      <c r="J226" s="2" t="s">
        <v>51</v>
      </c>
      <c r="K226" s="2">
        <v>1</v>
      </c>
      <c r="L226" s="2" t="s">
        <v>52</v>
      </c>
      <c r="M226" s="2" t="s">
        <v>53</v>
      </c>
      <c r="N226" s="2" t="s">
        <v>1562</v>
      </c>
      <c r="O226" s="2" t="s">
        <v>814</v>
      </c>
    </row>
    <row r="227" spans="1:15">
      <c r="A227" s="2" t="s">
        <v>3020</v>
      </c>
      <c r="B227" s="2" t="s">
        <v>3021</v>
      </c>
      <c r="C227" s="2" t="s">
        <v>3322</v>
      </c>
      <c r="D227" s="3" t="e">
        <f>IF('Facts'!F504&lt;=0,NA(),(('Calculations'!D226/'Facts'!F504))*1)</f>
        <v>#N/A</v>
      </c>
      <c r="E227" s="4" t="e">
        <f>D227/K227</f>
        <v>#N/A</v>
      </c>
      <c r="F227" s="2" t="str">
        <f>IF(ISNUMBER(D227),"calculated","not_calculated")</f>
        <v>not_calculated</v>
      </c>
      <c r="G227" s="2" t="str">
        <f>IF(ISNUMBER(D227),"","检查缺失值、分母与输入；口径变更须重跑Python")</f>
        <v>检查缺失值、分母与输入；口径变更须重跑Python</v>
      </c>
      <c r="H227" s="2" t="s">
        <v>3021</v>
      </c>
      <c r="I227" s="2" t="s">
        <v>2640</v>
      </c>
      <c r="J227" s="2" t="s">
        <v>2711</v>
      </c>
      <c r="K227" s="2">
        <v>1</v>
      </c>
      <c r="L227" s="2" t="s">
        <v>52</v>
      </c>
      <c r="M227" s="2" t="s">
        <v>53</v>
      </c>
      <c r="N227" s="2" t="s">
        <v>1562</v>
      </c>
      <c r="O227" s="2" t="s">
        <v>814</v>
      </c>
    </row>
    <row r="228" spans="1:15">
      <c r="A228" s="2" t="s">
        <v>3022</v>
      </c>
      <c r="B228" s="2" t="s">
        <v>3023</v>
      </c>
      <c r="C228" s="2" t="s">
        <v>3323</v>
      </c>
      <c r="D228" s="3">
        <f>(('Facts'!F526*1)+('Facts'!F527*-1)+('Facts'!F604*-1))*1</f>
        <v>1610401678.38</v>
      </c>
      <c r="E228" s="3">
        <f>D228/K228</f>
        <v>1610401678.38</v>
      </c>
      <c r="F228" s="2" t="str">
        <f>IF(ISNUMBER(D228),"calculated","not_calculated")</f>
        <v>calculated</v>
      </c>
      <c r="G228" s="2">
        <f>IF(ISNUMBER(D228),"","检查缺失值、分母与输入；口径变更须重跑Python")</f>
        <v/>
      </c>
      <c r="H228" s="2" t="s">
        <v>3023</v>
      </c>
      <c r="I228" s="2" t="s">
        <v>2640</v>
      </c>
      <c r="J228" s="2" t="s">
        <v>51</v>
      </c>
      <c r="K228" s="2">
        <v>1</v>
      </c>
      <c r="L228" s="2" t="s">
        <v>52</v>
      </c>
      <c r="M228" s="2" t="s">
        <v>53</v>
      </c>
      <c r="N228" s="2" t="s">
        <v>1562</v>
      </c>
      <c r="O228" s="2" t="s">
        <v>814</v>
      </c>
    </row>
    <row r="229" spans="1:15">
      <c r="A229" s="2" t="s">
        <v>3024</v>
      </c>
      <c r="B229" s="2" t="s">
        <v>3025</v>
      </c>
      <c r="C229" s="2" t="s">
        <v>3324</v>
      </c>
      <c r="D229" s="3">
        <f>IF('Facts'!F526&lt;=0,NA(),(('Calculations'!D228/'Facts'!F526))*1)</f>
        <v>0.2027092078757878</v>
      </c>
      <c r="E229" s="4">
        <f>D229/K229</f>
        <v>0.2027092078757878</v>
      </c>
      <c r="F229" s="2" t="str">
        <f>IF(ISNUMBER(D229),"calculated","not_calculated")</f>
        <v>calculated</v>
      </c>
      <c r="G229" s="2">
        <f>IF(ISNUMBER(D229),"","检查缺失值、分母与输入；口径变更须重跑Python")</f>
        <v/>
      </c>
      <c r="H229" s="2" t="s">
        <v>3025</v>
      </c>
      <c r="I229" s="2" t="s">
        <v>2640</v>
      </c>
      <c r="J229" s="2" t="s">
        <v>2711</v>
      </c>
      <c r="K229" s="2">
        <v>1</v>
      </c>
      <c r="L229" s="2" t="s">
        <v>52</v>
      </c>
      <c r="M229" s="2" t="s">
        <v>53</v>
      </c>
      <c r="N229" s="2" t="s">
        <v>1562</v>
      </c>
      <c r="O229" s="2" t="s">
        <v>814</v>
      </c>
    </row>
    <row r="230" spans="1:15">
      <c r="A230" s="2" t="s">
        <v>3026</v>
      </c>
      <c r="B230" s="2" t="s">
        <v>3027</v>
      </c>
      <c r="C230" s="2" t="s">
        <v>3325</v>
      </c>
      <c r="D230" s="3">
        <f>(('Facts'!F581*1)+('Facts'!F162*1)+('Facts'!F607*1)+('Facts'!F608*-1)+('Facts'!F609*1)+('Facts'!F610*1))*1</f>
        <v>5067082436.51</v>
      </c>
      <c r="E230" s="3">
        <f>D230/K230</f>
        <v>5067082436.51</v>
      </c>
      <c r="F230" s="2" t="str">
        <f>IF(ISNUMBER(D230),"calculated","not_calculated")</f>
        <v>calculated</v>
      </c>
      <c r="G230" s="2">
        <f>IF(ISNUMBER(D230),"","检查缺失值、分母与输入；口径变更须重跑Python")</f>
        <v/>
      </c>
      <c r="H230" s="2" t="s">
        <v>3027</v>
      </c>
      <c r="I230" s="2" t="s">
        <v>2640</v>
      </c>
      <c r="J230" s="2" t="s">
        <v>51</v>
      </c>
      <c r="K230" s="2">
        <v>1</v>
      </c>
      <c r="L230" s="2" t="s">
        <v>52</v>
      </c>
      <c r="M230" s="2" t="s">
        <v>53</v>
      </c>
      <c r="N230" s="2" t="s">
        <v>396</v>
      </c>
      <c r="O230" s="2" t="s">
        <v>61</v>
      </c>
    </row>
    <row r="231" spans="1:15">
      <c r="A231" s="2" t="s">
        <v>3028</v>
      </c>
      <c r="B231" s="2" t="s">
        <v>3029</v>
      </c>
      <c r="C231" s="2" t="s">
        <v>3326</v>
      </c>
      <c r="D231" s="3">
        <f>(('Facts'!F611*1)+('Facts'!F612*1)+('Facts'!F613*1)+('Facts'!F614*-1)+('Facts'!F615*1)+('Facts'!F616*1))*1</f>
        <v>5115144216.43</v>
      </c>
      <c r="E231" s="3">
        <f>D231/K231</f>
        <v>5115144216.43</v>
      </c>
      <c r="F231" s="2" t="str">
        <f>IF(ISNUMBER(D231),"calculated","not_calculated")</f>
        <v>calculated</v>
      </c>
      <c r="G231" s="2">
        <f>IF(ISNUMBER(D231),"","检查缺失值、分母与输入；口径变更须重跑Python")</f>
        <v/>
      </c>
      <c r="H231" s="2" t="s">
        <v>3029</v>
      </c>
      <c r="I231" s="2" t="s">
        <v>2640</v>
      </c>
      <c r="J231" s="2" t="s">
        <v>51</v>
      </c>
      <c r="K231" s="2">
        <v>1</v>
      </c>
      <c r="L231" s="2" t="s">
        <v>52</v>
      </c>
      <c r="M231" s="2" t="s">
        <v>53</v>
      </c>
      <c r="N231" s="2" t="s">
        <v>1562</v>
      </c>
      <c r="O231" s="2" t="s">
        <v>814</v>
      </c>
    </row>
    <row r="232" spans="1:15">
      <c r="A232" s="2" t="s">
        <v>3030</v>
      </c>
      <c r="B232" s="2" t="s">
        <v>3031</v>
      </c>
      <c r="C232" s="2" t="s">
        <v>3327</v>
      </c>
      <c r="D232" s="3">
        <f>(('Calculations'!D108*1)+('Facts'!F619*1))*1</f>
        <v>6046467575.45</v>
      </c>
      <c r="E232" s="3">
        <f>D232/K232</f>
        <v>6046467575.45</v>
      </c>
      <c r="F232" s="2" t="str">
        <f>IF(ISNUMBER(D232),"calculated","not_calculated")</f>
        <v>calculated</v>
      </c>
      <c r="G232" s="2">
        <f>IF(ISNUMBER(D232),"","检查缺失值、分母与输入；口径变更须重跑Python")</f>
        <v/>
      </c>
      <c r="H232" s="2" t="s">
        <v>3032</v>
      </c>
      <c r="I232" s="2" t="s">
        <v>2640</v>
      </c>
      <c r="J232" s="2" t="s">
        <v>51</v>
      </c>
      <c r="K232" s="2">
        <v>1</v>
      </c>
      <c r="L232" s="2" t="s">
        <v>52</v>
      </c>
      <c r="M232" s="2" t="s">
        <v>53</v>
      </c>
      <c r="N232" s="2"/>
      <c r="O232" s="2" t="s">
        <v>61</v>
      </c>
    </row>
    <row r="233" spans="1:15">
      <c r="A233" s="2" t="s">
        <v>3033</v>
      </c>
      <c r="B233" s="2" t="s">
        <v>3031</v>
      </c>
      <c r="C233" s="2" t="s">
        <v>3328</v>
      </c>
      <c r="D233" s="3">
        <f>(('Calculations'!D40*1)+('Facts'!F618*1))*1</f>
        <v>5274813795.11</v>
      </c>
      <c r="E233" s="3">
        <f>D233/K233</f>
        <v>5274813795.11</v>
      </c>
      <c r="F233" s="2" t="str">
        <f>IF(ISNUMBER(D233),"calculated","not_calculated")</f>
        <v>calculated</v>
      </c>
      <c r="G233" s="2">
        <f>IF(ISNUMBER(D233),"","检查缺失值、分母与输入；口径变更须重跑Python")</f>
        <v/>
      </c>
      <c r="H233" s="2" t="s">
        <v>3032</v>
      </c>
      <c r="I233" s="2" t="s">
        <v>2640</v>
      </c>
      <c r="J233" s="2" t="s">
        <v>51</v>
      </c>
      <c r="K233" s="2">
        <v>1</v>
      </c>
      <c r="L233" s="2" t="s">
        <v>52</v>
      </c>
      <c r="M233" s="2" t="s">
        <v>53</v>
      </c>
      <c r="N233" s="2"/>
      <c r="O233" s="2" t="s">
        <v>54</v>
      </c>
    </row>
    <row r="234" spans="1:15">
      <c r="A234" s="2" t="s">
        <v>3034</v>
      </c>
      <c r="B234" s="2" t="s">
        <v>3035</v>
      </c>
      <c r="C234" s="2" t="s">
        <v>3329</v>
      </c>
      <c r="D234" s="3">
        <f>(('Facts'!F629*1)+('Facts'!F630*1))*1</f>
        <v>0.9503</v>
      </c>
      <c r="E234" s="4">
        <f>D234/K234</f>
        <v>0.9503</v>
      </c>
      <c r="F234" s="2" t="str">
        <f>IF(ISNUMBER(D234),"calculated","not_calculated")</f>
        <v>calculated</v>
      </c>
      <c r="G234" s="2">
        <f>IF(ISNUMBER(D234),"","检查缺失值、分母与输入；口径变更须重跑Python")</f>
        <v/>
      </c>
      <c r="H234" s="2" t="s">
        <v>3036</v>
      </c>
      <c r="I234" s="2" t="s">
        <v>3037</v>
      </c>
      <c r="J234" s="2" t="s">
        <v>2711</v>
      </c>
      <c r="K234" s="2">
        <v>1</v>
      </c>
      <c r="L234" s="2" t="s">
        <v>1902</v>
      </c>
      <c r="M234" s="2" t="s">
        <v>1903</v>
      </c>
      <c r="N234" s="2" t="s">
        <v>391</v>
      </c>
      <c r="O234" s="2" t="s">
        <v>54</v>
      </c>
    </row>
    <row r="235" spans="1:15">
      <c r="A235" s="2" t="s">
        <v>3038</v>
      </c>
      <c r="B235" s="2" t="s">
        <v>3039</v>
      </c>
      <c r="C235" s="2" t="s">
        <v>3330</v>
      </c>
      <c r="D235" s="3">
        <f>(('Facts'!F627*1)+('Facts'!F628*1))*1</f>
        <v>388489008.0</v>
      </c>
      <c r="E235" s="3">
        <f>D235/K235</f>
        <v>388489008.0</v>
      </c>
      <c r="F235" s="2" t="str">
        <f>IF(ISNUMBER(D235),"calculated","not_calculated")</f>
        <v>calculated</v>
      </c>
      <c r="G235" s="2">
        <f>IF(ISNUMBER(D235),"","检查缺失值、分母与输入；口径变更须重跑Python")</f>
        <v/>
      </c>
      <c r="H235" s="2" t="s">
        <v>3040</v>
      </c>
      <c r="I235" s="2" t="s">
        <v>3041</v>
      </c>
      <c r="J235" s="2" t="s">
        <v>51</v>
      </c>
      <c r="K235" s="2">
        <v>1</v>
      </c>
      <c r="L235" s="2" t="s">
        <v>1902</v>
      </c>
      <c r="M235" s="2" t="s">
        <v>1903</v>
      </c>
      <c r="N235" s="2" t="s">
        <v>391</v>
      </c>
      <c r="O235" s="2" t="s">
        <v>54</v>
      </c>
    </row>
    <row r="236" spans="1:15">
      <c r="A236" s="2" t="s">
        <v>3042</v>
      </c>
      <c r="B236" s="2" t="s">
        <v>3043</v>
      </c>
      <c r="C236" s="2" t="s">
        <v>3331</v>
      </c>
      <c r="D236" s="3">
        <f>IF('Facts'!F626&lt;=0,NA(),(('Calculations'!D235/'Facts'!F626))*1)</f>
        <v>1.2154410217538605</v>
      </c>
      <c r="E236" s="4">
        <f>D236/K236</f>
        <v>1.2154410217538605</v>
      </c>
      <c r="F236" s="2" t="str">
        <f>IF(ISNUMBER(D236),"calculated","not_calculated")</f>
        <v>calculated</v>
      </c>
      <c r="G236" s="2">
        <f>IF(ISNUMBER(D236),"","检查缺失值、分母与输入；口径变更须重跑Python")</f>
        <v/>
      </c>
      <c r="H236" s="2" t="s">
        <v>3044</v>
      </c>
      <c r="I236" s="2" t="s">
        <v>3045</v>
      </c>
      <c r="J236" s="2" t="s">
        <v>2711</v>
      </c>
      <c r="K236" s="2">
        <v>1</v>
      </c>
      <c r="L236" s="2" t="s">
        <v>1902</v>
      </c>
      <c r="M236" s="2" t="s">
        <v>1903</v>
      </c>
      <c r="N236" s="2" t="s">
        <v>391</v>
      </c>
      <c r="O236" s="2" t="s">
        <v>54</v>
      </c>
    </row>
    <row r="237" spans="1:15">
      <c r="A237" s="2" t="s">
        <v>3046</v>
      </c>
      <c r="B237" s="2" t="s">
        <v>3047</v>
      </c>
      <c r="C237" s="2" t="s">
        <v>3332</v>
      </c>
      <c r="D237" s="3">
        <f>IF('Facts'!F657&lt;=0,NA(),(('Facts'!F658/'Facts'!F657))*1)</f>
        <v>0.4995236008653169</v>
      </c>
      <c r="E237" s="4">
        <f>D237/K237</f>
        <v>0.4995236008653169</v>
      </c>
      <c r="F237" s="2" t="str">
        <f>IF(ISNUMBER(D237),"calculated","not_calculated")</f>
        <v>calculated</v>
      </c>
      <c r="G237" s="2">
        <f>IF(ISNUMBER(D237),"","检查缺失值、分母与输入；口径变更须重跑Python")</f>
        <v/>
      </c>
      <c r="H237" s="2" t="s">
        <v>3048</v>
      </c>
      <c r="I237" s="2" t="s">
        <v>3049</v>
      </c>
      <c r="J237" s="2" t="s">
        <v>2711</v>
      </c>
      <c r="K237" s="2">
        <v>1</v>
      </c>
      <c r="L237" s="2" t="s">
        <v>2028</v>
      </c>
      <c r="M237" s="2" t="s">
        <v>2029</v>
      </c>
      <c r="N237" s="2"/>
      <c r="O237" s="2" t="s">
        <v>54</v>
      </c>
    </row>
    <row r="238" spans="1:15">
      <c r="A238" s="2" t="s">
        <v>3050</v>
      </c>
      <c r="B238" s="2" t="s">
        <v>3051</v>
      </c>
      <c r="C238" s="2" t="s">
        <v>3333</v>
      </c>
      <c r="D238" s="3">
        <f>IF('Facts'!F659&lt;=0,NA(),(('Facts'!F660/'Facts'!F659))*1)</f>
        <v>0.567232168997406</v>
      </c>
      <c r="E238" s="4">
        <f>D238/K238</f>
        <v>0.567232168997406</v>
      </c>
      <c r="F238" s="2" t="str">
        <f>IF(ISNUMBER(D238),"calculated","not_calculated")</f>
        <v>calculated</v>
      </c>
      <c r="G238" s="2">
        <f>IF(ISNUMBER(D238),"","检查缺失值、分母与输入；口径变更须重跑Python")</f>
        <v/>
      </c>
      <c r="H238" s="2" t="s">
        <v>3048</v>
      </c>
      <c r="I238" s="2" t="s">
        <v>3049</v>
      </c>
      <c r="J238" s="2" t="s">
        <v>2711</v>
      </c>
      <c r="K238" s="2">
        <v>1</v>
      </c>
      <c r="L238" s="2" t="s">
        <v>2038</v>
      </c>
      <c r="M238" s="2" t="s">
        <v>2029</v>
      </c>
      <c r="N238" s="2"/>
      <c r="O238" s="2" t="s">
        <v>54</v>
      </c>
    </row>
    <row r="239" spans="1:15">
      <c r="A239" s="2" t="s">
        <v>3052</v>
      </c>
      <c r="B239" s="2" t="s">
        <v>3053</v>
      </c>
      <c r="C239" s="2" t="s">
        <v>3334</v>
      </c>
      <c r="D239" s="3">
        <f>(('Facts'!F697*1)+('Facts'!F698*1))*1</f>
        <v>0.3145</v>
      </c>
      <c r="E239" s="4">
        <f>D239/K239</f>
        <v>0.3145</v>
      </c>
      <c r="F239" s="2" t="str">
        <f>IF(ISNUMBER(D239),"calculated","not_calculated")</f>
        <v>calculated</v>
      </c>
      <c r="G239" s="2">
        <f>IF(ISNUMBER(D239),"","检查缺失值、分母与输入；口径变更须重跑Python")</f>
        <v/>
      </c>
      <c r="H239" s="2" t="s">
        <v>3054</v>
      </c>
      <c r="I239" s="2" t="s">
        <v>3055</v>
      </c>
      <c r="J239" s="2" t="s">
        <v>2711</v>
      </c>
      <c r="K239" s="2">
        <v>1</v>
      </c>
      <c r="L239" s="2" t="s">
        <v>1902</v>
      </c>
      <c r="M239" s="2" t="s">
        <v>2186</v>
      </c>
      <c r="N239" s="2"/>
      <c r="O239" s="2" t="s">
        <v>54</v>
      </c>
    </row>
    <row r="240" spans="1:15">
      <c r="A240" s="2" t="s">
        <v>3056</v>
      </c>
      <c r="B240" s="2" t="s">
        <v>3057</v>
      </c>
      <c r="C240" s="2" t="s">
        <v>3335</v>
      </c>
      <c r="D240" s="3">
        <f>(('Facts'!F713*1)+('Facts'!F714*1))*1</f>
        <v>4052073804.75</v>
      </c>
      <c r="E240" s="3">
        <f>D240/K240</f>
        <v>4052073804.75</v>
      </c>
      <c r="F240" s="2" t="str">
        <f>IF(ISNUMBER(D240),"calculated","not_calculated")</f>
        <v>calculated</v>
      </c>
      <c r="G240" s="2">
        <f>IF(ISNUMBER(D240),"","检查缺失值、分母与输入；口径变更须重跑Python")</f>
        <v/>
      </c>
      <c r="H240" s="2" t="s">
        <v>3058</v>
      </c>
      <c r="I240" s="2" t="s">
        <v>3059</v>
      </c>
      <c r="J240" s="2" t="s">
        <v>51</v>
      </c>
      <c r="K240" s="2">
        <v>1</v>
      </c>
      <c r="L240" s="2" t="s">
        <v>52</v>
      </c>
      <c r="M240" s="2" t="s">
        <v>1903</v>
      </c>
      <c r="N240" s="2"/>
      <c r="O240" s="2" t="s">
        <v>54</v>
      </c>
    </row>
    <row r="241" spans="1:15">
      <c r="A241" s="2" t="s">
        <v>3060</v>
      </c>
      <c r="B241" s="2" t="s">
        <v>3061</v>
      </c>
      <c r="C241" s="2" t="s">
        <v>3336</v>
      </c>
      <c r="D241" s="3">
        <f>IF('Facts'!F712&lt;=0,NA(),(('Facts'!F711/'Facts'!F712))*1)</f>
        <v>0.5709133985511718</v>
      </c>
      <c r="E241" s="4">
        <f>D241/K241</f>
        <v>0.5709133985511718</v>
      </c>
      <c r="F241" s="2" t="str">
        <f>IF(ISNUMBER(D241),"calculated","not_calculated")</f>
        <v>calculated</v>
      </c>
      <c r="G241" s="2">
        <f>IF(ISNUMBER(D241),"","检查缺失值、分母与输入；口径变更须重跑Python")</f>
        <v/>
      </c>
      <c r="H241" s="2" t="s">
        <v>3062</v>
      </c>
      <c r="I241" s="2" t="s">
        <v>3063</v>
      </c>
      <c r="J241" s="2" t="s">
        <v>2711</v>
      </c>
      <c r="K241" s="2">
        <v>1</v>
      </c>
      <c r="L241" s="2" t="s">
        <v>52</v>
      </c>
      <c r="M241" s="2" t="s">
        <v>1903</v>
      </c>
      <c r="N241" s="2"/>
      <c r="O241" s="2" t="s">
        <v>54</v>
      </c>
    </row>
    <row r="242" spans="1:15">
      <c r="A242" s="2" t="s">
        <v>3064</v>
      </c>
      <c r="B242" s="2" t="s">
        <v>3065</v>
      </c>
      <c r="C242" s="2" t="s">
        <v>3337</v>
      </c>
      <c r="D242" s="3">
        <f>(('Facts'!F712*0.5))*1</f>
        <v>2026036902.375</v>
      </c>
      <c r="E242" s="3">
        <f>D242/K242</f>
        <v>2026036902.375</v>
      </c>
      <c r="F242" s="2" t="str">
        <f>IF(ISNUMBER(D242),"calculated","not_calculated")</f>
        <v>calculated</v>
      </c>
      <c r="G242" s="2">
        <f>IF(ISNUMBER(D242),"","检查缺失值、分母与输入；口径变更须重跑Python")</f>
        <v/>
      </c>
      <c r="H242" s="2" t="s">
        <v>3066</v>
      </c>
      <c r="I242" s="2" t="s">
        <v>3067</v>
      </c>
      <c r="J242" s="2" t="s">
        <v>51</v>
      </c>
      <c r="K242" s="2">
        <v>1</v>
      </c>
      <c r="L242" s="2" t="s">
        <v>52</v>
      </c>
      <c r="M242" s="2" t="s">
        <v>1903</v>
      </c>
      <c r="N242" s="2"/>
      <c r="O242" s="2" t="s">
        <v>54</v>
      </c>
    </row>
    <row r="243" spans="1:15">
      <c r="A243" s="2" t="s">
        <v>3068</v>
      </c>
      <c r="B243" s="2" t="s">
        <v>3069</v>
      </c>
      <c r="C243" s="2" t="s">
        <v>3338</v>
      </c>
      <c r="D243" s="3">
        <f>(('Facts'!F711-'Calculations'!D242))*1</f>
        <v>287346324.675</v>
      </c>
      <c r="E243" s="3">
        <f>D243/K243</f>
        <v>287346324.675</v>
      </c>
      <c r="F243" s="2" t="str">
        <f>IF(ISNUMBER(D243),"calculated","not_calculated")</f>
        <v>calculated</v>
      </c>
      <c r="G243" s="2">
        <f>IF(ISNUMBER(D243),"","检查缺失值、分母与输入；口径变更须重跑Python")</f>
        <v/>
      </c>
      <c r="H243" s="2" t="s">
        <v>3070</v>
      </c>
      <c r="I243" s="2" t="s">
        <v>3071</v>
      </c>
      <c r="J243" s="2" t="s">
        <v>51</v>
      </c>
      <c r="K243" s="2">
        <v>1</v>
      </c>
      <c r="L243" s="2" t="s">
        <v>52</v>
      </c>
      <c r="M243" s="2" t="s">
        <v>1903</v>
      </c>
      <c r="N243" s="2"/>
      <c r="O243" s="2" t="s">
        <v>54</v>
      </c>
    </row>
    <row r="244" spans="1:15">
      <c r="A244" s="2" t="s">
        <v>3072</v>
      </c>
      <c r="B244" s="2" t="s">
        <v>3073</v>
      </c>
      <c r="C244" s="2" t="s">
        <v>3339</v>
      </c>
      <c r="D244" s="3">
        <f>(('Facts'!F715*1)+('Facts'!F716*1)+('Facts'!F717*1)+('Facts'!F718*-1)+('Facts'!F719*-1))*1</f>
        <v>2313383227.05</v>
      </c>
      <c r="E244" s="3">
        <f>D244/K244</f>
        <v>2313383227.05</v>
      </c>
      <c r="F244" s="2" t="str">
        <f>IF(ISNUMBER(D244),"calculated","not_calculated")</f>
        <v>calculated</v>
      </c>
      <c r="G244" s="2">
        <f>IF(ISNUMBER(D244),"","检查缺失值、分母与输入；口径变更须重跑Python")</f>
        <v/>
      </c>
      <c r="H244" s="2" t="s">
        <v>3074</v>
      </c>
      <c r="I244" s="2" t="s">
        <v>3075</v>
      </c>
      <c r="J244" s="2" t="s">
        <v>51</v>
      </c>
      <c r="K244" s="2">
        <v>1</v>
      </c>
      <c r="L244" s="2" t="s">
        <v>52</v>
      </c>
      <c r="M244" s="2" t="s">
        <v>1903</v>
      </c>
      <c r="N244" s="2" t="s">
        <v>391</v>
      </c>
      <c r="O244" s="2" t="s">
        <v>54</v>
      </c>
    </row>
    <row r="245" spans="1:15">
      <c r="A245" s="2" t="s">
        <v>3076</v>
      </c>
      <c r="B245" s="2" t="s">
        <v>3077</v>
      </c>
      <c r="C245" s="2" t="s">
        <v>3340</v>
      </c>
      <c r="D245" s="3">
        <f>(('Facts'!F722*1)+('Facts'!F724*-1))*1</f>
        <v>2197829100.0</v>
      </c>
      <c r="E245" s="3">
        <f>D245/K245</f>
        <v>2197829100.0</v>
      </c>
      <c r="F245" s="2" t="str">
        <f>IF(ISNUMBER(D245),"calculated","not_calculated")</f>
        <v>calculated</v>
      </c>
      <c r="G245" s="2">
        <f>IF(ISNUMBER(D245),"","检查缺失值、分母与输入；口径变更须重跑Python")</f>
        <v/>
      </c>
      <c r="H245" s="2" t="s">
        <v>3078</v>
      </c>
      <c r="I245" s="2" t="s">
        <v>3079</v>
      </c>
      <c r="J245" s="2" t="s">
        <v>51</v>
      </c>
      <c r="K245" s="2">
        <v>1</v>
      </c>
      <c r="L245" s="2" t="s">
        <v>52</v>
      </c>
      <c r="M245" s="2" t="s">
        <v>2259</v>
      </c>
      <c r="N245" s="2" t="s">
        <v>391</v>
      </c>
      <c r="O245" s="2" t="s">
        <v>54</v>
      </c>
    </row>
    <row r="246" spans="1:15">
      <c r="A246" s="2" t="s">
        <v>3080</v>
      </c>
      <c r="B246" s="2" t="s">
        <v>3081</v>
      </c>
      <c r="C246" s="2" t="s">
        <v>3341</v>
      </c>
      <c r="D246" s="3">
        <f>(('Facts'!F723*1)+('Facts'!F726*-1))*1</f>
        <v>2197820500.0</v>
      </c>
      <c r="E246" s="3">
        <f>D246/K246</f>
        <v>2197820500.0</v>
      </c>
      <c r="F246" s="2" t="str">
        <f>IF(ISNUMBER(D246),"calculated","not_calculated")</f>
        <v>calculated</v>
      </c>
      <c r="G246" s="2">
        <f>IF(ISNUMBER(D246),"","检查缺失值、分母与输入；口径变更须重跑Python")</f>
        <v/>
      </c>
      <c r="H246" s="2" t="s">
        <v>3082</v>
      </c>
      <c r="I246" s="2" t="s">
        <v>3083</v>
      </c>
      <c r="J246" s="2" t="s">
        <v>51</v>
      </c>
      <c r="K246" s="2">
        <v>1</v>
      </c>
      <c r="L246" s="2" t="s">
        <v>52</v>
      </c>
      <c r="M246" s="2" t="s">
        <v>2259</v>
      </c>
      <c r="N246" s="2" t="s">
        <v>1731</v>
      </c>
      <c r="O246" s="2" t="s">
        <v>1702</v>
      </c>
    </row>
    <row r="247" spans="1:15">
      <c r="A247" s="2" t="s">
        <v>3084</v>
      </c>
      <c r="B247" s="2" t="s">
        <v>3085</v>
      </c>
      <c r="C247" s="2" t="s">
        <v>3342</v>
      </c>
      <c r="D247" s="3">
        <f>IF('Facts'!F721&lt;=0,NA(),(('Facts'!F725/'Facts'!F721))*1)</f>
        <v>0.9999183348498635</v>
      </c>
      <c r="E247" s="4">
        <f>D247/K247</f>
        <v>0.9999183348498635</v>
      </c>
      <c r="F247" s="2" t="str">
        <f>IF(ISNUMBER(D247),"calculated","not_calculated")</f>
        <v>calculated</v>
      </c>
      <c r="G247" s="2">
        <f>IF(ISNUMBER(D247),"","检查缺失值、分母与输入；口径变更须重跑Python")</f>
        <v/>
      </c>
      <c r="H247" s="2" t="s">
        <v>3086</v>
      </c>
      <c r="I247" s="2" t="s">
        <v>3087</v>
      </c>
      <c r="J247" s="2" t="s">
        <v>2711</v>
      </c>
      <c r="K247" s="2">
        <v>1</v>
      </c>
      <c r="L247" s="2" t="s">
        <v>52</v>
      </c>
      <c r="M247" s="2" t="s">
        <v>2259</v>
      </c>
      <c r="N247" s="2"/>
      <c r="O247" s="2" t="s">
        <v>1702</v>
      </c>
    </row>
    <row r="248" spans="1:15">
      <c r="A248" s="2" t="s">
        <v>3088</v>
      </c>
      <c r="B248" s="2" t="s">
        <v>3089</v>
      </c>
      <c r="C248" s="2" t="s">
        <v>3343</v>
      </c>
      <c r="D248" s="3">
        <f>(('Facts'!F747*1)+('Facts'!F748*1))*1</f>
        <v>1361305100.0</v>
      </c>
      <c r="E248" s="3">
        <f>D248/K248</f>
        <v>136130.51</v>
      </c>
      <c r="F248" s="2" t="str">
        <f>IF(ISNUMBER(D248),"calculated","not_calculated")</f>
        <v>calculated</v>
      </c>
      <c r="G248" s="2">
        <f>IF(ISNUMBER(D248),"","检查缺失值、分母与输入；口径变更须重跑Python")</f>
        <v/>
      </c>
      <c r="H248" s="2" t="s">
        <v>3090</v>
      </c>
      <c r="I248" s="2" t="s">
        <v>3091</v>
      </c>
      <c r="J248" s="2" t="s">
        <v>3092</v>
      </c>
      <c r="K248" s="2">
        <v>10000</v>
      </c>
      <c r="L248" s="2" t="s">
        <v>52</v>
      </c>
      <c r="M248" s="2" t="s">
        <v>2358</v>
      </c>
      <c r="N248" s="2"/>
      <c r="O248" s="2" t="s">
        <v>54</v>
      </c>
    </row>
    <row r="249" spans="1:15">
      <c r="A249" s="2" t="s">
        <v>3093</v>
      </c>
      <c r="B249" s="2" t="s">
        <v>3094</v>
      </c>
      <c r="C249" s="2" t="s">
        <v>3344</v>
      </c>
      <c r="D249" s="3">
        <f>(('Facts'!F743*1)+('Facts'!F744*-1)+('Facts'!F745*1))*1</f>
        <v>1361305100.0</v>
      </c>
      <c r="E249" s="3">
        <f>D249/K249</f>
        <v>136130.51</v>
      </c>
      <c r="F249" s="2" t="str">
        <f>IF(ISNUMBER(D249),"calculated","not_calculated")</f>
        <v>calculated</v>
      </c>
      <c r="G249" s="2">
        <f>IF(ISNUMBER(D249),"","检查缺失值、分母与输入；口径变更须重跑Python")</f>
        <v/>
      </c>
      <c r="H249" s="2" t="s">
        <v>3095</v>
      </c>
      <c r="I249" s="2" t="s">
        <v>3096</v>
      </c>
      <c r="J249" s="2" t="s">
        <v>3092</v>
      </c>
      <c r="K249" s="2">
        <v>10000</v>
      </c>
      <c r="L249" s="2" t="s">
        <v>52</v>
      </c>
      <c r="M249" s="2" t="s">
        <v>2358</v>
      </c>
      <c r="N249" s="2"/>
      <c r="O249" s="2" t="s">
        <v>54</v>
      </c>
    </row>
  </sheetData>
  <autoFilter ref="A1:O249"/>
  <pageMargins left="0.25" right="0.25" top="0.75" bottom="0.75" header="0.3" footer="0.3"/>
  <pageSetup paperSize="8" fitToHeight="0" orientation="landscape"/>
</worksheet>
</file>

<file path=xl/worksheets/sheet4.xml><?xml version="1.0" encoding="utf-8"?>
<worksheet xmlns="http://schemas.openxmlformats.org/spreadsheetml/2006/main" xmlns:r="http://schemas.openxmlformats.org/officeDocument/2006/relationships">
  <sheetPr>
    <pageSetUpPr fitToPage="1"/>
  </sheetPr>
  <dimension ref="A1:J106"/>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30.7109375" customWidth="1"/>
    <col min="3" max="4" width="22.7109375" customWidth="1"/>
    <col min="5" max="6" width="24.7109375" customWidth="1"/>
    <col min="7" max="7" width="25.7109375" customWidth="1"/>
    <col min="8" max="8" width="38.7109375" customWidth="1"/>
    <col min="9" max="9" width="28.7109375" customWidth="1"/>
    <col min="10" max="10" width="12.7109375" customWidth="1"/>
  </cols>
  <sheetData>
    <row r="1" spans="1:10" ht="32" customHeight="1">
      <c r="A1" s="1" t="s">
        <v>31</v>
      </c>
      <c r="B1" s="1" t="s">
        <v>3345</v>
      </c>
      <c r="C1" s="1" t="s">
        <v>3346</v>
      </c>
      <c r="D1" s="1" t="s">
        <v>3347</v>
      </c>
      <c r="E1" s="1" t="s">
        <v>3348</v>
      </c>
      <c r="F1" s="1" t="s">
        <v>3349</v>
      </c>
      <c r="G1" s="1" t="s">
        <v>43</v>
      </c>
      <c r="H1" s="1" t="s">
        <v>3350</v>
      </c>
      <c r="I1" s="1" t="s">
        <v>3351</v>
      </c>
      <c r="J1" s="1" t="s">
        <v>3352</v>
      </c>
    </row>
    <row r="2" spans="1:10">
      <c r="A2" s="2" t="s">
        <v>3353</v>
      </c>
      <c r="B2" s="2" t="s">
        <v>2638</v>
      </c>
      <c r="C2" s="2" t="s">
        <v>122</v>
      </c>
      <c r="D2" s="2" t="s">
        <v>2637</v>
      </c>
      <c r="E2" s="3">
        <f>ROUND('Facts'!F23-'Calculations'!D2,J2)</f>
        <v>0.0</v>
      </c>
      <c r="F2" s="2">
        <v>0.02</v>
      </c>
      <c r="G2" s="2" t="str">
        <f>IF(COUNT(E2,F2)&lt;2,"not_tested",IF(ABS(E2)&lt;=F2,"within_input_tolerance","unexplained_difference"))</f>
        <v>within_input_tolerance</v>
      </c>
      <c r="H2" s="2" t="s">
        <v>3355</v>
      </c>
      <c r="I2" s="2">
        <f>IF(ISNUMBER(E2),"","missing or unavailable input")</f>
        <v/>
      </c>
      <c r="J2">
        <v>2</v>
      </c>
    </row>
    <row r="3" spans="1:10">
      <c r="A3" s="2" t="s">
        <v>3356</v>
      </c>
      <c r="B3" s="2" t="s">
        <v>2642</v>
      </c>
      <c r="C3" s="2" t="s">
        <v>204</v>
      </c>
      <c r="D3" s="2" t="s">
        <v>2641</v>
      </c>
      <c r="E3" s="3">
        <f>ROUND('Facts'!F50-'Calculations'!D3,J3)</f>
        <v>0.0</v>
      </c>
      <c r="F3" s="2">
        <v>0.02</v>
      </c>
      <c r="G3" s="2" t="str">
        <f>IF(COUNT(E3,F3)&lt;2,"not_tested",IF(ABS(E3)&lt;=F3,"within_input_tolerance","unexplained_difference"))</f>
        <v>within_input_tolerance</v>
      </c>
      <c r="H3" s="2" t="s">
        <v>3355</v>
      </c>
      <c r="I3" s="2">
        <f>IF(ISNUMBER(E3),"","missing or unavailable input")</f>
        <v/>
      </c>
      <c r="J3">
        <v>2</v>
      </c>
    </row>
    <row r="4" spans="1:10">
      <c r="A4" s="2" t="s">
        <v>3357</v>
      </c>
      <c r="B4" s="2" t="s">
        <v>2644</v>
      </c>
      <c r="C4" s="2" t="s">
        <v>270</v>
      </c>
      <c r="D4" s="2" t="s">
        <v>2643</v>
      </c>
      <c r="E4" s="3">
        <f>ROUND('Facts'!F72-'Calculations'!D4,J4)</f>
        <v>0.0</v>
      </c>
      <c r="F4" s="2">
        <v>0.02</v>
      </c>
      <c r="G4" s="2" t="str">
        <f>IF(COUNT(E4,F4)&lt;2,"not_tested",IF(ABS(E4)&lt;=F4,"within_input_tolerance","unexplained_difference"))</f>
        <v>within_input_tolerance</v>
      </c>
      <c r="H4" s="2" t="s">
        <v>3355</v>
      </c>
      <c r="I4" s="2">
        <f>IF(ISNUMBER(E4),"","missing or unavailable input")</f>
        <v/>
      </c>
      <c r="J4">
        <v>2</v>
      </c>
    </row>
    <row r="5" spans="1:10">
      <c r="A5" s="2" t="s">
        <v>3358</v>
      </c>
      <c r="B5" s="2" t="s">
        <v>2646</v>
      </c>
      <c r="C5" s="2" t="s">
        <v>312</v>
      </c>
      <c r="D5" s="2" t="s">
        <v>2645</v>
      </c>
      <c r="E5" s="3">
        <f>ROUND('Facts'!F86-'Calculations'!D5,J5)</f>
        <v>0.0</v>
      </c>
      <c r="F5" s="2">
        <v>0.02</v>
      </c>
      <c r="G5" s="2" t="str">
        <f>IF(COUNT(E5,F5)&lt;2,"not_tested",IF(ABS(E5)&lt;=F5,"within_input_tolerance","unexplained_difference"))</f>
        <v>within_input_tolerance</v>
      </c>
      <c r="H5" s="2" t="s">
        <v>3355</v>
      </c>
      <c r="I5" s="2">
        <f>IF(ISNUMBER(E5),"","missing or unavailable input")</f>
        <v/>
      </c>
      <c r="J5">
        <v>2</v>
      </c>
    </row>
    <row r="6" spans="1:10">
      <c r="A6" s="2" t="s">
        <v>3359</v>
      </c>
      <c r="B6" s="2" t="s">
        <v>2648</v>
      </c>
      <c r="C6" s="2" t="s">
        <v>370</v>
      </c>
      <c r="D6" s="2" t="s">
        <v>2647</v>
      </c>
      <c r="E6" s="3">
        <f>ROUND('Facts'!F105-'Calculations'!D6,J6)</f>
        <v>0.0</v>
      </c>
      <c r="F6" s="2">
        <v>0.02</v>
      </c>
      <c r="G6" s="2" t="str">
        <f>IF(COUNT(E6,F6)&lt;2,"not_tested",IF(ABS(E6)&lt;=F6,"within_input_tolerance","unexplained_difference"))</f>
        <v>within_input_tolerance</v>
      </c>
      <c r="H6" s="2" t="s">
        <v>3355</v>
      </c>
      <c r="I6" s="2">
        <f>IF(ISNUMBER(E6),"","missing or unavailable input")</f>
        <v/>
      </c>
      <c r="J6">
        <v>2</v>
      </c>
    </row>
    <row r="7" spans="1:10">
      <c r="A7" s="2" t="s">
        <v>3360</v>
      </c>
      <c r="B7" s="2" t="s">
        <v>2650</v>
      </c>
      <c r="C7" s="2" t="s">
        <v>382</v>
      </c>
      <c r="D7" s="2" t="s">
        <v>2649</v>
      </c>
      <c r="E7" s="3">
        <f>ROUND('Facts'!F109-'Calculations'!D7,J7)</f>
        <v>0.0</v>
      </c>
      <c r="F7" s="2">
        <v>0.02</v>
      </c>
      <c r="G7" s="2" t="str">
        <f>IF(COUNT(E7,F7)&lt;2,"not_tested",IF(ABS(E7)&lt;=F7,"within_input_tolerance","unexplained_difference"))</f>
        <v>within_input_tolerance</v>
      </c>
      <c r="H7" s="2" t="s">
        <v>3355</v>
      </c>
      <c r="I7" s="2">
        <f>IF(ISNUMBER(E7),"","missing or unavailable input")</f>
        <v/>
      </c>
      <c r="J7">
        <v>2</v>
      </c>
    </row>
    <row r="8" spans="1:10">
      <c r="A8" s="2" t="s">
        <v>3361</v>
      </c>
      <c r="B8" s="2" t="s">
        <v>2652</v>
      </c>
      <c r="C8" s="2" t="s">
        <v>210</v>
      </c>
      <c r="D8" s="2" t="s">
        <v>2651</v>
      </c>
      <c r="E8" s="3">
        <f>ROUND('Facts'!F52-'Calculations'!D8,J8)</f>
        <v>0.0</v>
      </c>
      <c r="F8" s="2">
        <v>0.02</v>
      </c>
      <c r="G8" s="2" t="str">
        <f>IF(COUNT(E8,F8)&lt;2,"not_tested",IF(ABS(E8)&lt;=F8,"within_input_tolerance","unexplained_difference"))</f>
        <v>within_input_tolerance</v>
      </c>
      <c r="H8" s="2" t="s">
        <v>3355</v>
      </c>
      <c r="I8" s="2">
        <f>IF(ISNUMBER(E8),"","missing or unavailable input")</f>
        <v/>
      </c>
      <c r="J8">
        <v>2</v>
      </c>
    </row>
    <row r="9" spans="1:10">
      <c r="A9" s="2" t="s">
        <v>3362</v>
      </c>
      <c r="B9" s="2" t="s">
        <v>2654</v>
      </c>
      <c r="C9" s="2" t="s">
        <v>318</v>
      </c>
      <c r="D9" s="2" t="s">
        <v>2653</v>
      </c>
      <c r="E9" s="3">
        <f>ROUND('Facts'!F88-'Calculations'!D9,J9)</f>
        <v>0.0</v>
      </c>
      <c r="F9" s="2">
        <v>0.02</v>
      </c>
      <c r="G9" s="2" t="str">
        <f>IF(COUNT(E9,F9)&lt;2,"not_tested",IF(ABS(E9)&lt;=F9,"within_input_tolerance","unexplained_difference"))</f>
        <v>within_input_tolerance</v>
      </c>
      <c r="H9" s="2" t="s">
        <v>3355</v>
      </c>
      <c r="I9" s="2">
        <f>IF(ISNUMBER(E9),"","missing or unavailable input")</f>
        <v/>
      </c>
      <c r="J9">
        <v>2</v>
      </c>
    </row>
    <row r="10" spans="1:10">
      <c r="A10" s="2" t="s">
        <v>3363</v>
      </c>
      <c r="B10" s="2" t="s">
        <v>3364</v>
      </c>
      <c r="C10" s="2" t="s">
        <v>210</v>
      </c>
      <c r="D10" s="2" t="s">
        <v>2655</v>
      </c>
      <c r="E10" s="3">
        <f>ROUND('Facts'!F52-'Calculations'!D10,J10)</f>
        <v>0.0</v>
      </c>
      <c r="F10" s="2">
        <v>0.02</v>
      </c>
      <c r="G10" s="2" t="str">
        <f>IF(COUNT(E10,F10)&lt;2,"not_tested",IF(ABS(E10)&lt;=F10,"within_input_tolerance","unexplained_difference"))</f>
        <v>within_input_tolerance</v>
      </c>
      <c r="H10" s="2" t="s">
        <v>3355</v>
      </c>
      <c r="I10" s="2">
        <f>IF(ISNUMBER(E10),"","missing or unavailable input")</f>
        <v/>
      </c>
      <c r="J10">
        <v>2</v>
      </c>
    </row>
    <row r="11" spans="1:10">
      <c r="A11" s="2" t="s">
        <v>3365</v>
      </c>
      <c r="B11" s="2" t="s">
        <v>2658</v>
      </c>
      <c r="C11" s="2" t="s">
        <v>446</v>
      </c>
      <c r="D11" s="2" t="s">
        <v>2657</v>
      </c>
      <c r="E11" s="3">
        <f>ROUND('Facts'!F129-'Calculations'!D11,J11)</f>
        <v>0.0</v>
      </c>
      <c r="F11" s="2">
        <v>0.02</v>
      </c>
      <c r="G11" s="2" t="str">
        <f>IF(COUNT(E11,F11)&lt;2,"not_tested",IF(ABS(E11)&lt;=F11,"within_input_tolerance","unexplained_difference"))</f>
        <v>within_input_tolerance</v>
      </c>
      <c r="H11" s="2" t="s">
        <v>3355</v>
      </c>
      <c r="I11" s="2">
        <f>IF(ISNUMBER(E11),"","missing or unavailable input")</f>
        <v/>
      </c>
      <c r="J11">
        <v>2</v>
      </c>
    </row>
    <row r="12" spans="1:10">
      <c r="A12" s="2" t="s">
        <v>3366</v>
      </c>
      <c r="B12" s="2" t="s">
        <v>2660</v>
      </c>
      <c r="C12" s="2" t="s">
        <v>506</v>
      </c>
      <c r="D12" s="2" t="s">
        <v>2659</v>
      </c>
      <c r="E12" s="3">
        <f>ROUND('Facts'!F149-'Calculations'!D12,J12)</f>
        <v>0.0</v>
      </c>
      <c r="F12" s="2">
        <v>0.02</v>
      </c>
      <c r="G12" s="2" t="str">
        <f>IF(COUNT(E12,F12)&lt;2,"not_tested",IF(ABS(E12)&lt;=F12,"within_input_tolerance","unexplained_difference"))</f>
        <v>within_input_tolerance</v>
      </c>
      <c r="H12" s="2" t="s">
        <v>3355</v>
      </c>
      <c r="I12" s="2">
        <f>IF(ISNUMBER(E12),"","missing or unavailable input")</f>
        <v/>
      </c>
      <c r="J12">
        <v>2</v>
      </c>
    </row>
    <row r="13" spans="1:10">
      <c r="A13" s="2" t="s">
        <v>3367</v>
      </c>
      <c r="B13" s="2" t="s">
        <v>2662</v>
      </c>
      <c r="C13" s="2" t="s">
        <v>518</v>
      </c>
      <c r="D13" s="2" t="s">
        <v>2661</v>
      </c>
      <c r="E13" s="3">
        <f>ROUND('Facts'!F153-'Calculations'!D13,J13)</f>
        <v>0.0</v>
      </c>
      <c r="F13" s="2">
        <v>0.02</v>
      </c>
      <c r="G13" s="2" t="str">
        <f>IF(COUNT(E13,F13)&lt;2,"not_tested",IF(ABS(E13)&lt;=F13,"within_input_tolerance","unexplained_difference"))</f>
        <v>within_input_tolerance</v>
      </c>
      <c r="H13" s="2" t="s">
        <v>3355</v>
      </c>
      <c r="I13" s="2">
        <f>IF(ISNUMBER(E13),"","missing or unavailable input")</f>
        <v/>
      </c>
      <c r="J13">
        <v>2</v>
      </c>
    </row>
    <row r="14" spans="1:10">
      <c r="A14" s="2" t="s">
        <v>3368</v>
      </c>
      <c r="B14" s="2" t="s">
        <v>2664</v>
      </c>
      <c r="C14" s="2" t="s">
        <v>542</v>
      </c>
      <c r="D14" s="2" t="s">
        <v>2663</v>
      </c>
      <c r="E14" s="3">
        <f>ROUND('Facts'!F161-'Calculations'!D14,J14)</f>
        <v>0.0</v>
      </c>
      <c r="F14" s="2">
        <v>0.02</v>
      </c>
      <c r="G14" s="2" t="str">
        <f>IF(COUNT(E14,F14)&lt;2,"not_tested",IF(ABS(E14)&lt;=F14,"within_input_tolerance","unexplained_difference"))</f>
        <v>within_input_tolerance</v>
      </c>
      <c r="H14" s="2" t="s">
        <v>3355</v>
      </c>
      <c r="I14" s="2">
        <f>IF(ISNUMBER(E14),"","missing or unavailable input")</f>
        <v/>
      </c>
      <c r="J14">
        <v>2</v>
      </c>
    </row>
    <row r="15" spans="1:10">
      <c r="A15" s="2" t="s">
        <v>3369</v>
      </c>
      <c r="B15" s="2" t="s">
        <v>2666</v>
      </c>
      <c r="C15" s="2" t="s">
        <v>567</v>
      </c>
      <c r="D15" s="2" t="s">
        <v>2665</v>
      </c>
      <c r="E15" s="3">
        <f>ROUND('Facts'!F169-'Calculations'!D15,J15)</f>
        <v>0.0</v>
      </c>
      <c r="F15" s="2">
        <v>0.02</v>
      </c>
      <c r="G15" s="2" t="str">
        <f>IF(COUNT(E15,F15)&lt;2,"not_tested",IF(ABS(E15)&lt;=F15,"within_input_tolerance","unexplained_difference"))</f>
        <v>within_input_tolerance</v>
      </c>
      <c r="H15" s="2" t="s">
        <v>3355</v>
      </c>
      <c r="I15" s="2">
        <f>IF(ISNUMBER(E15),"","missing or unavailable input")</f>
        <v/>
      </c>
      <c r="J15">
        <v>2</v>
      </c>
    </row>
    <row r="16" spans="1:10">
      <c r="A16" s="2" t="s">
        <v>3370</v>
      </c>
      <c r="B16" s="2" t="s">
        <v>2668</v>
      </c>
      <c r="C16" s="2" t="s">
        <v>597</v>
      </c>
      <c r="D16" s="2" t="s">
        <v>2667</v>
      </c>
      <c r="E16" s="3">
        <f>ROUND('Facts'!F179-'Calculations'!D16,J16)</f>
        <v>0.0</v>
      </c>
      <c r="F16" s="2">
        <v>0.02</v>
      </c>
      <c r="G16" s="2" t="str">
        <f>IF(COUNT(E16,F16)&lt;2,"not_tested",IF(ABS(E16)&lt;=F16,"within_input_tolerance","unexplained_difference"))</f>
        <v>within_input_tolerance</v>
      </c>
      <c r="H16" s="2" t="s">
        <v>3355</v>
      </c>
      <c r="I16" s="2">
        <f>IF(ISNUMBER(E16),"","missing or unavailable input")</f>
        <v/>
      </c>
      <c r="J16">
        <v>2</v>
      </c>
    </row>
    <row r="17" spans="1:10">
      <c r="A17" s="2" t="s">
        <v>3371</v>
      </c>
      <c r="B17" s="2" t="s">
        <v>2670</v>
      </c>
      <c r="C17" s="2" t="s">
        <v>603</v>
      </c>
      <c r="D17" s="2" t="s">
        <v>2669</v>
      </c>
      <c r="E17" s="3">
        <f>ROUND('Facts'!F181-'Calculations'!D17,J17)</f>
        <v>0.0</v>
      </c>
      <c r="F17" s="2">
        <v>0.02</v>
      </c>
      <c r="G17" s="2" t="str">
        <f>IF(COUNT(E17,F17)&lt;2,"not_tested",IF(ABS(E17)&lt;=F17,"within_input_tolerance","unexplained_difference"))</f>
        <v>within_input_tolerance</v>
      </c>
      <c r="H17" s="2" t="s">
        <v>3355</v>
      </c>
      <c r="I17" s="2">
        <f>IF(ISNUMBER(E17),"","missing or unavailable input")</f>
        <v/>
      </c>
      <c r="J17">
        <v>2</v>
      </c>
    </row>
    <row r="18" spans="1:10">
      <c r="A18" s="2" t="s">
        <v>3372</v>
      </c>
      <c r="B18" s="2" t="s">
        <v>2672</v>
      </c>
      <c r="C18" s="2" t="s">
        <v>673</v>
      </c>
      <c r="D18" s="2" t="s">
        <v>2671</v>
      </c>
      <c r="E18" s="3">
        <f>ROUND('Facts'!F204-'Calculations'!D18,J18)</f>
        <v>0.0</v>
      </c>
      <c r="F18" s="2">
        <v>0.02</v>
      </c>
      <c r="G18" s="2" t="str">
        <f>IF(COUNT(E18,F18)&lt;2,"not_tested",IF(ABS(E18)&lt;=F18,"within_input_tolerance","unexplained_difference"))</f>
        <v>within_input_tolerance</v>
      </c>
      <c r="H18" s="2" t="s">
        <v>3355</v>
      </c>
      <c r="I18" s="2">
        <f>IF(ISNUMBER(E18),"","missing or unavailable input")</f>
        <v/>
      </c>
      <c r="J18">
        <v>2</v>
      </c>
    </row>
    <row r="19" spans="1:10">
      <c r="A19" s="2" t="s">
        <v>3373</v>
      </c>
      <c r="B19" s="2" t="s">
        <v>2674</v>
      </c>
      <c r="C19" s="2" t="s">
        <v>727</v>
      </c>
      <c r="D19" s="2" t="s">
        <v>2673</v>
      </c>
      <c r="E19" s="3">
        <f>ROUND('Facts'!F222-'Calculations'!D19,J19)</f>
        <v>0.0</v>
      </c>
      <c r="F19" s="2">
        <v>0.02</v>
      </c>
      <c r="G19" s="2" t="str">
        <f>IF(COUNT(E19,F19)&lt;2,"not_tested",IF(ABS(E19)&lt;=F19,"within_input_tolerance","unexplained_difference"))</f>
        <v>within_input_tolerance</v>
      </c>
      <c r="H19" s="2" t="s">
        <v>3355</v>
      </c>
      <c r="I19" s="2">
        <f>IF(ISNUMBER(E19),"","missing or unavailable input")</f>
        <v/>
      </c>
      <c r="J19">
        <v>2</v>
      </c>
    </row>
    <row r="20" spans="1:10">
      <c r="A20" s="2" t="s">
        <v>3374</v>
      </c>
      <c r="B20" s="2" t="s">
        <v>2676</v>
      </c>
      <c r="C20" s="2" t="s">
        <v>739</v>
      </c>
      <c r="D20" s="2" t="s">
        <v>2675</v>
      </c>
      <c r="E20" s="3">
        <f>ROUND('Facts'!F226-'Calculations'!D20,J20)</f>
        <v>0.0</v>
      </c>
      <c r="F20" s="2">
        <v>0.02</v>
      </c>
      <c r="G20" s="2" t="str">
        <f>IF(COUNT(E20,F20)&lt;2,"not_tested",IF(ABS(E20)&lt;=F20,"within_input_tolerance","unexplained_difference"))</f>
        <v>within_input_tolerance</v>
      </c>
      <c r="H20" s="2" t="s">
        <v>3355</v>
      </c>
      <c r="I20" s="2">
        <f>IF(ISNUMBER(E20),"","missing or unavailable input")</f>
        <v/>
      </c>
      <c r="J20">
        <v>2</v>
      </c>
    </row>
    <row r="21" spans="1:10">
      <c r="A21" s="2" t="s">
        <v>3375</v>
      </c>
      <c r="B21" s="2" t="s">
        <v>3376</v>
      </c>
      <c r="C21" s="2" t="s">
        <v>518</v>
      </c>
      <c r="D21" s="2" t="s">
        <v>2677</v>
      </c>
      <c r="E21" s="3">
        <f>ROUND('Facts'!F153-'Calculations'!D21,J21)</f>
        <v>0.0</v>
      </c>
      <c r="F21" s="2">
        <v>0.02</v>
      </c>
      <c r="G21" s="2" t="str">
        <f>IF(COUNT(E21,F21)&lt;2,"not_tested",IF(ABS(E21)&lt;=F21,"within_input_tolerance","unexplained_difference"))</f>
        <v>within_input_tolerance</v>
      </c>
      <c r="H21" s="2" t="s">
        <v>3355</v>
      </c>
      <c r="I21" s="2">
        <f>IF(ISNUMBER(E21),"","missing or unavailable input")</f>
        <v/>
      </c>
      <c r="J21">
        <v>2</v>
      </c>
    </row>
    <row r="22" spans="1:10">
      <c r="A22" s="2" t="s">
        <v>3377</v>
      </c>
      <c r="B22" s="2" t="s">
        <v>489</v>
      </c>
      <c r="C22" s="2" t="s">
        <v>488</v>
      </c>
      <c r="D22" s="2" t="s">
        <v>2679</v>
      </c>
      <c r="E22" s="3">
        <f>ROUND('Facts'!F143-'Calculations'!D22,J22)</f>
        <v>0.0</v>
      </c>
      <c r="F22" s="2">
        <v>0.02</v>
      </c>
      <c r="G22" s="2" t="str">
        <f>IF(COUNT(E22,F22)&lt;2,"not_tested",IF(ABS(E22)&lt;=F22,"within_input_tolerance","unexplained_difference"))</f>
        <v>within_input_tolerance</v>
      </c>
      <c r="H22" s="2" t="s">
        <v>3355</v>
      </c>
      <c r="I22" s="2">
        <f>IF(ISNUMBER(E22),"","missing or unavailable input")</f>
        <v/>
      </c>
      <c r="J22">
        <v>2</v>
      </c>
    </row>
    <row r="23" spans="1:10">
      <c r="A23" s="2" t="s">
        <v>3378</v>
      </c>
      <c r="B23" s="2" t="s">
        <v>3379</v>
      </c>
      <c r="C23" s="2" t="s">
        <v>745</v>
      </c>
      <c r="D23" s="2" t="s">
        <v>2681</v>
      </c>
      <c r="E23" s="3">
        <f>ROUND('Facts'!F228-'Calculations'!D23,J23)</f>
        <v>0.0</v>
      </c>
      <c r="F23" s="2">
        <v>0.02</v>
      </c>
      <c r="G23" s="2" t="str">
        <f>IF(COUNT(E23,F23)&lt;2,"not_tested",IF(ABS(E23)&lt;=F23,"within_input_tolerance","unexplained_difference"))</f>
        <v>within_input_tolerance</v>
      </c>
      <c r="H23" s="2" t="s">
        <v>3355</v>
      </c>
      <c r="I23" s="2">
        <f>IF(ISNUMBER(E23),"","missing or unavailable input")</f>
        <v/>
      </c>
      <c r="J23">
        <v>2</v>
      </c>
    </row>
    <row r="24" spans="1:10">
      <c r="A24" s="2" t="s">
        <v>3380</v>
      </c>
      <c r="B24" s="2" t="s">
        <v>3381</v>
      </c>
      <c r="C24" s="2" t="s">
        <v>47</v>
      </c>
      <c r="D24" s="2" t="s">
        <v>2683</v>
      </c>
      <c r="E24" s="3">
        <f>ROUND('Facts'!F2-'Calculations'!D24,J24)</f>
        <v>0.0</v>
      </c>
      <c r="F24" s="2">
        <v>0.02</v>
      </c>
      <c r="G24" s="2" t="str">
        <f>IF(COUNT(E24,F24)&lt;2,"not_tested",IF(ABS(E24)&lt;=F24,"within_input_tolerance","unexplained_difference"))</f>
        <v>within_input_tolerance</v>
      </c>
      <c r="H24" s="2" t="s">
        <v>3355</v>
      </c>
      <c r="I24" s="2">
        <f>IF(ISNUMBER(E24),"","missing or unavailable input")</f>
        <v/>
      </c>
      <c r="J24">
        <v>2</v>
      </c>
    </row>
    <row r="25" spans="1:10">
      <c r="A25" s="2" t="s">
        <v>3382</v>
      </c>
      <c r="B25" s="2" t="s">
        <v>3383</v>
      </c>
      <c r="C25" s="2" t="s">
        <v>752</v>
      </c>
      <c r="D25" s="2" t="s">
        <v>2685</v>
      </c>
      <c r="E25" s="3">
        <f>ROUND('Facts'!F230-'Calculations'!D25,J25)</f>
        <v>0.0</v>
      </c>
      <c r="F25" s="2">
        <v>0.02</v>
      </c>
      <c r="G25" s="2" t="str">
        <f>IF(COUNT(E25,F25)&lt;2,"not_tested",IF(ABS(E25)&lt;=F25,"within_input_tolerance","unexplained_difference"))</f>
        <v>within_input_tolerance</v>
      </c>
      <c r="H25" s="2" t="s">
        <v>3355</v>
      </c>
      <c r="I25" s="2">
        <f>IF(ISNUMBER(E25),"","missing or unavailable input")</f>
        <v/>
      </c>
      <c r="J25">
        <v>2</v>
      </c>
    </row>
    <row r="26" spans="1:10">
      <c r="A26" s="2" t="s">
        <v>3384</v>
      </c>
      <c r="B26" s="2" t="s">
        <v>3385</v>
      </c>
      <c r="C26" s="2" t="s">
        <v>603</v>
      </c>
      <c r="D26" s="2" t="s">
        <v>2687</v>
      </c>
      <c r="E26" s="3">
        <f>ROUND('Facts'!F181-'Calculations'!D26,J26)</f>
        <v>0.0</v>
      </c>
      <c r="F26" s="2">
        <v>0.02</v>
      </c>
      <c r="G26" s="2" t="str">
        <f>IF(COUNT(E26,F26)&lt;2,"not_tested",IF(ABS(E26)&lt;=F26,"within_input_tolerance","unexplained_difference"))</f>
        <v>within_input_tolerance</v>
      </c>
      <c r="H26" s="2" t="s">
        <v>3355</v>
      </c>
      <c r="I26" s="2">
        <f>IF(ISNUMBER(E26),"","missing or unavailable input")</f>
        <v/>
      </c>
      <c r="J26">
        <v>2</v>
      </c>
    </row>
    <row r="27" spans="1:10">
      <c r="A27" s="2" t="s">
        <v>3386</v>
      </c>
      <c r="B27" s="2" t="s">
        <v>3387</v>
      </c>
      <c r="C27" s="2" t="s">
        <v>76</v>
      </c>
      <c r="D27" s="2" t="s">
        <v>2689</v>
      </c>
      <c r="E27" s="3">
        <f>ROUND('Facts'!F8-'Calculations'!D27,J27)</f>
        <v>0.0</v>
      </c>
      <c r="F27" s="2">
        <v>0.02</v>
      </c>
      <c r="G27" s="2" t="str">
        <f>IF(COUNT(E27,F27)&lt;2,"not_tested",IF(ABS(E27)&lt;=F27,"within_input_tolerance","unexplained_difference"))</f>
        <v>within_input_tolerance</v>
      </c>
      <c r="H27" s="2" t="s">
        <v>3355</v>
      </c>
      <c r="I27" s="2">
        <f>IF(ISNUMBER(E27),"","missing or unavailable input")</f>
        <v/>
      </c>
      <c r="J27">
        <v>2</v>
      </c>
    </row>
    <row r="28" spans="1:10">
      <c r="A28" s="2" t="s">
        <v>3388</v>
      </c>
      <c r="B28" s="2" t="s">
        <v>3389</v>
      </c>
      <c r="C28" s="2" t="s">
        <v>94</v>
      </c>
      <c r="D28" s="2" t="s">
        <v>2691</v>
      </c>
      <c r="E28" s="3">
        <f>ROUND('Facts'!F14-'Calculations'!D28,J28)</f>
        <v>0.0</v>
      </c>
      <c r="F28" s="2">
        <v>0.02</v>
      </c>
      <c r="G28" s="2" t="str">
        <f>IF(COUNT(E28,F28)&lt;2,"not_tested",IF(ABS(E28)&lt;=F28,"within_input_tolerance","unexplained_difference"))</f>
        <v>within_input_tolerance</v>
      </c>
      <c r="H28" s="2" t="s">
        <v>3355</v>
      </c>
      <c r="I28" s="2">
        <f>IF(ISNUMBER(E28),"","missing or unavailable input")</f>
        <v/>
      </c>
      <c r="J28">
        <v>2</v>
      </c>
    </row>
    <row r="29" spans="1:10">
      <c r="A29" s="2" t="s">
        <v>3390</v>
      </c>
      <c r="B29" s="2" t="s">
        <v>3391</v>
      </c>
      <c r="C29" s="2" t="s">
        <v>100</v>
      </c>
      <c r="D29" s="2" t="s">
        <v>2693</v>
      </c>
      <c r="E29" s="3">
        <f>ROUND('Facts'!F16-'Calculations'!D29,J29)</f>
        <v>0.0</v>
      </c>
      <c r="F29" s="2">
        <v>0.02</v>
      </c>
      <c r="G29" s="2" t="str">
        <f>IF(COUNT(E29,F29)&lt;2,"not_tested",IF(ABS(E29)&lt;=F29,"within_input_tolerance","unexplained_difference"))</f>
        <v>within_input_tolerance</v>
      </c>
      <c r="H29" s="2" t="s">
        <v>3355</v>
      </c>
      <c r="I29" s="2">
        <f>IF(ISNUMBER(E29),"","missing or unavailable input")</f>
        <v/>
      </c>
      <c r="J29">
        <v>2</v>
      </c>
    </row>
    <row r="30" spans="1:10">
      <c r="A30" s="2" t="s">
        <v>3392</v>
      </c>
      <c r="B30" s="2" t="s">
        <v>3393</v>
      </c>
      <c r="C30" s="2" t="s">
        <v>106</v>
      </c>
      <c r="D30" s="2" t="s">
        <v>2695</v>
      </c>
      <c r="E30" s="3">
        <f>ROUND('Facts'!F18-'Calculations'!D30,J30)</f>
        <v>0.0</v>
      </c>
      <c r="F30" s="2">
        <v>0.02</v>
      </c>
      <c r="G30" s="2" t="str">
        <f>IF(COUNT(E30,F30)&lt;2,"not_tested",IF(ABS(E30)&lt;=F30,"within_input_tolerance","unexplained_difference"))</f>
        <v>within_input_tolerance</v>
      </c>
      <c r="H30" s="2" t="s">
        <v>3355</v>
      </c>
      <c r="I30" s="2">
        <f>IF(ISNUMBER(E30),"","missing or unavailable input")</f>
        <v/>
      </c>
      <c r="J30">
        <v>2</v>
      </c>
    </row>
    <row r="31" spans="1:10">
      <c r="A31" s="2" t="s">
        <v>3394</v>
      </c>
      <c r="B31" s="2" t="s">
        <v>3395</v>
      </c>
      <c r="C31" s="2" t="s">
        <v>960</v>
      </c>
      <c r="D31" s="2" t="s">
        <v>2697</v>
      </c>
      <c r="E31" s="3">
        <f>ROUND('Facts'!F298-'Calculations'!D31,J31)</f>
        <v>0.0</v>
      </c>
      <c r="F31" s="2">
        <v>0.02</v>
      </c>
      <c r="G31" s="2" t="str">
        <f>IF(COUNT(E31,F31)&lt;2,"not_tested",IF(ABS(E31)&lt;=F31,"within_input_tolerance","unexplained_difference"))</f>
        <v>within_input_tolerance</v>
      </c>
      <c r="H31" s="2" t="s">
        <v>3355</v>
      </c>
      <c r="I31" s="2">
        <f>IF(ISNUMBER(E31),"","missing or unavailable input")</f>
        <v/>
      </c>
      <c r="J31">
        <v>2</v>
      </c>
    </row>
    <row r="32" spans="1:10">
      <c r="A32" s="2" t="s">
        <v>3396</v>
      </c>
      <c r="B32" s="2" t="s">
        <v>3397</v>
      </c>
      <c r="C32" s="2" t="s">
        <v>1029</v>
      </c>
      <c r="D32" s="2" t="s">
        <v>2699</v>
      </c>
      <c r="E32" s="3">
        <f>ROUND('Facts'!F320-'Calculations'!D32,J32)</f>
        <v>0.0</v>
      </c>
      <c r="F32" s="2">
        <v>0.02</v>
      </c>
      <c r="G32" s="2" t="str">
        <f>IF(COUNT(E32,F32)&lt;2,"not_tested",IF(ABS(E32)&lt;=F32,"within_input_tolerance","unexplained_difference"))</f>
        <v>within_input_tolerance</v>
      </c>
      <c r="H32" s="2" t="s">
        <v>3355</v>
      </c>
      <c r="I32" s="2">
        <f>IF(ISNUMBER(E32),"","missing or unavailable input")</f>
        <v/>
      </c>
      <c r="J32">
        <v>2</v>
      </c>
    </row>
    <row r="33" spans="1:10">
      <c r="A33" s="2" t="s">
        <v>3398</v>
      </c>
      <c r="B33" s="2" t="s">
        <v>3399</v>
      </c>
      <c r="C33" s="2" t="s">
        <v>856</v>
      </c>
      <c r="D33" s="2" t="s">
        <v>2701</v>
      </c>
      <c r="E33" s="3">
        <f>ROUND('Facts'!F264-'Calculations'!D33,J33)</f>
        <v>0.0</v>
      </c>
      <c r="F33" s="2">
        <v>0.02</v>
      </c>
      <c r="G33" s="2" t="str">
        <f>IF(COUNT(E33,F33)&lt;2,"not_tested",IF(ABS(E33)&lt;=F33,"within_input_tolerance","unexplained_difference"))</f>
        <v>within_input_tolerance</v>
      </c>
      <c r="H33" s="2" t="s">
        <v>3355</v>
      </c>
      <c r="I33" s="2">
        <f>IF(ISNUMBER(E33),"","missing or unavailable input")</f>
        <v/>
      </c>
      <c r="J33">
        <v>2</v>
      </c>
    </row>
    <row r="34" spans="1:10">
      <c r="A34" s="2" t="s">
        <v>3400</v>
      </c>
      <c r="B34" s="2" t="s">
        <v>3401</v>
      </c>
      <c r="C34" s="2" t="s">
        <v>1259</v>
      </c>
      <c r="D34" s="2" t="s">
        <v>2703</v>
      </c>
      <c r="E34" s="3">
        <f>ROUND('Facts'!F396-'Calculations'!D34,J34)</f>
        <v>0.0</v>
      </c>
      <c r="F34" s="2">
        <v>0.02</v>
      </c>
      <c r="G34" s="2" t="str">
        <f>IF(COUNT(E34,F34)&lt;2,"not_tested",IF(ABS(E34)&lt;=F34,"within_input_tolerance","unexplained_difference"))</f>
        <v>within_input_tolerance</v>
      </c>
      <c r="H34" s="2" t="s">
        <v>3355</v>
      </c>
      <c r="I34" s="2">
        <f>IF(ISNUMBER(E34),"","missing or unavailable input")</f>
        <v/>
      </c>
      <c r="J34">
        <v>2</v>
      </c>
    </row>
    <row r="35" spans="1:10">
      <c r="A35" s="2" t="s">
        <v>3402</v>
      </c>
      <c r="B35" s="2" t="s">
        <v>3403</v>
      </c>
      <c r="C35" s="2" t="s">
        <v>434</v>
      </c>
      <c r="D35" s="2" t="s">
        <v>2705</v>
      </c>
      <c r="E35" s="3">
        <f>ROUND('Facts'!F125-'Calculations'!D35,J35)</f>
        <v>0.0</v>
      </c>
      <c r="F35" s="2">
        <v>0.02</v>
      </c>
      <c r="G35" s="2" t="str">
        <f>IF(COUNT(E35,F35)&lt;2,"not_tested",IF(ABS(E35)&lt;=F35,"within_input_tolerance","unexplained_difference"))</f>
        <v>within_input_tolerance</v>
      </c>
      <c r="H35" s="2" t="s">
        <v>3355</v>
      </c>
      <c r="I35" s="2">
        <f>IF(ISNUMBER(E35),"","missing or unavailable input")</f>
        <v/>
      </c>
      <c r="J35">
        <v>2</v>
      </c>
    </row>
    <row r="36" spans="1:10">
      <c r="A36" s="2" t="s">
        <v>3404</v>
      </c>
      <c r="B36" s="2" t="s">
        <v>3405</v>
      </c>
      <c r="C36" s="2" t="s">
        <v>388</v>
      </c>
      <c r="D36" s="2" t="s">
        <v>2777</v>
      </c>
      <c r="E36" s="3">
        <f>ROUND('Facts'!F111-'Calculations'!D68,J36)</f>
        <v>0.0</v>
      </c>
      <c r="F36" s="2">
        <v>0.02</v>
      </c>
      <c r="G36" s="2" t="str">
        <f>IF(COUNT(E36,F36)&lt;2,"not_tested",IF(ABS(E36)&lt;=F36,"within_input_tolerance","unexplained_difference"))</f>
        <v>within_input_tolerance</v>
      </c>
      <c r="H36" s="2" t="s">
        <v>3355</v>
      </c>
      <c r="I36" s="2">
        <f>IF(ISNUMBER(E36),"","missing or unavailable input")</f>
        <v/>
      </c>
      <c r="J36">
        <v>2</v>
      </c>
    </row>
    <row r="37" spans="1:10">
      <c r="A37" s="2" t="s">
        <v>3406</v>
      </c>
      <c r="B37" s="2" t="s">
        <v>3407</v>
      </c>
      <c r="C37" s="2" t="s">
        <v>398</v>
      </c>
      <c r="D37" s="2" t="s">
        <v>2779</v>
      </c>
      <c r="E37" s="3">
        <f>ROUND('Facts'!F113-'Calculations'!D69,J37)</f>
        <v>0.0</v>
      </c>
      <c r="F37" s="2">
        <v>0.02</v>
      </c>
      <c r="G37" s="2" t="str">
        <f>IF(COUNT(E37,F37)&lt;2,"not_tested",IF(ABS(E37)&lt;=F37,"within_input_tolerance","unexplained_difference"))</f>
        <v>within_input_tolerance</v>
      </c>
      <c r="H37" s="2" t="s">
        <v>3355</v>
      </c>
      <c r="I37" s="2">
        <f>IF(ISNUMBER(E37),"","missing or unavailable input")</f>
        <v/>
      </c>
      <c r="J37">
        <v>2</v>
      </c>
    </row>
    <row r="38" spans="1:10">
      <c r="A38" s="2" t="s">
        <v>3408</v>
      </c>
      <c r="B38" s="2" t="s">
        <v>2638</v>
      </c>
      <c r="C38" s="2" t="s">
        <v>126</v>
      </c>
      <c r="D38" s="2" t="s">
        <v>2781</v>
      </c>
      <c r="E38" s="3">
        <f>ROUND('Facts'!F24-'Calculations'!D70,J38)</f>
        <v>0.0</v>
      </c>
      <c r="F38" s="2">
        <v>0.02</v>
      </c>
      <c r="G38" s="2" t="str">
        <f>IF(COUNT(E38,F38)&lt;2,"not_tested",IF(ABS(E38)&lt;=F38,"within_input_tolerance","unexplained_difference"))</f>
        <v>within_input_tolerance</v>
      </c>
      <c r="H38" s="2" t="s">
        <v>3355</v>
      </c>
      <c r="I38" s="2">
        <f>IF(ISNUMBER(E38),"","missing or unavailable input")</f>
        <v/>
      </c>
      <c r="J38">
        <v>2</v>
      </c>
    </row>
    <row r="39" spans="1:10">
      <c r="A39" s="2" t="s">
        <v>3409</v>
      </c>
      <c r="B39" s="2" t="s">
        <v>2642</v>
      </c>
      <c r="C39" s="2" t="s">
        <v>208</v>
      </c>
      <c r="D39" s="2" t="s">
        <v>2782</v>
      </c>
      <c r="E39" s="3">
        <f>ROUND('Facts'!F51-'Calculations'!D71,J39)</f>
        <v>0.0</v>
      </c>
      <c r="F39" s="2">
        <v>0.02</v>
      </c>
      <c r="G39" s="2" t="str">
        <f>IF(COUNT(E39,F39)&lt;2,"not_tested",IF(ABS(E39)&lt;=F39,"within_input_tolerance","unexplained_difference"))</f>
        <v>within_input_tolerance</v>
      </c>
      <c r="H39" s="2" t="s">
        <v>3355</v>
      </c>
      <c r="I39" s="2">
        <f>IF(ISNUMBER(E39),"","missing or unavailable input")</f>
        <v/>
      </c>
      <c r="J39">
        <v>2</v>
      </c>
    </row>
    <row r="40" spans="1:10">
      <c r="A40" s="2" t="s">
        <v>3410</v>
      </c>
      <c r="B40" s="2" t="s">
        <v>2644</v>
      </c>
      <c r="C40" s="2" t="s">
        <v>274</v>
      </c>
      <c r="D40" s="2" t="s">
        <v>2783</v>
      </c>
      <c r="E40" s="3">
        <f>ROUND('Facts'!F73-'Calculations'!D72,J40)</f>
        <v>0.0</v>
      </c>
      <c r="F40" s="2">
        <v>0.02</v>
      </c>
      <c r="G40" s="2" t="str">
        <f>IF(COUNT(E40,F40)&lt;2,"not_tested",IF(ABS(E40)&lt;=F40,"within_input_tolerance","unexplained_difference"))</f>
        <v>within_input_tolerance</v>
      </c>
      <c r="H40" s="2" t="s">
        <v>3355</v>
      </c>
      <c r="I40" s="2">
        <f>IF(ISNUMBER(E40),"","missing or unavailable input")</f>
        <v/>
      </c>
      <c r="J40">
        <v>2</v>
      </c>
    </row>
    <row r="41" spans="1:10">
      <c r="A41" s="2" t="s">
        <v>3411</v>
      </c>
      <c r="B41" s="2" t="s">
        <v>2646</v>
      </c>
      <c r="C41" s="2" t="s">
        <v>316</v>
      </c>
      <c r="D41" s="2" t="s">
        <v>2784</v>
      </c>
      <c r="E41" s="3">
        <f>ROUND('Facts'!F87-'Calculations'!D73,J41)</f>
        <v>0.0</v>
      </c>
      <c r="F41" s="2">
        <v>0.02</v>
      </c>
      <c r="G41" s="2" t="str">
        <f>IF(COUNT(E41,F41)&lt;2,"not_tested",IF(ABS(E41)&lt;=F41,"within_input_tolerance","unexplained_difference"))</f>
        <v>within_input_tolerance</v>
      </c>
      <c r="H41" s="2" t="s">
        <v>3355</v>
      </c>
      <c r="I41" s="2">
        <f>IF(ISNUMBER(E41),"","missing or unavailable input")</f>
        <v/>
      </c>
      <c r="J41">
        <v>2</v>
      </c>
    </row>
    <row r="42" spans="1:10">
      <c r="A42" s="2" t="s">
        <v>3412</v>
      </c>
      <c r="B42" s="2" t="s">
        <v>2648</v>
      </c>
      <c r="C42" s="2" t="s">
        <v>374</v>
      </c>
      <c r="D42" s="2" t="s">
        <v>2785</v>
      </c>
      <c r="E42" s="3">
        <f>ROUND('Facts'!F106-'Calculations'!D74,J42)</f>
        <v>0.0</v>
      </c>
      <c r="F42" s="2">
        <v>0.02</v>
      </c>
      <c r="G42" s="2" t="str">
        <f>IF(COUNT(E42,F42)&lt;2,"not_tested",IF(ABS(E42)&lt;=F42,"within_input_tolerance","unexplained_difference"))</f>
        <v>within_input_tolerance</v>
      </c>
      <c r="H42" s="2" t="s">
        <v>3355</v>
      </c>
      <c r="I42" s="2">
        <f>IF(ISNUMBER(E42),"","missing or unavailable input")</f>
        <v/>
      </c>
      <c r="J42">
        <v>2</v>
      </c>
    </row>
    <row r="43" spans="1:10">
      <c r="A43" s="2" t="s">
        <v>3413</v>
      </c>
      <c r="B43" s="2" t="s">
        <v>2650</v>
      </c>
      <c r="C43" s="2" t="s">
        <v>386</v>
      </c>
      <c r="D43" s="2" t="s">
        <v>2786</v>
      </c>
      <c r="E43" s="3">
        <f>ROUND('Facts'!F110-'Calculations'!D75,J43)</f>
        <v>0.0</v>
      </c>
      <c r="F43" s="2">
        <v>0.02</v>
      </c>
      <c r="G43" s="2" t="str">
        <f>IF(COUNT(E43,F43)&lt;2,"not_tested",IF(ABS(E43)&lt;=F43,"within_input_tolerance","unexplained_difference"))</f>
        <v>within_input_tolerance</v>
      </c>
      <c r="H43" s="2" t="s">
        <v>3355</v>
      </c>
      <c r="I43" s="2">
        <f>IF(ISNUMBER(E43),"","missing or unavailable input")</f>
        <v/>
      </c>
      <c r="J43">
        <v>2</v>
      </c>
    </row>
    <row r="44" spans="1:10">
      <c r="A44" s="2" t="s">
        <v>3414</v>
      </c>
      <c r="B44" s="2" t="s">
        <v>2652</v>
      </c>
      <c r="C44" s="2" t="s">
        <v>214</v>
      </c>
      <c r="D44" s="2" t="s">
        <v>2787</v>
      </c>
      <c r="E44" s="3">
        <f>ROUND('Facts'!F53-'Calculations'!D76,J44)</f>
        <v>0.0</v>
      </c>
      <c r="F44" s="2">
        <v>0.02</v>
      </c>
      <c r="G44" s="2" t="str">
        <f>IF(COUNT(E44,F44)&lt;2,"not_tested",IF(ABS(E44)&lt;=F44,"within_input_tolerance","unexplained_difference"))</f>
        <v>within_input_tolerance</v>
      </c>
      <c r="H44" s="2" t="s">
        <v>3355</v>
      </c>
      <c r="I44" s="2">
        <f>IF(ISNUMBER(E44),"","missing or unavailable input")</f>
        <v/>
      </c>
      <c r="J44">
        <v>2</v>
      </c>
    </row>
    <row r="45" spans="1:10">
      <c r="A45" s="2" t="s">
        <v>3415</v>
      </c>
      <c r="B45" s="2" t="s">
        <v>2654</v>
      </c>
      <c r="C45" s="2" t="s">
        <v>322</v>
      </c>
      <c r="D45" s="2" t="s">
        <v>2788</v>
      </c>
      <c r="E45" s="3">
        <f>ROUND('Facts'!F89-'Calculations'!D77,J45)</f>
        <v>0.0</v>
      </c>
      <c r="F45" s="2">
        <v>0.02</v>
      </c>
      <c r="G45" s="2" t="str">
        <f>IF(COUNT(E45,F45)&lt;2,"not_tested",IF(ABS(E45)&lt;=F45,"within_input_tolerance","unexplained_difference"))</f>
        <v>within_input_tolerance</v>
      </c>
      <c r="H45" s="2" t="s">
        <v>3355</v>
      </c>
      <c r="I45" s="2">
        <f>IF(ISNUMBER(E45),"","missing or unavailable input")</f>
        <v/>
      </c>
      <c r="J45">
        <v>2</v>
      </c>
    </row>
    <row r="46" spans="1:10">
      <c r="A46" s="2" t="s">
        <v>3416</v>
      </c>
      <c r="B46" s="2" t="s">
        <v>3364</v>
      </c>
      <c r="C46" s="2" t="s">
        <v>214</v>
      </c>
      <c r="D46" s="2" t="s">
        <v>2789</v>
      </c>
      <c r="E46" s="3">
        <f>ROUND('Facts'!F53-'Calculations'!D78,J46)</f>
        <v>0.0</v>
      </c>
      <c r="F46" s="2">
        <v>0.02</v>
      </c>
      <c r="G46" s="2" t="str">
        <f>IF(COUNT(E46,F46)&lt;2,"not_tested",IF(ABS(E46)&lt;=F46,"within_input_tolerance","unexplained_difference"))</f>
        <v>within_input_tolerance</v>
      </c>
      <c r="H46" s="2" t="s">
        <v>3355</v>
      </c>
      <c r="I46" s="2">
        <f>IF(ISNUMBER(E46),"","missing or unavailable input")</f>
        <v/>
      </c>
      <c r="J46">
        <v>2</v>
      </c>
    </row>
    <row r="47" spans="1:10">
      <c r="A47" s="2" t="s">
        <v>3417</v>
      </c>
      <c r="B47" s="2" t="s">
        <v>2658</v>
      </c>
      <c r="C47" s="2" t="s">
        <v>450</v>
      </c>
      <c r="D47" s="2" t="s">
        <v>2790</v>
      </c>
      <c r="E47" s="3">
        <f>ROUND('Facts'!F130-'Calculations'!D79,J47)</f>
        <v>0.0</v>
      </c>
      <c r="F47" s="2">
        <v>0.02</v>
      </c>
      <c r="G47" s="2" t="str">
        <f>IF(COUNT(E47,F47)&lt;2,"not_tested",IF(ABS(E47)&lt;=F47,"within_input_tolerance","unexplained_difference"))</f>
        <v>within_input_tolerance</v>
      </c>
      <c r="H47" s="2" t="s">
        <v>3355</v>
      </c>
      <c r="I47" s="2">
        <f>IF(ISNUMBER(E47),"","missing or unavailable input")</f>
        <v/>
      </c>
      <c r="J47">
        <v>2</v>
      </c>
    </row>
    <row r="48" spans="1:10">
      <c r="A48" s="2" t="s">
        <v>3418</v>
      </c>
      <c r="B48" s="2" t="s">
        <v>2660</v>
      </c>
      <c r="C48" s="2" t="s">
        <v>510</v>
      </c>
      <c r="D48" s="2" t="s">
        <v>2791</v>
      </c>
      <c r="E48" s="3">
        <f>ROUND('Facts'!F150-'Calculations'!D80,J48)</f>
        <v>0.0</v>
      </c>
      <c r="F48" s="2">
        <v>0.02</v>
      </c>
      <c r="G48" s="2" t="str">
        <f>IF(COUNT(E48,F48)&lt;2,"not_tested",IF(ABS(E48)&lt;=F48,"within_input_tolerance","unexplained_difference"))</f>
        <v>within_input_tolerance</v>
      </c>
      <c r="H48" s="2" t="s">
        <v>3355</v>
      </c>
      <c r="I48" s="2">
        <f>IF(ISNUMBER(E48),"","missing or unavailable input")</f>
        <v/>
      </c>
      <c r="J48">
        <v>2</v>
      </c>
    </row>
    <row r="49" spans="1:10">
      <c r="A49" s="2" t="s">
        <v>3419</v>
      </c>
      <c r="B49" s="2" t="s">
        <v>2662</v>
      </c>
      <c r="C49" s="2" t="s">
        <v>522</v>
      </c>
      <c r="D49" s="2" t="s">
        <v>2792</v>
      </c>
      <c r="E49" s="3">
        <f>ROUND('Facts'!F154-'Calculations'!D81,J49)</f>
        <v>0.0</v>
      </c>
      <c r="F49" s="2">
        <v>0.02</v>
      </c>
      <c r="G49" s="2" t="str">
        <f>IF(COUNT(E49,F49)&lt;2,"not_tested",IF(ABS(E49)&lt;=F49,"within_input_tolerance","unexplained_difference"))</f>
        <v>within_input_tolerance</v>
      </c>
      <c r="H49" s="2" t="s">
        <v>3355</v>
      </c>
      <c r="I49" s="2">
        <f>IF(ISNUMBER(E49),"","missing or unavailable input")</f>
        <v/>
      </c>
      <c r="J49">
        <v>2</v>
      </c>
    </row>
    <row r="50" spans="1:10">
      <c r="A50" s="2" t="s">
        <v>3420</v>
      </c>
      <c r="B50" s="2" t="s">
        <v>2664</v>
      </c>
      <c r="C50" s="2" t="s">
        <v>546</v>
      </c>
      <c r="D50" s="2" t="s">
        <v>2793</v>
      </c>
      <c r="E50" s="3">
        <f>ROUND('Facts'!F162-'Calculations'!D82,J50)</f>
        <v>0.0</v>
      </c>
      <c r="F50" s="2">
        <v>0.02</v>
      </c>
      <c r="G50" s="2" t="str">
        <f>IF(COUNT(E50,F50)&lt;2,"not_tested",IF(ABS(E50)&lt;=F50,"within_input_tolerance","unexplained_difference"))</f>
        <v>within_input_tolerance</v>
      </c>
      <c r="H50" s="2" t="s">
        <v>3355</v>
      </c>
      <c r="I50" s="2">
        <f>IF(ISNUMBER(E50),"","missing or unavailable input")</f>
        <v/>
      </c>
      <c r="J50">
        <v>2</v>
      </c>
    </row>
    <row r="51" spans="1:10">
      <c r="A51" s="2" t="s">
        <v>3421</v>
      </c>
      <c r="B51" s="2" t="s">
        <v>2666</v>
      </c>
      <c r="C51" s="2" t="s">
        <v>571</v>
      </c>
      <c r="D51" s="2" t="s">
        <v>2794</v>
      </c>
      <c r="E51" s="3">
        <f>ROUND('Facts'!F170-'Calculations'!D83,J51)</f>
        <v>0.0</v>
      </c>
      <c r="F51" s="2">
        <v>0.02</v>
      </c>
      <c r="G51" s="2" t="str">
        <f>IF(COUNT(E51,F51)&lt;2,"not_tested",IF(ABS(E51)&lt;=F51,"within_input_tolerance","unexplained_difference"))</f>
        <v>within_input_tolerance</v>
      </c>
      <c r="H51" s="2" t="s">
        <v>3355</v>
      </c>
      <c r="I51" s="2">
        <f>IF(ISNUMBER(E51),"","missing or unavailable input")</f>
        <v/>
      </c>
      <c r="J51">
        <v>2</v>
      </c>
    </row>
    <row r="52" spans="1:10">
      <c r="A52" s="2" t="s">
        <v>3422</v>
      </c>
      <c r="B52" s="2" t="s">
        <v>2668</v>
      </c>
      <c r="C52" s="2" t="s">
        <v>601</v>
      </c>
      <c r="D52" s="2" t="s">
        <v>2795</v>
      </c>
      <c r="E52" s="3">
        <f>ROUND('Facts'!F180-'Calculations'!D84,J52)</f>
        <v>0.0</v>
      </c>
      <c r="F52" s="2">
        <v>0.02</v>
      </c>
      <c r="G52" s="2" t="str">
        <f>IF(COUNT(E52,F52)&lt;2,"not_tested",IF(ABS(E52)&lt;=F52,"within_input_tolerance","unexplained_difference"))</f>
        <v>within_input_tolerance</v>
      </c>
      <c r="H52" s="2" t="s">
        <v>3355</v>
      </c>
      <c r="I52" s="2">
        <f>IF(ISNUMBER(E52),"","missing or unavailable input")</f>
        <v/>
      </c>
      <c r="J52">
        <v>2</v>
      </c>
    </row>
    <row r="53" spans="1:10">
      <c r="A53" s="2" t="s">
        <v>3423</v>
      </c>
      <c r="B53" s="2" t="s">
        <v>2670</v>
      </c>
      <c r="C53" s="2" t="s">
        <v>607</v>
      </c>
      <c r="D53" s="2" t="s">
        <v>2796</v>
      </c>
      <c r="E53" s="3">
        <f>ROUND('Facts'!F182-'Calculations'!D85,J53)</f>
        <v>0.0</v>
      </c>
      <c r="F53" s="2">
        <v>0.02</v>
      </c>
      <c r="G53" s="2" t="str">
        <f>IF(COUNT(E53,F53)&lt;2,"not_tested",IF(ABS(E53)&lt;=F53,"within_input_tolerance","unexplained_difference"))</f>
        <v>within_input_tolerance</v>
      </c>
      <c r="H53" s="2" t="s">
        <v>3355</v>
      </c>
      <c r="I53" s="2">
        <f>IF(ISNUMBER(E53),"","missing or unavailable input")</f>
        <v/>
      </c>
      <c r="J53">
        <v>2</v>
      </c>
    </row>
    <row r="54" spans="1:10">
      <c r="A54" s="2" t="s">
        <v>3424</v>
      </c>
      <c r="B54" s="2" t="s">
        <v>2672</v>
      </c>
      <c r="C54" s="2" t="s">
        <v>677</v>
      </c>
      <c r="D54" s="2" t="s">
        <v>2797</v>
      </c>
      <c r="E54" s="3">
        <f>ROUND('Facts'!F205-'Calculations'!D86,J54)</f>
        <v>0.0</v>
      </c>
      <c r="F54" s="2">
        <v>0.02</v>
      </c>
      <c r="G54" s="2" t="str">
        <f>IF(COUNT(E54,F54)&lt;2,"not_tested",IF(ABS(E54)&lt;=F54,"within_input_tolerance","unexplained_difference"))</f>
        <v>within_input_tolerance</v>
      </c>
      <c r="H54" s="2" t="s">
        <v>3355</v>
      </c>
      <c r="I54" s="2">
        <f>IF(ISNUMBER(E54),"","missing or unavailable input")</f>
        <v/>
      </c>
      <c r="J54">
        <v>2</v>
      </c>
    </row>
    <row r="55" spans="1:10">
      <c r="A55" s="2" t="s">
        <v>3425</v>
      </c>
      <c r="B55" s="2" t="s">
        <v>2674</v>
      </c>
      <c r="C55" s="2" t="s">
        <v>731</v>
      </c>
      <c r="D55" s="2" t="s">
        <v>2798</v>
      </c>
      <c r="E55" s="3">
        <f>ROUND('Facts'!F223-'Calculations'!D87,J55)</f>
        <v>0.0</v>
      </c>
      <c r="F55" s="2">
        <v>0.02</v>
      </c>
      <c r="G55" s="2" t="str">
        <f>IF(COUNT(E55,F55)&lt;2,"not_tested",IF(ABS(E55)&lt;=F55,"within_input_tolerance","unexplained_difference"))</f>
        <v>within_input_tolerance</v>
      </c>
      <c r="H55" s="2" t="s">
        <v>3355</v>
      </c>
      <c r="I55" s="2">
        <f>IF(ISNUMBER(E55),"","missing or unavailable input")</f>
        <v/>
      </c>
      <c r="J55">
        <v>2</v>
      </c>
    </row>
    <row r="56" spans="1:10">
      <c r="A56" s="2" t="s">
        <v>3426</v>
      </c>
      <c r="B56" s="2" t="s">
        <v>2676</v>
      </c>
      <c r="C56" s="2" t="s">
        <v>743</v>
      </c>
      <c r="D56" s="2" t="s">
        <v>2799</v>
      </c>
      <c r="E56" s="3">
        <f>ROUND('Facts'!F227-'Calculations'!D88,J56)</f>
        <v>0.0</v>
      </c>
      <c r="F56" s="2">
        <v>0.02</v>
      </c>
      <c r="G56" s="2" t="str">
        <f>IF(COUNT(E56,F56)&lt;2,"not_tested",IF(ABS(E56)&lt;=F56,"within_input_tolerance","unexplained_difference"))</f>
        <v>within_input_tolerance</v>
      </c>
      <c r="H56" s="2" t="s">
        <v>3355</v>
      </c>
      <c r="I56" s="2">
        <f>IF(ISNUMBER(E56),"","missing or unavailable input")</f>
        <v/>
      </c>
      <c r="J56">
        <v>2</v>
      </c>
    </row>
    <row r="57" spans="1:10">
      <c r="A57" s="2" t="s">
        <v>3427</v>
      </c>
      <c r="B57" s="2" t="s">
        <v>3376</v>
      </c>
      <c r="C57" s="2" t="s">
        <v>522</v>
      </c>
      <c r="D57" s="2" t="s">
        <v>2800</v>
      </c>
      <c r="E57" s="3">
        <f>ROUND('Facts'!F154-'Calculations'!D89,J57)</f>
        <v>0.0</v>
      </c>
      <c r="F57" s="2">
        <v>0.02</v>
      </c>
      <c r="G57" s="2" t="str">
        <f>IF(COUNT(E57,F57)&lt;2,"not_tested",IF(ABS(E57)&lt;=F57,"within_input_tolerance","unexplained_difference"))</f>
        <v>within_input_tolerance</v>
      </c>
      <c r="H57" s="2" t="s">
        <v>3355</v>
      </c>
      <c r="I57" s="2">
        <f>IF(ISNUMBER(E57),"","missing or unavailable input")</f>
        <v/>
      </c>
      <c r="J57">
        <v>2</v>
      </c>
    </row>
    <row r="58" spans="1:10">
      <c r="A58" s="2" t="s">
        <v>3428</v>
      </c>
      <c r="B58" s="2" t="s">
        <v>489</v>
      </c>
      <c r="C58" s="2" t="s">
        <v>492</v>
      </c>
      <c r="D58" s="2" t="s">
        <v>2801</v>
      </c>
      <c r="E58" s="3">
        <f>ROUND('Facts'!F144-'Calculations'!D90,J58)</f>
        <v>0.0</v>
      </c>
      <c r="F58" s="2">
        <v>0.02</v>
      </c>
      <c r="G58" s="2" t="str">
        <f>IF(COUNT(E58,F58)&lt;2,"not_tested",IF(ABS(E58)&lt;=F58,"within_input_tolerance","unexplained_difference"))</f>
        <v>within_input_tolerance</v>
      </c>
      <c r="H58" s="2" t="s">
        <v>3355</v>
      </c>
      <c r="I58" s="2">
        <f>IF(ISNUMBER(E58),"","missing or unavailable input")</f>
        <v/>
      </c>
      <c r="J58">
        <v>2</v>
      </c>
    </row>
    <row r="59" spans="1:10">
      <c r="A59" s="2" t="s">
        <v>3429</v>
      </c>
      <c r="B59" s="2" t="s">
        <v>3379</v>
      </c>
      <c r="C59" s="2" t="s">
        <v>750</v>
      </c>
      <c r="D59" s="2" t="s">
        <v>2802</v>
      </c>
      <c r="E59" s="3">
        <f>ROUND('Facts'!F229-'Calculations'!D91,J59)</f>
        <v>0.0</v>
      </c>
      <c r="F59" s="2">
        <v>0.02</v>
      </c>
      <c r="G59" s="2" t="str">
        <f>IF(COUNT(E59,F59)&lt;2,"not_tested",IF(ABS(E59)&lt;=F59,"within_input_tolerance","unexplained_difference"))</f>
        <v>within_input_tolerance</v>
      </c>
      <c r="H59" s="2" t="s">
        <v>3355</v>
      </c>
      <c r="I59" s="2">
        <f>IF(ISNUMBER(E59),"","missing or unavailable input")</f>
        <v/>
      </c>
      <c r="J59">
        <v>2</v>
      </c>
    </row>
    <row r="60" spans="1:10">
      <c r="A60" s="2" t="s">
        <v>3430</v>
      </c>
      <c r="B60" s="2" t="s">
        <v>3381</v>
      </c>
      <c r="C60" s="2" t="s">
        <v>60</v>
      </c>
      <c r="D60" s="2" t="s">
        <v>2803</v>
      </c>
      <c r="E60" s="3">
        <f>ROUND('Facts'!F3-'Calculations'!D92,J60)</f>
        <v>0.0</v>
      </c>
      <c r="F60" s="2">
        <v>0.02</v>
      </c>
      <c r="G60" s="2" t="str">
        <f>IF(COUNT(E60,F60)&lt;2,"not_tested",IF(ABS(E60)&lt;=F60,"within_input_tolerance","unexplained_difference"))</f>
        <v>within_input_tolerance</v>
      </c>
      <c r="H60" s="2" t="s">
        <v>3355</v>
      </c>
      <c r="I60" s="2">
        <f>IF(ISNUMBER(E60),"","missing or unavailable input")</f>
        <v/>
      </c>
      <c r="J60">
        <v>2</v>
      </c>
    </row>
    <row r="61" spans="1:10">
      <c r="A61" s="2" t="s">
        <v>3431</v>
      </c>
      <c r="B61" s="2" t="s">
        <v>3383</v>
      </c>
      <c r="C61" s="2" t="s">
        <v>756</v>
      </c>
      <c r="D61" s="2" t="s">
        <v>2804</v>
      </c>
      <c r="E61" s="3">
        <f>ROUND('Facts'!F231-'Calculations'!D93,J61)</f>
        <v>0.0</v>
      </c>
      <c r="F61" s="2">
        <v>0.02</v>
      </c>
      <c r="G61" s="2" t="str">
        <f>IF(COUNT(E61,F61)&lt;2,"not_tested",IF(ABS(E61)&lt;=F61,"within_input_tolerance","unexplained_difference"))</f>
        <v>within_input_tolerance</v>
      </c>
      <c r="H61" s="2" t="s">
        <v>3355</v>
      </c>
      <c r="I61" s="2">
        <f>IF(ISNUMBER(E61),"","missing or unavailable input")</f>
        <v/>
      </c>
      <c r="J61">
        <v>2</v>
      </c>
    </row>
    <row r="62" spans="1:10">
      <c r="A62" s="2" t="s">
        <v>3432</v>
      </c>
      <c r="B62" s="2" t="s">
        <v>3385</v>
      </c>
      <c r="C62" s="2" t="s">
        <v>607</v>
      </c>
      <c r="D62" s="2" t="s">
        <v>2805</v>
      </c>
      <c r="E62" s="3">
        <f>ROUND('Facts'!F182-'Calculations'!D94,J62)</f>
        <v>0.0</v>
      </c>
      <c r="F62" s="2">
        <v>0.02</v>
      </c>
      <c r="G62" s="2" t="str">
        <f>IF(COUNT(E62,F62)&lt;2,"not_tested",IF(ABS(E62)&lt;=F62,"within_input_tolerance","unexplained_difference"))</f>
        <v>within_input_tolerance</v>
      </c>
      <c r="H62" s="2" t="s">
        <v>3355</v>
      </c>
      <c r="I62" s="2">
        <f>IF(ISNUMBER(E62),"","missing or unavailable input")</f>
        <v/>
      </c>
      <c r="J62">
        <v>2</v>
      </c>
    </row>
    <row r="63" spans="1:10">
      <c r="A63" s="2" t="s">
        <v>3433</v>
      </c>
      <c r="B63" s="2" t="s">
        <v>3387</v>
      </c>
      <c r="C63" s="2" t="s">
        <v>80</v>
      </c>
      <c r="D63" s="2" t="s">
        <v>2806</v>
      </c>
      <c r="E63" s="3">
        <f>ROUND('Facts'!F9-'Calculations'!D95,J63)</f>
        <v>0.0</v>
      </c>
      <c r="F63" s="2">
        <v>0.02</v>
      </c>
      <c r="G63" s="2" t="str">
        <f>IF(COUNT(E63,F63)&lt;2,"not_tested",IF(ABS(E63)&lt;=F63,"within_input_tolerance","unexplained_difference"))</f>
        <v>within_input_tolerance</v>
      </c>
      <c r="H63" s="2" t="s">
        <v>3355</v>
      </c>
      <c r="I63" s="2">
        <f>IF(ISNUMBER(E63),"","missing or unavailable input")</f>
        <v/>
      </c>
      <c r="J63">
        <v>2</v>
      </c>
    </row>
    <row r="64" spans="1:10">
      <c r="A64" s="2" t="s">
        <v>3434</v>
      </c>
      <c r="B64" s="2" t="s">
        <v>3389</v>
      </c>
      <c r="C64" s="2" t="s">
        <v>98</v>
      </c>
      <c r="D64" s="2" t="s">
        <v>2807</v>
      </c>
      <c r="E64" s="3">
        <f>ROUND('Facts'!F15-'Calculations'!D96,J64)</f>
        <v>0.0</v>
      </c>
      <c r="F64" s="2">
        <v>0.02</v>
      </c>
      <c r="G64" s="2" t="str">
        <f>IF(COUNT(E64,F64)&lt;2,"not_tested",IF(ABS(E64)&lt;=F64,"within_input_tolerance","unexplained_difference"))</f>
        <v>within_input_tolerance</v>
      </c>
      <c r="H64" s="2" t="s">
        <v>3355</v>
      </c>
      <c r="I64" s="2">
        <f>IF(ISNUMBER(E64),"","missing or unavailable input")</f>
        <v/>
      </c>
      <c r="J64">
        <v>2</v>
      </c>
    </row>
    <row r="65" spans="1:10">
      <c r="A65" s="2" t="s">
        <v>3435</v>
      </c>
      <c r="B65" s="2" t="s">
        <v>3391</v>
      </c>
      <c r="C65" s="2" t="s">
        <v>104</v>
      </c>
      <c r="D65" s="2" t="s">
        <v>2808</v>
      </c>
      <c r="E65" s="3">
        <f>ROUND('Facts'!F17-'Calculations'!D97,J65)</f>
        <v>0.0</v>
      </c>
      <c r="F65" s="2">
        <v>0.02</v>
      </c>
      <c r="G65" s="2" t="str">
        <f>IF(COUNT(E65,F65)&lt;2,"not_tested",IF(ABS(E65)&lt;=F65,"within_input_tolerance","unexplained_difference"))</f>
        <v>within_input_tolerance</v>
      </c>
      <c r="H65" s="2" t="s">
        <v>3355</v>
      </c>
      <c r="I65" s="2">
        <f>IF(ISNUMBER(E65),"","missing or unavailable input")</f>
        <v/>
      </c>
      <c r="J65">
        <v>2</v>
      </c>
    </row>
    <row r="66" spans="1:10">
      <c r="A66" s="2" t="s">
        <v>3436</v>
      </c>
      <c r="B66" s="2" t="s">
        <v>3393</v>
      </c>
      <c r="C66" s="2" t="s">
        <v>110</v>
      </c>
      <c r="D66" s="2" t="s">
        <v>2809</v>
      </c>
      <c r="E66" s="3">
        <f>ROUND('Facts'!F19-'Calculations'!D98,J66)</f>
        <v>0.0</v>
      </c>
      <c r="F66" s="2">
        <v>0.02</v>
      </c>
      <c r="G66" s="2" t="str">
        <f>IF(COUNT(E66,F66)&lt;2,"not_tested",IF(ABS(E66)&lt;=F66,"within_input_tolerance","unexplained_difference"))</f>
        <v>within_input_tolerance</v>
      </c>
      <c r="H66" s="2" t="s">
        <v>3355</v>
      </c>
      <c r="I66" s="2">
        <f>IF(ISNUMBER(E66),"","missing or unavailable input")</f>
        <v/>
      </c>
      <c r="J66">
        <v>2</v>
      </c>
    </row>
    <row r="67" spans="1:10">
      <c r="A67" s="2" t="s">
        <v>3437</v>
      </c>
      <c r="B67" s="2" t="s">
        <v>3395</v>
      </c>
      <c r="C67" s="2" t="s">
        <v>964</v>
      </c>
      <c r="D67" s="2" t="s">
        <v>2810</v>
      </c>
      <c r="E67" s="3">
        <f>ROUND('Facts'!F299-'Calculations'!D99,J67)</f>
        <v>0.0</v>
      </c>
      <c r="F67" s="2">
        <v>0.02</v>
      </c>
      <c r="G67" s="2" t="str">
        <f>IF(COUNT(E67,F67)&lt;2,"not_tested",IF(ABS(E67)&lt;=F67,"within_input_tolerance","unexplained_difference"))</f>
        <v>within_input_tolerance</v>
      </c>
      <c r="H67" s="2" t="s">
        <v>3355</v>
      </c>
      <c r="I67" s="2">
        <f>IF(ISNUMBER(E67),"","missing or unavailable input")</f>
        <v/>
      </c>
      <c r="J67">
        <v>2</v>
      </c>
    </row>
    <row r="68" spans="1:10">
      <c r="A68" s="2" t="s">
        <v>3438</v>
      </c>
      <c r="B68" s="2" t="s">
        <v>3397</v>
      </c>
      <c r="C68" s="2" t="s">
        <v>1033</v>
      </c>
      <c r="D68" s="2" t="s">
        <v>2811</v>
      </c>
      <c r="E68" s="3">
        <f>ROUND('Facts'!F321-'Calculations'!D100,J68)</f>
        <v>0.0</v>
      </c>
      <c r="F68" s="2">
        <v>0.02</v>
      </c>
      <c r="G68" s="2" t="str">
        <f>IF(COUNT(E68,F68)&lt;2,"not_tested",IF(ABS(E68)&lt;=F68,"within_input_tolerance","unexplained_difference"))</f>
        <v>within_input_tolerance</v>
      </c>
      <c r="H68" s="2" t="s">
        <v>3355</v>
      </c>
      <c r="I68" s="2">
        <f>IF(ISNUMBER(E68),"","missing or unavailable input")</f>
        <v/>
      </c>
      <c r="J68">
        <v>2</v>
      </c>
    </row>
    <row r="69" spans="1:10">
      <c r="A69" s="2" t="s">
        <v>3439</v>
      </c>
      <c r="B69" s="2" t="s">
        <v>3399</v>
      </c>
      <c r="C69" s="2" t="s">
        <v>861</v>
      </c>
      <c r="D69" s="2" t="s">
        <v>2812</v>
      </c>
      <c r="E69" s="3">
        <f>ROUND('Facts'!F265-'Calculations'!D101,J69)</f>
        <v>0.0</v>
      </c>
      <c r="F69" s="2">
        <v>0.02</v>
      </c>
      <c r="G69" s="2" t="str">
        <f>IF(COUNT(E69,F69)&lt;2,"not_tested",IF(ABS(E69)&lt;=F69,"within_input_tolerance","unexplained_difference"))</f>
        <v>within_input_tolerance</v>
      </c>
      <c r="H69" s="2" t="s">
        <v>3355</v>
      </c>
      <c r="I69" s="2">
        <f>IF(ISNUMBER(E69),"","missing or unavailable input")</f>
        <v/>
      </c>
      <c r="J69">
        <v>2</v>
      </c>
    </row>
    <row r="70" spans="1:10">
      <c r="A70" s="2" t="s">
        <v>3440</v>
      </c>
      <c r="B70" s="2" t="s">
        <v>3401</v>
      </c>
      <c r="C70" s="2" t="s">
        <v>1264</v>
      </c>
      <c r="D70" s="2" t="s">
        <v>2813</v>
      </c>
      <c r="E70" s="3">
        <f>ROUND('Facts'!F397-'Calculations'!D102,J70)</f>
        <v>0.0</v>
      </c>
      <c r="F70" s="2">
        <v>0.02</v>
      </c>
      <c r="G70" s="2" t="str">
        <f>IF(COUNT(E70,F70)&lt;2,"not_tested",IF(ABS(E70)&lt;=F70,"within_input_tolerance","unexplained_difference"))</f>
        <v>within_input_tolerance</v>
      </c>
      <c r="H70" s="2" t="s">
        <v>3355</v>
      </c>
      <c r="I70" s="2">
        <f>IF(ISNUMBER(E70),"","missing or unavailable input")</f>
        <v/>
      </c>
      <c r="J70">
        <v>2</v>
      </c>
    </row>
    <row r="71" spans="1:10">
      <c r="A71" s="2" t="s">
        <v>3441</v>
      </c>
      <c r="B71" s="2" t="s">
        <v>3403</v>
      </c>
      <c r="C71" s="2" t="s">
        <v>438</v>
      </c>
      <c r="D71" s="2" t="s">
        <v>2814</v>
      </c>
      <c r="E71" s="3">
        <f>ROUND('Facts'!F126-'Calculations'!D103,J71)</f>
        <v>0.0</v>
      </c>
      <c r="F71" s="2">
        <v>0.02</v>
      </c>
      <c r="G71" s="2" t="str">
        <f>IF(COUNT(E71,F71)&lt;2,"not_tested",IF(ABS(E71)&lt;=F71,"within_input_tolerance","unexplained_difference"))</f>
        <v>within_input_tolerance</v>
      </c>
      <c r="H71" s="2" t="s">
        <v>3355</v>
      </c>
      <c r="I71" s="2">
        <f>IF(ISNUMBER(E71),"","missing or unavailable input")</f>
        <v/>
      </c>
      <c r="J71">
        <v>2</v>
      </c>
    </row>
    <row r="72" spans="1:10">
      <c r="A72" s="2" t="s">
        <v>3442</v>
      </c>
      <c r="B72" s="2" t="s">
        <v>3405</v>
      </c>
      <c r="C72" s="2" t="s">
        <v>395</v>
      </c>
      <c r="D72" s="2" t="s">
        <v>2847</v>
      </c>
      <c r="E72" s="3">
        <f>ROUND('Facts'!F112-'Calculations'!D136,J72)</f>
        <v>0.0</v>
      </c>
      <c r="F72" s="2">
        <v>0.02</v>
      </c>
      <c r="G72" s="2" t="str">
        <f>IF(COUNT(E72,F72)&lt;2,"not_tested",IF(ABS(E72)&lt;=F72,"within_input_tolerance","unexplained_difference"))</f>
        <v>within_input_tolerance</v>
      </c>
      <c r="H72" s="2" t="s">
        <v>3355</v>
      </c>
      <c r="I72" s="2">
        <f>IF(ISNUMBER(E72),"","missing or unavailable input")</f>
        <v/>
      </c>
      <c r="J72">
        <v>2</v>
      </c>
    </row>
    <row r="73" spans="1:10">
      <c r="A73" s="2" t="s">
        <v>3443</v>
      </c>
      <c r="B73" s="2" t="s">
        <v>3407</v>
      </c>
      <c r="C73" s="2" t="s">
        <v>402</v>
      </c>
      <c r="D73" s="2" t="s">
        <v>2848</v>
      </c>
      <c r="E73" s="3">
        <f>ROUND('Facts'!F114-'Calculations'!D137,J73)</f>
        <v>0.0</v>
      </c>
      <c r="F73" s="2">
        <v>0.02</v>
      </c>
      <c r="G73" s="2" t="str">
        <f>IF(COUNT(E73,F73)&lt;2,"not_tested",IF(ABS(E73)&lt;=F73,"within_input_tolerance","unexplained_difference"))</f>
        <v>within_input_tolerance</v>
      </c>
      <c r="H73" s="2" t="s">
        <v>3355</v>
      </c>
      <c r="I73" s="2">
        <f>IF(ISNUMBER(E73),"","missing or unavailable input")</f>
        <v/>
      </c>
      <c r="J73">
        <v>2</v>
      </c>
    </row>
    <row r="74" spans="1:10">
      <c r="A74" s="2" t="s">
        <v>3444</v>
      </c>
      <c r="B74" s="2" t="s">
        <v>2854</v>
      </c>
      <c r="C74" s="2" t="s">
        <v>863</v>
      </c>
      <c r="D74" s="2" t="s">
        <v>2853</v>
      </c>
      <c r="E74" s="3">
        <f>ROUND('Facts'!F266-'Calculations'!D140,J74)</f>
        <v>62431.64</v>
      </c>
      <c r="F74" s="2">
        <v>0.02</v>
      </c>
      <c r="G74" s="2" t="str">
        <f>IF(COUNT(E74,F74)&lt;2,"not_tested",IF(ABS(E74)&lt;=F74,"within_input_tolerance","unexplained_difference"))</f>
        <v>unexplained_difference</v>
      </c>
      <c r="H74" s="2" t="s">
        <v>3446</v>
      </c>
      <c r="I74" s="2">
        <f>IF(ISNUMBER(E74),"","missing or unavailable input")</f>
        <v/>
      </c>
      <c r="J74">
        <v>2</v>
      </c>
    </row>
    <row r="75" spans="1:10">
      <c r="A75" s="2" t="s">
        <v>3447</v>
      </c>
      <c r="B75" s="2" t="s">
        <v>2856</v>
      </c>
      <c r="C75" s="2" t="s">
        <v>985</v>
      </c>
      <c r="D75" s="2" t="s">
        <v>2855</v>
      </c>
      <c r="E75" s="3">
        <f>ROUND('Facts'!F306-'Calculations'!D141,J75)</f>
        <v>0.0</v>
      </c>
      <c r="F75" s="2">
        <v>0.02</v>
      </c>
      <c r="G75" s="2" t="str">
        <f>IF(COUNT(E75,F75)&lt;2,"not_tested",IF(ABS(E75)&lt;=F75,"within_input_tolerance","unexplained_difference"))</f>
        <v>within_input_tolerance</v>
      </c>
      <c r="H75" s="2" t="s">
        <v>3355</v>
      </c>
      <c r="I75" s="2">
        <f>IF(ISNUMBER(E75),"","missing or unavailable input")</f>
        <v/>
      </c>
      <c r="J75">
        <v>2</v>
      </c>
    </row>
    <row r="76" spans="1:10">
      <c r="A76" s="2" t="s">
        <v>3448</v>
      </c>
      <c r="B76" s="2" t="s">
        <v>2858</v>
      </c>
      <c r="C76" s="2" t="s">
        <v>1010</v>
      </c>
      <c r="D76" s="2" t="s">
        <v>2857</v>
      </c>
      <c r="E76" s="3">
        <f>ROUND('Facts'!F314-'Calculations'!D142,J76)</f>
        <v>0.0</v>
      </c>
      <c r="F76" s="2">
        <v>0.02</v>
      </c>
      <c r="G76" s="2" t="str">
        <f>IF(COUNT(E76,F76)&lt;2,"not_tested",IF(ABS(E76)&lt;=F76,"within_input_tolerance","unexplained_difference"))</f>
        <v>within_input_tolerance</v>
      </c>
      <c r="H76" s="2" t="s">
        <v>3355</v>
      </c>
      <c r="I76" s="2">
        <f>IF(ISNUMBER(E76),"","missing or unavailable input")</f>
        <v/>
      </c>
      <c r="J76">
        <v>2</v>
      </c>
    </row>
    <row r="77" spans="1:10">
      <c r="A77" s="2" t="s">
        <v>3449</v>
      </c>
      <c r="B77" s="2" t="s">
        <v>3450</v>
      </c>
      <c r="C77" s="2" t="s">
        <v>1035</v>
      </c>
      <c r="D77" s="2" t="s">
        <v>2859</v>
      </c>
      <c r="E77" s="3">
        <f>ROUND('Facts'!F322-'Calculations'!D143,J77)</f>
        <v>0.0</v>
      </c>
      <c r="F77" s="2">
        <v>0.02</v>
      </c>
      <c r="G77" s="2" t="str">
        <f>IF(COUNT(E77,F77)&lt;2,"not_tested",IF(ABS(E77)&lt;=F77,"within_input_tolerance","unexplained_difference"))</f>
        <v>within_input_tolerance</v>
      </c>
      <c r="H77" s="2" t="s">
        <v>3355</v>
      </c>
      <c r="I77" s="2">
        <f>IF(ISNUMBER(E77),"","missing or unavailable input")</f>
        <v/>
      </c>
      <c r="J77">
        <v>2</v>
      </c>
    </row>
    <row r="78" spans="1:10">
      <c r="A78" s="2" t="s">
        <v>3451</v>
      </c>
      <c r="B78" s="2" t="s">
        <v>3452</v>
      </c>
      <c r="C78" s="2" t="s">
        <v>1041</v>
      </c>
      <c r="D78" s="2" t="s">
        <v>2861</v>
      </c>
      <c r="E78" s="3">
        <f>ROUND('Facts'!F324-'Calculations'!D144,J78)</f>
        <v>0.0</v>
      </c>
      <c r="F78" s="2">
        <v>0.02</v>
      </c>
      <c r="G78" s="2" t="str">
        <f>IF(COUNT(E78,F78)&lt;2,"not_tested",IF(ABS(E78)&lt;=F78,"within_input_tolerance","unexplained_difference"))</f>
        <v>within_input_tolerance</v>
      </c>
      <c r="H78" s="2" t="s">
        <v>3355</v>
      </c>
      <c r="I78" s="2">
        <f>IF(ISNUMBER(E78),"","missing or unavailable input")</f>
        <v/>
      </c>
      <c r="J78">
        <v>2</v>
      </c>
    </row>
    <row r="79" spans="1:10">
      <c r="A79" s="2" t="s">
        <v>3453</v>
      </c>
      <c r="B79" s="2" t="s">
        <v>3454</v>
      </c>
      <c r="C79" s="2" t="s">
        <v>1047</v>
      </c>
      <c r="D79" s="2" t="s">
        <v>2863</v>
      </c>
      <c r="E79" s="3">
        <f>ROUND('Facts'!F326-'Calculations'!D145,J79)</f>
        <v>0.0</v>
      </c>
      <c r="F79" s="2">
        <v>0.02</v>
      </c>
      <c r="G79" s="2" t="str">
        <f>IF(COUNT(E79,F79)&lt;2,"not_tested",IF(ABS(E79)&lt;=F79,"within_input_tolerance","unexplained_difference"))</f>
        <v>within_input_tolerance</v>
      </c>
      <c r="H79" s="2" t="s">
        <v>3355</v>
      </c>
      <c r="I79" s="2">
        <f>IF(ISNUMBER(E79),"","missing or unavailable input")</f>
        <v/>
      </c>
      <c r="J79">
        <v>2</v>
      </c>
    </row>
    <row r="80" spans="1:10">
      <c r="A80" s="2" t="s">
        <v>3455</v>
      </c>
      <c r="B80" s="2" t="s">
        <v>3456</v>
      </c>
      <c r="C80" s="2" t="s">
        <v>1449</v>
      </c>
      <c r="D80" s="2" t="s">
        <v>2865</v>
      </c>
      <c r="E80" s="3">
        <f>ROUND('Facts'!F464-'Calculations'!D146,J80)</f>
        <v>12852572.76</v>
      </c>
      <c r="F80" s="2">
        <v>0.02</v>
      </c>
      <c r="G80" s="2" t="str">
        <f>IF(COUNT(E80,F80)&lt;2,"not_tested",IF(ABS(E80)&lt;=F80,"within_input_tolerance","unexplained_difference"))</f>
        <v>unexplained_difference</v>
      </c>
      <c r="H80" s="2" t="s">
        <v>3457</v>
      </c>
      <c r="I80" s="2">
        <f>IF(ISNUMBER(E80),"","missing or unavailable input")</f>
        <v/>
      </c>
      <c r="J80">
        <v>2</v>
      </c>
    </row>
    <row r="81" spans="1:10">
      <c r="A81" s="2" t="s">
        <v>3458</v>
      </c>
      <c r="B81" s="2" t="s">
        <v>3459</v>
      </c>
      <c r="C81" s="2" t="s">
        <v>282</v>
      </c>
      <c r="D81" s="2" t="s">
        <v>2868</v>
      </c>
      <c r="E81" s="3">
        <f>ROUND('Facts'!F76-'Calculations'!D147,J81)</f>
        <v>0.0</v>
      </c>
      <c r="F81" s="2">
        <v>0.02</v>
      </c>
      <c r="G81" s="2" t="str">
        <f>IF(COUNT(E81,F81)&lt;2,"not_tested",IF(ABS(E81)&lt;=F81,"within_input_tolerance","unexplained_difference"))</f>
        <v>within_input_tolerance</v>
      </c>
      <c r="H81" s="2" t="s">
        <v>3355</v>
      </c>
      <c r="I81" s="2">
        <f>IF(ISNUMBER(E81),"","missing or unavailable input")</f>
        <v/>
      </c>
      <c r="J81">
        <v>2</v>
      </c>
    </row>
    <row r="82" spans="1:10">
      <c r="A82" s="2" t="s">
        <v>3460</v>
      </c>
      <c r="B82" s="2" t="s">
        <v>3461</v>
      </c>
      <c r="C82" s="2" t="s">
        <v>1284</v>
      </c>
      <c r="D82" s="2" t="s">
        <v>2870</v>
      </c>
      <c r="E82" s="3">
        <f>ROUND('Facts'!F404-'Calculations'!D148,J82)</f>
        <v>0.0</v>
      </c>
      <c r="F82" s="2">
        <v>0.02</v>
      </c>
      <c r="G82" s="2" t="str">
        <f>IF(COUNT(E82,F82)&lt;2,"not_tested",IF(ABS(E82)&lt;=F82,"within_input_tolerance","unexplained_difference"))</f>
        <v>within_input_tolerance</v>
      </c>
      <c r="H82" s="2" t="s">
        <v>3355</v>
      </c>
      <c r="I82" s="2">
        <f>IF(ISNUMBER(E82),"","missing or unavailable input")</f>
        <v/>
      </c>
      <c r="J82">
        <v>2</v>
      </c>
    </row>
    <row r="83" spans="1:10">
      <c r="A83" s="2" t="s">
        <v>3462</v>
      </c>
      <c r="B83" s="2" t="s">
        <v>3463</v>
      </c>
      <c r="C83" s="2" t="s">
        <v>382</v>
      </c>
      <c r="D83" s="2" t="s">
        <v>2872</v>
      </c>
      <c r="E83" s="3">
        <f>ROUND('Facts'!F109-'Calculations'!D149,J83)</f>
        <v>0.0</v>
      </c>
      <c r="F83" s="2">
        <v>0.02</v>
      </c>
      <c r="G83" s="2" t="str">
        <f>IF(COUNT(E83,F83)&lt;2,"not_tested",IF(ABS(E83)&lt;=F83,"within_input_tolerance","unexplained_difference"))</f>
        <v>within_input_tolerance</v>
      </c>
      <c r="H83" s="2" t="s">
        <v>3355</v>
      </c>
      <c r="I83" s="2">
        <f>IF(ISNUMBER(E83),"","missing or unavailable input")</f>
        <v/>
      </c>
      <c r="J83">
        <v>2</v>
      </c>
    </row>
    <row r="84" spans="1:10">
      <c r="A84" s="2" t="s">
        <v>3464</v>
      </c>
      <c r="B84" s="2" t="s">
        <v>3465</v>
      </c>
      <c r="C84" s="2" t="s">
        <v>512</v>
      </c>
      <c r="D84" s="2" t="s">
        <v>2874</v>
      </c>
      <c r="E84" s="3">
        <f>ROUND('Facts'!F151-'Calculations'!D150,J84)</f>
        <v>0.0</v>
      </c>
      <c r="F84" s="2">
        <v>0.02</v>
      </c>
      <c r="G84" s="2" t="str">
        <f>IF(COUNT(E84,F84)&lt;2,"not_tested",IF(ABS(E84)&lt;=F84,"within_input_tolerance","unexplained_difference"))</f>
        <v>within_input_tolerance</v>
      </c>
      <c r="H84" s="2" t="s">
        <v>3355</v>
      </c>
      <c r="I84" s="2">
        <f>IF(ISNUMBER(E84),"","missing or unavailable input")</f>
        <v/>
      </c>
      <c r="J84">
        <v>2</v>
      </c>
    </row>
    <row r="85" spans="1:10">
      <c r="A85" s="2" t="s">
        <v>3466</v>
      </c>
      <c r="B85" s="2" t="s">
        <v>3467</v>
      </c>
      <c r="C85" s="2" t="s">
        <v>1291</v>
      </c>
      <c r="D85" s="2" t="s">
        <v>2894</v>
      </c>
      <c r="E85" s="3">
        <f>ROUND('Facts'!F406-'Calculations'!D159,J85)</f>
        <v>0.0</v>
      </c>
      <c r="F85" s="2">
        <v>0.02</v>
      </c>
      <c r="G85" s="2" t="str">
        <f>IF(COUNT(E85,F85)&lt;2,"not_tested",IF(ABS(E85)&lt;=F85,"within_input_tolerance","unexplained_difference"))</f>
        <v>within_input_tolerance</v>
      </c>
      <c r="H85" s="2" t="s">
        <v>3355</v>
      </c>
      <c r="I85" s="2">
        <f>IF(ISNUMBER(E85),"","missing or unavailable input")</f>
        <v/>
      </c>
      <c r="J85">
        <v>2</v>
      </c>
    </row>
    <row r="86" spans="1:10">
      <c r="A86" s="2" t="s">
        <v>3468</v>
      </c>
      <c r="B86" s="2" t="s">
        <v>3469</v>
      </c>
      <c r="C86" s="2" t="s">
        <v>1365</v>
      </c>
      <c r="D86" s="2" t="s">
        <v>2896</v>
      </c>
      <c r="E86" s="3">
        <f>ROUND('Facts'!F430-'Calculations'!D160,J86)</f>
        <v>0.0</v>
      </c>
      <c r="F86" s="2">
        <v>0.02</v>
      </c>
      <c r="G86" s="2" t="str">
        <f>IF(COUNT(E86,F86)&lt;2,"not_tested",IF(ABS(E86)&lt;=F86,"within_input_tolerance","unexplained_difference"))</f>
        <v>within_input_tolerance</v>
      </c>
      <c r="H86" s="2" t="s">
        <v>3355</v>
      </c>
      <c r="I86" s="2">
        <f>IF(ISNUMBER(E86),"","missing or unavailable input")</f>
        <v/>
      </c>
      <c r="J86">
        <v>2</v>
      </c>
    </row>
    <row r="87" spans="1:10">
      <c r="A87" s="2" t="s">
        <v>3470</v>
      </c>
      <c r="B87" s="2" t="s">
        <v>3467</v>
      </c>
      <c r="C87" s="2" t="s">
        <v>1297</v>
      </c>
      <c r="D87" s="2" t="s">
        <v>2898</v>
      </c>
      <c r="E87" s="3">
        <f>ROUND('Facts'!F407-'Calculations'!D161,J87)</f>
        <v>0.0</v>
      </c>
      <c r="F87" s="2">
        <v>0.02</v>
      </c>
      <c r="G87" s="2" t="str">
        <f>IF(COUNT(E87,F87)&lt;2,"not_tested",IF(ABS(E87)&lt;=F87,"within_input_tolerance","unexplained_difference"))</f>
        <v>within_input_tolerance</v>
      </c>
      <c r="H87" s="2" t="s">
        <v>3355</v>
      </c>
      <c r="I87" s="2">
        <f>IF(ISNUMBER(E87),"","missing or unavailable input")</f>
        <v/>
      </c>
      <c r="J87">
        <v>2</v>
      </c>
    </row>
    <row r="88" spans="1:10">
      <c r="A88" s="2" t="s">
        <v>3471</v>
      </c>
      <c r="B88" s="2" t="s">
        <v>3469</v>
      </c>
      <c r="C88" s="2" t="s">
        <v>1369</v>
      </c>
      <c r="D88" s="2" t="s">
        <v>2899</v>
      </c>
      <c r="E88" s="3">
        <f>ROUND('Facts'!F431-'Calculations'!D162,J88)</f>
        <v>0.0</v>
      </c>
      <c r="F88" s="2">
        <v>0.02</v>
      </c>
      <c r="G88" s="2" t="str">
        <f>IF(COUNT(E88,F88)&lt;2,"not_tested",IF(ABS(E88)&lt;=F88,"within_input_tolerance","unexplained_difference"))</f>
        <v>within_input_tolerance</v>
      </c>
      <c r="H88" s="2" t="s">
        <v>3355</v>
      </c>
      <c r="I88" s="2">
        <f>IF(ISNUMBER(E88),"","missing or unavailable input")</f>
        <v/>
      </c>
      <c r="J88">
        <v>2</v>
      </c>
    </row>
    <row r="89" spans="1:10">
      <c r="A89" s="2" t="s">
        <v>3472</v>
      </c>
      <c r="B89" s="2" t="s">
        <v>3473</v>
      </c>
      <c r="C89" s="2" t="s">
        <v>1761</v>
      </c>
      <c r="D89" s="2" t="s">
        <v>2900</v>
      </c>
      <c r="E89" s="3">
        <f>ROUND('Facts'!F576-'Calculations'!D163,J89)</f>
        <v>0.0</v>
      </c>
      <c r="F89" s="2">
        <v>0.02</v>
      </c>
      <c r="G89" s="2" t="str">
        <f>IF(COUNT(E89,F89)&lt;2,"not_tested",IF(ABS(E89)&lt;=F89,"within_input_tolerance","unexplained_difference"))</f>
        <v>within_input_tolerance</v>
      </c>
      <c r="H89" s="2" t="s">
        <v>3355</v>
      </c>
      <c r="I89" s="2">
        <f>IF(ISNUMBER(E89),"","missing or unavailable input")</f>
        <v/>
      </c>
      <c r="J89">
        <v>2</v>
      </c>
    </row>
    <row r="90" spans="1:10">
      <c r="A90" s="2" t="s">
        <v>3474</v>
      </c>
      <c r="B90" s="2" t="s">
        <v>2903</v>
      </c>
      <c r="C90" s="2" t="s">
        <v>1305</v>
      </c>
      <c r="D90" s="2" t="s">
        <v>2902</v>
      </c>
      <c r="E90" s="3">
        <f>ROUND('Facts'!F410-'Calculations'!D164,J90)</f>
        <v>0.0</v>
      </c>
      <c r="F90" s="2">
        <v>0.02</v>
      </c>
      <c r="G90" s="2" t="str">
        <f>IF(COUNT(E90,F90)&lt;2,"not_tested",IF(ABS(E90)&lt;=F90,"within_input_tolerance","unexplained_difference"))</f>
        <v>within_input_tolerance</v>
      </c>
      <c r="H90" s="2" t="s">
        <v>3355</v>
      </c>
      <c r="I90" s="2">
        <f>IF(ISNUMBER(E90),"","missing or unavailable input")</f>
        <v/>
      </c>
      <c r="J90">
        <v>2</v>
      </c>
    </row>
    <row r="91" spans="1:10">
      <c r="A91" s="2" t="s">
        <v>3475</v>
      </c>
      <c r="B91" s="2" t="s">
        <v>2905</v>
      </c>
      <c r="C91" s="2" t="s">
        <v>1578</v>
      </c>
      <c r="D91" s="2" t="s">
        <v>2904</v>
      </c>
      <c r="E91" s="3">
        <f>ROUND('Facts'!F510-'Calculations'!D165,J91)</f>
        <v>0.0</v>
      </c>
      <c r="F91" s="2">
        <v>0.02</v>
      </c>
      <c r="G91" s="2" t="str">
        <f>IF(COUNT(E91,F91)&lt;2,"not_tested",IF(ABS(E91)&lt;=F91,"within_input_tolerance","unexplained_difference"))</f>
        <v>within_input_tolerance</v>
      </c>
      <c r="H91" s="2" t="s">
        <v>3355</v>
      </c>
      <c r="I91" s="2">
        <f>IF(ISNUMBER(E91),"","missing or unavailable input")</f>
        <v/>
      </c>
      <c r="J91">
        <v>2</v>
      </c>
    </row>
    <row r="92" spans="1:10">
      <c r="A92" s="2" t="s">
        <v>3476</v>
      </c>
      <c r="B92" s="2" t="s">
        <v>3477</v>
      </c>
      <c r="C92" s="2" t="s">
        <v>1673</v>
      </c>
      <c r="D92" s="2" t="s">
        <v>2912</v>
      </c>
      <c r="E92" s="3">
        <f>ROUND('Facts'!F541-'Calculations'!D169,J92)</f>
        <v>0.0</v>
      </c>
      <c r="F92" s="2">
        <v>0.02</v>
      </c>
      <c r="G92" s="2" t="str">
        <f>IF(COUNT(E92,F92)&lt;2,"not_tested",IF(ABS(E92)&lt;=F92,"within_input_tolerance","unexplained_difference"))</f>
        <v>within_input_tolerance</v>
      </c>
      <c r="H92" s="2" t="s">
        <v>3355</v>
      </c>
      <c r="I92" s="2">
        <f>IF(ISNUMBER(E92),"","missing or unavailable input")</f>
        <v/>
      </c>
      <c r="J92">
        <v>2</v>
      </c>
    </row>
    <row r="93" spans="1:10">
      <c r="A93" s="2" t="s">
        <v>3478</v>
      </c>
      <c r="B93" s="2" t="s">
        <v>3479</v>
      </c>
      <c r="C93" s="2" t="s">
        <v>1699</v>
      </c>
      <c r="D93" s="2" t="s">
        <v>2920</v>
      </c>
      <c r="E93" s="3">
        <f>ROUND('Facts'!F549-'Calculations'!D173,J93)</f>
        <v>0.0</v>
      </c>
      <c r="F93" s="2">
        <v>0.02</v>
      </c>
      <c r="G93" s="2" t="str">
        <f>IF(COUNT(E93,F93)&lt;2,"not_tested",IF(ABS(E93)&lt;=F93,"within_input_tolerance","unexplained_difference"))</f>
        <v>within_input_tolerance</v>
      </c>
      <c r="H93" s="2" t="s">
        <v>3355</v>
      </c>
      <c r="I93" s="2">
        <f>IF(ISNUMBER(E93),"","missing or unavailable input")</f>
        <v/>
      </c>
      <c r="J93">
        <v>2</v>
      </c>
    </row>
    <row r="94" spans="1:10">
      <c r="A94" s="2" t="s">
        <v>3480</v>
      </c>
      <c r="B94" s="2" t="s">
        <v>3481</v>
      </c>
      <c r="C94" s="2" t="s">
        <v>1750</v>
      </c>
      <c r="D94" s="2" t="s">
        <v>2922</v>
      </c>
      <c r="E94" s="3">
        <f>ROUND('Facts'!F572-'Calculations'!D174,J94)</f>
        <v>0.0</v>
      </c>
      <c r="F94" s="2">
        <v>0.02</v>
      </c>
      <c r="G94" s="2" t="str">
        <f>IF(COUNT(E94,F94)&lt;2,"not_tested",IF(ABS(E94)&lt;=F94,"within_input_tolerance","unexplained_difference"))</f>
        <v>within_input_tolerance</v>
      </c>
      <c r="H94" s="2" t="s">
        <v>3355</v>
      </c>
      <c r="I94" s="2">
        <f>IF(ISNUMBER(E94),"","missing or unavailable input")</f>
        <v/>
      </c>
      <c r="J94">
        <v>2</v>
      </c>
    </row>
    <row r="95" spans="1:10">
      <c r="A95" s="2" t="s">
        <v>3482</v>
      </c>
      <c r="B95" s="2" t="s">
        <v>3483</v>
      </c>
      <c r="C95" s="2" t="s">
        <v>1710</v>
      </c>
      <c r="D95" s="2" t="s">
        <v>2924</v>
      </c>
      <c r="E95" s="3">
        <f>ROUND('Facts'!F553-'Calculations'!D175,J95)</f>
        <v>0.0</v>
      </c>
      <c r="F95" s="2">
        <v>0.02</v>
      </c>
      <c r="G95" s="2" t="str">
        <f>IF(COUNT(E95,F95)&lt;2,"not_tested",IF(ABS(E95)&lt;=F95,"within_input_tolerance","unexplained_difference"))</f>
        <v>within_input_tolerance</v>
      </c>
      <c r="H95" s="2" t="s">
        <v>3355</v>
      </c>
      <c r="I95" s="2">
        <f>IF(ISNUMBER(E95),"","missing or unavailable input")</f>
        <v/>
      </c>
      <c r="J95">
        <v>2</v>
      </c>
    </row>
    <row r="96" spans="1:10">
      <c r="A96" s="2" t="s">
        <v>3484</v>
      </c>
      <c r="B96" s="2" t="s">
        <v>3485</v>
      </c>
      <c r="C96" s="2" t="s">
        <v>1786</v>
      </c>
      <c r="D96" s="2" t="s">
        <v>2937</v>
      </c>
      <c r="E96" s="3">
        <f>ROUND('Facts'!F584-'Calculations'!D181,J96)</f>
        <v>0.0</v>
      </c>
      <c r="F96" s="2">
        <v>0.02</v>
      </c>
      <c r="G96" s="2" t="str">
        <f>IF(COUNT(E96,F96)&lt;2,"not_tested",IF(ABS(E96)&lt;=F96,"within_input_tolerance","unexplained_difference"))</f>
        <v>within_input_tolerance</v>
      </c>
      <c r="H96" s="2" t="s">
        <v>3355</v>
      </c>
      <c r="I96" s="2">
        <f>IF(ISNUMBER(E96),"","missing or unavailable input")</f>
        <v/>
      </c>
      <c r="J96">
        <v>2</v>
      </c>
    </row>
    <row r="97" spans="1:10">
      <c r="A97" s="2" t="s">
        <v>3486</v>
      </c>
      <c r="B97" s="2" t="s">
        <v>3487</v>
      </c>
      <c r="C97" s="2" t="s">
        <v>60</v>
      </c>
      <c r="D97" s="2" t="s">
        <v>2943</v>
      </c>
      <c r="E97" s="3">
        <f>ROUND('Facts'!F3-'Calculations'!D184,J97)</f>
        <v>0.0</v>
      </c>
      <c r="F97" s="2">
        <v>0.02</v>
      </c>
      <c r="G97" s="2" t="str">
        <f>IF(COUNT(E97,F97)&lt;2,"not_tested",IF(ABS(E97)&lt;=F97,"within_input_tolerance","unexplained_difference"))</f>
        <v>within_input_tolerance</v>
      </c>
      <c r="H97" s="2" t="s">
        <v>3355</v>
      </c>
      <c r="I97" s="2">
        <f>IF(ISNUMBER(E97),"","missing or unavailable input")</f>
        <v/>
      </c>
      <c r="J97">
        <v>2</v>
      </c>
    </row>
    <row r="98" spans="1:10">
      <c r="A98" s="2" t="s">
        <v>3488</v>
      </c>
      <c r="B98" s="2" t="s">
        <v>3489</v>
      </c>
      <c r="C98" s="2" t="s">
        <v>750</v>
      </c>
      <c r="D98" s="2" t="s">
        <v>2945</v>
      </c>
      <c r="E98" s="3">
        <f>ROUND('Facts'!F229-'Calculations'!D185,J98)</f>
        <v>0.0</v>
      </c>
      <c r="F98" s="2">
        <v>0.02</v>
      </c>
      <c r="G98" s="2" t="str">
        <f>IF(COUNT(E98,F98)&lt;2,"not_tested",IF(ABS(E98)&lt;=F98,"within_input_tolerance","unexplained_difference"))</f>
        <v>within_input_tolerance</v>
      </c>
      <c r="H98" s="2" t="s">
        <v>3355</v>
      </c>
      <c r="I98" s="2">
        <f>IF(ISNUMBER(E98),"","missing or unavailable input")</f>
        <v/>
      </c>
      <c r="J98">
        <v>2</v>
      </c>
    </row>
    <row r="99" spans="1:10">
      <c r="A99" s="2" t="s">
        <v>3490</v>
      </c>
      <c r="B99" s="2" t="s">
        <v>3491</v>
      </c>
      <c r="C99" s="2" t="s">
        <v>386</v>
      </c>
      <c r="D99" s="2" t="s">
        <v>3026</v>
      </c>
      <c r="E99" s="3">
        <f>ROUND('Facts'!F110-'Calculations'!D230,J99)</f>
        <v>0.0</v>
      </c>
      <c r="F99" s="2">
        <v>0.02</v>
      </c>
      <c r="G99" s="2" t="str">
        <f>IF(COUNT(E99,F99)&lt;2,"not_tested",IF(ABS(E99)&lt;=F99,"within_input_tolerance","unexplained_difference"))</f>
        <v>within_input_tolerance</v>
      </c>
      <c r="H99" s="2" t="s">
        <v>3355</v>
      </c>
      <c r="I99" s="2">
        <f>IF(ISNUMBER(E99),"","missing or unavailable input")</f>
        <v/>
      </c>
      <c r="J99">
        <v>2</v>
      </c>
    </row>
    <row r="100" spans="1:10">
      <c r="A100" s="2" t="s">
        <v>3492</v>
      </c>
      <c r="B100" s="2" t="s">
        <v>3493</v>
      </c>
      <c r="C100" s="2" t="s">
        <v>1586</v>
      </c>
      <c r="D100" s="2" t="s">
        <v>3028</v>
      </c>
      <c r="E100" s="3">
        <f>ROUND('Facts'!F512-'Calculations'!D231,J100)</f>
        <v>0.0</v>
      </c>
      <c r="F100" s="2">
        <v>0.02</v>
      </c>
      <c r="G100" s="2" t="str">
        <f>IF(COUNT(E100,F100)&lt;2,"not_tested",IF(ABS(E100)&lt;=F100,"within_input_tolerance","unexplained_difference"))</f>
        <v>within_input_tolerance</v>
      </c>
      <c r="H100" s="2" t="s">
        <v>3355</v>
      </c>
      <c r="I100" s="2">
        <f>IF(ISNUMBER(E100),"","missing or unavailable input")</f>
        <v/>
      </c>
      <c r="J100">
        <v>2</v>
      </c>
    </row>
    <row r="101" spans="1:10">
      <c r="A101" s="2" t="s">
        <v>3494</v>
      </c>
      <c r="B101" s="2" t="s">
        <v>3495</v>
      </c>
      <c r="C101" s="2" t="s">
        <v>2228</v>
      </c>
      <c r="D101" s="2" t="s">
        <v>3056</v>
      </c>
      <c r="E101" s="3">
        <f>ROUND('Facts'!F712-'Calculations'!D240,J101)</f>
        <v>0.0</v>
      </c>
      <c r="F101" s="2">
        <v>0</v>
      </c>
      <c r="G101" s="2" t="str">
        <f>IF(COUNT(E101,F101)&lt;2,"not_tested",IF(ABS(E101)&lt;=F101,"within_input_tolerance","unexplained_difference"))</f>
        <v>within_input_tolerance</v>
      </c>
      <c r="H101" s="2" t="s">
        <v>3496</v>
      </c>
      <c r="I101" s="2">
        <f>IF(ISNUMBER(E101),"","missing or unavailable input")</f>
        <v/>
      </c>
      <c r="J101">
        <v>2</v>
      </c>
    </row>
    <row r="102" spans="1:10">
      <c r="A102" s="2" t="s">
        <v>3497</v>
      </c>
      <c r="B102" s="2" t="s">
        <v>3498</v>
      </c>
      <c r="C102" s="2" t="s">
        <v>2223</v>
      </c>
      <c r="D102" s="2" t="s">
        <v>3072</v>
      </c>
      <c r="E102" s="3">
        <f>ROUND('Facts'!F711-'Calculations'!D244,J102)</f>
        <v>0.0</v>
      </c>
      <c r="F102" s="2">
        <v>0</v>
      </c>
      <c r="G102" s="2" t="str">
        <f>IF(COUNT(E102,F102)&lt;2,"not_tested",IF(ABS(E102)&lt;=F102,"within_input_tolerance","unexplained_difference"))</f>
        <v>within_input_tolerance</v>
      </c>
      <c r="H102" s="2" t="s">
        <v>3496</v>
      </c>
      <c r="I102" s="2">
        <f>IF(ISNUMBER(E102),"","missing or unavailable input")</f>
        <v/>
      </c>
      <c r="J102">
        <v>2</v>
      </c>
    </row>
    <row r="103" spans="1:10">
      <c r="A103" s="2" t="s">
        <v>3499</v>
      </c>
      <c r="B103" s="2" t="s">
        <v>3500</v>
      </c>
      <c r="C103" s="2" t="s">
        <v>2273</v>
      </c>
      <c r="D103" s="2" t="s">
        <v>3076</v>
      </c>
      <c r="E103" s="3">
        <f>ROUND('Facts'!F723-'Calculations'!D245,J103)</f>
        <v>0.0</v>
      </c>
      <c r="F103" s="2">
        <v>0</v>
      </c>
      <c r="G103" s="2" t="str">
        <f>IF(COUNT(E103,F103)&lt;2,"not_tested",IF(ABS(E103)&lt;=F103,"within_input_tolerance","unexplained_difference"))</f>
        <v>within_input_tolerance</v>
      </c>
      <c r="H103" s="2" t="s">
        <v>3496</v>
      </c>
      <c r="I103" s="2">
        <f>IF(ISNUMBER(E103),"","missing or unavailable input")</f>
        <v/>
      </c>
      <c r="J103">
        <v>0</v>
      </c>
    </row>
    <row r="104" spans="1:10">
      <c r="A104" s="2" t="s">
        <v>3501</v>
      </c>
      <c r="B104" s="2" t="s">
        <v>3502</v>
      </c>
      <c r="C104" s="2" t="s">
        <v>2278</v>
      </c>
      <c r="D104" s="2" t="s">
        <v>3080</v>
      </c>
      <c r="E104" s="3">
        <f>ROUND('Facts'!F725-'Calculations'!D246,J104)</f>
        <v>0.0</v>
      </c>
      <c r="F104" s="2">
        <v>0</v>
      </c>
      <c r="G104" s="2" t="str">
        <f>IF(COUNT(E104,F104)&lt;2,"not_tested",IF(ABS(E104)&lt;=F104,"within_input_tolerance","unexplained_difference"))</f>
        <v>within_input_tolerance</v>
      </c>
      <c r="H104" s="2" t="s">
        <v>3496</v>
      </c>
      <c r="I104" s="2">
        <f>IF(ISNUMBER(E104),"","missing or unavailable input")</f>
        <v/>
      </c>
      <c r="J104">
        <v>0</v>
      </c>
    </row>
    <row r="105" spans="1:10">
      <c r="A105" s="2" t="s">
        <v>3503</v>
      </c>
      <c r="B105" s="2" t="s">
        <v>3504</v>
      </c>
      <c r="C105" s="2" t="s">
        <v>2369</v>
      </c>
      <c r="D105" s="2" t="s">
        <v>3088</v>
      </c>
      <c r="E105" s="3">
        <f>ROUND('Facts'!F746-'Calculations'!D248,J105)</f>
        <v>0.0</v>
      </c>
      <c r="F105" s="2">
        <v>0</v>
      </c>
      <c r="G105" s="2" t="str">
        <f>IF(COUNT(E105,F105)&lt;2,"not_tested",IF(ABS(E105)&lt;=F105,"within_input_tolerance","unexplained_difference"))</f>
        <v>within_input_tolerance</v>
      </c>
      <c r="H105" s="2" t="s">
        <v>3496</v>
      </c>
      <c r="I105" s="2">
        <f>IF(ISNUMBER(E105),"","missing or unavailable input")</f>
        <v/>
      </c>
      <c r="J105">
        <v>2</v>
      </c>
    </row>
    <row r="106" spans="1:10">
      <c r="A106" s="2" t="s">
        <v>3505</v>
      </c>
      <c r="B106" s="2" t="s">
        <v>3506</v>
      </c>
      <c r="C106" s="2" t="s">
        <v>2369</v>
      </c>
      <c r="D106" s="2" t="s">
        <v>3093</v>
      </c>
      <c r="E106" s="3">
        <f>ROUND('Facts'!F746-'Calculations'!D249,J106)</f>
        <v>0.0</v>
      </c>
      <c r="F106" s="2">
        <v>0</v>
      </c>
      <c r="G106" s="2" t="str">
        <f>IF(COUNT(E106,F106)&lt;2,"not_tested",IF(ABS(E106)&lt;=F106,"within_input_tolerance","unexplained_difference"))</f>
        <v>within_input_tolerance</v>
      </c>
      <c r="H106" s="2" t="s">
        <v>3496</v>
      </c>
      <c r="I106" s="2">
        <f>IF(ISNUMBER(E106),"","missing or unavailable input")</f>
        <v/>
      </c>
      <c r="J106">
        <v>2</v>
      </c>
    </row>
  </sheetData>
  <autoFilter ref="A1:J106"/>
  <pageMargins left="0.25" right="0.25" top="0.75" bottom="0.75" header="0.3" footer="0.3"/>
  <pageSetup paperSize="8" fitToHeight="0" orientation="landscape"/>
</worksheet>
</file>

<file path=xl/worksheets/sheet5.xml><?xml version="1.0" encoding="utf-8"?>
<worksheet xmlns="http://schemas.openxmlformats.org/spreadsheetml/2006/main" xmlns:r="http://schemas.openxmlformats.org/officeDocument/2006/relationships">
  <dimension ref="A1:F39"/>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0.7109375" customWidth="1"/>
    <col min="2" max="2" width="60.7109375" customWidth="1"/>
    <col min="3" max="3" width="100.7109375" customWidth="1"/>
    <col min="4" max="4" width="20.7109375" customWidth="1"/>
    <col min="5" max="6" width="70.7109375" customWidth="1"/>
  </cols>
  <sheetData>
    <row r="1" spans="1:6" ht="32" customHeight="1">
      <c r="A1" s="1" t="s">
        <v>31</v>
      </c>
      <c r="B1" s="1" t="s">
        <v>3507</v>
      </c>
      <c r="C1" s="1" t="s">
        <v>3508</v>
      </c>
      <c r="D1" s="1" t="s">
        <v>3509</v>
      </c>
      <c r="E1" s="1" t="s">
        <v>3510</v>
      </c>
      <c r="F1" s="1" t="s">
        <v>3511</v>
      </c>
    </row>
    <row r="2" spans="1:6">
      <c r="A2" s="2" t="s">
        <v>3512</v>
      </c>
      <c r="B2" s="2" t="s">
        <v>3513</v>
      </c>
      <c r="C2" s="2" t="s">
        <v>3514</v>
      </c>
      <c r="D2" s="2" t="s">
        <v>3515</v>
      </c>
      <c r="E2" s="2" t="s">
        <v>3516</v>
      </c>
      <c r="F2" s="2" t="s">
        <v>3517</v>
      </c>
    </row>
    <row r="3" spans="1:6">
      <c r="A3" s="2" t="s">
        <v>3518</v>
      </c>
      <c r="B3" s="2" t="s">
        <v>3519</v>
      </c>
      <c r="C3" s="2" t="s">
        <v>3520</v>
      </c>
      <c r="D3" s="2" t="s">
        <v>3521</v>
      </c>
      <c r="E3" s="2" t="s">
        <v>3522</v>
      </c>
      <c r="F3" s="2" t="s">
        <v>3517</v>
      </c>
    </row>
    <row r="4" spans="1:6">
      <c r="A4" s="2" t="s">
        <v>3523</v>
      </c>
      <c r="B4" s="2" t="s">
        <v>3524</v>
      </c>
      <c r="C4" s="2" t="s">
        <v>3525</v>
      </c>
      <c r="D4" s="2" t="s">
        <v>3515</v>
      </c>
      <c r="E4" s="2" t="s">
        <v>3526</v>
      </c>
      <c r="F4" s="2" t="s">
        <v>3517</v>
      </c>
    </row>
    <row r="5" spans="1:6">
      <c r="A5" s="2" t="s">
        <v>3527</v>
      </c>
      <c r="B5" s="2" t="s">
        <v>3528</v>
      </c>
      <c r="C5" s="2" t="s">
        <v>3529</v>
      </c>
      <c r="D5" s="2" t="s">
        <v>3515</v>
      </c>
      <c r="E5" s="2" t="s">
        <v>3530</v>
      </c>
      <c r="F5" s="2" t="s">
        <v>3517</v>
      </c>
    </row>
    <row r="6" spans="1:6">
      <c r="A6" s="2" t="s">
        <v>3531</v>
      </c>
      <c r="B6" s="2" t="s">
        <v>3532</v>
      </c>
      <c r="C6" s="2" t="s">
        <v>3533</v>
      </c>
      <c r="D6" s="2" t="s">
        <v>3515</v>
      </c>
      <c r="E6" s="2" t="s">
        <v>3534</v>
      </c>
      <c r="F6" s="2" t="s">
        <v>3517</v>
      </c>
    </row>
    <row r="7" spans="1:6">
      <c r="A7" s="2" t="s">
        <v>3535</v>
      </c>
      <c r="B7" s="2" t="s">
        <v>3536</v>
      </c>
      <c r="C7" s="2" t="s">
        <v>3537</v>
      </c>
      <c r="D7" s="2" t="s">
        <v>3515</v>
      </c>
      <c r="E7" s="2" t="s">
        <v>3538</v>
      </c>
      <c r="F7" s="2" t="s">
        <v>3517</v>
      </c>
    </row>
    <row r="8" spans="1:6">
      <c r="A8" s="2" t="s">
        <v>3539</v>
      </c>
      <c r="B8" s="2" t="s">
        <v>3540</v>
      </c>
      <c r="C8" s="2" t="s">
        <v>3541</v>
      </c>
      <c r="D8" s="2" t="s">
        <v>3515</v>
      </c>
      <c r="E8" s="2" t="s">
        <v>3542</v>
      </c>
      <c r="F8" s="2" t="s">
        <v>3517</v>
      </c>
    </row>
    <row r="9" spans="1:6">
      <c r="A9" s="2" t="s">
        <v>3543</v>
      </c>
      <c r="B9" s="2" t="s">
        <v>3544</v>
      </c>
      <c r="C9" s="2" t="s">
        <v>3545</v>
      </c>
      <c r="D9" s="2" t="s">
        <v>1855</v>
      </c>
      <c r="E9" s="2" t="s">
        <v>3546</v>
      </c>
      <c r="F9" s="2" t="s">
        <v>3517</v>
      </c>
    </row>
    <row r="10" spans="1:6">
      <c r="A10" s="2" t="s">
        <v>3547</v>
      </c>
      <c r="B10" s="2" t="s">
        <v>3548</v>
      </c>
      <c r="C10" s="2" t="s">
        <v>3549</v>
      </c>
      <c r="D10" s="2" t="s">
        <v>1859</v>
      </c>
      <c r="E10" s="2" t="s">
        <v>3550</v>
      </c>
      <c r="F10" s="2" t="s">
        <v>3517</v>
      </c>
    </row>
    <row r="11" spans="1:6">
      <c r="A11" s="2" t="s">
        <v>3551</v>
      </c>
      <c r="B11" s="2" t="s">
        <v>3552</v>
      </c>
      <c r="C11" s="2" t="s">
        <v>3553</v>
      </c>
      <c r="D11" s="2" t="s">
        <v>3554</v>
      </c>
      <c r="E11" s="2" t="s">
        <v>3555</v>
      </c>
      <c r="F11" s="2" t="s">
        <v>3556</v>
      </c>
    </row>
    <row r="12" spans="1:6">
      <c r="A12" s="2" t="s">
        <v>3557</v>
      </c>
      <c r="B12" s="2" t="s">
        <v>3558</v>
      </c>
      <c r="C12" s="2" t="s">
        <v>3559</v>
      </c>
      <c r="D12" s="2" t="s">
        <v>3560</v>
      </c>
      <c r="E12" s="2" t="s">
        <v>3561</v>
      </c>
      <c r="F12" s="2" t="s">
        <v>3562</v>
      </c>
    </row>
    <row r="13" spans="1:6">
      <c r="A13" s="2" t="s">
        <v>3563</v>
      </c>
      <c r="B13" s="2" t="s">
        <v>3564</v>
      </c>
      <c r="C13" s="2" t="s">
        <v>3565</v>
      </c>
      <c r="D13" s="2" t="s">
        <v>3566</v>
      </c>
      <c r="E13" s="2" t="s">
        <v>3567</v>
      </c>
      <c r="F13" s="2" t="s">
        <v>3568</v>
      </c>
    </row>
    <row r="14" spans="1:6">
      <c r="A14" s="2" t="s">
        <v>3569</v>
      </c>
      <c r="B14" s="2" t="s">
        <v>3570</v>
      </c>
      <c r="C14" s="2" t="s">
        <v>3571</v>
      </c>
      <c r="D14" s="2" t="s">
        <v>3572</v>
      </c>
      <c r="E14" s="2" t="s">
        <v>3573</v>
      </c>
      <c r="F14" s="2" t="s">
        <v>3574</v>
      </c>
    </row>
    <row r="15" spans="1:6">
      <c r="A15" s="2" t="s">
        <v>3575</v>
      </c>
      <c r="B15" s="2" t="s">
        <v>3576</v>
      </c>
      <c r="C15" s="2" t="s">
        <v>3577</v>
      </c>
      <c r="D15" s="2" t="s">
        <v>3578</v>
      </c>
      <c r="E15" s="2" t="s">
        <v>3579</v>
      </c>
      <c r="F15" s="2" t="s">
        <v>3580</v>
      </c>
    </row>
    <row r="16" spans="1:6">
      <c r="A16" s="2" t="s">
        <v>3581</v>
      </c>
      <c r="B16" s="2" t="s">
        <v>3582</v>
      </c>
      <c r="C16" s="2" t="s">
        <v>3583</v>
      </c>
      <c r="D16" s="2" t="s">
        <v>3578</v>
      </c>
      <c r="E16" s="2" t="s">
        <v>3584</v>
      </c>
      <c r="F16" s="2" t="s">
        <v>3585</v>
      </c>
    </row>
    <row r="17" spans="1:6">
      <c r="A17" s="2" t="s">
        <v>3586</v>
      </c>
      <c r="B17" s="2" t="s">
        <v>3587</v>
      </c>
      <c r="C17" s="2" t="s">
        <v>3588</v>
      </c>
      <c r="D17" s="2" t="s">
        <v>3560</v>
      </c>
      <c r="E17" s="2" t="s">
        <v>3589</v>
      </c>
      <c r="F17" s="2" t="s">
        <v>3590</v>
      </c>
    </row>
    <row r="18" spans="1:6">
      <c r="A18" s="2" t="s">
        <v>3591</v>
      </c>
      <c r="B18" s="2" t="s">
        <v>3592</v>
      </c>
      <c r="C18" s="2" t="s">
        <v>3593</v>
      </c>
      <c r="D18" s="2" t="s">
        <v>3594</v>
      </c>
      <c r="E18" s="2" t="s">
        <v>3595</v>
      </c>
      <c r="F18" s="2" t="s">
        <v>3596</v>
      </c>
    </row>
    <row r="19" spans="1:6">
      <c r="A19" s="2" t="s">
        <v>3597</v>
      </c>
      <c r="B19" s="2" t="s">
        <v>3598</v>
      </c>
      <c r="C19" s="2" t="s">
        <v>3599</v>
      </c>
      <c r="D19" s="2" t="s">
        <v>3600</v>
      </c>
      <c r="E19" s="2" t="s">
        <v>3601</v>
      </c>
      <c r="F19" s="2" t="s">
        <v>3602</v>
      </c>
    </row>
    <row r="20" spans="1:6">
      <c r="A20" s="2" t="s">
        <v>3603</v>
      </c>
      <c r="B20" s="2" t="s">
        <v>3604</v>
      </c>
      <c r="C20" s="2" t="s">
        <v>3605</v>
      </c>
      <c r="D20" s="2" t="s">
        <v>3521</v>
      </c>
      <c r="E20" s="2" t="s">
        <v>3606</v>
      </c>
      <c r="F20" s="2" t="s">
        <v>3607</v>
      </c>
    </row>
    <row r="21" spans="1:6">
      <c r="A21" s="2" t="s">
        <v>3608</v>
      </c>
      <c r="B21" s="2" t="s">
        <v>3609</v>
      </c>
      <c r="C21" s="2" t="s">
        <v>3610</v>
      </c>
      <c r="D21" s="2" t="s">
        <v>2051</v>
      </c>
      <c r="E21" s="2" t="s">
        <v>3611</v>
      </c>
      <c r="F21" s="2" t="s">
        <v>3612</v>
      </c>
    </row>
    <row r="22" spans="1:6">
      <c r="A22" s="2" t="s">
        <v>3613</v>
      </c>
      <c r="B22" s="2" t="s">
        <v>3614</v>
      </c>
      <c r="C22" s="2" t="s">
        <v>3615</v>
      </c>
      <c r="D22" s="2" t="s">
        <v>3616</v>
      </c>
      <c r="E22" s="2" t="s">
        <v>3617</v>
      </c>
      <c r="F22" s="2" t="s">
        <v>3618</v>
      </c>
    </row>
    <row r="23" spans="1:6">
      <c r="A23" s="2" t="s">
        <v>3619</v>
      </c>
      <c r="B23" s="2" t="s">
        <v>3620</v>
      </c>
      <c r="C23" s="2" t="s">
        <v>3621</v>
      </c>
      <c r="D23" s="2" t="s">
        <v>3622</v>
      </c>
      <c r="E23" s="2" t="s">
        <v>3623</v>
      </c>
      <c r="F23" s="2" t="s">
        <v>3624</v>
      </c>
    </row>
    <row r="24" spans="1:6">
      <c r="A24" s="2" t="s">
        <v>3625</v>
      </c>
      <c r="B24" s="2" t="s">
        <v>3626</v>
      </c>
      <c r="C24" s="2" t="s">
        <v>3627</v>
      </c>
      <c r="D24" s="2" t="s">
        <v>2260</v>
      </c>
      <c r="E24" s="2" t="s">
        <v>3628</v>
      </c>
      <c r="F24" s="2" t="s">
        <v>3629</v>
      </c>
    </row>
    <row r="25" spans="1:6">
      <c r="A25" s="2" t="s">
        <v>3630</v>
      </c>
      <c r="B25" s="2" t="s">
        <v>3631</v>
      </c>
      <c r="C25" s="2" t="s">
        <v>3632</v>
      </c>
      <c r="D25" s="2" t="s">
        <v>3633</v>
      </c>
      <c r="E25" s="2" t="s">
        <v>3634</v>
      </c>
      <c r="F25" s="2" t="s">
        <v>3629</v>
      </c>
    </row>
    <row r="26" spans="1:6">
      <c r="A26" s="2" t="s">
        <v>3635</v>
      </c>
      <c r="B26" s="2" t="s">
        <v>3636</v>
      </c>
      <c r="C26" s="2" t="s">
        <v>3637</v>
      </c>
      <c r="D26" s="2" t="s">
        <v>3638</v>
      </c>
      <c r="E26" s="2" t="s">
        <v>3639</v>
      </c>
      <c r="F26" s="2" t="s">
        <v>3629</v>
      </c>
    </row>
    <row r="27" spans="1:6">
      <c r="A27" s="2" t="s">
        <v>3640</v>
      </c>
      <c r="B27" s="2" t="s">
        <v>3641</v>
      </c>
      <c r="C27" s="2" t="s">
        <v>3642</v>
      </c>
      <c r="D27" s="2" t="s">
        <v>3643</v>
      </c>
      <c r="E27" s="2" t="s">
        <v>3644</v>
      </c>
      <c r="F27" s="2" t="s">
        <v>3629</v>
      </c>
    </row>
    <row r="28" spans="1:6">
      <c r="A28" s="2" t="s">
        <v>3645</v>
      </c>
      <c r="B28" s="2" t="s">
        <v>3646</v>
      </c>
      <c r="C28" s="2" t="s">
        <v>3647</v>
      </c>
      <c r="D28" s="2" t="s">
        <v>3622</v>
      </c>
      <c r="E28" s="2" t="s">
        <v>3648</v>
      </c>
      <c r="F28" s="2" t="s">
        <v>3629</v>
      </c>
    </row>
    <row r="29" spans="1:6">
      <c r="A29" s="2" t="s">
        <v>3649</v>
      </c>
      <c r="B29" s="2" t="s">
        <v>3650</v>
      </c>
      <c r="C29" s="2" t="s">
        <v>3651</v>
      </c>
      <c r="D29" s="2" t="s">
        <v>3515</v>
      </c>
      <c r="E29" s="2" t="s">
        <v>3652</v>
      </c>
      <c r="F29" s="2" t="s">
        <v>3629</v>
      </c>
    </row>
    <row r="30" spans="1:6">
      <c r="A30" s="2" t="s">
        <v>3653</v>
      </c>
      <c r="B30" s="2" t="s">
        <v>3654</v>
      </c>
      <c r="C30" s="2" t="s">
        <v>3655</v>
      </c>
      <c r="D30" s="2" t="s">
        <v>3656</v>
      </c>
      <c r="E30" s="2" t="s">
        <v>3657</v>
      </c>
      <c r="F30" s="2" t="s">
        <v>3629</v>
      </c>
    </row>
    <row r="31" spans="1:6">
      <c r="A31" s="2" t="s">
        <v>3658</v>
      </c>
      <c r="B31" s="2" t="s">
        <v>3659</v>
      </c>
      <c r="C31" s="2" t="s">
        <v>3660</v>
      </c>
      <c r="D31" s="2" t="s">
        <v>3661</v>
      </c>
      <c r="E31" s="2" t="s">
        <v>3662</v>
      </c>
      <c r="F31" s="2" t="s">
        <v>3663</v>
      </c>
    </row>
    <row r="32" spans="1:6">
      <c r="A32" s="2" t="s">
        <v>3664</v>
      </c>
      <c r="B32" s="2" t="s">
        <v>3665</v>
      </c>
      <c r="C32" s="2" t="s">
        <v>3666</v>
      </c>
      <c r="D32" s="2" t="s">
        <v>3667</v>
      </c>
      <c r="E32" s="2" t="s">
        <v>3668</v>
      </c>
      <c r="F32" s="2" t="s">
        <v>3629</v>
      </c>
    </row>
    <row r="33" spans="1:6">
      <c r="A33" s="2" t="s">
        <v>3669</v>
      </c>
      <c r="B33" s="2" t="s">
        <v>3670</v>
      </c>
      <c r="C33" s="2" t="s">
        <v>3671</v>
      </c>
      <c r="D33" s="2" t="s">
        <v>3672</v>
      </c>
      <c r="E33" s="2" t="s">
        <v>3673</v>
      </c>
      <c r="F33" s="2" t="s">
        <v>3629</v>
      </c>
    </row>
    <row r="34" spans="1:6">
      <c r="A34" s="2" t="s">
        <v>3674</v>
      </c>
      <c r="B34" s="2" t="s">
        <v>3675</v>
      </c>
      <c r="C34" s="2" t="s">
        <v>3676</v>
      </c>
      <c r="D34" s="2" t="s">
        <v>3677</v>
      </c>
      <c r="E34" s="2"/>
      <c r="F34" s="2" t="s">
        <v>3678</v>
      </c>
    </row>
    <row r="35" spans="1:6">
      <c r="A35" s="2" t="s">
        <v>3679</v>
      </c>
      <c r="B35" s="2" t="s">
        <v>3552</v>
      </c>
      <c r="C35" s="2" t="s">
        <v>3553</v>
      </c>
      <c r="D35" s="2" t="s">
        <v>3554</v>
      </c>
      <c r="E35" s="2" t="s">
        <v>3555</v>
      </c>
      <c r="F35" s="2" t="s">
        <v>3680</v>
      </c>
    </row>
    <row r="36" spans="1:6">
      <c r="A36" s="2" t="s">
        <v>3681</v>
      </c>
      <c r="B36" s="2" t="s">
        <v>3682</v>
      </c>
      <c r="C36" s="2" t="s">
        <v>3683</v>
      </c>
      <c r="D36" s="2" t="s">
        <v>3684</v>
      </c>
      <c r="E36" s="2" t="s">
        <v>3685</v>
      </c>
      <c r="F36" s="2" t="s">
        <v>3686</v>
      </c>
    </row>
    <row r="37" spans="1:6">
      <c r="A37" s="2" t="s">
        <v>3687</v>
      </c>
      <c r="B37" s="2" t="s">
        <v>3688</v>
      </c>
      <c r="C37" s="2" t="s">
        <v>3689</v>
      </c>
      <c r="D37" s="2" t="s">
        <v>3684</v>
      </c>
      <c r="E37" s="2" t="s">
        <v>3690</v>
      </c>
      <c r="F37" s="2" t="s">
        <v>3691</v>
      </c>
    </row>
    <row r="38" spans="1:6">
      <c r="A38" s="2" t="s">
        <v>3692</v>
      </c>
      <c r="B38" s="2" t="s">
        <v>3693</v>
      </c>
      <c r="C38" s="2" t="s">
        <v>3694</v>
      </c>
      <c r="D38" s="2" t="s">
        <v>3695</v>
      </c>
      <c r="E38" s="2" t="s">
        <v>3696</v>
      </c>
      <c r="F38" s="2" t="s">
        <v>3697</v>
      </c>
    </row>
    <row r="39" spans="1:6">
      <c r="A39" s="2" t="s">
        <v>3698</v>
      </c>
      <c r="B39" s="2" t="s">
        <v>3699</v>
      </c>
      <c r="C39" s="2" t="s">
        <v>3700</v>
      </c>
      <c r="D39" s="2" t="s">
        <v>3701</v>
      </c>
      <c r="E39" s="2" t="s">
        <v>3702</v>
      </c>
      <c r="F39" s="2" t="s">
        <v>3703</v>
      </c>
    </row>
  </sheetData>
  <autoFilter ref="A1:F39"/>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0.7109375" customWidth="1"/>
    <col min="3" max="3" width="45.7109375" customWidth="1"/>
    <col min="4" max="4" width="90.7109375" customWidth="1"/>
    <col min="5" max="5" width="65.7109375" customWidth="1"/>
  </cols>
  <sheetData>
    <row r="1" spans="1:5" ht="32" customHeight="1">
      <c r="A1" s="1" t="s">
        <v>31</v>
      </c>
      <c r="B1" s="1" t="s">
        <v>3704</v>
      </c>
      <c r="C1" s="1" t="s">
        <v>3705</v>
      </c>
      <c r="D1" s="1" t="s">
        <v>3706</v>
      </c>
      <c r="E1" s="1" t="s">
        <v>3707</v>
      </c>
    </row>
    <row r="2" spans="1:5">
      <c r="A2" s="2" t="s">
        <v>3708</v>
      </c>
      <c r="B2" s="2" t="s">
        <v>3512</v>
      </c>
      <c r="C2" s="2" t="s">
        <v>3709</v>
      </c>
      <c r="D2" s="2" t="s">
        <v>3710</v>
      </c>
      <c r="E2" s="2" t="s">
        <v>3711</v>
      </c>
    </row>
    <row r="3" spans="1:5">
      <c r="A3" s="2" t="s">
        <v>1551</v>
      </c>
      <c r="B3" s="2" t="s">
        <v>3512</v>
      </c>
      <c r="C3" s="2" t="s">
        <v>3712</v>
      </c>
      <c r="D3" s="2" t="s">
        <v>3713</v>
      </c>
      <c r="E3" s="2" t="s">
        <v>3714</v>
      </c>
    </row>
    <row r="4" spans="1:5">
      <c r="A4" s="2" t="s">
        <v>49</v>
      </c>
      <c r="B4" s="2" t="s">
        <v>3512</v>
      </c>
      <c r="C4" s="2" t="s">
        <v>3715</v>
      </c>
      <c r="D4" s="2" t="s">
        <v>3716</v>
      </c>
      <c r="E4" s="2" t="s">
        <v>3714</v>
      </c>
    </row>
    <row r="5" spans="1:5">
      <c r="A5" s="2" t="s">
        <v>1293</v>
      </c>
      <c r="B5" s="2" t="s">
        <v>3512</v>
      </c>
      <c r="C5" s="2" t="s">
        <v>3717</v>
      </c>
      <c r="D5" s="2" t="s">
        <v>3718</v>
      </c>
      <c r="E5" s="2" t="s">
        <v>3714</v>
      </c>
    </row>
    <row r="6" spans="1:5">
      <c r="A6" s="2" t="s">
        <v>390</v>
      </c>
      <c r="B6" s="2" t="s">
        <v>3512</v>
      </c>
      <c r="C6" s="2" t="s">
        <v>3719</v>
      </c>
      <c r="D6" s="2" t="s">
        <v>3720</v>
      </c>
      <c r="E6" s="2" t="s">
        <v>3714</v>
      </c>
    </row>
    <row r="7" spans="1:5">
      <c r="A7" s="2" t="s">
        <v>550</v>
      </c>
      <c r="B7" s="2" t="s">
        <v>3512</v>
      </c>
      <c r="C7" s="2" t="s">
        <v>3721</v>
      </c>
      <c r="D7" s="2" t="s">
        <v>3722</v>
      </c>
      <c r="E7" s="2" t="s">
        <v>3714</v>
      </c>
    </row>
    <row r="8" spans="1:5">
      <c r="A8" s="2" t="s">
        <v>1496</v>
      </c>
      <c r="B8" s="2" t="s">
        <v>3512</v>
      </c>
      <c r="C8" s="2" t="s">
        <v>3723</v>
      </c>
      <c r="D8" s="2" t="s">
        <v>3724</v>
      </c>
      <c r="E8" s="2" t="s">
        <v>3714</v>
      </c>
    </row>
    <row r="9" spans="1:5">
      <c r="A9" s="2" t="s">
        <v>3725</v>
      </c>
      <c r="B9" s="2" t="s">
        <v>3512</v>
      </c>
      <c r="C9" s="2" t="s">
        <v>3726</v>
      </c>
      <c r="D9" s="2" t="s">
        <v>3727</v>
      </c>
      <c r="E9" s="2" t="s">
        <v>3714</v>
      </c>
    </row>
    <row r="10" spans="1:5">
      <c r="A10" s="2" t="s">
        <v>3728</v>
      </c>
      <c r="B10" s="2" t="s">
        <v>3512</v>
      </c>
      <c r="C10" s="2" t="s">
        <v>3729</v>
      </c>
      <c r="D10" s="2" t="s">
        <v>3730</v>
      </c>
      <c r="E10" s="2" t="s">
        <v>3714</v>
      </c>
    </row>
    <row r="11" spans="1:5">
      <c r="A11" s="2" t="s">
        <v>747</v>
      </c>
      <c r="B11" s="2" t="s">
        <v>3512</v>
      </c>
      <c r="C11" s="2" t="s">
        <v>3731</v>
      </c>
      <c r="D11" s="2" t="s">
        <v>3732</v>
      </c>
      <c r="E11" s="2" t="s">
        <v>3714</v>
      </c>
    </row>
    <row r="12" spans="1:5">
      <c r="A12" s="2" t="s">
        <v>858</v>
      </c>
      <c r="B12" s="2" t="s">
        <v>3512</v>
      </c>
      <c r="C12" s="2" t="s">
        <v>3733</v>
      </c>
      <c r="D12" s="2" t="s">
        <v>3734</v>
      </c>
      <c r="E12" s="2" t="s">
        <v>3714</v>
      </c>
    </row>
    <row r="13" spans="1:5">
      <c r="A13" s="2" t="s">
        <v>1401</v>
      </c>
      <c r="B13" s="2" t="s">
        <v>3512</v>
      </c>
      <c r="C13" s="2" t="s">
        <v>3735</v>
      </c>
      <c r="D13" s="2" t="s">
        <v>3736</v>
      </c>
      <c r="E13" s="2" t="s">
        <v>3714</v>
      </c>
    </row>
    <row r="14" spans="1:5">
      <c r="A14" s="2" t="s">
        <v>937</v>
      </c>
      <c r="B14" s="2" t="s">
        <v>3512</v>
      </c>
      <c r="C14" s="2" t="s">
        <v>3737</v>
      </c>
      <c r="D14" s="2" t="s">
        <v>3738</v>
      </c>
      <c r="E14" s="2" t="s">
        <v>3714</v>
      </c>
    </row>
    <row r="15" spans="1:5">
      <c r="A15" s="2" t="s">
        <v>980</v>
      </c>
      <c r="B15" s="2" t="s">
        <v>3512</v>
      </c>
      <c r="C15" s="2" t="s">
        <v>3739</v>
      </c>
      <c r="D15" s="2" t="s">
        <v>3740</v>
      </c>
      <c r="E15" s="2" t="s">
        <v>3714</v>
      </c>
    </row>
    <row r="16" spans="1:5">
      <c r="A16" s="2" t="s">
        <v>1005</v>
      </c>
      <c r="B16" s="2" t="s">
        <v>3512</v>
      </c>
      <c r="C16" s="2" t="s">
        <v>3741</v>
      </c>
      <c r="D16" s="2" t="s">
        <v>3742</v>
      </c>
      <c r="E16" s="2" t="s">
        <v>3714</v>
      </c>
    </row>
    <row r="17" spans="1:5">
      <c r="A17" s="2" t="s">
        <v>1409</v>
      </c>
      <c r="B17" s="2" t="s">
        <v>3512</v>
      </c>
      <c r="C17" s="2" t="s">
        <v>3743</v>
      </c>
      <c r="D17" s="2" t="s">
        <v>3744</v>
      </c>
      <c r="E17" s="2" t="s">
        <v>3714</v>
      </c>
    </row>
    <row r="18" spans="1:5">
      <c r="A18" s="2" t="s">
        <v>1506</v>
      </c>
      <c r="B18" s="2" t="s">
        <v>3512</v>
      </c>
      <c r="C18" s="2" t="s">
        <v>3745</v>
      </c>
      <c r="D18" s="2" t="s">
        <v>3746</v>
      </c>
      <c r="E18" s="2" t="s">
        <v>3714</v>
      </c>
    </row>
    <row r="19" spans="1:5">
      <c r="A19" s="2" t="s">
        <v>1018</v>
      </c>
      <c r="B19" s="2" t="s">
        <v>3512</v>
      </c>
      <c r="C19" s="2" t="s">
        <v>3747</v>
      </c>
      <c r="D19" s="2" t="s">
        <v>3748</v>
      </c>
      <c r="E19" s="2" t="s">
        <v>3714</v>
      </c>
    </row>
    <row r="20" spans="1:5">
      <c r="A20" s="2" t="s">
        <v>1455</v>
      </c>
      <c r="B20" s="2" t="s">
        <v>3512</v>
      </c>
      <c r="C20" s="2" t="s">
        <v>3749</v>
      </c>
      <c r="D20" s="2" t="s">
        <v>3750</v>
      </c>
      <c r="E20" s="2" t="s">
        <v>3714</v>
      </c>
    </row>
    <row r="21" spans="1:5">
      <c r="A21" s="2" t="s">
        <v>817</v>
      </c>
      <c r="B21" s="2" t="s">
        <v>3512</v>
      </c>
      <c r="C21" s="2" t="s">
        <v>3751</v>
      </c>
      <c r="D21" s="2" t="s">
        <v>3752</v>
      </c>
      <c r="E21" s="2" t="s">
        <v>3714</v>
      </c>
    </row>
    <row r="22" spans="1:5">
      <c r="A22" s="2" t="s">
        <v>1061</v>
      </c>
      <c r="B22" s="2" t="s">
        <v>3512</v>
      </c>
      <c r="C22" s="2" t="s">
        <v>3753</v>
      </c>
      <c r="D22" s="2" t="s">
        <v>3754</v>
      </c>
      <c r="E22" s="2" t="s">
        <v>3714</v>
      </c>
    </row>
    <row r="23" spans="1:5">
      <c r="A23" s="2" t="s">
        <v>1164</v>
      </c>
      <c r="B23" s="2" t="s">
        <v>3512</v>
      </c>
      <c r="C23" s="2" t="s">
        <v>3755</v>
      </c>
      <c r="D23" s="2" t="s">
        <v>3756</v>
      </c>
      <c r="E23" s="2" t="s">
        <v>3714</v>
      </c>
    </row>
    <row r="24" spans="1:5">
      <c r="A24" s="2" t="s">
        <v>1286</v>
      </c>
      <c r="B24" s="2" t="s">
        <v>3512</v>
      </c>
      <c r="C24" s="2" t="s">
        <v>3757</v>
      </c>
      <c r="D24" s="2" t="s">
        <v>3758</v>
      </c>
      <c r="E24" s="2" t="s">
        <v>3714</v>
      </c>
    </row>
    <row r="25" spans="1:5">
      <c r="A25" s="2" t="s">
        <v>1261</v>
      </c>
      <c r="B25" s="2" t="s">
        <v>3512</v>
      </c>
      <c r="C25" s="2" t="s">
        <v>3759</v>
      </c>
      <c r="D25" s="2" t="s">
        <v>3760</v>
      </c>
      <c r="E25" s="2" t="s">
        <v>3714</v>
      </c>
    </row>
    <row r="26" spans="1:5">
      <c r="A26" s="2" t="s">
        <v>1534</v>
      </c>
      <c r="B26" s="2" t="s">
        <v>3512</v>
      </c>
      <c r="C26" s="2" t="s">
        <v>3761</v>
      </c>
      <c r="D26" s="2" t="s">
        <v>3762</v>
      </c>
      <c r="E26" s="2" t="s">
        <v>3714</v>
      </c>
    </row>
    <row r="27" spans="1:5">
      <c r="A27" s="2" t="s">
        <v>1527</v>
      </c>
      <c r="B27" s="2" t="s">
        <v>3512</v>
      </c>
      <c r="C27" s="2" t="s">
        <v>3763</v>
      </c>
      <c r="D27" s="2" t="s">
        <v>3764</v>
      </c>
      <c r="E27" s="2" t="s">
        <v>3714</v>
      </c>
    </row>
    <row r="28" spans="1:5">
      <c r="A28" s="2" t="s">
        <v>3765</v>
      </c>
      <c r="B28" s="2" t="s">
        <v>3512</v>
      </c>
      <c r="C28" s="2" t="s">
        <v>3766</v>
      </c>
      <c r="D28" s="2" t="s">
        <v>3767</v>
      </c>
      <c r="E28" s="2" t="s">
        <v>3714</v>
      </c>
    </row>
    <row r="29" spans="1:5">
      <c r="A29" s="2" t="s">
        <v>1405</v>
      </c>
      <c r="B29" s="2" t="s">
        <v>3512</v>
      </c>
      <c r="C29" s="2" t="s">
        <v>3768</v>
      </c>
      <c r="D29" s="2" t="s">
        <v>3769</v>
      </c>
      <c r="E29" s="2" t="s">
        <v>3714</v>
      </c>
    </row>
    <row r="30" spans="1:5">
      <c r="A30" s="2" t="s">
        <v>1580</v>
      </c>
      <c r="B30" s="2" t="s">
        <v>3518</v>
      </c>
      <c r="C30" s="2" t="s">
        <v>3770</v>
      </c>
      <c r="D30" s="2" t="s">
        <v>3771</v>
      </c>
      <c r="E30" s="2" t="s">
        <v>3714</v>
      </c>
    </row>
    <row r="31" spans="1:5">
      <c r="A31" s="2" t="s">
        <v>1701</v>
      </c>
      <c r="B31" s="2" t="s">
        <v>3523</v>
      </c>
      <c r="C31" s="2" t="s">
        <v>3772</v>
      </c>
      <c r="D31" s="2" t="s">
        <v>3773</v>
      </c>
      <c r="E31" s="2" t="s">
        <v>3774</v>
      </c>
    </row>
    <row r="32" spans="1:5">
      <c r="A32" s="2" t="s">
        <v>3775</v>
      </c>
      <c r="B32" s="2" t="s">
        <v>3527</v>
      </c>
      <c r="C32" s="2" t="s">
        <v>3776</v>
      </c>
      <c r="D32" s="2" t="s">
        <v>3777</v>
      </c>
      <c r="E32" s="2" t="s">
        <v>3778</v>
      </c>
    </row>
    <row r="33" spans="1:5">
      <c r="A33" s="2" t="s">
        <v>3779</v>
      </c>
      <c r="B33" s="2" t="s">
        <v>3531</v>
      </c>
      <c r="C33" s="2" t="s">
        <v>3780</v>
      </c>
      <c r="D33" s="2" t="s">
        <v>3781</v>
      </c>
      <c r="E33" s="2" t="s">
        <v>3782</v>
      </c>
    </row>
    <row r="34" spans="1:5">
      <c r="A34" s="2" t="s">
        <v>3783</v>
      </c>
      <c r="B34" s="2" t="s">
        <v>3535</v>
      </c>
      <c r="C34" s="2" t="s">
        <v>3784</v>
      </c>
      <c r="D34" s="2" t="s">
        <v>3785</v>
      </c>
      <c r="E34" s="2" t="s">
        <v>3714</v>
      </c>
    </row>
    <row r="35" spans="1:5">
      <c r="A35" s="2" t="s">
        <v>1542</v>
      </c>
      <c r="B35" s="2" t="s">
        <v>3539</v>
      </c>
      <c r="C35" s="2" t="s">
        <v>3786</v>
      </c>
      <c r="D35" s="2" t="s">
        <v>3787</v>
      </c>
      <c r="E35" s="2" t="s">
        <v>3788</v>
      </c>
    </row>
    <row r="36" spans="1:5">
      <c r="A36" s="2" t="s">
        <v>3789</v>
      </c>
      <c r="B36" s="2" t="s">
        <v>3518</v>
      </c>
      <c r="C36" s="2" t="s">
        <v>3790</v>
      </c>
      <c r="D36" s="2" t="s">
        <v>3791</v>
      </c>
      <c r="E36" s="2" t="s">
        <v>3714</v>
      </c>
    </row>
    <row r="37" spans="1:5">
      <c r="A37" s="2" t="s">
        <v>3792</v>
      </c>
      <c r="B37" s="2" t="s">
        <v>3512</v>
      </c>
      <c r="C37" s="2" t="s">
        <v>3793</v>
      </c>
      <c r="D37" s="2" t="s">
        <v>3794</v>
      </c>
      <c r="E37" s="2" t="s">
        <v>3714</v>
      </c>
    </row>
    <row r="38" spans="1:5">
      <c r="A38" s="2" t="s">
        <v>1854</v>
      </c>
      <c r="B38" s="2" t="s">
        <v>3543</v>
      </c>
      <c r="C38" s="2" t="s">
        <v>3795</v>
      </c>
      <c r="D38" s="2" t="s">
        <v>3796</v>
      </c>
      <c r="E38" s="2" t="s">
        <v>3714</v>
      </c>
    </row>
    <row r="39" spans="1:5">
      <c r="A39" s="2" t="s">
        <v>1858</v>
      </c>
      <c r="B39" s="2" t="s">
        <v>3547</v>
      </c>
      <c r="C39" s="2" t="s">
        <v>3797</v>
      </c>
      <c r="D39" s="2" t="s">
        <v>3798</v>
      </c>
      <c r="E39" s="2" t="s">
        <v>3714</v>
      </c>
    </row>
    <row r="40" spans="1:5">
      <c r="A40" s="2" t="s">
        <v>1901</v>
      </c>
      <c r="B40" s="2" t="s">
        <v>3512</v>
      </c>
      <c r="C40" s="2" t="s">
        <v>3799</v>
      </c>
      <c r="D40" s="2" t="s">
        <v>3800</v>
      </c>
      <c r="E40" s="2" t="s">
        <v>3801</v>
      </c>
    </row>
    <row r="41" spans="1:5">
      <c r="A41" s="2" t="s">
        <v>1920</v>
      </c>
      <c r="B41" s="2" t="s">
        <v>3512</v>
      </c>
      <c r="C41" s="2" t="s">
        <v>3802</v>
      </c>
      <c r="D41" s="2" t="s">
        <v>3803</v>
      </c>
      <c r="E41" s="2" t="s">
        <v>3804</v>
      </c>
    </row>
    <row r="42" spans="1:5">
      <c r="A42" s="2" t="s">
        <v>1924</v>
      </c>
      <c r="B42" s="2" t="s">
        <v>3512</v>
      </c>
      <c r="C42" s="2" t="s">
        <v>3805</v>
      </c>
      <c r="D42" s="2" t="s">
        <v>3806</v>
      </c>
      <c r="E42" s="2" t="s">
        <v>3807</v>
      </c>
    </row>
    <row r="43" spans="1:5">
      <c r="A43" s="2" t="s">
        <v>3808</v>
      </c>
      <c r="B43" s="2" t="s">
        <v>3512</v>
      </c>
      <c r="C43" s="2" t="s">
        <v>3809</v>
      </c>
      <c r="D43" s="2" t="s">
        <v>3810</v>
      </c>
      <c r="E43" s="2" t="s">
        <v>3811</v>
      </c>
    </row>
    <row r="44" spans="1:5">
      <c r="A44" s="2" t="s">
        <v>1988</v>
      </c>
      <c r="B44" s="2" t="s">
        <v>3523</v>
      </c>
      <c r="C44" s="2" t="s">
        <v>3812</v>
      </c>
      <c r="D44" s="2" t="s">
        <v>3813</v>
      </c>
      <c r="E44" s="2" t="s">
        <v>3814</v>
      </c>
    </row>
    <row r="45" spans="1:5">
      <c r="A45" s="2" t="s">
        <v>2005</v>
      </c>
      <c r="B45" s="2" t="s">
        <v>3557</v>
      </c>
      <c r="C45" s="2" t="s">
        <v>3815</v>
      </c>
      <c r="D45" s="2" t="s">
        <v>3816</v>
      </c>
      <c r="E45" s="2" t="s">
        <v>3817</v>
      </c>
    </row>
    <row r="46" spans="1:5">
      <c r="A46" s="2" t="s">
        <v>2014</v>
      </c>
      <c r="B46" s="2" t="s">
        <v>3563</v>
      </c>
      <c r="C46" s="2" t="s">
        <v>3818</v>
      </c>
      <c r="D46" s="2" t="s">
        <v>3819</v>
      </c>
      <c r="E46" s="2" t="s">
        <v>3820</v>
      </c>
    </row>
    <row r="47" spans="1:5">
      <c r="A47" s="2" t="s">
        <v>1981</v>
      </c>
      <c r="B47" s="2" t="s">
        <v>3512</v>
      </c>
      <c r="C47" s="2" t="s">
        <v>3821</v>
      </c>
      <c r="D47" s="2" t="s">
        <v>3822</v>
      </c>
      <c r="E47" s="2" t="s">
        <v>3823</v>
      </c>
    </row>
    <row r="48" spans="1:5">
      <c r="A48" s="2" t="s">
        <v>2027</v>
      </c>
      <c r="B48" s="2" t="s">
        <v>3512</v>
      </c>
      <c r="C48" s="2" t="s">
        <v>3824</v>
      </c>
      <c r="D48" s="2" t="s">
        <v>3825</v>
      </c>
      <c r="E48" s="2" t="s">
        <v>3826</v>
      </c>
    </row>
    <row r="49" spans="1:5">
      <c r="A49" s="2" t="s">
        <v>1928</v>
      </c>
      <c r="B49" s="2" t="s">
        <v>3512</v>
      </c>
      <c r="C49" s="2" t="s">
        <v>3827</v>
      </c>
      <c r="D49" s="2" t="s">
        <v>3828</v>
      </c>
      <c r="E49" s="2" t="s">
        <v>3829</v>
      </c>
    </row>
    <row r="50" spans="1:5">
      <c r="A50" s="2" t="s">
        <v>2049</v>
      </c>
      <c r="B50" s="2" t="s">
        <v>3608</v>
      </c>
      <c r="C50" s="2" t="s">
        <v>3830</v>
      </c>
      <c r="D50" s="2" t="s">
        <v>3831</v>
      </c>
      <c r="E50" s="2" t="s">
        <v>3832</v>
      </c>
    </row>
    <row r="51" spans="1:5">
      <c r="A51" s="2" t="s">
        <v>2045</v>
      </c>
      <c r="B51" s="2" t="s">
        <v>3512</v>
      </c>
      <c r="C51" s="2" t="s">
        <v>3833</v>
      </c>
      <c r="D51" s="2" t="s">
        <v>3834</v>
      </c>
      <c r="E51" s="2" t="s">
        <v>3835</v>
      </c>
    </row>
    <row r="52" spans="1:5">
      <c r="A52" s="2" t="s">
        <v>3836</v>
      </c>
      <c r="B52" s="2" t="s">
        <v>3613</v>
      </c>
      <c r="C52" s="2" t="s">
        <v>3837</v>
      </c>
      <c r="D52" s="2" t="s">
        <v>3838</v>
      </c>
      <c r="E52" s="2" t="s">
        <v>3839</v>
      </c>
    </row>
    <row r="53" spans="1:5">
      <c r="A53" s="2" t="s">
        <v>3840</v>
      </c>
      <c r="B53" s="2" t="s">
        <v>3543</v>
      </c>
      <c r="C53" s="2" t="s">
        <v>3841</v>
      </c>
      <c r="D53" s="2" t="s">
        <v>3842</v>
      </c>
      <c r="E53" s="2" t="s">
        <v>3843</v>
      </c>
    </row>
    <row r="54" spans="1:5">
      <c r="A54" s="2" t="s">
        <v>2062</v>
      </c>
      <c r="B54" s="2" t="s">
        <v>3547</v>
      </c>
      <c r="C54" s="2" t="s">
        <v>3844</v>
      </c>
      <c r="D54" s="2" t="s">
        <v>3845</v>
      </c>
      <c r="E54" s="2" t="s">
        <v>3846</v>
      </c>
    </row>
    <row r="55" spans="1:5">
      <c r="A55" s="2" t="s">
        <v>3847</v>
      </c>
      <c r="B55" s="2" t="s">
        <v>3619</v>
      </c>
      <c r="C55" s="2" t="s">
        <v>3848</v>
      </c>
      <c r="D55" s="2" t="s">
        <v>3849</v>
      </c>
      <c r="E55" s="2" t="s">
        <v>3850</v>
      </c>
    </row>
    <row r="56" spans="1:5">
      <c r="A56" s="2" t="s">
        <v>2076</v>
      </c>
      <c r="B56" s="2" t="s">
        <v>3569</v>
      </c>
      <c r="C56" s="2" t="s">
        <v>3851</v>
      </c>
      <c r="D56" s="2" t="s">
        <v>3852</v>
      </c>
      <c r="E56" s="2" t="s">
        <v>3853</v>
      </c>
    </row>
    <row r="57" spans="1:5">
      <c r="A57" s="2" t="s">
        <v>2080</v>
      </c>
      <c r="B57" s="2" t="s">
        <v>3575</v>
      </c>
      <c r="C57" s="2" t="s">
        <v>3854</v>
      </c>
      <c r="D57" s="2" t="s">
        <v>3855</v>
      </c>
      <c r="E57" s="2" t="s">
        <v>3856</v>
      </c>
    </row>
    <row r="58" spans="1:5">
      <c r="A58" s="2" t="s">
        <v>2091</v>
      </c>
      <c r="B58" s="2" t="s">
        <v>3581</v>
      </c>
      <c r="C58" s="2" t="s">
        <v>3857</v>
      </c>
      <c r="D58" s="2" t="s">
        <v>3858</v>
      </c>
      <c r="E58" s="2" t="s">
        <v>3859</v>
      </c>
    </row>
    <row r="59" spans="1:5">
      <c r="A59" s="2" t="s">
        <v>2069</v>
      </c>
      <c r="B59" s="2" t="s">
        <v>3586</v>
      </c>
      <c r="C59" s="2" t="s">
        <v>3860</v>
      </c>
      <c r="D59" s="2" t="s">
        <v>3861</v>
      </c>
      <c r="E59" s="2" t="s">
        <v>3862</v>
      </c>
    </row>
    <row r="60" spans="1:5">
      <c r="A60" s="2" t="s">
        <v>3863</v>
      </c>
      <c r="B60" s="2" t="s">
        <v>3591</v>
      </c>
      <c r="C60" s="2" t="s">
        <v>3864</v>
      </c>
      <c r="D60" s="2" t="s">
        <v>3865</v>
      </c>
      <c r="E60" s="2" t="s">
        <v>3866</v>
      </c>
    </row>
    <row r="61" spans="1:5">
      <c r="A61" s="2" t="s">
        <v>3867</v>
      </c>
      <c r="B61" s="2" t="s">
        <v>3597</v>
      </c>
      <c r="C61" s="2" t="s">
        <v>3868</v>
      </c>
      <c r="D61" s="2" t="s">
        <v>3869</v>
      </c>
      <c r="E61" s="2" t="s">
        <v>3870</v>
      </c>
    </row>
    <row r="62" spans="1:5">
      <c r="A62" s="2" t="s">
        <v>3871</v>
      </c>
      <c r="B62" s="2" t="s">
        <v>3603</v>
      </c>
      <c r="C62" s="2" t="s">
        <v>3872</v>
      </c>
      <c r="D62" s="2" t="s">
        <v>3873</v>
      </c>
      <c r="E62" s="2" t="s">
        <v>3874</v>
      </c>
    </row>
    <row r="63" spans="1:5">
      <c r="A63" s="2" t="s">
        <v>3875</v>
      </c>
      <c r="B63" s="2" t="s">
        <v>3551</v>
      </c>
      <c r="C63" s="2" t="s">
        <v>3876</v>
      </c>
      <c r="D63" s="2" t="s">
        <v>3877</v>
      </c>
      <c r="E63" s="2" t="s">
        <v>3878</v>
      </c>
    </row>
    <row r="64" spans="1:5">
      <c r="A64" s="2" t="s">
        <v>3879</v>
      </c>
      <c r="B64" s="2" t="s">
        <v>3512</v>
      </c>
      <c r="C64" s="2" t="s">
        <v>3880</v>
      </c>
      <c r="D64" s="2" t="s">
        <v>3881</v>
      </c>
      <c r="E64" s="2" t="s">
        <v>3882</v>
      </c>
    </row>
    <row r="65" spans="1:5">
      <c r="A65" s="2" t="s">
        <v>3883</v>
      </c>
      <c r="B65" s="2" t="s">
        <v>3625</v>
      </c>
      <c r="C65" s="2" t="s">
        <v>3884</v>
      </c>
      <c r="D65" s="2" t="s">
        <v>3885</v>
      </c>
      <c r="E65" s="2" t="s">
        <v>3882</v>
      </c>
    </row>
    <row r="66" spans="1:5">
      <c r="A66" s="2" t="s">
        <v>2230</v>
      </c>
      <c r="B66" s="2" t="s">
        <v>3512</v>
      </c>
      <c r="C66" s="2" t="s">
        <v>3886</v>
      </c>
      <c r="D66" s="2" t="s">
        <v>3887</v>
      </c>
      <c r="E66" s="2" t="s">
        <v>3882</v>
      </c>
    </row>
    <row r="67" spans="1:5">
      <c r="A67" s="2" t="s">
        <v>2225</v>
      </c>
      <c r="B67" s="2" t="s">
        <v>3512</v>
      </c>
      <c r="C67" s="2" t="s">
        <v>3888</v>
      </c>
      <c r="D67" s="2" t="s">
        <v>3889</v>
      </c>
      <c r="E67" s="2" t="s">
        <v>3882</v>
      </c>
    </row>
    <row r="68" spans="1:5">
      <c r="A68" s="2" t="s">
        <v>2272</v>
      </c>
      <c r="B68" s="2" t="s">
        <v>3512</v>
      </c>
      <c r="C68" s="2" t="s">
        <v>3890</v>
      </c>
      <c r="D68" s="2" t="s">
        <v>3891</v>
      </c>
      <c r="E68" s="2" t="s">
        <v>3882</v>
      </c>
    </row>
    <row r="69" spans="1:5">
      <c r="A69" s="2" t="s">
        <v>2280</v>
      </c>
      <c r="B69" s="2" t="s">
        <v>3640</v>
      </c>
      <c r="C69" s="2" t="s">
        <v>3892</v>
      </c>
      <c r="D69" s="2" t="s">
        <v>3893</v>
      </c>
      <c r="E69" s="2" t="s">
        <v>3882</v>
      </c>
    </row>
    <row r="70" spans="1:5">
      <c r="A70" s="2" t="s">
        <v>2289</v>
      </c>
      <c r="B70" s="2" t="s">
        <v>3625</v>
      </c>
      <c r="C70" s="2" t="s">
        <v>3894</v>
      </c>
      <c r="D70" s="2" t="s">
        <v>3895</v>
      </c>
      <c r="E70" s="2" t="s">
        <v>3882</v>
      </c>
    </row>
    <row r="71" spans="1:5">
      <c r="A71" s="2" t="s">
        <v>2315</v>
      </c>
      <c r="B71" s="2" t="s">
        <v>3625</v>
      </c>
      <c r="C71" s="2" t="s">
        <v>3896</v>
      </c>
      <c r="D71" s="2" t="s">
        <v>3897</v>
      </c>
      <c r="E71" s="2" t="s">
        <v>3882</v>
      </c>
    </row>
    <row r="72" spans="1:5">
      <c r="A72" s="2" t="s">
        <v>2320</v>
      </c>
      <c r="B72" s="2" t="s">
        <v>3625</v>
      </c>
      <c r="C72" s="2" t="s">
        <v>3898</v>
      </c>
      <c r="D72" s="2" t="s">
        <v>3899</v>
      </c>
      <c r="E72" s="2" t="s">
        <v>3882</v>
      </c>
    </row>
    <row r="73" spans="1:5">
      <c r="A73" s="2" t="s">
        <v>2325</v>
      </c>
      <c r="B73" s="2" t="s">
        <v>3625</v>
      </c>
      <c r="C73" s="2" t="s">
        <v>3900</v>
      </c>
      <c r="D73" s="2" t="s">
        <v>3901</v>
      </c>
      <c r="E73" s="2" t="s">
        <v>3882</v>
      </c>
    </row>
    <row r="74" spans="1:5">
      <c r="A74" s="2" t="s">
        <v>2352</v>
      </c>
      <c r="B74" s="2" t="s">
        <v>3645</v>
      </c>
      <c r="C74" s="2" t="s">
        <v>3902</v>
      </c>
      <c r="D74" s="2" t="s">
        <v>3903</v>
      </c>
      <c r="E74" s="2" t="s">
        <v>3882</v>
      </c>
    </row>
    <row r="75" spans="1:5">
      <c r="A75" s="2" t="s">
        <v>3904</v>
      </c>
      <c r="B75" s="2" t="s">
        <v>3619</v>
      </c>
      <c r="C75" s="2" t="s">
        <v>3905</v>
      </c>
      <c r="D75" s="2" t="s">
        <v>3906</v>
      </c>
      <c r="E75" s="2" t="s">
        <v>3882</v>
      </c>
    </row>
    <row r="76" spans="1:5">
      <c r="A76" s="2" t="s">
        <v>2334</v>
      </c>
      <c r="B76" s="2" t="s">
        <v>3613</v>
      </c>
      <c r="C76" s="2" t="s">
        <v>3907</v>
      </c>
      <c r="D76" s="2" t="s">
        <v>3908</v>
      </c>
      <c r="E76" s="2" t="s">
        <v>3882</v>
      </c>
    </row>
    <row r="77" spans="1:5">
      <c r="A77" s="2" t="s">
        <v>3909</v>
      </c>
      <c r="B77" s="2" t="s">
        <v>3635</v>
      </c>
      <c r="C77" s="2" t="s">
        <v>3910</v>
      </c>
      <c r="D77" s="2" t="s">
        <v>3911</v>
      </c>
      <c r="E77" s="2" t="s">
        <v>3882</v>
      </c>
    </row>
    <row r="78" spans="1:5">
      <c r="A78" s="2" t="s">
        <v>3912</v>
      </c>
      <c r="B78" s="2" t="s">
        <v>3613</v>
      </c>
      <c r="C78" s="2" t="s">
        <v>3913</v>
      </c>
      <c r="D78" s="2" t="s">
        <v>3914</v>
      </c>
      <c r="E78" s="2" t="s">
        <v>3882</v>
      </c>
    </row>
    <row r="79" spans="1:5">
      <c r="A79" s="2" t="s">
        <v>3915</v>
      </c>
      <c r="B79" s="2" t="s">
        <v>3613</v>
      </c>
      <c r="C79" s="2" t="s">
        <v>3916</v>
      </c>
      <c r="D79" s="2" t="s">
        <v>3917</v>
      </c>
      <c r="E79" s="2" t="s">
        <v>3882</v>
      </c>
    </row>
    <row r="80" spans="1:5">
      <c r="A80" s="2" t="s">
        <v>3918</v>
      </c>
      <c r="B80" s="2" t="s">
        <v>3653</v>
      </c>
      <c r="C80" s="2" t="s">
        <v>3919</v>
      </c>
      <c r="D80" s="2" t="s">
        <v>3920</v>
      </c>
      <c r="E80" s="2" t="s">
        <v>3882</v>
      </c>
    </row>
    <row r="81" spans="1:5">
      <c r="A81" s="2" t="s">
        <v>3921</v>
      </c>
      <c r="B81" s="2" t="s">
        <v>3630</v>
      </c>
      <c r="C81" s="2" t="s">
        <v>3922</v>
      </c>
      <c r="D81" s="2" t="s">
        <v>3923</v>
      </c>
      <c r="E81" s="2" t="s">
        <v>3882</v>
      </c>
    </row>
    <row r="82" spans="1:5">
      <c r="A82" s="2" t="s">
        <v>3924</v>
      </c>
      <c r="B82" s="2" t="s">
        <v>3630</v>
      </c>
      <c r="C82" s="2" t="s">
        <v>3925</v>
      </c>
      <c r="D82" s="2" t="s">
        <v>3926</v>
      </c>
      <c r="E82" s="2" t="s">
        <v>3882</v>
      </c>
    </row>
    <row r="83" spans="1:5">
      <c r="A83" s="2" t="s">
        <v>3927</v>
      </c>
      <c r="B83" s="2" t="s">
        <v>3625</v>
      </c>
      <c r="C83" s="2" t="s">
        <v>3928</v>
      </c>
      <c r="D83" s="2" t="s">
        <v>3929</v>
      </c>
      <c r="E83" s="2" t="s">
        <v>3882</v>
      </c>
    </row>
    <row r="84" spans="1:5">
      <c r="A84" s="2" t="s">
        <v>3930</v>
      </c>
      <c r="B84" s="2" t="s">
        <v>3674</v>
      </c>
      <c r="C84" s="2" t="s">
        <v>3931</v>
      </c>
      <c r="D84" s="2" t="s">
        <v>3932</v>
      </c>
      <c r="E84" s="2" t="s">
        <v>3933</v>
      </c>
    </row>
    <row r="85" spans="1:5">
      <c r="A85" s="2" t="s">
        <v>3934</v>
      </c>
      <c r="B85" s="2" t="s">
        <v>3658</v>
      </c>
      <c r="C85" s="2" t="s">
        <v>3935</v>
      </c>
      <c r="D85" s="2" t="s">
        <v>3936</v>
      </c>
      <c r="E85" s="2" t="s">
        <v>3937</v>
      </c>
    </row>
    <row r="86" spans="1:5">
      <c r="A86" s="2" t="s">
        <v>3938</v>
      </c>
      <c r="B86" s="2" t="s">
        <v>3669</v>
      </c>
      <c r="C86" s="2" t="s">
        <v>3939</v>
      </c>
      <c r="D86" s="2" t="s">
        <v>3940</v>
      </c>
      <c r="E86" s="2" t="s">
        <v>3882</v>
      </c>
    </row>
    <row r="87" spans="1:5">
      <c r="A87" s="2" t="s">
        <v>3941</v>
      </c>
      <c r="B87" s="2" t="s">
        <v>3664</v>
      </c>
      <c r="C87" s="2" t="s">
        <v>3942</v>
      </c>
      <c r="D87" s="2" t="s">
        <v>3943</v>
      </c>
      <c r="E87" s="2" t="s">
        <v>3944</v>
      </c>
    </row>
    <row r="88" spans="1:5">
      <c r="A88" s="2" t="s">
        <v>2357</v>
      </c>
      <c r="B88" s="2" t="s">
        <v>3649</v>
      </c>
      <c r="C88" s="2" t="s">
        <v>3945</v>
      </c>
      <c r="D88" s="2" t="s">
        <v>3946</v>
      </c>
      <c r="E88" s="2" t="s">
        <v>3882</v>
      </c>
    </row>
    <row r="89" spans="1:5">
      <c r="A89" s="2" t="s">
        <v>2380</v>
      </c>
      <c r="B89" s="2" t="s">
        <v>3543</v>
      </c>
      <c r="C89" s="2" t="s">
        <v>3947</v>
      </c>
      <c r="D89" s="2" t="s">
        <v>3948</v>
      </c>
      <c r="E89" s="2" t="s">
        <v>3882</v>
      </c>
    </row>
    <row r="90" spans="1:5">
      <c r="A90" s="2" t="s">
        <v>2386</v>
      </c>
      <c r="B90" s="2" t="s">
        <v>3547</v>
      </c>
      <c r="C90" s="2" t="s">
        <v>3949</v>
      </c>
      <c r="D90" s="2" t="s">
        <v>3950</v>
      </c>
      <c r="E90" s="2" t="s">
        <v>3882</v>
      </c>
    </row>
    <row r="91" spans="1:5">
      <c r="A91" s="2" t="s">
        <v>3951</v>
      </c>
      <c r="B91" s="2" t="s">
        <v>3649</v>
      </c>
      <c r="C91" s="2" t="s">
        <v>3952</v>
      </c>
      <c r="D91" s="2" t="s">
        <v>3953</v>
      </c>
      <c r="E91" s="2" t="s">
        <v>3882</v>
      </c>
    </row>
    <row r="92" spans="1:5">
      <c r="A92" s="2" t="s">
        <v>3954</v>
      </c>
      <c r="B92" s="2" t="s">
        <v>3613</v>
      </c>
      <c r="C92" s="2" t="s">
        <v>3955</v>
      </c>
      <c r="D92" s="2" t="s">
        <v>3956</v>
      </c>
      <c r="E92" s="2" t="s">
        <v>3882</v>
      </c>
    </row>
    <row r="93" spans="1:5">
      <c r="A93" s="2" t="s">
        <v>3957</v>
      </c>
      <c r="B93" s="2" t="s">
        <v>3679</v>
      </c>
      <c r="C93" s="2" t="s">
        <v>3958</v>
      </c>
      <c r="D93" s="2" t="s">
        <v>3959</v>
      </c>
      <c r="E93" s="2" t="s">
        <v>3960</v>
      </c>
    </row>
    <row r="94" spans="1:5">
      <c r="A94" s="2" t="s">
        <v>3961</v>
      </c>
      <c r="B94" s="2" t="s">
        <v>3679</v>
      </c>
      <c r="C94" s="2" t="s">
        <v>3962</v>
      </c>
      <c r="D94" s="2" t="s">
        <v>3963</v>
      </c>
      <c r="E94" s="2" t="s">
        <v>3960</v>
      </c>
    </row>
    <row r="95" spans="1:5">
      <c r="A95" s="2" t="s">
        <v>3964</v>
      </c>
      <c r="B95" s="2" t="s">
        <v>3679</v>
      </c>
      <c r="C95" s="2" t="s">
        <v>3965</v>
      </c>
      <c r="D95" s="2" t="s">
        <v>3966</v>
      </c>
      <c r="E95" s="2" t="s">
        <v>3960</v>
      </c>
    </row>
    <row r="96" spans="1:5">
      <c r="A96" s="2" t="s">
        <v>3967</v>
      </c>
      <c r="B96" s="2" t="s">
        <v>3679</v>
      </c>
      <c r="C96" s="2" t="s">
        <v>3968</v>
      </c>
      <c r="D96" s="2" t="s">
        <v>3969</v>
      </c>
      <c r="E96" s="2" t="s">
        <v>3960</v>
      </c>
    </row>
    <row r="97" spans="1:5">
      <c r="A97" s="2" t="s">
        <v>3970</v>
      </c>
      <c r="B97" s="2" t="s">
        <v>3681</v>
      </c>
      <c r="C97" s="2" t="s">
        <v>3971</v>
      </c>
      <c r="D97" s="2" t="s">
        <v>3972</v>
      </c>
      <c r="E97" s="2" t="s">
        <v>3960</v>
      </c>
    </row>
    <row r="98" spans="1:5">
      <c r="A98" s="2" t="s">
        <v>3973</v>
      </c>
      <c r="B98" s="2" t="s">
        <v>3687</v>
      </c>
      <c r="C98" s="2" t="s">
        <v>3974</v>
      </c>
      <c r="D98" s="2" t="s">
        <v>3975</v>
      </c>
      <c r="E98" s="2" t="s">
        <v>3960</v>
      </c>
    </row>
    <row r="99" spans="1:5">
      <c r="A99" s="2" t="s">
        <v>3976</v>
      </c>
      <c r="B99" s="2" t="s">
        <v>3692</v>
      </c>
      <c r="C99" s="2" t="s">
        <v>3977</v>
      </c>
      <c r="D99" s="2" t="s">
        <v>3978</v>
      </c>
      <c r="E99" s="2" t="s">
        <v>3960</v>
      </c>
    </row>
    <row r="100" spans="1:5">
      <c r="A100" s="2" t="s">
        <v>3979</v>
      </c>
      <c r="B100" s="2" t="s">
        <v>3698</v>
      </c>
      <c r="C100" s="2" t="s">
        <v>3980</v>
      </c>
      <c r="D100" s="2" t="s">
        <v>3981</v>
      </c>
      <c r="E100" s="2" t="s">
        <v>3960</v>
      </c>
    </row>
    <row r="101" spans="1:5">
      <c r="A101" s="2" t="s">
        <v>3982</v>
      </c>
      <c r="B101" s="2" t="s">
        <v>3523</v>
      </c>
      <c r="C101" s="2" t="s">
        <v>3983</v>
      </c>
      <c r="D101" s="2" t="s">
        <v>3984</v>
      </c>
      <c r="E101" s="2" t="s">
        <v>3985</v>
      </c>
    </row>
    <row r="102" spans="1:5">
      <c r="A102" s="2" t="s">
        <v>3986</v>
      </c>
      <c r="B102" s="2" t="s">
        <v>3512</v>
      </c>
      <c r="C102" s="2" t="s">
        <v>3987</v>
      </c>
      <c r="D102" s="2" t="s">
        <v>3988</v>
      </c>
      <c r="E102" s="2" t="s">
        <v>3985</v>
      </c>
    </row>
    <row r="103" spans="1:5">
      <c r="A103" s="2" t="s">
        <v>3989</v>
      </c>
      <c r="B103" s="2" t="s">
        <v>3512</v>
      </c>
      <c r="C103" s="2" t="s">
        <v>3990</v>
      </c>
      <c r="D103" s="2" t="s">
        <v>3991</v>
      </c>
      <c r="E103" s="2" t="s">
        <v>3985</v>
      </c>
    </row>
    <row r="104" spans="1:5">
      <c r="A104" s="2" t="s">
        <v>3992</v>
      </c>
      <c r="B104" s="2" t="s">
        <v>3512</v>
      </c>
      <c r="C104" s="2" t="s">
        <v>3993</v>
      </c>
      <c r="D104" s="2" t="s">
        <v>3994</v>
      </c>
      <c r="E104" s="2" t="s">
        <v>3985</v>
      </c>
    </row>
    <row r="105" spans="1:5">
      <c r="A105" s="2" t="s">
        <v>3995</v>
      </c>
      <c r="B105" s="2" t="s">
        <v>3619</v>
      </c>
      <c r="C105" s="2" t="s">
        <v>3996</v>
      </c>
      <c r="D105" s="2" t="s">
        <v>3997</v>
      </c>
      <c r="E105" s="2" t="s">
        <v>3985</v>
      </c>
    </row>
    <row r="106" spans="1:5">
      <c r="A106" s="2" t="s">
        <v>3998</v>
      </c>
      <c r="B106" s="2" t="s">
        <v>3625</v>
      </c>
      <c r="C106" s="2" t="s">
        <v>3999</v>
      </c>
      <c r="D106" s="2" t="s">
        <v>4000</v>
      </c>
      <c r="E106" s="2" t="s">
        <v>3985</v>
      </c>
    </row>
    <row r="107" spans="1:5">
      <c r="A107" s="2" t="s">
        <v>4001</v>
      </c>
      <c r="B107" s="2" t="s">
        <v>3547</v>
      </c>
      <c r="C107" s="2" t="s">
        <v>4002</v>
      </c>
      <c r="D107" s="2" t="s">
        <v>4003</v>
      </c>
      <c r="E107" s="2" t="s">
        <v>3985</v>
      </c>
    </row>
    <row r="108" spans="1:5">
      <c r="A108" s="2" t="s">
        <v>4004</v>
      </c>
      <c r="B108" s="2" t="s">
        <v>3512</v>
      </c>
      <c r="C108" s="2" t="s">
        <v>4005</v>
      </c>
      <c r="D108" s="2" t="s">
        <v>4006</v>
      </c>
      <c r="E108" s="2" t="s">
        <v>3985</v>
      </c>
    </row>
    <row r="109" spans="1:5">
      <c r="A109" s="2" t="s">
        <v>2404</v>
      </c>
      <c r="B109" s="2" t="s">
        <v>3523</v>
      </c>
      <c r="C109" s="2" t="s">
        <v>4007</v>
      </c>
      <c r="D109" s="2" t="s">
        <v>4008</v>
      </c>
      <c r="E109" s="2" t="s">
        <v>4009</v>
      </c>
    </row>
    <row r="110" spans="1:5">
      <c r="A110" s="2" t="s">
        <v>2410</v>
      </c>
      <c r="B110" s="2" t="s">
        <v>3523</v>
      </c>
      <c r="C110" s="2" t="s">
        <v>4007</v>
      </c>
      <c r="D110" s="2" t="s">
        <v>4010</v>
      </c>
      <c r="E110" s="2" t="s">
        <v>4009</v>
      </c>
    </row>
    <row r="111" spans="1:5">
      <c r="A111" s="2" t="s">
        <v>2415</v>
      </c>
      <c r="B111" s="2" t="s">
        <v>3523</v>
      </c>
      <c r="C111" s="2" t="s">
        <v>4007</v>
      </c>
      <c r="D111" s="2" t="s">
        <v>4011</v>
      </c>
      <c r="E111" s="2" t="s">
        <v>4009</v>
      </c>
    </row>
    <row r="112" spans="1:5">
      <c r="A112" s="2" t="s">
        <v>2419</v>
      </c>
      <c r="B112" s="2" t="s">
        <v>3523</v>
      </c>
      <c r="C112" s="2" t="s">
        <v>4007</v>
      </c>
      <c r="D112" s="2" t="s">
        <v>4012</v>
      </c>
      <c r="E112" s="2" t="s">
        <v>4009</v>
      </c>
    </row>
    <row r="113" spans="1:5">
      <c r="A113" s="2" t="s">
        <v>2423</v>
      </c>
      <c r="B113" s="2" t="s">
        <v>3523</v>
      </c>
      <c r="C113" s="2" t="s">
        <v>4007</v>
      </c>
      <c r="D113" s="2" t="s">
        <v>4013</v>
      </c>
      <c r="E113" s="2" t="s">
        <v>4009</v>
      </c>
    </row>
    <row r="114" spans="1:5">
      <c r="A114" s="2" t="s">
        <v>2427</v>
      </c>
      <c r="B114" s="2" t="s">
        <v>3523</v>
      </c>
      <c r="C114" s="2" t="s">
        <v>4007</v>
      </c>
      <c r="D114" s="2" t="s">
        <v>4014</v>
      </c>
      <c r="E114" s="2" t="s">
        <v>4009</v>
      </c>
    </row>
    <row r="115" spans="1:5">
      <c r="A115" s="2" t="s">
        <v>2431</v>
      </c>
      <c r="B115" s="2" t="s">
        <v>3523</v>
      </c>
      <c r="C115" s="2" t="s">
        <v>4007</v>
      </c>
      <c r="D115" s="2" t="s">
        <v>4015</v>
      </c>
      <c r="E115" s="2" t="s">
        <v>4009</v>
      </c>
    </row>
    <row r="116" spans="1:5">
      <c r="A116" s="2" t="s">
        <v>2435</v>
      </c>
      <c r="B116" s="2" t="s">
        <v>3523</v>
      </c>
      <c r="C116" s="2" t="s">
        <v>4007</v>
      </c>
      <c r="D116" s="2" t="s">
        <v>4016</v>
      </c>
      <c r="E116" s="2" t="s">
        <v>4009</v>
      </c>
    </row>
    <row r="117" spans="1:5">
      <c r="A117" s="2" t="s">
        <v>2439</v>
      </c>
      <c r="B117" s="2" t="s">
        <v>3523</v>
      </c>
      <c r="C117" s="2" t="s">
        <v>4007</v>
      </c>
      <c r="D117" s="2" t="s">
        <v>4017</v>
      </c>
      <c r="E117" s="2" t="s">
        <v>4009</v>
      </c>
    </row>
    <row r="118" spans="1:5">
      <c r="A118" s="2" t="s">
        <v>2443</v>
      </c>
      <c r="B118" s="2" t="s">
        <v>3523</v>
      </c>
      <c r="C118" s="2" t="s">
        <v>4007</v>
      </c>
      <c r="D118" s="2" t="s">
        <v>4018</v>
      </c>
      <c r="E118" s="2" t="s">
        <v>4009</v>
      </c>
    </row>
    <row r="119" spans="1:5">
      <c r="A119" s="2" t="s">
        <v>2447</v>
      </c>
      <c r="B119" s="2" t="s">
        <v>3523</v>
      </c>
      <c r="C119" s="2" t="s">
        <v>4007</v>
      </c>
      <c r="D119" s="2" t="s">
        <v>4019</v>
      </c>
      <c r="E119" s="2" t="s">
        <v>4009</v>
      </c>
    </row>
    <row r="120" spans="1:5">
      <c r="A120" s="2" t="s">
        <v>2451</v>
      </c>
      <c r="B120" s="2" t="s">
        <v>3523</v>
      </c>
      <c r="C120" s="2" t="s">
        <v>4007</v>
      </c>
      <c r="D120" s="2" t="s">
        <v>4020</v>
      </c>
      <c r="E120" s="2" t="s">
        <v>4009</v>
      </c>
    </row>
    <row r="121" spans="1:5">
      <c r="A121" s="2" t="s">
        <v>2455</v>
      </c>
      <c r="B121" s="2" t="s">
        <v>3523</v>
      </c>
      <c r="C121" s="2" t="s">
        <v>4007</v>
      </c>
      <c r="D121" s="2" t="s">
        <v>4021</v>
      </c>
      <c r="E121" s="2" t="s">
        <v>4009</v>
      </c>
    </row>
    <row r="122" spans="1:5">
      <c r="A122" s="2" t="s">
        <v>2459</v>
      </c>
      <c r="B122" s="2" t="s">
        <v>3523</v>
      </c>
      <c r="C122" s="2" t="s">
        <v>4007</v>
      </c>
      <c r="D122" s="2" t="s">
        <v>4022</v>
      </c>
      <c r="E122" s="2" t="s">
        <v>4009</v>
      </c>
    </row>
    <row r="123" spans="1:5">
      <c r="A123" s="2" t="s">
        <v>2463</v>
      </c>
      <c r="B123" s="2" t="s">
        <v>3523</v>
      </c>
      <c r="C123" s="2" t="s">
        <v>4007</v>
      </c>
      <c r="D123" s="2" t="s">
        <v>4023</v>
      </c>
      <c r="E123" s="2" t="s">
        <v>4009</v>
      </c>
    </row>
    <row r="124" spans="1:5">
      <c r="A124" s="2" t="s">
        <v>2467</v>
      </c>
      <c r="B124" s="2" t="s">
        <v>3523</v>
      </c>
      <c r="C124" s="2" t="s">
        <v>4007</v>
      </c>
      <c r="D124" s="2" t="s">
        <v>4024</v>
      </c>
      <c r="E124" s="2" t="s">
        <v>4009</v>
      </c>
    </row>
    <row r="125" spans="1:5">
      <c r="A125" s="2" t="s">
        <v>2471</v>
      </c>
      <c r="B125" s="2" t="s">
        <v>3523</v>
      </c>
      <c r="C125" s="2" t="s">
        <v>4007</v>
      </c>
      <c r="D125" s="2" t="s">
        <v>4025</v>
      </c>
      <c r="E125" s="2" t="s">
        <v>4009</v>
      </c>
    </row>
    <row r="126" spans="1:5">
      <c r="A126" s="2" t="s">
        <v>2475</v>
      </c>
      <c r="B126" s="2" t="s">
        <v>3523</v>
      </c>
      <c r="C126" s="2" t="s">
        <v>4007</v>
      </c>
      <c r="D126" s="2" t="s">
        <v>4026</v>
      </c>
      <c r="E126" s="2" t="s">
        <v>4009</v>
      </c>
    </row>
    <row r="127" spans="1:5">
      <c r="A127" s="2" t="s">
        <v>2479</v>
      </c>
      <c r="B127" s="2" t="s">
        <v>3523</v>
      </c>
      <c r="C127" s="2" t="s">
        <v>4007</v>
      </c>
      <c r="D127" s="2" t="s">
        <v>4027</v>
      </c>
      <c r="E127" s="2" t="s">
        <v>4009</v>
      </c>
    </row>
    <row r="128" spans="1:5">
      <c r="A128" s="2" t="s">
        <v>2483</v>
      </c>
      <c r="B128" s="2" t="s">
        <v>3523</v>
      </c>
      <c r="C128" s="2" t="s">
        <v>4007</v>
      </c>
      <c r="D128" s="2" t="s">
        <v>4028</v>
      </c>
      <c r="E128" s="2" t="s">
        <v>4009</v>
      </c>
    </row>
    <row r="129" spans="1:5">
      <c r="A129" s="2" t="s">
        <v>2487</v>
      </c>
      <c r="B129" s="2" t="s">
        <v>3523</v>
      </c>
      <c r="C129" s="2" t="s">
        <v>4007</v>
      </c>
      <c r="D129" s="2" t="s">
        <v>4029</v>
      </c>
      <c r="E129" s="2" t="s">
        <v>4009</v>
      </c>
    </row>
    <row r="130" spans="1:5">
      <c r="A130" s="2" t="s">
        <v>2491</v>
      </c>
      <c r="B130" s="2" t="s">
        <v>3523</v>
      </c>
      <c r="C130" s="2" t="s">
        <v>4007</v>
      </c>
      <c r="D130" s="2" t="s">
        <v>4030</v>
      </c>
      <c r="E130" s="2" t="s">
        <v>4009</v>
      </c>
    </row>
    <row r="131" spans="1:5">
      <c r="A131" s="2" t="s">
        <v>2495</v>
      </c>
      <c r="B131" s="2" t="s">
        <v>3523</v>
      </c>
      <c r="C131" s="2" t="s">
        <v>4031</v>
      </c>
      <c r="D131" s="2" t="s">
        <v>4032</v>
      </c>
      <c r="E131" s="2" t="s">
        <v>4009</v>
      </c>
    </row>
    <row r="132" spans="1:5">
      <c r="A132" s="2" t="s">
        <v>2499</v>
      </c>
      <c r="B132" s="2" t="s">
        <v>3512</v>
      </c>
      <c r="C132" s="2" t="s">
        <v>4033</v>
      </c>
      <c r="D132" s="2" t="s">
        <v>4034</v>
      </c>
      <c r="E132" s="2" t="s">
        <v>4009</v>
      </c>
    </row>
    <row r="133" spans="1:5">
      <c r="A133" s="2" t="s">
        <v>2504</v>
      </c>
      <c r="B133" s="2" t="s">
        <v>3512</v>
      </c>
      <c r="C133" s="2" t="s">
        <v>4035</v>
      </c>
      <c r="D133" s="2" t="s">
        <v>4036</v>
      </c>
      <c r="E133" s="2" t="s">
        <v>4009</v>
      </c>
    </row>
    <row r="134" spans="1:5">
      <c r="A134" s="2" t="s">
        <v>2508</v>
      </c>
      <c r="B134" s="2" t="s">
        <v>3512</v>
      </c>
      <c r="C134" s="2" t="s">
        <v>4035</v>
      </c>
      <c r="D134" s="2" t="s">
        <v>4037</v>
      </c>
      <c r="E134" s="2" t="s">
        <v>4009</v>
      </c>
    </row>
    <row r="135" spans="1:5">
      <c r="A135" s="2" t="s">
        <v>2514</v>
      </c>
      <c r="B135" s="2" t="s">
        <v>3512</v>
      </c>
      <c r="C135" s="2" t="s">
        <v>4035</v>
      </c>
      <c r="D135" s="2" t="s">
        <v>4038</v>
      </c>
      <c r="E135" s="2" t="s">
        <v>4009</v>
      </c>
    </row>
    <row r="136" spans="1:5">
      <c r="A136" s="2" t="s">
        <v>2517</v>
      </c>
      <c r="B136" s="2" t="s">
        <v>3512</v>
      </c>
      <c r="C136" s="2" t="s">
        <v>4035</v>
      </c>
      <c r="D136" s="2" t="s">
        <v>4039</v>
      </c>
      <c r="E136" s="2" t="s">
        <v>4009</v>
      </c>
    </row>
    <row r="137" spans="1:5">
      <c r="A137" s="2" t="s">
        <v>2522</v>
      </c>
      <c r="B137" s="2" t="s">
        <v>3512</v>
      </c>
      <c r="C137" s="2" t="s">
        <v>4035</v>
      </c>
      <c r="D137" s="2" t="s">
        <v>4040</v>
      </c>
      <c r="E137" s="2" t="s">
        <v>4009</v>
      </c>
    </row>
    <row r="138" spans="1:5">
      <c r="A138" s="2" t="s">
        <v>2525</v>
      </c>
      <c r="B138" s="2" t="s">
        <v>3512</v>
      </c>
      <c r="C138" s="2" t="s">
        <v>4035</v>
      </c>
      <c r="D138" s="2" t="s">
        <v>4041</v>
      </c>
      <c r="E138" s="2" t="s">
        <v>4009</v>
      </c>
    </row>
    <row r="139" spans="1:5">
      <c r="A139" s="2" t="s">
        <v>2528</v>
      </c>
      <c r="B139" s="2" t="s">
        <v>3512</v>
      </c>
      <c r="C139" s="2" t="s">
        <v>4035</v>
      </c>
      <c r="D139" s="2" t="s">
        <v>4042</v>
      </c>
      <c r="E139" s="2" t="s">
        <v>4009</v>
      </c>
    </row>
    <row r="140" spans="1:5">
      <c r="A140" s="2" t="s">
        <v>2532</v>
      </c>
      <c r="B140" s="2" t="s">
        <v>3512</v>
      </c>
      <c r="C140" s="2" t="s">
        <v>4043</v>
      </c>
      <c r="D140" s="2" t="s">
        <v>4044</v>
      </c>
      <c r="E140" s="2" t="s">
        <v>4009</v>
      </c>
    </row>
    <row r="141" spans="1:5">
      <c r="A141" s="2" t="s">
        <v>2536</v>
      </c>
      <c r="B141" s="2" t="s">
        <v>3523</v>
      </c>
      <c r="C141" s="2" t="s">
        <v>4045</v>
      </c>
      <c r="D141" s="2" t="s">
        <v>4046</v>
      </c>
      <c r="E141" s="2" t="s">
        <v>4009</v>
      </c>
    </row>
    <row r="142" spans="1:5">
      <c r="A142" s="2" t="s">
        <v>2540</v>
      </c>
      <c r="B142" s="2" t="s">
        <v>3523</v>
      </c>
      <c r="C142" s="2" t="s">
        <v>4047</v>
      </c>
      <c r="D142" s="2" t="s">
        <v>4048</v>
      </c>
      <c r="E142" s="2" t="s">
        <v>4009</v>
      </c>
    </row>
    <row r="143" spans="1:5">
      <c r="A143" s="2" t="s">
        <v>2545</v>
      </c>
      <c r="B143" s="2" t="s">
        <v>3512</v>
      </c>
      <c r="C143" s="2" t="s">
        <v>4049</v>
      </c>
      <c r="D143" s="2" t="s">
        <v>4050</v>
      </c>
      <c r="E143" s="2" t="s">
        <v>4009</v>
      </c>
    </row>
    <row r="144" spans="1:5">
      <c r="A144" s="2" t="s">
        <v>2549</v>
      </c>
      <c r="B144" s="2" t="s">
        <v>3512</v>
      </c>
      <c r="C144" s="2" t="s">
        <v>4051</v>
      </c>
      <c r="D144" s="2" t="s">
        <v>4052</v>
      </c>
      <c r="E144" s="2" t="s">
        <v>4009</v>
      </c>
    </row>
    <row r="145" spans="1:5">
      <c r="A145" s="2" t="s">
        <v>2554</v>
      </c>
      <c r="B145" s="2" t="s">
        <v>3512</v>
      </c>
      <c r="C145" s="2" t="s">
        <v>4051</v>
      </c>
      <c r="D145" s="2" t="s">
        <v>4053</v>
      </c>
      <c r="E145" s="2" t="s">
        <v>4009</v>
      </c>
    </row>
    <row r="146" spans="1:5">
      <c r="A146" s="2" t="s">
        <v>2558</v>
      </c>
      <c r="B146" s="2" t="s">
        <v>3512</v>
      </c>
      <c r="C146" s="2" t="s">
        <v>4051</v>
      </c>
      <c r="D146" s="2" t="s">
        <v>4054</v>
      </c>
      <c r="E146" s="2" t="s">
        <v>4009</v>
      </c>
    </row>
    <row r="147" spans="1:5">
      <c r="A147" s="2" t="s">
        <v>2561</v>
      </c>
      <c r="B147" s="2" t="s">
        <v>3512</v>
      </c>
      <c r="C147" s="2" t="s">
        <v>4055</v>
      </c>
      <c r="D147" s="2" t="s">
        <v>4056</v>
      </c>
      <c r="E147" s="2" t="s">
        <v>4009</v>
      </c>
    </row>
    <row r="148" spans="1:5">
      <c r="A148" s="2" t="s">
        <v>2564</v>
      </c>
      <c r="B148" s="2" t="s">
        <v>3512</v>
      </c>
      <c r="C148" s="2" t="s">
        <v>4055</v>
      </c>
      <c r="D148" s="2" t="s">
        <v>4057</v>
      </c>
      <c r="E148" s="2" t="s">
        <v>4009</v>
      </c>
    </row>
    <row r="149" spans="1:5">
      <c r="A149" s="2" t="s">
        <v>2568</v>
      </c>
      <c r="B149" s="2" t="s">
        <v>3512</v>
      </c>
      <c r="C149" s="2" t="s">
        <v>4058</v>
      </c>
      <c r="D149" s="2" t="s">
        <v>4059</v>
      </c>
      <c r="E149" s="2" t="s">
        <v>4009</v>
      </c>
    </row>
    <row r="150" spans="1:5">
      <c r="A150" s="2" t="s">
        <v>2573</v>
      </c>
      <c r="B150" s="2" t="s">
        <v>3619</v>
      </c>
      <c r="C150" s="2" t="s">
        <v>3996</v>
      </c>
      <c r="D150" s="2" t="s">
        <v>4060</v>
      </c>
      <c r="E150" s="2" t="s">
        <v>4009</v>
      </c>
    </row>
    <row r="151" spans="1:5">
      <c r="A151" s="2" t="s">
        <v>2581</v>
      </c>
      <c r="B151" s="2" t="s">
        <v>3512</v>
      </c>
      <c r="C151" s="2" t="s">
        <v>4061</v>
      </c>
      <c r="D151" s="2" t="s">
        <v>4062</v>
      </c>
      <c r="E151" s="2" t="s">
        <v>4009</v>
      </c>
    </row>
    <row r="152" spans="1:5">
      <c r="A152" s="2" t="s">
        <v>2587</v>
      </c>
      <c r="B152" s="2" t="s">
        <v>3512</v>
      </c>
      <c r="C152" s="2" t="s">
        <v>4063</v>
      </c>
      <c r="D152" s="2" t="s">
        <v>4064</v>
      </c>
      <c r="E152" s="2" t="s">
        <v>4009</v>
      </c>
    </row>
    <row r="153" spans="1:5">
      <c r="A153" s="2" t="s">
        <v>2591</v>
      </c>
      <c r="B153" s="2" t="s">
        <v>3512</v>
      </c>
      <c r="C153" s="2" t="s">
        <v>4063</v>
      </c>
      <c r="D153" s="2" t="s">
        <v>4065</v>
      </c>
      <c r="E153" s="2" t="s">
        <v>4009</v>
      </c>
    </row>
    <row r="154" spans="1:5">
      <c r="A154" s="2" t="s">
        <v>2595</v>
      </c>
      <c r="B154" s="2" t="s">
        <v>3512</v>
      </c>
      <c r="C154" s="2" t="s">
        <v>4063</v>
      </c>
      <c r="D154" s="2" t="s">
        <v>4066</v>
      </c>
      <c r="E154" s="2" t="s">
        <v>4009</v>
      </c>
    </row>
    <row r="155" spans="1:5">
      <c r="A155" s="2" t="s">
        <v>2599</v>
      </c>
      <c r="B155" s="2" t="s">
        <v>3512</v>
      </c>
      <c r="C155" s="2" t="s">
        <v>4063</v>
      </c>
      <c r="D155" s="2" t="s">
        <v>4067</v>
      </c>
      <c r="E155" s="2" t="s">
        <v>4009</v>
      </c>
    </row>
    <row r="156" spans="1:5">
      <c r="A156" s="2" t="s">
        <v>2603</v>
      </c>
      <c r="B156" s="2" t="s">
        <v>3512</v>
      </c>
      <c r="C156" s="2" t="s">
        <v>4063</v>
      </c>
      <c r="D156" s="2" t="s">
        <v>4068</v>
      </c>
      <c r="E156" s="2" t="s">
        <v>4009</v>
      </c>
    </row>
    <row r="157" spans="1:5">
      <c r="A157" s="2" t="s">
        <v>2607</v>
      </c>
      <c r="B157" s="2" t="s">
        <v>3512</v>
      </c>
      <c r="C157" s="2" t="s">
        <v>4063</v>
      </c>
      <c r="D157" s="2" t="s">
        <v>4069</v>
      </c>
      <c r="E157" s="2" t="s">
        <v>4009</v>
      </c>
    </row>
    <row r="158" spans="1:5">
      <c r="A158" s="2" t="s">
        <v>2611</v>
      </c>
      <c r="B158" s="2" t="s">
        <v>3512</v>
      </c>
      <c r="C158" s="2" t="s">
        <v>4070</v>
      </c>
      <c r="D158" s="2" t="s">
        <v>4071</v>
      </c>
      <c r="E158" s="2" t="s">
        <v>4009</v>
      </c>
    </row>
    <row r="159" spans="1:5">
      <c r="A159" s="2" t="s">
        <v>4072</v>
      </c>
      <c r="B159" s="2" t="s">
        <v>3512</v>
      </c>
      <c r="C159" s="2" t="s">
        <v>4073</v>
      </c>
      <c r="D159" s="2" t="s">
        <v>4074</v>
      </c>
      <c r="E159" s="2" t="s">
        <v>4075</v>
      </c>
    </row>
    <row r="160" spans="1:5">
      <c r="A160" s="2" t="s">
        <v>4076</v>
      </c>
      <c r="B160" s="2" t="s">
        <v>3557</v>
      </c>
      <c r="C160" s="2" t="s">
        <v>4077</v>
      </c>
      <c r="D160" s="2" t="s">
        <v>4074</v>
      </c>
      <c r="E160" s="2" t="s">
        <v>4075</v>
      </c>
    </row>
    <row r="161" spans="1:5">
      <c r="A161" s="2" t="s">
        <v>4078</v>
      </c>
      <c r="B161" s="2" t="s">
        <v>3563</v>
      </c>
      <c r="C161" s="2" t="s">
        <v>4079</v>
      </c>
      <c r="D161" s="2" t="s">
        <v>4074</v>
      </c>
      <c r="E161" s="2" t="s">
        <v>4075</v>
      </c>
    </row>
    <row r="162" spans="1:5">
      <c r="A162" s="2" t="s">
        <v>2615</v>
      </c>
      <c r="B162" s="2" t="s">
        <v>3512</v>
      </c>
      <c r="C162" s="2" t="s">
        <v>4080</v>
      </c>
      <c r="D162" s="2" t="s">
        <v>4081</v>
      </c>
      <c r="E162" s="2" t="s">
        <v>4082</v>
      </c>
    </row>
  </sheetData>
  <autoFilter ref="A1:E162"/>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4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45.7109375" customWidth="1"/>
    <col min="3" max="3" width="85.7109375" customWidth="1"/>
    <col min="4" max="4" width="75.7109375" customWidth="1"/>
    <col min="5" max="5" width="18.7109375" customWidth="1"/>
    <col min="6" max="7" width="35.7109375" customWidth="1"/>
    <col min="8" max="9" width="75.7109375" customWidth="1"/>
  </cols>
  <sheetData>
    <row r="1" spans="1:9" ht="32" customHeight="1">
      <c r="A1" s="1" t="s">
        <v>31</v>
      </c>
      <c r="B1" s="1" t="s">
        <v>4083</v>
      </c>
      <c r="C1" s="1" t="s">
        <v>4084</v>
      </c>
      <c r="D1" s="1" t="s">
        <v>4085</v>
      </c>
      <c r="E1" s="1" t="s">
        <v>43</v>
      </c>
      <c r="F1" s="1" t="s">
        <v>4086</v>
      </c>
      <c r="G1" s="1" t="s">
        <v>4087</v>
      </c>
      <c r="H1" s="1" t="s">
        <v>4088</v>
      </c>
      <c r="I1" s="1" t="s">
        <v>4089</v>
      </c>
    </row>
    <row r="2" spans="1:9">
      <c r="A2" s="2" t="s">
        <v>4090</v>
      </c>
      <c r="B2" s="2" t="s">
        <v>4091</v>
      </c>
      <c r="C2" s="2" t="s">
        <v>4092</v>
      </c>
      <c r="D2" s="2" t="s">
        <v>4093</v>
      </c>
      <c r="E2" s="2" t="s">
        <v>4094</v>
      </c>
      <c r="F2" s="2" t="s">
        <v>4095</v>
      </c>
      <c r="G2" s="2" t="s">
        <v>4096</v>
      </c>
      <c r="H2" s="2" t="s">
        <v>4097</v>
      </c>
      <c r="I2" s="2" t="s">
        <v>4098</v>
      </c>
    </row>
    <row r="3" spans="1:9">
      <c r="A3" s="2" t="s">
        <v>4099</v>
      </c>
      <c r="B3" s="2" t="s">
        <v>4100</v>
      </c>
      <c r="C3" s="2" t="s">
        <v>4101</v>
      </c>
      <c r="D3" s="2" t="s">
        <v>4102</v>
      </c>
      <c r="E3" s="2" t="s">
        <v>4094</v>
      </c>
      <c r="F3" s="2" t="s">
        <v>4103</v>
      </c>
      <c r="G3" s="2" t="s">
        <v>4104</v>
      </c>
      <c r="H3" s="2" t="s">
        <v>4105</v>
      </c>
      <c r="I3" s="2" t="s">
        <v>4106</v>
      </c>
    </row>
    <row r="4" spans="1:9">
      <c r="A4" s="2" t="s">
        <v>4107</v>
      </c>
      <c r="B4" s="2" t="s">
        <v>4108</v>
      </c>
      <c r="C4" s="2" t="s">
        <v>4109</v>
      </c>
      <c r="D4" s="2" t="s">
        <v>4110</v>
      </c>
      <c r="E4" s="2" t="s">
        <v>4094</v>
      </c>
      <c r="F4" s="2" t="s">
        <v>4111</v>
      </c>
      <c r="G4" s="2" t="s">
        <v>4112</v>
      </c>
      <c r="H4" s="2" t="s">
        <v>4113</v>
      </c>
      <c r="I4" s="2" t="s">
        <v>4114</v>
      </c>
    </row>
    <row r="5" spans="1:9">
      <c r="A5" s="2" t="s">
        <v>4115</v>
      </c>
      <c r="B5" s="2" t="s">
        <v>4116</v>
      </c>
      <c r="C5" s="2" t="s">
        <v>4117</v>
      </c>
      <c r="D5" s="2" t="s">
        <v>4118</v>
      </c>
      <c r="E5" s="2" t="s">
        <v>4094</v>
      </c>
      <c r="F5" s="2" t="s">
        <v>4119</v>
      </c>
      <c r="G5" s="2" t="s">
        <v>4120</v>
      </c>
      <c r="H5" s="2" t="s">
        <v>4121</v>
      </c>
      <c r="I5" s="2" t="s">
        <v>4122</v>
      </c>
    </row>
    <row r="6" spans="1:9">
      <c r="A6" s="2" t="s">
        <v>4123</v>
      </c>
      <c r="B6" s="2" t="s">
        <v>4124</v>
      </c>
      <c r="C6" s="2" t="s">
        <v>4125</v>
      </c>
      <c r="D6" s="2" t="s">
        <v>4126</v>
      </c>
      <c r="E6" s="2" t="s">
        <v>4094</v>
      </c>
      <c r="F6" s="2" t="s">
        <v>4127</v>
      </c>
      <c r="G6" s="2" t="s">
        <v>4128</v>
      </c>
      <c r="H6" s="2" t="s">
        <v>4129</v>
      </c>
      <c r="I6" s="2" t="s">
        <v>4130</v>
      </c>
    </row>
    <row r="7" spans="1:9">
      <c r="A7" s="2" t="s">
        <v>4131</v>
      </c>
      <c r="B7" s="2" t="s">
        <v>4132</v>
      </c>
      <c r="C7" s="2" t="s">
        <v>4133</v>
      </c>
      <c r="D7" s="2" t="s">
        <v>4134</v>
      </c>
      <c r="E7" s="2" t="s">
        <v>4094</v>
      </c>
      <c r="F7" s="2" t="s">
        <v>4135</v>
      </c>
      <c r="G7" s="2" t="s">
        <v>1701</v>
      </c>
      <c r="H7" s="2" t="s">
        <v>4136</v>
      </c>
      <c r="I7" s="2" t="s">
        <v>4137</v>
      </c>
    </row>
    <row r="8" spans="1:9">
      <c r="A8" s="2" t="s">
        <v>4138</v>
      </c>
      <c r="B8" s="2" t="s">
        <v>4139</v>
      </c>
      <c r="C8" s="2" t="s">
        <v>4140</v>
      </c>
      <c r="D8" s="2" t="s">
        <v>4141</v>
      </c>
      <c r="E8" s="2" t="s">
        <v>4094</v>
      </c>
      <c r="F8" s="2" t="s">
        <v>4142</v>
      </c>
      <c r="G8" s="2"/>
      <c r="H8" s="2" t="s">
        <v>4143</v>
      </c>
      <c r="I8" s="2" t="s">
        <v>4144</v>
      </c>
    </row>
    <row r="9" spans="1:9">
      <c r="A9" s="2" t="s">
        <v>4145</v>
      </c>
      <c r="B9" s="2" t="s">
        <v>4146</v>
      </c>
      <c r="C9" s="2" t="s">
        <v>4147</v>
      </c>
      <c r="D9" s="2" t="s">
        <v>4148</v>
      </c>
      <c r="E9" s="2" t="s">
        <v>4149</v>
      </c>
      <c r="F9" s="2" t="s">
        <v>4150</v>
      </c>
      <c r="G9" s="2" t="s">
        <v>1551</v>
      </c>
      <c r="H9" s="2" t="s">
        <v>4151</v>
      </c>
      <c r="I9" s="2" t="s">
        <v>4152</v>
      </c>
    </row>
    <row r="10" spans="1:9">
      <c r="A10" s="2" t="s">
        <v>4153</v>
      </c>
      <c r="B10" s="2" t="s">
        <v>4154</v>
      </c>
      <c r="C10" s="2" t="s">
        <v>4155</v>
      </c>
      <c r="D10" s="2" t="s">
        <v>4156</v>
      </c>
      <c r="E10" s="2" t="s">
        <v>4149</v>
      </c>
      <c r="F10" s="2" t="s">
        <v>4157</v>
      </c>
      <c r="G10" s="2"/>
      <c r="H10" s="2" t="s">
        <v>4158</v>
      </c>
      <c r="I10" s="2" t="s">
        <v>4159</v>
      </c>
    </row>
    <row r="11" spans="1:9">
      <c r="A11" s="2" t="s">
        <v>4160</v>
      </c>
      <c r="B11" s="2" t="s">
        <v>4161</v>
      </c>
      <c r="C11" s="2" t="s">
        <v>4162</v>
      </c>
      <c r="D11" s="2" t="s">
        <v>4163</v>
      </c>
      <c r="E11" s="2" t="s">
        <v>4149</v>
      </c>
      <c r="F11" s="2" t="s">
        <v>4164</v>
      </c>
      <c r="G11" s="2" t="s">
        <v>2851</v>
      </c>
      <c r="H11" s="2" t="s">
        <v>4165</v>
      </c>
      <c r="I11" s="2" t="s">
        <v>4166</v>
      </c>
    </row>
    <row r="12" spans="1:9">
      <c r="A12" s="2" t="s">
        <v>4167</v>
      </c>
      <c r="B12" s="2" t="s">
        <v>4168</v>
      </c>
      <c r="C12" s="2" t="s">
        <v>4169</v>
      </c>
      <c r="D12" s="2" t="s">
        <v>4170</v>
      </c>
      <c r="E12" s="2" t="s">
        <v>4149</v>
      </c>
      <c r="F12" s="2" t="s">
        <v>4171</v>
      </c>
      <c r="G12" s="2"/>
      <c r="H12" s="2" t="s">
        <v>4172</v>
      </c>
      <c r="I12" s="2" t="s">
        <v>4173</v>
      </c>
    </row>
    <row r="13" spans="1:9">
      <c r="A13" s="2" t="s">
        <v>4174</v>
      </c>
      <c r="B13" s="2" t="s">
        <v>4175</v>
      </c>
      <c r="C13" s="2" t="s">
        <v>4176</v>
      </c>
      <c r="D13" s="2" t="s">
        <v>4177</v>
      </c>
      <c r="E13" s="2" t="s">
        <v>4149</v>
      </c>
      <c r="F13" s="2" t="s">
        <v>4178</v>
      </c>
      <c r="G13" s="2"/>
      <c r="H13" s="2" t="s">
        <v>4179</v>
      </c>
      <c r="I13" s="2" t="s">
        <v>4180</v>
      </c>
    </row>
    <row r="14" spans="1:9">
      <c r="A14" s="2" t="s">
        <v>4181</v>
      </c>
      <c r="B14" s="2" t="s">
        <v>4182</v>
      </c>
      <c r="C14" s="2" t="s">
        <v>4183</v>
      </c>
      <c r="D14" s="2" t="s">
        <v>4184</v>
      </c>
      <c r="E14" s="2" t="s">
        <v>4149</v>
      </c>
      <c r="F14" s="2" t="s">
        <v>4185</v>
      </c>
      <c r="G14" s="2"/>
      <c r="H14" s="2" t="s">
        <v>4186</v>
      </c>
      <c r="I14" s="2" t="s">
        <v>4187</v>
      </c>
    </row>
    <row r="15" spans="1:9">
      <c r="A15" s="2" t="s">
        <v>4188</v>
      </c>
      <c r="B15" s="2" t="s">
        <v>4189</v>
      </c>
      <c r="C15" s="2" t="s">
        <v>4190</v>
      </c>
      <c r="D15" s="2" t="s">
        <v>4191</v>
      </c>
      <c r="E15" s="2" t="s">
        <v>4094</v>
      </c>
      <c r="F15" s="2" t="s">
        <v>4192</v>
      </c>
      <c r="G15" s="2"/>
      <c r="H15" s="2" t="s">
        <v>4193</v>
      </c>
      <c r="I15" s="2" t="s">
        <v>4194</v>
      </c>
    </row>
    <row r="16" spans="1:9">
      <c r="A16" s="2" t="s">
        <v>4195</v>
      </c>
      <c r="B16" s="2" t="s">
        <v>4196</v>
      </c>
      <c r="C16" s="2" t="s">
        <v>4197</v>
      </c>
      <c r="D16" s="2" t="s">
        <v>4198</v>
      </c>
      <c r="E16" s="2" t="s">
        <v>4149</v>
      </c>
      <c r="F16" s="2" t="s">
        <v>4199</v>
      </c>
      <c r="G16" s="2"/>
      <c r="H16" s="2" t="s">
        <v>4200</v>
      </c>
      <c r="I16" s="2" t="s">
        <v>4201</v>
      </c>
    </row>
    <row r="17" spans="1:9">
      <c r="A17" s="2" t="s">
        <v>4202</v>
      </c>
      <c r="B17" s="2" t="s">
        <v>4203</v>
      </c>
      <c r="C17" s="2" t="s">
        <v>4204</v>
      </c>
      <c r="D17" s="2" t="s">
        <v>4205</v>
      </c>
      <c r="E17" s="2" t="s">
        <v>4149</v>
      </c>
      <c r="F17" s="2" t="s">
        <v>4206</v>
      </c>
      <c r="G17" s="2"/>
      <c r="H17" s="2" t="s">
        <v>4207</v>
      </c>
      <c r="I17" s="2" t="s">
        <v>4208</v>
      </c>
    </row>
    <row r="18" spans="1:9">
      <c r="A18" s="2" t="s">
        <v>4209</v>
      </c>
      <c r="B18" s="2" t="s">
        <v>4210</v>
      </c>
      <c r="C18" s="2" t="s">
        <v>4211</v>
      </c>
      <c r="D18" s="2" t="s">
        <v>4212</v>
      </c>
      <c r="E18" s="2" t="s">
        <v>4094</v>
      </c>
      <c r="F18" s="2" t="s">
        <v>4213</v>
      </c>
      <c r="G18" s="2"/>
      <c r="H18" s="2" t="s">
        <v>4214</v>
      </c>
      <c r="I18" s="2" t="s">
        <v>4215</v>
      </c>
    </row>
    <row r="19" spans="1:9">
      <c r="A19" s="2" t="s">
        <v>4216</v>
      </c>
      <c r="B19" s="2" t="s">
        <v>4217</v>
      </c>
      <c r="C19" s="2" t="s">
        <v>4218</v>
      </c>
      <c r="D19" s="2" t="s">
        <v>4219</v>
      </c>
      <c r="E19" s="2" t="s">
        <v>4094</v>
      </c>
      <c r="F19" s="2" t="s">
        <v>4220</v>
      </c>
      <c r="G19" s="2"/>
      <c r="H19" s="2" t="s">
        <v>4221</v>
      </c>
      <c r="I19" s="2" t="s">
        <v>4222</v>
      </c>
    </row>
    <row r="20" spans="1:9">
      <c r="A20" s="2" t="s">
        <v>4223</v>
      </c>
      <c r="B20" s="2" t="s">
        <v>4224</v>
      </c>
      <c r="C20" s="2" t="s">
        <v>4225</v>
      </c>
      <c r="D20" s="2" t="s">
        <v>4226</v>
      </c>
      <c r="E20" s="2" t="s">
        <v>4227</v>
      </c>
      <c r="F20" s="2" t="s">
        <v>4228</v>
      </c>
      <c r="G20" s="2"/>
      <c r="H20" s="2" t="s">
        <v>4229</v>
      </c>
      <c r="I20" s="2" t="s">
        <v>4230</v>
      </c>
    </row>
    <row r="21" spans="1:9">
      <c r="A21" s="2" t="s">
        <v>4231</v>
      </c>
      <c r="B21" s="2" t="s">
        <v>4232</v>
      </c>
      <c r="C21" s="2" t="s">
        <v>4233</v>
      </c>
      <c r="D21" s="2" t="s">
        <v>4234</v>
      </c>
      <c r="E21" s="2" t="s">
        <v>4094</v>
      </c>
      <c r="F21" s="2" t="s">
        <v>4235</v>
      </c>
      <c r="G21" s="2"/>
      <c r="H21" s="2" t="s">
        <v>4236</v>
      </c>
      <c r="I21" s="2" t="s">
        <v>4237</v>
      </c>
    </row>
    <row r="22" spans="1:9">
      <c r="A22" s="2" t="s">
        <v>4238</v>
      </c>
      <c r="B22" s="2" t="s">
        <v>4239</v>
      </c>
      <c r="C22" s="2" t="s">
        <v>4240</v>
      </c>
      <c r="D22" s="2" t="s">
        <v>4241</v>
      </c>
      <c r="E22" s="2" t="s">
        <v>4094</v>
      </c>
      <c r="F22" s="2" t="s">
        <v>4242</v>
      </c>
      <c r="G22" s="2"/>
      <c r="H22" s="2" t="s">
        <v>4243</v>
      </c>
      <c r="I22" s="2" t="s">
        <v>4244</v>
      </c>
    </row>
    <row r="23" spans="1:9">
      <c r="A23" s="2" t="s">
        <v>4245</v>
      </c>
      <c r="B23" s="2" t="s">
        <v>4246</v>
      </c>
      <c r="C23" s="2" t="s">
        <v>4247</v>
      </c>
      <c r="D23" s="2" t="s">
        <v>4248</v>
      </c>
      <c r="E23" s="2" t="s">
        <v>4094</v>
      </c>
      <c r="F23" s="2" t="s">
        <v>4249</v>
      </c>
      <c r="G23" s="2"/>
      <c r="H23" s="2" t="s">
        <v>4250</v>
      </c>
      <c r="I23" s="2" t="s">
        <v>4251</v>
      </c>
    </row>
    <row r="24" spans="1:9">
      <c r="A24" s="2" t="s">
        <v>4252</v>
      </c>
      <c r="B24" s="2" t="s">
        <v>4253</v>
      </c>
      <c r="C24" s="2" t="s">
        <v>4254</v>
      </c>
      <c r="D24" s="2" t="s">
        <v>4255</v>
      </c>
      <c r="E24" s="2" t="s">
        <v>4094</v>
      </c>
      <c r="F24" s="2" t="s">
        <v>4256</v>
      </c>
      <c r="G24" s="2"/>
      <c r="H24" s="2" t="s">
        <v>4257</v>
      </c>
      <c r="I24" s="2" t="s">
        <v>4258</v>
      </c>
    </row>
    <row r="25" spans="1:9">
      <c r="A25" s="2" t="s">
        <v>4259</v>
      </c>
      <c r="B25" s="2" t="s">
        <v>4260</v>
      </c>
      <c r="C25" s="2" t="s">
        <v>4261</v>
      </c>
      <c r="D25" s="2" t="s">
        <v>4262</v>
      </c>
      <c r="E25" s="2" t="s">
        <v>4094</v>
      </c>
      <c r="F25" s="2" t="s">
        <v>4263</v>
      </c>
      <c r="G25" s="2"/>
      <c r="H25" s="2" t="s">
        <v>4264</v>
      </c>
      <c r="I25" s="2" t="s">
        <v>4265</v>
      </c>
    </row>
    <row r="26" spans="1:9">
      <c r="A26" s="2" t="s">
        <v>4266</v>
      </c>
      <c r="B26" s="2" t="s">
        <v>4267</v>
      </c>
      <c r="C26" s="2" t="s">
        <v>4268</v>
      </c>
      <c r="D26" s="2" t="s">
        <v>4269</v>
      </c>
      <c r="E26" s="2" t="s">
        <v>4149</v>
      </c>
      <c r="F26" s="2" t="s">
        <v>4270</v>
      </c>
      <c r="G26" s="2"/>
      <c r="H26" s="2" t="s">
        <v>4271</v>
      </c>
      <c r="I26" s="2" t="s">
        <v>4272</v>
      </c>
    </row>
    <row r="27" spans="1:9">
      <c r="A27" s="2" t="s">
        <v>4273</v>
      </c>
      <c r="B27" s="2" t="s">
        <v>4274</v>
      </c>
      <c r="C27" s="2" t="s">
        <v>4275</v>
      </c>
      <c r="D27" s="2" t="s">
        <v>4276</v>
      </c>
      <c r="E27" s="2" t="s">
        <v>4094</v>
      </c>
      <c r="F27" s="2" t="s">
        <v>4277</v>
      </c>
      <c r="G27" s="2"/>
      <c r="H27" s="2" t="s">
        <v>4278</v>
      </c>
      <c r="I27" s="2" t="s">
        <v>4279</v>
      </c>
    </row>
    <row r="28" spans="1:9">
      <c r="A28" s="2" t="s">
        <v>4280</v>
      </c>
      <c r="B28" s="2" t="s">
        <v>4281</v>
      </c>
      <c r="C28" s="2" t="s">
        <v>4282</v>
      </c>
      <c r="D28" s="2" t="s">
        <v>4283</v>
      </c>
      <c r="E28" s="2" t="s">
        <v>4227</v>
      </c>
      <c r="F28" s="2" t="s">
        <v>4284</v>
      </c>
      <c r="G28" s="2"/>
      <c r="H28" s="2" t="s">
        <v>4285</v>
      </c>
      <c r="I28" s="2" t="s">
        <v>4286</v>
      </c>
    </row>
    <row r="29" spans="1:9">
      <c r="A29" s="2" t="s">
        <v>4287</v>
      </c>
      <c r="B29" s="2" t="s">
        <v>4288</v>
      </c>
      <c r="C29" s="2" t="s">
        <v>4289</v>
      </c>
      <c r="D29" s="2" t="s">
        <v>4290</v>
      </c>
      <c r="E29" s="2" t="s">
        <v>4149</v>
      </c>
      <c r="F29" s="2" t="s">
        <v>4291</v>
      </c>
      <c r="G29" s="2"/>
      <c r="H29" s="2" t="s">
        <v>4292</v>
      </c>
      <c r="I29" s="2" t="s">
        <v>4293</v>
      </c>
    </row>
    <row r="30" spans="1:9">
      <c r="A30" s="2" t="s">
        <v>4294</v>
      </c>
      <c r="B30" s="2" t="s">
        <v>4295</v>
      </c>
      <c r="C30" s="2" t="s">
        <v>4296</v>
      </c>
      <c r="D30" s="2" t="s">
        <v>4297</v>
      </c>
      <c r="E30" s="2" t="s">
        <v>4149</v>
      </c>
      <c r="F30" s="2" t="s">
        <v>2122</v>
      </c>
      <c r="G30" s="2" t="s">
        <v>1901</v>
      </c>
      <c r="H30" s="2" t="s">
        <v>4298</v>
      </c>
      <c r="I30" s="2" t="s">
        <v>4299</v>
      </c>
    </row>
    <row r="31" spans="1:9">
      <c r="A31" s="2" t="s">
        <v>4300</v>
      </c>
      <c r="B31" s="2" t="s">
        <v>4301</v>
      </c>
      <c r="C31" s="2" t="s">
        <v>4302</v>
      </c>
      <c r="D31" s="2" t="s">
        <v>4303</v>
      </c>
      <c r="E31" s="2" t="s">
        <v>4149</v>
      </c>
      <c r="F31" s="2" t="s">
        <v>4304</v>
      </c>
      <c r="G31" s="2" t="s">
        <v>1988</v>
      </c>
      <c r="H31" s="2" t="s">
        <v>4305</v>
      </c>
      <c r="I31" s="2" t="s">
        <v>4306</v>
      </c>
    </row>
    <row r="32" spans="1:9">
      <c r="A32" s="2" t="s">
        <v>4307</v>
      </c>
      <c r="B32" s="2" t="s">
        <v>4308</v>
      </c>
      <c r="C32" s="2" t="s">
        <v>4309</v>
      </c>
      <c r="D32" s="2" t="s">
        <v>4310</v>
      </c>
      <c r="E32" s="2" t="s">
        <v>4149</v>
      </c>
      <c r="F32" s="2" t="s">
        <v>2142</v>
      </c>
      <c r="G32" s="2" t="s">
        <v>4311</v>
      </c>
      <c r="H32" s="2" t="s">
        <v>4312</v>
      </c>
      <c r="I32" s="2" t="s">
        <v>4313</v>
      </c>
    </row>
    <row r="33" spans="1:9">
      <c r="A33" s="2" t="s">
        <v>4314</v>
      </c>
      <c r="B33" s="2" t="s">
        <v>4315</v>
      </c>
      <c r="C33" s="2" t="s">
        <v>4316</v>
      </c>
      <c r="D33" s="2" t="s">
        <v>4317</v>
      </c>
      <c r="E33" s="2" t="s">
        <v>4149</v>
      </c>
      <c r="F33" s="2" t="s">
        <v>4318</v>
      </c>
      <c r="G33" s="2" t="s">
        <v>4319</v>
      </c>
      <c r="H33" s="2" t="s">
        <v>4320</v>
      </c>
      <c r="I33" s="2" t="s">
        <v>4321</v>
      </c>
    </row>
    <row r="34" spans="1:9">
      <c r="A34" s="2" t="s">
        <v>4322</v>
      </c>
      <c r="B34" s="2" t="s">
        <v>4323</v>
      </c>
      <c r="C34" s="2" t="s">
        <v>4324</v>
      </c>
      <c r="D34" s="2" t="s">
        <v>4325</v>
      </c>
      <c r="E34" s="2" t="s">
        <v>4149</v>
      </c>
      <c r="F34" s="2" t="s">
        <v>4326</v>
      </c>
      <c r="G34" s="2" t="s">
        <v>4327</v>
      </c>
      <c r="H34" s="2" t="s">
        <v>4328</v>
      </c>
      <c r="I34" s="2" t="s">
        <v>4329</v>
      </c>
    </row>
    <row r="35" spans="1:9">
      <c r="A35" s="2" t="s">
        <v>4330</v>
      </c>
      <c r="B35" s="2" t="s">
        <v>4331</v>
      </c>
      <c r="C35" s="2" t="s">
        <v>4332</v>
      </c>
      <c r="D35" s="2" t="s">
        <v>4333</v>
      </c>
      <c r="E35" s="2" t="s">
        <v>4149</v>
      </c>
      <c r="F35" s="2" t="s">
        <v>4334</v>
      </c>
      <c r="G35" s="2" t="s">
        <v>4335</v>
      </c>
      <c r="H35" s="2" t="s">
        <v>4336</v>
      </c>
      <c r="I35" s="2" t="s">
        <v>4337</v>
      </c>
    </row>
    <row r="36" spans="1:9">
      <c r="A36" s="2" t="s">
        <v>4338</v>
      </c>
      <c r="B36" s="2" t="s">
        <v>4339</v>
      </c>
      <c r="C36" s="2" t="s">
        <v>4340</v>
      </c>
      <c r="D36" s="2" t="s">
        <v>4341</v>
      </c>
      <c r="E36" s="2" t="s">
        <v>4094</v>
      </c>
      <c r="F36" s="2" t="s">
        <v>1988</v>
      </c>
      <c r="G36" s="2" t="s">
        <v>4342</v>
      </c>
      <c r="H36" s="2" t="s">
        <v>4343</v>
      </c>
      <c r="I36" s="2" t="s">
        <v>4344</v>
      </c>
    </row>
    <row r="37" spans="1:9">
      <c r="A37" s="2" t="s">
        <v>4345</v>
      </c>
      <c r="B37" s="2" t="s">
        <v>4346</v>
      </c>
      <c r="C37" s="2" t="s">
        <v>4347</v>
      </c>
      <c r="D37" s="2" t="s">
        <v>4348</v>
      </c>
      <c r="E37" s="2" t="s">
        <v>4227</v>
      </c>
      <c r="F37" s="2" t="s">
        <v>4349</v>
      </c>
      <c r="G37" s="2"/>
      <c r="H37" s="2" t="s">
        <v>4350</v>
      </c>
      <c r="I37" s="2" t="s">
        <v>4351</v>
      </c>
    </row>
    <row r="38" spans="1:9">
      <c r="A38" s="2" t="s">
        <v>4352</v>
      </c>
      <c r="B38" s="2" t="s">
        <v>4353</v>
      </c>
      <c r="C38" s="2" t="s">
        <v>4354</v>
      </c>
      <c r="D38" s="2" t="s">
        <v>4355</v>
      </c>
      <c r="E38" s="2" t="s">
        <v>4094</v>
      </c>
      <c r="F38" s="2" t="s">
        <v>4356</v>
      </c>
      <c r="G38" s="2" t="s">
        <v>4357</v>
      </c>
      <c r="H38" s="2" t="s">
        <v>4358</v>
      </c>
      <c r="I38" s="2" t="s">
        <v>4359</v>
      </c>
    </row>
    <row r="39" spans="1:9">
      <c r="A39" s="2" t="s">
        <v>4360</v>
      </c>
      <c r="B39" s="2" t="s">
        <v>4361</v>
      </c>
      <c r="C39" s="2" t="s">
        <v>4362</v>
      </c>
      <c r="D39" s="2" t="s">
        <v>4363</v>
      </c>
      <c r="E39" s="2" t="s">
        <v>4227</v>
      </c>
      <c r="F39" s="2" t="s">
        <v>4364</v>
      </c>
      <c r="G39" s="2" t="s">
        <v>4365</v>
      </c>
      <c r="H39" s="2" t="s">
        <v>4366</v>
      </c>
      <c r="I39" s="2" t="s">
        <v>4367</v>
      </c>
    </row>
    <row r="40" spans="1:9">
      <c r="A40" s="2" t="s">
        <v>4368</v>
      </c>
      <c r="B40" s="2" t="s">
        <v>4369</v>
      </c>
      <c r="C40" s="2" t="s">
        <v>4370</v>
      </c>
      <c r="D40" s="2" t="s">
        <v>4371</v>
      </c>
      <c r="E40" s="2" t="s">
        <v>4094</v>
      </c>
      <c r="F40" s="2" t="s">
        <v>4372</v>
      </c>
      <c r="G40" s="2" t="s">
        <v>3912</v>
      </c>
      <c r="H40" s="2" t="s">
        <v>4373</v>
      </c>
      <c r="I40" s="2" t="s">
        <v>4374</v>
      </c>
    </row>
    <row r="41" spans="1:9">
      <c r="A41" s="2" t="s">
        <v>4375</v>
      </c>
      <c r="B41" s="2" t="s">
        <v>4376</v>
      </c>
      <c r="C41" s="2" t="s">
        <v>4377</v>
      </c>
      <c r="D41" s="2" t="s">
        <v>4378</v>
      </c>
      <c r="E41" s="2" t="s">
        <v>4094</v>
      </c>
      <c r="F41" s="2" t="s">
        <v>4379</v>
      </c>
      <c r="G41" s="2" t="s">
        <v>4380</v>
      </c>
      <c r="H41" s="2" t="s">
        <v>4381</v>
      </c>
      <c r="I41" s="2" t="s">
        <v>4382</v>
      </c>
    </row>
    <row r="42" spans="1:9">
      <c r="A42" s="2" t="s">
        <v>4383</v>
      </c>
      <c r="B42" s="2" t="s">
        <v>4384</v>
      </c>
      <c r="C42" s="2" t="s">
        <v>4385</v>
      </c>
      <c r="D42" s="2" t="s">
        <v>4386</v>
      </c>
      <c r="E42" s="2" t="s">
        <v>4149</v>
      </c>
      <c r="F42" s="2" t="s">
        <v>4387</v>
      </c>
      <c r="G42" s="2" t="s">
        <v>4388</v>
      </c>
      <c r="H42" s="2" t="s">
        <v>4389</v>
      </c>
      <c r="I42" s="2" t="s">
        <v>4390</v>
      </c>
    </row>
    <row r="43" spans="1:9">
      <c r="A43" s="2" t="s">
        <v>4391</v>
      </c>
      <c r="B43" s="2" t="s">
        <v>4392</v>
      </c>
      <c r="C43" s="2" t="s">
        <v>4393</v>
      </c>
      <c r="D43" s="2" t="s">
        <v>4394</v>
      </c>
      <c r="E43" s="2" t="s">
        <v>4094</v>
      </c>
      <c r="F43" s="2" t="s">
        <v>4395</v>
      </c>
      <c r="G43" s="2" t="s">
        <v>4396</v>
      </c>
      <c r="H43" s="2" t="s">
        <v>4397</v>
      </c>
      <c r="I43" s="2" t="s">
        <v>4398</v>
      </c>
    </row>
    <row r="44" spans="1:9">
      <c r="A44" s="2" t="s">
        <v>4399</v>
      </c>
      <c r="B44" s="2" t="s">
        <v>4400</v>
      </c>
      <c r="C44" s="2" t="s">
        <v>4401</v>
      </c>
      <c r="D44" s="2" t="s">
        <v>4402</v>
      </c>
      <c r="E44" s="2" t="s">
        <v>4094</v>
      </c>
      <c r="F44" s="2" t="s">
        <v>4403</v>
      </c>
      <c r="G44" s="2" t="s">
        <v>4404</v>
      </c>
      <c r="H44" s="2" t="s">
        <v>4405</v>
      </c>
      <c r="I44" s="2" t="s">
        <v>4406</v>
      </c>
    </row>
    <row r="45" spans="1:9">
      <c r="A45" s="2" t="s">
        <v>4407</v>
      </c>
      <c r="B45" s="2" t="s">
        <v>4408</v>
      </c>
      <c r="C45" s="2" t="s">
        <v>4409</v>
      </c>
      <c r="D45" s="2" t="s">
        <v>4410</v>
      </c>
      <c r="E45" s="2" t="s">
        <v>4227</v>
      </c>
      <c r="F45" s="2" t="s">
        <v>4411</v>
      </c>
      <c r="G45" s="2" t="s">
        <v>3728</v>
      </c>
      <c r="H45" s="2" t="s">
        <v>4412</v>
      </c>
      <c r="I45" s="2" t="s">
        <v>4413</v>
      </c>
    </row>
  </sheetData>
  <autoFilter ref="A1:I45"/>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2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0" width="28.7109375" customWidth="1"/>
  </cols>
  <sheetData>
    <row r="1" spans="1:10" ht="32" customHeight="1">
      <c r="A1" s="1" t="s">
        <v>31</v>
      </c>
      <c r="B1" s="1" t="s">
        <v>4414</v>
      </c>
      <c r="C1" s="1" t="s">
        <v>4415</v>
      </c>
      <c r="D1" s="1" t="s">
        <v>4416</v>
      </c>
      <c r="E1" s="1" t="s">
        <v>4417</v>
      </c>
      <c r="F1" s="1" t="s">
        <v>4418</v>
      </c>
      <c r="G1" s="1" t="s">
        <v>43</v>
      </c>
      <c r="H1" s="1" t="s">
        <v>4419</v>
      </c>
      <c r="I1" s="1" t="s">
        <v>33</v>
      </c>
      <c r="J1" s="1" t="s">
        <v>4420</v>
      </c>
    </row>
    <row r="2" spans="1:10">
      <c r="A2" s="2" t="s">
        <v>4421</v>
      </c>
      <c r="B2" s="2" t="s">
        <v>4138</v>
      </c>
      <c r="C2" s="2" t="s">
        <v>4422</v>
      </c>
      <c r="D2" s="2" t="s">
        <v>4423</v>
      </c>
      <c r="E2" s="2" t="s">
        <v>4424</v>
      </c>
      <c r="F2" s="2" t="s">
        <v>4425</v>
      </c>
      <c r="G2" s="2" t="s">
        <v>4426</v>
      </c>
      <c r="H2" s="2" t="s">
        <v>4427</v>
      </c>
      <c r="I2" s="2" t="s">
        <v>4428</v>
      </c>
      <c r="J2" s="2" t="s">
        <v>4429</v>
      </c>
    </row>
    <row r="3" spans="1:10">
      <c r="A3" s="2" t="s">
        <v>4430</v>
      </c>
      <c r="B3" s="2" t="s">
        <v>4195</v>
      </c>
      <c r="C3" s="2" t="s">
        <v>4422</v>
      </c>
      <c r="D3" s="2" t="s">
        <v>4423</v>
      </c>
      <c r="E3" s="2" t="s">
        <v>4424</v>
      </c>
      <c r="F3" s="2" t="s">
        <v>4431</v>
      </c>
      <c r="G3" s="2" t="s">
        <v>4426</v>
      </c>
      <c r="H3" s="2" t="s">
        <v>4432</v>
      </c>
      <c r="I3" s="2" t="s">
        <v>4433</v>
      </c>
      <c r="J3" s="2" t="s">
        <v>4429</v>
      </c>
    </row>
    <row r="4" spans="1:10">
      <c r="A4" s="2" t="s">
        <v>4434</v>
      </c>
      <c r="B4" s="2" t="s">
        <v>4223</v>
      </c>
      <c r="C4" s="2" t="s">
        <v>4422</v>
      </c>
      <c r="D4" s="2" t="s">
        <v>4423</v>
      </c>
      <c r="E4" s="2" t="s">
        <v>4424</v>
      </c>
      <c r="F4" s="2" t="s">
        <v>4435</v>
      </c>
      <c r="G4" s="2" t="s">
        <v>4426</v>
      </c>
      <c r="H4" s="2" t="s">
        <v>4436</v>
      </c>
      <c r="I4" s="2" t="s">
        <v>1018</v>
      </c>
      <c r="J4" s="2" t="s">
        <v>4429</v>
      </c>
    </row>
    <row r="5" spans="1:10">
      <c r="A5" s="2" t="s">
        <v>4437</v>
      </c>
      <c r="B5" s="2" t="s">
        <v>4259</v>
      </c>
      <c r="C5" s="2" t="s">
        <v>4422</v>
      </c>
      <c r="D5" s="2" t="s">
        <v>4423</v>
      </c>
      <c r="E5" s="2" t="s">
        <v>4424</v>
      </c>
      <c r="F5" s="2" t="s">
        <v>4438</v>
      </c>
      <c r="G5" s="2" t="s">
        <v>4426</v>
      </c>
      <c r="H5" s="2" t="s">
        <v>4439</v>
      </c>
      <c r="I5" s="2" t="s">
        <v>4440</v>
      </c>
      <c r="J5" s="2" t="s">
        <v>4429</v>
      </c>
    </row>
    <row r="6" spans="1:10">
      <c r="A6" s="2" t="s">
        <v>4441</v>
      </c>
      <c r="B6" s="2" t="s">
        <v>4273</v>
      </c>
      <c r="C6" s="2" t="s">
        <v>4422</v>
      </c>
      <c r="D6" s="2" t="s">
        <v>4423</v>
      </c>
      <c r="E6" s="2" t="s">
        <v>4424</v>
      </c>
      <c r="F6" s="2" t="s">
        <v>4442</v>
      </c>
      <c r="G6" s="2" t="s">
        <v>4426</v>
      </c>
      <c r="H6" s="2" t="s">
        <v>4443</v>
      </c>
      <c r="I6" s="2" t="s">
        <v>4444</v>
      </c>
      <c r="J6" s="2" t="s">
        <v>4429</v>
      </c>
    </row>
    <row r="7" spans="1:10">
      <c r="A7" s="2" t="s">
        <v>4445</v>
      </c>
      <c r="B7" s="2" t="s">
        <v>4138</v>
      </c>
      <c r="C7" s="2" t="s">
        <v>4446</v>
      </c>
      <c r="D7" s="2" t="s">
        <v>4447</v>
      </c>
      <c r="E7" s="2" t="s">
        <v>4448</v>
      </c>
      <c r="F7" s="2" t="s">
        <v>4449</v>
      </c>
      <c r="G7" s="2" t="s">
        <v>4450</v>
      </c>
      <c r="H7" s="2" t="s">
        <v>4451</v>
      </c>
      <c r="I7" s="2"/>
      <c r="J7" s="2" t="s">
        <v>4452</v>
      </c>
    </row>
    <row r="8" spans="1:10">
      <c r="A8" s="2" t="s">
        <v>4453</v>
      </c>
      <c r="B8" s="2" t="s">
        <v>4160</v>
      </c>
      <c r="C8" s="2" t="s">
        <v>4446</v>
      </c>
      <c r="D8" s="2" t="s">
        <v>4447</v>
      </c>
      <c r="E8" s="2" t="s">
        <v>4448</v>
      </c>
      <c r="F8" s="2" t="s">
        <v>4454</v>
      </c>
      <c r="G8" s="2" t="s">
        <v>4450</v>
      </c>
      <c r="H8" s="2" t="s">
        <v>4451</v>
      </c>
      <c r="I8" s="2"/>
      <c r="J8" s="2" t="s">
        <v>4452</v>
      </c>
    </row>
    <row r="9" spans="1:10">
      <c r="A9" s="2" t="s">
        <v>4455</v>
      </c>
      <c r="B9" s="2" t="s">
        <v>4167</v>
      </c>
      <c r="C9" s="2" t="s">
        <v>4446</v>
      </c>
      <c r="D9" s="2" t="s">
        <v>4447</v>
      </c>
      <c r="E9" s="2" t="s">
        <v>4448</v>
      </c>
      <c r="F9" s="2" t="s">
        <v>4456</v>
      </c>
      <c r="G9" s="2" t="s">
        <v>4450</v>
      </c>
      <c r="H9" s="2" t="s">
        <v>4451</v>
      </c>
      <c r="I9" s="2"/>
      <c r="J9" s="2" t="s">
        <v>4452</v>
      </c>
    </row>
    <row r="10" spans="1:10">
      <c r="A10" s="2" t="s">
        <v>4457</v>
      </c>
      <c r="B10" s="2" t="s">
        <v>4174</v>
      </c>
      <c r="C10" s="2" t="s">
        <v>4446</v>
      </c>
      <c r="D10" s="2" t="s">
        <v>4447</v>
      </c>
      <c r="E10" s="2" t="s">
        <v>4448</v>
      </c>
      <c r="F10" s="2" t="s">
        <v>4458</v>
      </c>
      <c r="G10" s="2" t="s">
        <v>4450</v>
      </c>
      <c r="H10" s="2" t="s">
        <v>4451</v>
      </c>
      <c r="I10" s="2"/>
      <c r="J10" s="2" t="s">
        <v>4452</v>
      </c>
    </row>
    <row r="11" spans="1:10">
      <c r="A11" s="2" t="s">
        <v>4459</v>
      </c>
      <c r="B11" s="2" t="s">
        <v>4188</v>
      </c>
      <c r="C11" s="2" t="s">
        <v>4446</v>
      </c>
      <c r="D11" s="2" t="s">
        <v>4447</v>
      </c>
      <c r="E11" s="2" t="s">
        <v>4448</v>
      </c>
      <c r="F11" s="2" t="s">
        <v>4460</v>
      </c>
      <c r="G11" s="2" t="s">
        <v>4450</v>
      </c>
      <c r="H11" s="2" t="s">
        <v>4451</v>
      </c>
      <c r="I11" s="2"/>
      <c r="J11" s="2" t="s">
        <v>4452</v>
      </c>
    </row>
    <row r="12" spans="1:10">
      <c r="A12" s="2" t="s">
        <v>4461</v>
      </c>
      <c r="B12" s="2" t="s">
        <v>4209</v>
      </c>
      <c r="C12" s="2" t="s">
        <v>4446</v>
      </c>
      <c r="D12" s="2" t="s">
        <v>4447</v>
      </c>
      <c r="E12" s="2" t="s">
        <v>4448</v>
      </c>
      <c r="F12" s="2" t="s">
        <v>4462</v>
      </c>
      <c r="G12" s="2" t="s">
        <v>4450</v>
      </c>
      <c r="H12" s="2" t="s">
        <v>4451</v>
      </c>
      <c r="I12" s="2"/>
      <c r="J12" s="2" t="s">
        <v>4452</v>
      </c>
    </row>
    <row r="13" spans="1:10">
      <c r="A13" s="2" t="s">
        <v>4463</v>
      </c>
      <c r="B13" s="2" t="s">
        <v>4216</v>
      </c>
      <c r="C13" s="2" t="s">
        <v>4446</v>
      </c>
      <c r="D13" s="2" t="s">
        <v>4447</v>
      </c>
      <c r="E13" s="2" t="s">
        <v>4448</v>
      </c>
      <c r="F13" s="2" t="s">
        <v>4464</v>
      </c>
      <c r="G13" s="2" t="s">
        <v>4450</v>
      </c>
      <c r="H13" s="2" t="s">
        <v>4451</v>
      </c>
      <c r="I13" s="2"/>
      <c r="J13" s="2" t="s">
        <v>4452</v>
      </c>
    </row>
    <row r="14" spans="1:10">
      <c r="A14" s="2" t="s">
        <v>4465</v>
      </c>
      <c r="B14" s="2" t="s">
        <v>4223</v>
      </c>
      <c r="C14" s="2" t="s">
        <v>4446</v>
      </c>
      <c r="D14" s="2" t="s">
        <v>4447</v>
      </c>
      <c r="E14" s="2" t="s">
        <v>4448</v>
      </c>
      <c r="F14" s="2" t="s">
        <v>4466</v>
      </c>
      <c r="G14" s="2" t="s">
        <v>4450</v>
      </c>
      <c r="H14" s="2" t="s">
        <v>4451</v>
      </c>
      <c r="I14" s="2"/>
      <c r="J14" s="2" t="s">
        <v>4452</v>
      </c>
    </row>
    <row r="15" spans="1:10">
      <c r="A15" s="2" t="s">
        <v>4467</v>
      </c>
      <c r="B15" s="2" t="s">
        <v>4231</v>
      </c>
      <c r="C15" s="2" t="s">
        <v>4446</v>
      </c>
      <c r="D15" s="2" t="s">
        <v>4447</v>
      </c>
      <c r="E15" s="2" t="s">
        <v>4448</v>
      </c>
      <c r="F15" s="2" t="s">
        <v>4468</v>
      </c>
      <c r="G15" s="2" t="s">
        <v>4450</v>
      </c>
      <c r="H15" s="2" t="s">
        <v>4451</v>
      </c>
      <c r="I15" s="2"/>
      <c r="J15" s="2" t="s">
        <v>4452</v>
      </c>
    </row>
    <row r="16" spans="1:10">
      <c r="A16" s="2" t="s">
        <v>4469</v>
      </c>
      <c r="B16" s="2" t="s">
        <v>4238</v>
      </c>
      <c r="C16" s="2" t="s">
        <v>4446</v>
      </c>
      <c r="D16" s="2" t="s">
        <v>4447</v>
      </c>
      <c r="E16" s="2" t="s">
        <v>4448</v>
      </c>
      <c r="F16" s="2" t="s">
        <v>4470</v>
      </c>
      <c r="G16" s="2" t="s">
        <v>4450</v>
      </c>
      <c r="H16" s="2" t="s">
        <v>4451</v>
      </c>
      <c r="I16" s="2"/>
      <c r="J16" s="2" t="s">
        <v>4452</v>
      </c>
    </row>
    <row r="17" spans="1:10">
      <c r="A17" s="2" t="s">
        <v>4471</v>
      </c>
      <c r="B17" s="2" t="s">
        <v>4252</v>
      </c>
      <c r="C17" s="2" t="s">
        <v>4446</v>
      </c>
      <c r="D17" s="2" t="s">
        <v>4447</v>
      </c>
      <c r="E17" s="2" t="s">
        <v>4448</v>
      </c>
      <c r="F17" s="2" t="s">
        <v>4472</v>
      </c>
      <c r="G17" s="2" t="s">
        <v>4450</v>
      </c>
      <c r="H17" s="2" t="s">
        <v>4451</v>
      </c>
      <c r="I17" s="2"/>
      <c r="J17" s="2" t="s">
        <v>4452</v>
      </c>
    </row>
    <row r="18" spans="1:10">
      <c r="A18" s="2" t="s">
        <v>4473</v>
      </c>
      <c r="B18" s="2" t="s">
        <v>4266</v>
      </c>
      <c r="C18" s="2" t="s">
        <v>4446</v>
      </c>
      <c r="D18" s="2" t="s">
        <v>4447</v>
      </c>
      <c r="E18" s="2" t="s">
        <v>4448</v>
      </c>
      <c r="F18" s="2" t="s">
        <v>4474</v>
      </c>
      <c r="G18" s="2" t="s">
        <v>4450</v>
      </c>
      <c r="H18" s="2" t="s">
        <v>4451</v>
      </c>
      <c r="I18" s="2"/>
      <c r="J18" s="2" t="s">
        <v>4452</v>
      </c>
    </row>
    <row r="19" spans="1:10">
      <c r="A19" s="2" t="s">
        <v>4475</v>
      </c>
      <c r="B19" s="2" t="s">
        <v>4273</v>
      </c>
      <c r="C19" s="2" t="s">
        <v>4446</v>
      </c>
      <c r="D19" s="2" t="s">
        <v>4447</v>
      </c>
      <c r="E19" s="2" t="s">
        <v>4448</v>
      </c>
      <c r="F19" s="2" t="s">
        <v>4476</v>
      </c>
      <c r="G19" s="2" t="s">
        <v>4450</v>
      </c>
      <c r="H19" s="2" t="s">
        <v>4451</v>
      </c>
      <c r="I19" s="2"/>
      <c r="J19" s="2" t="s">
        <v>4452</v>
      </c>
    </row>
    <row r="20" spans="1:10">
      <c r="A20" s="2" t="s">
        <v>4477</v>
      </c>
      <c r="B20" s="2" t="s">
        <v>4280</v>
      </c>
      <c r="C20" s="2" t="s">
        <v>4478</v>
      </c>
      <c r="D20" s="2" t="s">
        <v>4479</v>
      </c>
      <c r="E20" s="2" t="s">
        <v>4480</v>
      </c>
      <c r="F20" s="2" t="s">
        <v>4481</v>
      </c>
      <c r="G20" s="2" t="s">
        <v>4426</v>
      </c>
      <c r="H20" s="2" t="s">
        <v>4482</v>
      </c>
      <c r="I20" s="2" t="s">
        <v>3792</v>
      </c>
      <c r="J20" s="2" t="s">
        <v>4429</v>
      </c>
    </row>
    <row r="21" spans="1:10">
      <c r="A21" s="2" t="s">
        <v>4483</v>
      </c>
      <c r="B21" s="2" t="s">
        <v>4360</v>
      </c>
      <c r="C21" s="2" t="s">
        <v>4484</v>
      </c>
      <c r="D21" s="2" t="s">
        <v>4485</v>
      </c>
      <c r="E21" s="2" t="s">
        <v>4486</v>
      </c>
      <c r="F21" s="2" t="s">
        <v>4487</v>
      </c>
      <c r="G21" s="2" t="s">
        <v>4488</v>
      </c>
      <c r="H21" s="2" t="s">
        <v>4489</v>
      </c>
      <c r="I21" s="2" t="s">
        <v>4490</v>
      </c>
      <c r="J21" s="2" t="s">
        <v>4491</v>
      </c>
    </row>
    <row r="22" spans="1:10">
      <c r="A22" s="2" t="s">
        <v>4492</v>
      </c>
      <c r="B22" s="2" t="s">
        <v>4375</v>
      </c>
      <c r="C22" s="2" t="s">
        <v>4493</v>
      </c>
      <c r="D22" s="2" t="s">
        <v>4494</v>
      </c>
      <c r="E22" s="2" t="s">
        <v>4495</v>
      </c>
      <c r="F22" s="2" t="s">
        <v>4496</v>
      </c>
      <c r="G22" s="2" t="s">
        <v>4426</v>
      </c>
      <c r="H22" s="2" t="s">
        <v>4497</v>
      </c>
      <c r="I22" s="2" t="s">
        <v>4498</v>
      </c>
      <c r="J22" s="2" t="s">
        <v>4491</v>
      </c>
    </row>
    <row r="23" spans="1:10">
      <c r="A23" s="2" t="s">
        <v>4499</v>
      </c>
      <c r="B23" s="2" t="s">
        <v>4383</v>
      </c>
      <c r="C23" s="2" t="s">
        <v>4500</v>
      </c>
      <c r="D23" s="2" t="s">
        <v>4501</v>
      </c>
      <c r="E23" s="2" t="s">
        <v>4502</v>
      </c>
      <c r="F23" s="2" t="s">
        <v>4503</v>
      </c>
      <c r="G23" s="2" t="s">
        <v>4426</v>
      </c>
      <c r="H23" s="2" t="s">
        <v>4504</v>
      </c>
      <c r="I23" s="2" t="s">
        <v>4505</v>
      </c>
      <c r="J23" s="2" t="s">
        <v>4491</v>
      </c>
    </row>
    <row r="24" spans="1:10">
      <c r="A24" s="2" t="s">
        <v>4506</v>
      </c>
      <c r="B24" s="2" t="s">
        <v>4391</v>
      </c>
      <c r="C24" s="2" t="s">
        <v>4507</v>
      </c>
      <c r="D24" s="2" t="s">
        <v>4508</v>
      </c>
      <c r="E24" s="2" t="s">
        <v>4509</v>
      </c>
      <c r="F24" s="2" t="s">
        <v>4510</v>
      </c>
      <c r="G24" s="2" t="s">
        <v>4488</v>
      </c>
      <c r="H24" s="2" t="s">
        <v>4511</v>
      </c>
      <c r="I24" s="2" t="s">
        <v>4512</v>
      </c>
      <c r="J24" s="2" t="s">
        <v>4491</v>
      </c>
    </row>
  </sheetData>
  <autoFilter ref="A1:J24"/>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18.7109375" customWidth="1"/>
    <col min="3" max="3" width="75.7109375" customWidth="1"/>
    <col min="4" max="4" width="70.7109375" customWidth="1"/>
    <col min="5" max="5" width="30.7109375" customWidth="1"/>
    <col min="6" max="6" width="75.7109375" customWidth="1"/>
  </cols>
  <sheetData>
    <row r="1" spans="1:6" ht="32" customHeight="1">
      <c r="A1" s="1" t="s">
        <v>31</v>
      </c>
      <c r="B1" s="1" t="s">
        <v>4414</v>
      </c>
      <c r="C1" s="1" t="s">
        <v>4513</v>
      </c>
      <c r="D1" s="1" t="s">
        <v>4514</v>
      </c>
      <c r="E1" s="1" t="s">
        <v>4515</v>
      </c>
      <c r="F1" s="1" t="s">
        <v>4516</v>
      </c>
    </row>
    <row r="2" spans="1:6">
      <c r="A2" s="2" t="s">
        <v>4517</v>
      </c>
      <c r="B2" s="2" t="s">
        <v>4138</v>
      </c>
      <c r="C2" s="2" t="s">
        <v>4449</v>
      </c>
      <c r="D2" s="2" t="s">
        <v>4518</v>
      </c>
      <c r="E2" s="2" t="s">
        <v>4519</v>
      </c>
      <c r="F2" s="2" t="s">
        <v>4144</v>
      </c>
    </row>
    <row r="3" spans="1:6">
      <c r="A3" s="2" t="s">
        <v>4520</v>
      </c>
      <c r="B3" s="2" t="s">
        <v>4160</v>
      </c>
      <c r="C3" s="2" t="s">
        <v>4454</v>
      </c>
      <c r="D3" s="2" t="s">
        <v>4521</v>
      </c>
      <c r="E3" s="2" t="s">
        <v>4519</v>
      </c>
      <c r="F3" s="2" t="s">
        <v>4166</v>
      </c>
    </row>
    <row r="4" spans="1:6">
      <c r="A4" s="2" t="s">
        <v>4522</v>
      </c>
      <c r="B4" s="2" t="s">
        <v>4167</v>
      </c>
      <c r="C4" s="2" t="s">
        <v>4456</v>
      </c>
      <c r="D4" s="2" t="s">
        <v>4523</v>
      </c>
      <c r="E4" s="2" t="s">
        <v>4519</v>
      </c>
      <c r="F4" s="2" t="s">
        <v>4173</v>
      </c>
    </row>
    <row r="5" spans="1:6">
      <c r="A5" s="2" t="s">
        <v>4524</v>
      </c>
      <c r="B5" s="2" t="s">
        <v>4174</v>
      </c>
      <c r="C5" s="2" t="s">
        <v>4458</v>
      </c>
      <c r="D5" s="2" t="s">
        <v>4525</v>
      </c>
      <c r="E5" s="2" t="s">
        <v>4519</v>
      </c>
      <c r="F5" s="2" t="s">
        <v>4180</v>
      </c>
    </row>
    <row r="6" spans="1:6">
      <c r="A6" s="2" t="s">
        <v>4526</v>
      </c>
      <c r="B6" s="2" t="s">
        <v>4188</v>
      </c>
      <c r="C6" s="2" t="s">
        <v>4460</v>
      </c>
      <c r="D6" s="2" t="s">
        <v>4527</v>
      </c>
      <c r="E6" s="2" t="s">
        <v>4519</v>
      </c>
      <c r="F6" s="2" t="s">
        <v>4194</v>
      </c>
    </row>
    <row r="7" spans="1:6">
      <c r="A7" s="2" t="s">
        <v>4528</v>
      </c>
      <c r="B7" s="2" t="s">
        <v>4209</v>
      </c>
      <c r="C7" s="2" t="s">
        <v>4462</v>
      </c>
      <c r="D7" s="2" t="s">
        <v>4529</v>
      </c>
      <c r="E7" s="2" t="s">
        <v>4519</v>
      </c>
      <c r="F7" s="2" t="s">
        <v>4215</v>
      </c>
    </row>
    <row r="8" spans="1:6">
      <c r="A8" s="2" t="s">
        <v>4530</v>
      </c>
      <c r="B8" s="2" t="s">
        <v>4216</v>
      </c>
      <c r="C8" s="2" t="s">
        <v>4464</v>
      </c>
      <c r="D8" s="2" t="s">
        <v>4531</v>
      </c>
      <c r="E8" s="2" t="s">
        <v>4519</v>
      </c>
      <c r="F8" s="2" t="s">
        <v>4222</v>
      </c>
    </row>
    <row r="9" spans="1:6">
      <c r="A9" s="2" t="s">
        <v>4532</v>
      </c>
      <c r="B9" s="2" t="s">
        <v>4223</v>
      </c>
      <c r="C9" s="2" t="s">
        <v>4466</v>
      </c>
      <c r="D9" s="2" t="s">
        <v>4533</v>
      </c>
      <c r="E9" s="2" t="s">
        <v>4519</v>
      </c>
      <c r="F9" s="2" t="s">
        <v>4230</v>
      </c>
    </row>
    <row r="10" spans="1:6">
      <c r="A10" s="2" t="s">
        <v>4534</v>
      </c>
      <c r="B10" s="2" t="s">
        <v>4231</v>
      </c>
      <c r="C10" s="2" t="s">
        <v>4468</v>
      </c>
      <c r="D10" s="2" t="s">
        <v>4535</v>
      </c>
      <c r="E10" s="2" t="s">
        <v>4519</v>
      </c>
      <c r="F10" s="2" t="s">
        <v>4237</v>
      </c>
    </row>
    <row r="11" spans="1:6">
      <c r="A11" s="2" t="s">
        <v>4536</v>
      </c>
      <c r="B11" s="2" t="s">
        <v>4238</v>
      </c>
      <c r="C11" s="2" t="s">
        <v>4470</v>
      </c>
      <c r="D11" s="2" t="s">
        <v>4537</v>
      </c>
      <c r="E11" s="2" t="s">
        <v>4519</v>
      </c>
      <c r="F11" s="2" t="s">
        <v>4244</v>
      </c>
    </row>
    <row r="12" spans="1:6">
      <c r="A12" s="2" t="s">
        <v>4538</v>
      </c>
      <c r="B12" s="2" t="s">
        <v>4252</v>
      </c>
      <c r="C12" s="2" t="s">
        <v>4472</v>
      </c>
      <c r="D12" s="2" t="s">
        <v>4539</v>
      </c>
      <c r="E12" s="2" t="s">
        <v>4519</v>
      </c>
      <c r="F12" s="2" t="s">
        <v>4258</v>
      </c>
    </row>
    <row r="13" spans="1:6">
      <c r="A13" s="2" t="s">
        <v>4540</v>
      </c>
      <c r="B13" s="2" t="s">
        <v>4266</v>
      </c>
      <c r="C13" s="2" t="s">
        <v>4541</v>
      </c>
      <c r="D13" s="2" t="s">
        <v>4542</v>
      </c>
      <c r="E13" s="2" t="s">
        <v>4519</v>
      </c>
      <c r="F13" s="2" t="s">
        <v>4272</v>
      </c>
    </row>
    <row r="14" spans="1:6">
      <c r="A14" s="2" t="s">
        <v>4543</v>
      </c>
      <c r="B14" s="2" t="s">
        <v>4273</v>
      </c>
      <c r="C14" s="2" t="s">
        <v>4476</v>
      </c>
      <c r="D14" s="2" t="s">
        <v>4544</v>
      </c>
      <c r="E14" s="2" t="s">
        <v>4519</v>
      </c>
      <c r="F14" s="2" t="s">
        <v>4279</v>
      </c>
    </row>
    <row r="15" spans="1:6">
      <c r="A15" s="2" t="s">
        <v>4545</v>
      </c>
      <c r="B15" s="2" t="s">
        <v>4307</v>
      </c>
      <c r="C15" s="2" t="s">
        <v>4546</v>
      </c>
      <c r="D15" s="2" t="s">
        <v>4547</v>
      </c>
      <c r="E15" s="2" t="s">
        <v>4548</v>
      </c>
      <c r="F15" s="2" t="s">
        <v>4549</v>
      </c>
    </row>
    <row r="16" spans="1:6">
      <c r="A16" s="2" t="s">
        <v>4550</v>
      </c>
      <c r="B16" s="2" t="s">
        <v>4345</v>
      </c>
      <c r="C16" s="2" t="s">
        <v>4551</v>
      </c>
      <c r="D16" s="2" t="s">
        <v>4552</v>
      </c>
      <c r="E16" s="2" t="s">
        <v>4553</v>
      </c>
      <c r="F16" s="2" t="s">
        <v>4554</v>
      </c>
    </row>
    <row r="17" spans="1:6">
      <c r="A17" s="2" t="s">
        <v>4555</v>
      </c>
      <c r="B17" s="2" t="s">
        <v>4360</v>
      </c>
      <c r="C17" s="2" t="s">
        <v>4556</v>
      </c>
      <c r="D17" s="2" t="s">
        <v>4557</v>
      </c>
      <c r="E17" s="2" t="s">
        <v>4558</v>
      </c>
      <c r="F17" s="2" t="s">
        <v>4559</v>
      </c>
    </row>
    <row r="18" spans="1:6">
      <c r="A18" s="2" t="s">
        <v>4560</v>
      </c>
      <c r="B18" s="2" t="s">
        <v>4368</v>
      </c>
      <c r="C18" s="2" t="s">
        <v>4561</v>
      </c>
      <c r="D18" s="2" t="s">
        <v>4562</v>
      </c>
      <c r="E18" s="2" t="s">
        <v>4563</v>
      </c>
      <c r="F18" s="2" t="s">
        <v>4564</v>
      </c>
    </row>
    <row r="19" spans="1:6">
      <c r="A19" s="2" t="s">
        <v>4565</v>
      </c>
      <c r="B19" s="2" t="s">
        <v>4391</v>
      </c>
      <c r="C19" s="2" t="s">
        <v>4566</v>
      </c>
      <c r="D19" s="2" t="s">
        <v>4567</v>
      </c>
      <c r="E19" s="2" t="s">
        <v>4568</v>
      </c>
      <c r="F19" s="2" t="s">
        <v>4569</v>
      </c>
    </row>
    <row r="20" spans="1:6">
      <c r="A20" s="2" t="s">
        <v>4570</v>
      </c>
      <c r="B20" s="2" t="s">
        <v>4375</v>
      </c>
      <c r="C20" s="2" t="s">
        <v>4571</v>
      </c>
      <c r="D20" s="2" t="s">
        <v>4572</v>
      </c>
      <c r="E20" s="2" t="s">
        <v>4573</v>
      </c>
      <c r="F20" s="2" t="s">
        <v>4574</v>
      </c>
    </row>
    <row r="21" spans="1:6">
      <c r="A21" s="2" t="s">
        <v>4575</v>
      </c>
      <c r="B21" s="2" t="s">
        <v>4407</v>
      </c>
      <c r="C21" s="2" t="s">
        <v>4576</v>
      </c>
      <c r="D21" s="2" t="s">
        <v>4577</v>
      </c>
      <c r="E21" s="2" t="s">
        <v>4578</v>
      </c>
      <c r="F21" s="2" t="s">
        <v>4579</v>
      </c>
    </row>
  </sheetData>
  <autoFilter ref="A1:F21"/>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7"/>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5" width="28.7109375" customWidth="1"/>
  </cols>
  <sheetData>
    <row r="1" spans="1:5" ht="32" customHeight="1">
      <c r="A1" s="1" t="s">
        <v>4580</v>
      </c>
      <c r="B1" s="1" t="s">
        <v>4581</v>
      </c>
      <c r="C1" s="1" t="s">
        <v>4582</v>
      </c>
      <c r="D1" s="1" t="s">
        <v>4583</v>
      </c>
      <c r="E1" s="1" t="s">
        <v>4584</v>
      </c>
    </row>
    <row r="2" spans="1:5">
      <c r="A2" s="2" t="s">
        <v>4585</v>
      </c>
      <c r="B2" s="2" t="s">
        <v>4586</v>
      </c>
      <c r="C2" s="2" t="s">
        <v>4587</v>
      </c>
      <c r="D2" s="2" t="s">
        <v>4588</v>
      </c>
      <c r="E2" s="2" t="s">
        <v>4589</v>
      </c>
    </row>
    <row r="3" spans="1:5">
      <c r="A3" s="2" t="s">
        <v>4590</v>
      </c>
      <c r="B3" s="2" t="s">
        <v>4591</v>
      </c>
      <c r="C3" s="2" t="s">
        <v>4592</v>
      </c>
      <c r="D3" s="2" t="s">
        <v>4593</v>
      </c>
      <c r="E3" s="2" t="s">
        <v>4589</v>
      </c>
    </row>
    <row r="4" spans="1:5">
      <c r="A4" s="2" t="s">
        <v>4594</v>
      </c>
      <c r="B4" s="2" t="s">
        <v>4595</v>
      </c>
      <c r="C4" s="2" t="s">
        <v>4596</v>
      </c>
      <c r="D4" s="2" t="s">
        <v>4597</v>
      </c>
      <c r="E4" s="2" t="s">
        <v>4589</v>
      </c>
    </row>
    <row r="5" spans="1:5">
      <c r="A5" s="2" t="s">
        <v>4598</v>
      </c>
      <c r="B5" s="2" t="s">
        <v>4599</v>
      </c>
      <c r="C5" s="2" t="s">
        <v>4600</v>
      </c>
      <c r="D5" s="2" t="s">
        <v>4601</v>
      </c>
      <c r="E5" s="2" t="s">
        <v>4589</v>
      </c>
    </row>
    <row r="6" spans="1:5">
      <c r="A6" s="2" t="s">
        <v>4602</v>
      </c>
      <c r="B6" s="2" t="s">
        <v>4603</v>
      </c>
      <c r="C6" s="2" t="s">
        <v>4600</v>
      </c>
      <c r="D6" s="2" t="s">
        <v>4604</v>
      </c>
      <c r="E6" s="2" t="s">
        <v>4589</v>
      </c>
    </row>
    <row r="7" spans="1:5">
      <c r="A7" s="2" t="s">
        <v>4605</v>
      </c>
      <c r="B7" s="2" t="s">
        <v>4606</v>
      </c>
      <c r="C7" s="2" t="s">
        <v>4607</v>
      </c>
      <c r="D7" s="2" t="s">
        <v>4608</v>
      </c>
      <c r="E7" s="2" t="s">
        <v>4589</v>
      </c>
    </row>
  </sheetData>
  <autoFilter ref="A1:E7"/>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16"/>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4609</v>
      </c>
      <c r="B1" s="1" t="s">
        <v>4610</v>
      </c>
    </row>
    <row r="2" spans="1:2">
      <c r="A2" s="2" t="s">
        <v>4611</v>
      </c>
      <c r="B2" s="2" t="s">
        <v>4612</v>
      </c>
    </row>
    <row r="3" spans="1:2">
      <c r="A3" s="2" t="s">
        <v>4613</v>
      </c>
      <c r="B3" s="2" t="s">
        <v>4614</v>
      </c>
    </row>
    <row r="4" spans="1:2">
      <c r="A4" s="2" t="s">
        <v>4615</v>
      </c>
      <c r="B4" s="2" t="s">
        <v>7</v>
      </c>
    </row>
    <row r="5" spans="1:2">
      <c r="A5" s="2" t="s">
        <v>4616</v>
      </c>
      <c r="B5" s="2" t="s">
        <v>2195</v>
      </c>
    </row>
    <row r="6" spans="1:2">
      <c r="A6" s="2" t="s">
        <v>4617</v>
      </c>
      <c r="B6" s="2" t="s">
        <v>4618</v>
      </c>
    </row>
    <row r="7" spans="1:2">
      <c r="A7" s="2" t="s">
        <v>4619</v>
      </c>
      <c r="B7" s="2" t="s">
        <v>4620</v>
      </c>
    </row>
    <row r="8" spans="1:2">
      <c r="A8" s="2" t="s">
        <v>4621</v>
      </c>
      <c r="B8" s="2" t="s">
        <v>4622</v>
      </c>
    </row>
    <row r="9" spans="1:2">
      <c r="A9" s="2" t="s">
        <v>4623</v>
      </c>
      <c r="B9" s="2" t="s">
        <v>4624</v>
      </c>
    </row>
    <row r="10" spans="1:2">
      <c r="A10" s="2" t="s">
        <v>4625</v>
      </c>
      <c r="B10" s="2" t="s">
        <v>4626</v>
      </c>
    </row>
    <row r="11" spans="1:2">
      <c r="A11" s="2" t="s">
        <v>4627</v>
      </c>
      <c r="B11" s="2" t="s">
        <v>4628</v>
      </c>
    </row>
    <row r="12" spans="1:2">
      <c r="A12" s="2" t="s">
        <v>4629</v>
      </c>
      <c r="B12" s="2" t="s">
        <v>4630</v>
      </c>
    </row>
    <row r="13" spans="1:2">
      <c r="A13" s="2" t="s">
        <v>4631</v>
      </c>
      <c r="B13" s="2" t="s">
        <v>4632</v>
      </c>
    </row>
    <row r="14" spans="1:2">
      <c r="A14" s="2" t="s">
        <v>4633</v>
      </c>
      <c r="B14" s="2" t="s">
        <v>4634</v>
      </c>
    </row>
    <row r="15" spans="1:2">
      <c r="A15" s="2" t="s">
        <v>4635</v>
      </c>
      <c r="B15" s="2" t="s">
        <v>4636</v>
      </c>
    </row>
    <row r="16" spans="1:2">
      <c r="A16" s="2" t="s">
        <v>4637</v>
      </c>
      <c r="B16" s="2" t="s">
        <v>4638</v>
      </c>
    </row>
  </sheetData>
  <autoFilter ref="A1:B16"/>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6"/>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0" width="28.7109375" customWidth="1"/>
  </cols>
  <sheetData>
    <row r="1" spans="1:10" ht="32" customHeight="1">
      <c r="A1" s="1" t="s">
        <v>4639</v>
      </c>
      <c r="B1" s="1" t="s">
        <v>4640</v>
      </c>
      <c r="C1" s="1" t="s">
        <v>4641</v>
      </c>
      <c r="D1" s="1" t="s">
        <v>4642</v>
      </c>
      <c r="E1" s="1" t="s">
        <v>4643</v>
      </c>
      <c r="F1" s="1" t="s">
        <v>4644</v>
      </c>
      <c r="G1" s="1" t="s">
        <v>4645</v>
      </c>
      <c r="H1" s="1" t="s">
        <v>4646</v>
      </c>
      <c r="I1" s="1" t="s">
        <v>4584</v>
      </c>
      <c r="J1" s="1" t="s">
        <v>4647</v>
      </c>
    </row>
    <row r="2" spans="1:10">
      <c r="A2" s="2">
        <v>2026</v>
      </c>
      <c r="B2" s="2" t="s">
        <v>2303</v>
      </c>
      <c r="C2" s="2" t="s">
        <v>4648</v>
      </c>
      <c r="D2" s="2" t="s">
        <v>1702</v>
      </c>
      <c r="E2" s="2" t="s">
        <v>4587</v>
      </c>
      <c r="F2" s="2" t="s">
        <v>4649</v>
      </c>
      <c r="G2" s="2" t="s">
        <v>4587</v>
      </c>
      <c r="H2" s="2" t="s">
        <v>4649</v>
      </c>
      <c r="I2" s="2" t="s">
        <v>4650</v>
      </c>
      <c r="J2" s="2"/>
    </row>
    <row r="3" spans="1:10">
      <c r="A3" s="2">
        <v>2027</v>
      </c>
      <c r="B3" s="2" t="s">
        <v>2307</v>
      </c>
      <c r="C3" s="2" t="s">
        <v>4648</v>
      </c>
      <c r="D3" s="2" t="s">
        <v>1702</v>
      </c>
      <c r="E3" s="2" t="s">
        <v>4587</v>
      </c>
      <c r="F3" s="2" t="s">
        <v>4651</v>
      </c>
      <c r="G3" s="2" t="s">
        <v>4587</v>
      </c>
      <c r="H3" s="2" t="s">
        <v>4651</v>
      </c>
      <c r="I3" s="2" t="s">
        <v>4652</v>
      </c>
      <c r="J3" s="2"/>
    </row>
    <row r="4" spans="1:10">
      <c r="A4" s="2">
        <v>2028</v>
      </c>
      <c r="B4" s="2" t="s">
        <v>2311</v>
      </c>
      <c r="C4" s="2" t="s">
        <v>4648</v>
      </c>
      <c r="D4" s="2" t="s">
        <v>1702</v>
      </c>
      <c r="E4" s="2" t="s">
        <v>4587</v>
      </c>
      <c r="F4" s="2" t="s">
        <v>4653</v>
      </c>
      <c r="G4" s="2" t="s">
        <v>4587</v>
      </c>
      <c r="H4" s="2" t="s">
        <v>4653</v>
      </c>
      <c r="I4" s="2" t="s">
        <v>4654</v>
      </c>
      <c r="J4" s="2"/>
    </row>
    <row r="5" spans="1:10">
      <c r="A5" s="2">
        <v>2029</v>
      </c>
      <c r="B5" s="2"/>
      <c r="C5" s="2" t="s">
        <v>4655</v>
      </c>
      <c r="D5" s="2" t="s">
        <v>1702</v>
      </c>
      <c r="E5" s="2" t="s">
        <v>4656</v>
      </c>
      <c r="F5" s="2" t="s">
        <v>4657</v>
      </c>
      <c r="G5" s="2" t="s">
        <v>4658</v>
      </c>
      <c r="H5" s="2" t="s">
        <v>4659</v>
      </c>
      <c r="I5" s="2" t="s">
        <v>4660</v>
      </c>
      <c r="J5" s="2" t="s">
        <v>2312</v>
      </c>
    </row>
    <row r="6" spans="1:10">
      <c r="A6" s="2" t="s">
        <v>4661</v>
      </c>
      <c r="B6" s="2"/>
      <c r="C6" s="2"/>
      <c r="D6" s="2"/>
      <c r="E6" s="2"/>
      <c r="F6" s="2"/>
      <c r="G6" s="2"/>
      <c r="H6" s="2" t="s">
        <v>4662</v>
      </c>
      <c r="I6" s="2" t="s">
        <v>4663</v>
      </c>
      <c r="J6" s="2"/>
    </row>
  </sheetData>
  <autoFilter ref="A1:J6"/>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1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4609</v>
      </c>
      <c r="B1" s="1" t="s">
        <v>4610</v>
      </c>
    </row>
    <row r="2" spans="1:2">
      <c r="A2" s="2" t="s">
        <v>4611</v>
      </c>
      <c r="B2" s="2" t="s">
        <v>4664</v>
      </c>
    </row>
    <row r="3" spans="1:2">
      <c r="A3" s="2" t="s">
        <v>4613</v>
      </c>
      <c r="B3" s="2" t="s">
        <v>4665</v>
      </c>
    </row>
    <row r="4" spans="1:2">
      <c r="A4" s="2" t="s">
        <v>4615</v>
      </c>
      <c r="B4" s="2" t="s">
        <v>7</v>
      </c>
    </row>
    <row r="5" spans="1:2">
      <c r="A5" s="2" t="s">
        <v>4616</v>
      </c>
      <c r="B5" s="2" t="s">
        <v>4666</v>
      </c>
    </row>
    <row r="6" spans="1:2">
      <c r="A6" s="2" t="s">
        <v>4617</v>
      </c>
      <c r="B6" s="2" t="s">
        <v>4667</v>
      </c>
    </row>
    <row r="7" spans="1:2">
      <c r="A7" s="2" t="s">
        <v>4619</v>
      </c>
      <c r="B7" s="2" t="s">
        <v>4668</v>
      </c>
    </row>
    <row r="8" spans="1:2">
      <c r="A8" s="2" t="s">
        <v>4621</v>
      </c>
      <c r="B8" s="2" t="s">
        <v>4669</v>
      </c>
    </row>
    <row r="9" spans="1:2">
      <c r="A9" s="2" t="s">
        <v>4623</v>
      </c>
      <c r="B9" s="2" t="s">
        <v>4670</v>
      </c>
    </row>
    <row r="10" spans="1:2">
      <c r="A10" s="2" t="s">
        <v>4625</v>
      </c>
      <c r="B10" s="2" t="s">
        <v>4626</v>
      </c>
    </row>
    <row r="11" spans="1:2">
      <c r="A11" s="2" t="s">
        <v>4671</v>
      </c>
      <c r="B11" s="2" t="s">
        <v>4672</v>
      </c>
    </row>
    <row r="12" spans="1:2">
      <c r="A12" s="2" t="s">
        <v>4673</v>
      </c>
      <c r="B12" s="2" t="s">
        <v>4674</v>
      </c>
    </row>
    <row r="13" spans="1:2">
      <c r="A13" s="2" t="s">
        <v>4675</v>
      </c>
      <c r="B13" s="2" t="s">
        <v>4676</v>
      </c>
    </row>
    <row r="14" spans="1:2">
      <c r="A14" s="2" t="s">
        <v>4677</v>
      </c>
      <c r="B14" s="2" t="s">
        <v>4678</v>
      </c>
    </row>
    <row r="15" spans="1:2">
      <c r="A15" s="2" t="s">
        <v>4679</v>
      </c>
      <c r="B15" s="2" t="s">
        <v>4680</v>
      </c>
    </row>
    <row r="16" spans="1:2">
      <c r="A16" s="2" t="s">
        <v>4681</v>
      </c>
      <c r="B16" s="2" t="s">
        <v>4682</v>
      </c>
    </row>
    <row r="17" spans="1:2">
      <c r="A17" s="2" t="s">
        <v>4683</v>
      </c>
      <c r="B17" s="2" t="s">
        <v>4684</v>
      </c>
    </row>
    <row r="18" spans="1:2">
      <c r="A18" s="2" t="s">
        <v>4685</v>
      </c>
      <c r="B18" s="2" t="s">
        <v>4686</v>
      </c>
    </row>
  </sheetData>
  <autoFilter ref="A1:B18"/>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4" width="28.7109375" customWidth="1"/>
  </cols>
  <sheetData>
    <row r="1" spans="1:4" ht="32" customHeight="1">
      <c r="A1" s="1" t="s">
        <v>4687</v>
      </c>
      <c r="B1" s="1" t="s">
        <v>4688</v>
      </c>
      <c r="C1" s="1" t="s">
        <v>4689</v>
      </c>
      <c r="D1" s="1" t="s">
        <v>4584</v>
      </c>
    </row>
    <row r="2" spans="1:4">
      <c r="A2" s="2" t="s">
        <v>4690</v>
      </c>
      <c r="B2" s="2" t="s">
        <v>2348</v>
      </c>
      <c r="C2" s="2" t="s">
        <v>4691</v>
      </c>
      <c r="D2" s="2" t="s">
        <v>4692</v>
      </c>
    </row>
    <row r="3" spans="1:4">
      <c r="A3" s="2" t="s">
        <v>4693</v>
      </c>
      <c r="B3" s="2" t="s">
        <v>2348</v>
      </c>
      <c r="C3" s="2" t="s">
        <v>4694</v>
      </c>
      <c r="D3" s="2" t="s">
        <v>4695</v>
      </c>
    </row>
    <row r="4" spans="1:4">
      <c r="A4" s="2" t="s">
        <v>4696</v>
      </c>
      <c r="B4" s="2" t="s">
        <v>2348</v>
      </c>
      <c r="C4" s="2" t="s">
        <v>4697</v>
      </c>
      <c r="D4" s="2" t="s">
        <v>4698</v>
      </c>
    </row>
  </sheetData>
  <autoFilter ref="A1:D4"/>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1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4609</v>
      </c>
      <c r="B1" s="1" t="s">
        <v>4610</v>
      </c>
    </row>
    <row r="2" spans="1:2">
      <c r="A2" s="2" t="s">
        <v>4611</v>
      </c>
      <c r="B2" s="2" t="s">
        <v>4699</v>
      </c>
    </row>
    <row r="3" spans="1:2">
      <c r="A3" s="2" t="s">
        <v>4613</v>
      </c>
      <c r="B3" s="2" t="s">
        <v>4700</v>
      </c>
    </row>
    <row r="4" spans="1:2">
      <c r="A4" s="2" t="s">
        <v>4615</v>
      </c>
      <c r="B4" s="2" t="s">
        <v>7</v>
      </c>
    </row>
    <row r="5" spans="1:2">
      <c r="A5" s="2" t="s">
        <v>4616</v>
      </c>
      <c r="B5" s="2" t="s">
        <v>4701</v>
      </c>
    </row>
    <row r="6" spans="1:2">
      <c r="A6" s="2" t="s">
        <v>4617</v>
      </c>
      <c r="B6" s="2" t="s">
        <v>4702</v>
      </c>
    </row>
    <row r="7" spans="1:2">
      <c r="A7" s="2" t="s">
        <v>4619</v>
      </c>
      <c r="B7" s="2" t="s">
        <v>4703</v>
      </c>
    </row>
    <row r="8" spans="1:2">
      <c r="A8" s="2" t="s">
        <v>4621</v>
      </c>
      <c r="B8" s="2" t="s">
        <v>4704</v>
      </c>
    </row>
    <row r="9" spans="1:2">
      <c r="A9" s="2" t="s">
        <v>4623</v>
      </c>
      <c r="B9" s="2" t="s">
        <v>4705</v>
      </c>
    </row>
    <row r="10" spans="1:2">
      <c r="A10" s="2" t="s">
        <v>4625</v>
      </c>
      <c r="B10" s="2" t="s">
        <v>4626</v>
      </c>
    </row>
    <row r="11" spans="1:2">
      <c r="A11" s="2" t="s">
        <v>4706</v>
      </c>
      <c r="B11" s="2" t="s">
        <v>4707</v>
      </c>
    </row>
    <row r="12" spans="1:2">
      <c r="A12" s="2" t="s">
        <v>4708</v>
      </c>
      <c r="B12" s="2" t="s">
        <v>4709</v>
      </c>
    </row>
    <row r="13" spans="1:2">
      <c r="A13" s="2" t="s">
        <v>4710</v>
      </c>
      <c r="B13" s="2" t="s">
        <v>4711</v>
      </c>
    </row>
  </sheetData>
  <autoFilter ref="A1:B13"/>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3" width="28.7109375" customWidth="1"/>
  </cols>
  <sheetData>
    <row r="1" spans="1:3" ht="32" customHeight="1">
      <c r="A1" s="1" t="s">
        <v>4712</v>
      </c>
      <c r="B1" s="1" t="s">
        <v>4713</v>
      </c>
      <c r="C1" s="1" t="s">
        <v>4584</v>
      </c>
    </row>
    <row r="2" spans="1:3">
      <c r="A2" s="2" t="s">
        <v>54</v>
      </c>
      <c r="B2" s="2" t="s">
        <v>4714</v>
      </c>
      <c r="C2" s="2" t="s">
        <v>4715</v>
      </c>
    </row>
  </sheetData>
  <autoFilter ref="A1:C2"/>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1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4609</v>
      </c>
      <c r="B1" s="1" t="s">
        <v>4610</v>
      </c>
    </row>
    <row r="2" spans="1:2">
      <c r="A2" s="2" t="s">
        <v>4611</v>
      </c>
      <c r="B2" s="2" t="s">
        <v>4716</v>
      </c>
    </row>
    <row r="3" spans="1:2">
      <c r="A3" s="2" t="s">
        <v>4613</v>
      </c>
      <c r="B3" s="2" t="s">
        <v>4717</v>
      </c>
    </row>
    <row r="4" spans="1:2">
      <c r="A4" s="2" t="s">
        <v>4615</v>
      </c>
      <c r="B4" s="2" t="s">
        <v>7</v>
      </c>
    </row>
    <row r="5" spans="1:2">
      <c r="A5" s="2" t="s">
        <v>4616</v>
      </c>
      <c r="B5" s="2" t="s">
        <v>4718</v>
      </c>
    </row>
    <row r="6" spans="1:2">
      <c r="A6" s="2" t="s">
        <v>4617</v>
      </c>
      <c r="B6" s="2" t="s">
        <v>4719</v>
      </c>
    </row>
    <row r="7" spans="1:2">
      <c r="A7" s="2" t="s">
        <v>4619</v>
      </c>
      <c r="B7" s="2" t="s">
        <v>4720</v>
      </c>
    </row>
    <row r="8" spans="1:2">
      <c r="A8" s="2" t="s">
        <v>4621</v>
      </c>
      <c r="B8" s="2" t="s">
        <v>4721</v>
      </c>
    </row>
    <row r="9" spans="1:2">
      <c r="A9" s="2" t="s">
        <v>4623</v>
      </c>
      <c r="B9" s="2" t="s">
        <v>4722</v>
      </c>
    </row>
    <row r="10" spans="1:2">
      <c r="A10" s="2" t="s">
        <v>4625</v>
      </c>
      <c r="B10" s="2" t="s">
        <v>4626</v>
      </c>
    </row>
    <row r="11" spans="1:2">
      <c r="A11" s="2" t="s">
        <v>4723</v>
      </c>
      <c r="B11" s="2" t="s">
        <v>4724</v>
      </c>
    </row>
  </sheetData>
  <autoFilter ref="A1:B11"/>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7" width="28.7109375" customWidth="1"/>
  </cols>
  <sheetData>
    <row r="1" spans="1:7" ht="32" customHeight="1">
      <c r="A1" s="1" t="s">
        <v>4580</v>
      </c>
      <c r="B1" s="1" t="s">
        <v>4725</v>
      </c>
      <c r="C1" s="1" t="s">
        <v>4726</v>
      </c>
      <c r="D1" s="1" t="s">
        <v>4727</v>
      </c>
      <c r="E1" s="1" t="s">
        <v>4728</v>
      </c>
      <c r="F1" s="1" t="s">
        <v>4729</v>
      </c>
      <c r="G1" s="1" t="s">
        <v>4730</v>
      </c>
    </row>
    <row r="2" spans="1:7">
      <c r="A2" s="2" t="s">
        <v>4731</v>
      </c>
      <c r="B2" s="2" t="s">
        <v>4732</v>
      </c>
      <c r="C2" s="2">
        <v>4</v>
      </c>
      <c r="D2" s="2" t="s">
        <v>4733</v>
      </c>
      <c r="E2" s="2">
        <v>3</v>
      </c>
      <c r="F2" s="2" t="s">
        <v>4734</v>
      </c>
      <c r="G2" s="2" t="s">
        <v>4735</v>
      </c>
    </row>
    <row r="3" spans="1:7">
      <c r="A3" s="2" t="s">
        <v>4736</v>
      </c>
      <c r="B3" s="2" t="s">
        <v>4737</v>
      </c>
      <c r="C3" s="2">
        <v>4</v>
      </c>
      <c r="D3" s="2" t="s">
        <v>4738</v>
      </c>
      <c r="E3" s="2">
        <v>4</v>
      </c>
      <c r="F3" s="2" t="s">
        <v>4739</v>
      </c>
      <c r="G3" s="2" t="s">
        <v>4740</v>
      </c>
    </row>
    <row r="4" spans="1:7">
      <c r="A4" s="2" t="s">
        <v>4741</v>
      </c>
      <c r="B4" s="2" t="s">
        <v>4732</v>
      </c>
      <c r="C4" s="2">
        <v>4</v>
      </c>
      <c r="D4" s="2" t="s">
        <v>4742</v>
      </c>
      <c r="E4" s="2">
        <v>3</v>
      </c>
      <c r="F4" s="2" t="s">
        <v>4734</v>
      </c>
      <c r="G4" s="2" t="s">
        <v>4743</v>
      </c>
    </row>
    <row r="5" spans="1:7">
      <c r="A5" s="2" t="s">
        <v>4744</v>
      </c>
      <c r="B5" s="2" t="s">
        <v>4732</v>
      </c>
      <c r="C5" s="2">
        <v>4</v>
      </c>
      <c r="D5" s="2" t="s">
        <v>4745</v>
      </c>
      <c r="E5" s="2">
        <v>4</v>
      </c>
      <c r="F5" s="2" t="s">
        <v>4739</v>
      </c>
      <c r="G5" s="2" t="s">
        <v>4746</v>
      </c>
    </row>
    <row r="6" spans="1:7">
      <c r="A6" s="2" t="s">
        <v>4747</v>
      </c>
      <c r="B6" s="2" t="s">
        <v>4748</v>
      </c>
      <c r="C6" s="2">
        <v>3</v>
      </c>
      <c r="D6" s="2" t="s">
        <v>4749</v>
      </c>
      <c r="E6" s="2">
        <v>3</v>
      </c>
      <c r="F6" s="2" t="s">
        <v>4734</v>
      </c>
      <c r="G6" s="2" t="s">
        <v>4750</v>
      </c>
    </row>
  </sheetData>
  <autoFilter ref="A1:G6"/>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1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4609</v>
      </c>
      <c r="B1" s="1" t="s">
        <v>4610</v>
      </c>
    </row>
    <row r="2" spans="1:2">
      <c r="A2" s="2" t="s">
        <v>4611</v>
      </c>
      <c r="B2" s="2" t="s">
        <v>4751</v>
      </c>
    </row>
    <row r="3" spans="1:2">
      <c r="A3" s="2" t="s">
        <v>4613</v>
      </c>
      <c r="B3" s="2" t="s">
        <v>4752</v>
      </c>
    </row>
    <row r="4" spans="1:2">
      <c r="A4" s="2" t="s">
        <v>4615</v>
      </c>
      <c r="B4" s="2" t="s">
        <v>7</v>
      </c>
    </row>
    <row r="5" spans="1:2">
      <c r="A5" s="2" t="s">
        <v>4616</v>
      </c>
      <c r="B5" s="2" t="s">
        <v>4753</v>
      </c>
    </row>
    <row r="6" spans="1:2">
      <c r="A6" s="2" t="s">
        <v>4617</v>
      </c>
      <c r="B6" s="2" t="s">
        <v>4754</v>
      </c>
    </row>
    <row r="7" spans="1:2">
      <c r="A7" s="2" t="s">
        <v>4619</v>
      </c>
      <c r="B7" s="2" t="s">
        <v>4755</v>
      </c>
    </row>
    <row r="8" spans="1:2">
      <c r="A8" s="2" t="s">
        <v>4621</v>
      </c>
      <c r="B8" s="2" t="s">
        <v>4756</v>
      </c>
    </row>
    <row r="9" spans="1:2">
      <c r="A9" s="2" t="s">
        <v>4623</v>
      </c>
      <c r="B9" s="2" t="s">
        <v>4757</v>
      </c>
    </row>
    <row r="10" spans="1:2">
      <c r="A10" s="2" t="s">
        <v>4625</v>
      </c>
      <c r="B10" s="2" t="s">
        <v>4626</v>
      </c>
    </row>
    <row r="11" spans="1:2">
      <c r="A11" s="2" t="s">
        <v>4758</v>
      </c>
      <c r="B11" s="2" t="s">
        <v>4759</v>
      </c>
    </row>
    <row r="12" spans="1:2">
      <c r="A12" s="2" t="s">
        <v>4760</v>
      </c>
      <c r="B12" s="2" t="s">
        <v>4761</v>
      </c>
    </row>
    <row r="13" spans="1:2">
      <c r="A13" s="2" t="s">
        <v>4762</v>
      </c>
      <c r="B13" s="2" t="s">
        <v>4763</v>
      </c>
    </row>
  </sheetData>
  <autoFilter ref="A1:B13"/>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R1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8" width="28.7109375" customWidth="1"/>
  </cols>
  <sheetData>
    <row r="1" spans="1:18" ht="32" customHeight="1">
      <c r="A1" s="1" t="s">
        <v>4764</v>
      </c>
      <c r="B1" s="1" t="s">
        <v>4765</v>
      </c>
      <c r="C1" s="1" t="s">
        <v>4766</v>
      </c>
      <c r="D1" s="1" t="s">
        <v>4767</v>
      </c>
      <c r="E1" s="1" t="s">
        <v>4768</v>
      </c>
      <c r="F1" s="1" t="s">
        <v>4769</v>
      </c>
      <c r="G1" s="1" t="s">
        <v>4770</v>
      </c>
      <c r="H1" s="1" t="s">
        <v>4771</v>
      </c>
      <c r="I1" s="1" t="s">
        <v>4772</v>
      </c>
      <c r="J1" s="1" t="s">
        <v>4773</v>
      </c>
      <c r="K1" s="1" t="s">
        <v>4774</v>
      </c>
      <c r="L1" s="1" t="s">
        <v>4775</v>
      </c>
      <c r="M1" s="1" t="s">
        <v>4776</v>
      </c>
      <c r="N1" s="1" t="s">
        <v>4777</v>
      </c>
      <c r="O1" s="1" t="s">
        <v>4778</v>
      </c>
      <c r="P1" s="1" t="s">
        <v>4779</v>
      </c>
      <c r="Q1" s="1" t="s">
        <v>4584</v>
      </c>
      <c r="R1" s="1" t="s">
        <v>4780</v>
      </c>
    </row>
    <row r="2" spans="1:18">
      <c r="A2" s="2" t="s">
        <v>4781</v>
      </c>
      <c r="B2" s="2" t="s">
        <v>4782</v>
      </c>
      <c r="C2" s="2"/>
      <c r="D2" s="2"/>
      <c r="E2" s="2" t="s">
        <v>4783</v>
      </c>
      <c r="F2" s="2"/>
      <c r="G2" s="2"/>
      <c r="H2" s="2" t="s">
        <v>4784</v>
      </c>
      <c r="I2" s="2" t="s">
        <v>4785</v>
      </c>
      <c r="J2" s="2" t="s">
        <v>4786</v>
      </c>
      <c r="K2" s="2" t="s">
        <v>4787</v>
      </c>
      <c r="L2" s="2" t="s">
        <v>4788</v>
      </c>
      <c r="M2" s="2"/>
      <c r="N2" s="2"/>
      <c r="O2" s="2"/>
      <c r="P2" s="2"/>
      <c r="Q2" s="2"/>
      <c r="R2" s="2"/>
    </row>
    <row r="3" spans="1:18">
      <c r="A3" s="2" t="s">
        <v>4789</v>
      </c>
      <c r="B3" s="2" t="s">
        <v>4790</v>
      </c>
      <c r="C3" s="2" t="s">
        <v>4791</v>
      </c>
      <c r="D3" s="2" t="s">
        <v>4792</v>
      </c>
      <c r="E3" s="2" t="s">
        <v>2711</v>
      </c>
      <c r="F3" s="2" t="s">
        <v>4793</v>
      </c>
      <c r="G3" s="2" t="s">
        <v>4794</v>
      </c>
      <c r="H3" s="2" t="s">
        <v>4795</v>
      </c>
      <c r="I3" s="2" t="s">
        <v>4785</v>
      </c>
      <c r="J3" s="2" t="s">
        <v>4796</v>
      </c>
      <c r="K3" s="2" t="s">
        <v>4797</v>
      </c>
      <c r="L3" s="2" t="s">
        <v>4798</v>
      </c>
      <c r="M3" s="2"/>
      <c r="N3" s="2"/>
      <c r="O3" s="2"/>
      <c r="P3" s="2"/>
      <c r="Q3" s="2"/>
      <c r="R3" s="2"/>
    </row>
    <row r="4" spans="1:18">
      <c r="A4" s="2" t="s">
        <v>4799</v>
      </c>
      <c r="B4" s="2" t="s">
        <v>4800</v>
      </c>
      <c r="C4" s="2" t="s">
        <v>4801</v>
      </c>
      <c r="D4" s="2" t="s">
        <v>4802</v>
      </c>
      <c r="E4" s="2" t="s">
        <v>2711</v>
      </c>
      <c r="F4" s="2" t="s">
        <v>4803</v>
      </c>
      <c r="G4" s="2" t="s">
        <v>4794</v>
      </c>
      <c r="H4" s="2" t="s">
        <v>4804</v>
      </c>
      <c r="I4" s="2" t="s">
        <v>4785</v>
      </c>
      <c r="J4" s="2" t="s">
        <v>4805</v>
      </c>
      <c r="K4" s="2" t="s">
        <v>4806</v>
      </c>
      <c r="L4" s="2" t="s">
        <v>4798</v>
      </c>
      <c r="M4" s="2"/>
      <c r="N4" s="2"/>
      <c r="O4" s="2"/>
      <c r="P4" s="2"/>
      <c r="Q4" s="2"/>
      <c r="R4" s="2"/>
    </row>
    <row r="5" spans="1:18">
      <c r="A5" s="2" t="s">
        <v>4807</v>
      </c>
      <c r="B5" s="2" t="s">
        <v>4808</v>
      </c>
      <c r="C5" s="2" t="s">
        <v>4809</v>
      </c>
      <c r="D5" s="2" t="s">
        <v>4810</v>
      </c>
      <c r="E5" s="2" t="s">
        <v>4811</v>
      </c>
      <c r="F5" s="2" t="s">
        <v>4793</v>
      </c>
      <c r="G5" s="2" t="s">
        <v>4803</v>
      </c>
      <c r="H5" s="2" t="s">
        <v>4795</v>
      </c>
      <c r="I5" s="2" t="s">
        <v>4804</v>
      </c>
      <c r="J5" s="2" t="s">
        <v>4812</v>
      </c>
      <c r="K5" s="2" t="s">
        <v>4813</v>
      </c>
      <c r="L5" s="2" t="s">
        <v>4814</v>
      </c>
      <c r="M5" s="2"/>
      <c r="N5" s="2"/>
      <c r="O5" s="2"/>
      <c r="P5" s="2"/>
      <c r="Q5" s="2"/>
      <c r="R5" s="2"/>
    </row>
    <row r="6" spans="1:18">
      <c r="A6" s="2" t="s">
        <v>2730</v>
      </c>
      <c r="B6" s="2" t="s">
        <v>4808</v>
      </c>
      <c r="C6" s="2" t="s">
        <v>4815</v>
      </c>
      <c r="D6" s="2" t="s">
        <v>4816</v>
      </c>
      <c r="E6" s="2" t="s">
        <v>2711</v>
      </c>
      <c r="F6" s="2" t="s">
        <v>4793</v>
      </c>
      <c r="G6" s="2" t="s">
        <v>4793</v>
      </c>
      <c r="H6" s="2" t="s">
        <v>4795</v>
      </c>
      <c r="I6" s="2" t="s">
        <v>4795</v>
      </c>
      <c r="J6" s="2" t="s">
        <v>4812</v>
      </c>
      <c r="K6" s="2" t="s">
        <v>4812</v>
      </c>
      <c r="L6" s="2" t="s">
        <v>4814</v>
      </c>
      <c r="M6" s="2"/>
      <c r="N6" s="2"/>
      <c r="O6" s="2"/>
      <c r="P6" s="2"/>
      <c r="Q6" s="2"/>
      <c r="R6" s="2"/>
    </row>
    <row r="7" spans="1:18">
      <c r="A7" s="2" t="s">
        <v>4817</v>
      </c>
      <c r="B7" s="2" t="s">
        <v>4782</v>
      </c>
      <c r="C7" s="2" t="s">
        <v>4818</v>
      </c>
      <c r="D7" s="2" t="s">
        <v>4819</v>
      </c>
      <c r="E7" s="2" t="s">
        <v>2733</v>
      </c>
      <c r="F7" s="2" t="s">
        <v>4793</v>
      </c>
      <c r="G7" s="2" t="s">
        <v>4820</v>
      </c>
      <c r="H7" s="2" t="s">
        <v>4795</v>
      </c>
      <c r="I7" s="2" t="s">
        <v>4820</v>
      </c>
      <c r="J7" s="2" t="s">
        <v>4821</v>
      </c>
      <c r="K7" s="2" t="s">
        <v>4782</v>
      </c>
      <c r="L7" s="2" t="s">
        <v>4822</v>
      </c>
      <c r="M7" s="2"/>
      <c r="N7" s="2"/>
      <c r="O7" s="2"/>
      <c r="P7" s="2"/>
      <c r="Q7" s="2"/>
      <c r="R7" s="2"/>
    </row>
    <row r="8" spans="1:18">
      <c r="A8" s="2" t="s">
        <v>4823</v>
      </c>
      <c r="B8" s="2" t="s">
        <v>4824</v>
      </c>
      <c r="C8" s="2" t="s">
        <v>4825</v>
      </c>
      <c r="D8" s="2" t="s">
        <v>4826</v>
      </c>
      <c r="E8" s="2" t="s">
        <v>2733</v>
      </c>
      <c r="F8" s="2" t="s">
        <v>4793</v>
      </c>
      <c r="G8" s="2" t="s">
        <v>4820</v>
      </c>
      <c r="H8" s="2" t="s">
        <v>4795</v>
      </c>
      <c r="I8" s="2" t="s">
        <v>4820</v>
      </c>
      <c r="J8" s="2" t="s">
        <v>4827</v>
      </c>
      <c r="K8" s="2" t="s">
        <v>4824</v>
      </c>
      <c r="L8" s="2" t="s">
        <v>4822</v>
      </c>
      <c r="M8" s="2"/>
      <c r="N8" s="2"/>
      <c r="O8" s="2"/>
      <c r="P8" s="2"/>
      <c r="Q8" s="2"/>
      <c r="R8" s="2"/>
    </row>
    <row r="9" spans="1:18">
      <c r="A9" s="2" t="s">
        <v>4828</v>
      </c>
      <c r="B9" s="2" t="s">
        <v>4829</v>
      </c>
      <c r="C9" s="2" t="s">
        <v>4830</v>
      </c>
      <c r="D9" s="2" t="s">
        <v>4831</v>
      </c>
      <c r="E9" s="2" t="s">
        <v>2733</v>
      </c>
      <c r="F9" s="2" t="s">
        <v>4793</v>
      </c>
      <c r="G9" s="2" t="s">
        <v>4793</v>
      </c>
      <c r="H9" s="2" t="s">
        <v>4795</v>
      </c>
      <c r="I9" s="2" t="s">
        <v>4795</v>
      </c>
      <c r="J9" s="2" t="s">
        <v>4832</v>
      </c>
      <c r="K9" s="2" t="s">
        <v>4832</v>
      </c>
      <c r="L9" s="2" t="s">
        <v>4822</v>
      </c>
      <c r="M9" s="2"/>
      <c r="N9" s="2"/>
      <c r="O9" s="2"/>
      <c r="P9" s="2"/>
      <c r="Q9" s="2"/>
      <c r="R9" s="2"/>
    </row>
    <row r="10" spans="1:18">
      <c r="A10" s="2" t="s">
        <v>4833</v>
      </c>
      <c r="B10" s="2" t="s">
        <v>4829</v>
      </c>
      <c r="C10" s="2" t="s">
        <v>4834</v>
      </c>
      <c r="D10" s="2" t="s">
        <v>4835</v>
      </c>
      <c r="E10" s="2" t="s">
        <v>2733</v>
      </c>
      <c r="F10" s="2" t="s">
        <v>4836</v>
      </c>
      <c r="G10" s="2" t="s">
        <v>4836</v>
      </c>
      <c r="H10" s="2" t="s">
        <v>4837</v>
      </c>
      <c r="I10" s="2" t="s">
        <v>4837</v>
      </c>
      <c r="J10" s="2" t="s">
        <v>4838</v>
      </c>
      <c r="K10" s="2" t="s">
        <v>4838</v>
      </c>
      <c r="L10" s="2" t="s">
        <v>4822</v>
      </c>
      <c r="M10" s="2"/>
      <c r="N10" s="2"/>
      <c r="O10" s="2"/>
      <c r="P10" s="2"/>
      <c r="Q10" s="2"/>
      <c r="R10" s="2"/>
    </row>
    <row r="11" spans="1:18">
      <c r="A11" s="2" t="s">
        <v>4839</v>
      </c>
      <c r="B11" s="2" t="s">
        <v>4824</v>
      </c>
      <c r="C11" s="2"/>
      <c r="D11" s="2"/>
      <c r="E11" s="2" t="s">
        <v>4783</v>
      </c>
      <c r="F11" s="2"/>
      <c r="G11" s="2"/>
      <c r="H11" s="2" t="s">
        <v>4840</v>
      </c>
      <c r="I11" s="2" t="s">
        <v>4804</v>
      </c>
      <c r="J11" s="2" t="s">
        <v>4841</v>
      </c>
      <c r="K11" s="2" t="s">
        <v>4842</v>
      </c>
      <c r="L11" s="2" t="s">
        <v>4788</v>
      </c>
      <c r="M11" s="2"/>
      <c r="N11" s="2"/>
      <c r="O11" s="2"/>
      <c r="P11" s="2"/>
      <c r="Q11" s="2"/>
      <c r="R11" s="2"/>
    </row>
    <row r="12" spans="1:18">
      <c r="A12" s="2" t="s">
        <v>4843</v>
      </c>
      <c r="B12" s="2"/>
      <c r="C12" s="2"/>
      <c r="D12" s="2"/>
      <c r="E12" s="2"/>
      <c r="F12" s="2"/>
      <c r="G12" s="2"/>
      <c r="H12" s="2"/>
      <c r="I12" s="2"/>
      <c r="J12" s="2"/>
      <c r="K12" s="2"/>
      <c r="L12" s="2"/>
      <c r="M12" s="2" t="s">
        <v>4844</v>
      </c>
      <c r="N12" s="2" t="s">
        <v>4845</v>
      </c>
      <c r="O12" s="2" t="s">
        <v>4846</v>
      </c>
      <c r="P12" s="2" t="s">
        <v>4847</v>
      </c>
      <c r="Q12" s="2" t="s">
        <v>4848</v>
      </c>
      <c r="R12" s="2"/>
    </row>
    <row r="13" spans="1:18">
      <c r="A13" s="2" t="s">
        <v>4849</v>
      </c>
      <c r="B13" s="2"/>
      <c r="C13" s="2"/>
      <c r="D13" s="2"/>
      <c r="E13" s="2"/>
      <c r="F13" s="2"/>
      <c r="G13" s="2"/>
      <c r="H13" s="2"/>
      <c r="I13" s="2"/>
      <c r="J13" s="2"/>
      <c r="K13" s="2"/>
      <c r="L13" s="2"/>
      <c r="M13" s="2" t="s">
        <v>4850</v>
      </c>
      <c r="N13" s="2"/>
      <c r="O13" s="2"/>
      <c r="P13" s="2" t="s">
        <v>4847</v>
      </c>
      <c r="Q13" s="2"/>
      <c r="R13" s="2" t="s">
        <v>4851</v>
      </c>
    </row>
  </sheetData>
  <autoFilter ref="A1:R13"/>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1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4609</v>
      </c>
      <c r="B1" s="1" t="s">
        <v>4610</v>
      </c>
    </row>
    <row r="2" spans="1:2">
      <c r="A2" s="2" t="s">
        <v>4611</v>
      </c>
      <c r="B2" s="2" t="s">
        <v>4852</v>
      </c>
    </row>
    <row r="3" spans="1:2">
      <c r="A3" s="2" t="s">
        <v>4613</v>
      </c>
      <c r="B3" s="2" t="s">
        <v>4853</v>
      </c>
    </row>
    <row r="4" spans="1:2">
      <c r="A4" s="2" t="s">
        <v>4615</v>
      </c>
      <c r="B4" s="2" t="s">
        <v>7</v>
      </c>
    </row>
    <row r="5" spans="1:2">
      <c r="A5" s="2" t="s">
        <v>4616</v>
      </c>
      <c r="B5" s="2" t="s">
        <v>4854</v>
      </c>
    </row>
    <row r="6" spans="1:2">
      <c r="A6" s="2" t="s">
        <v>4617</v>
      </c>
      <c r="B6" s="2" t="s">
        <v>4855</v>
      </c>
    </row>
    <row r="7" spans="1:2">
      <c r="A7" s="2" t="s">
        <v>4619</v>
      </c>
      <c r="B7" s="2" t="s">
        <v>4856</v>
      </c>
    </row>
    <row r="8" spans="1:2">
      <c r="A8" s="2" t="s">
        <v>4621</v>
      </c>
      <c r="B8" s="2" t="s">
        <v>4857</v>
      </c>
    </row>
    <row r="9" spans="1:2">
      <c r="A9" s="2" t="s">
        <v>4623</v>
      </c>
      <c r="B9" s="2" t="s">
        <v>4858</v>
      </c>
    </row>
    <row r="10" spans="1:2">
      <c r="A10" s="2" t="s">
        <v>4625</v>
      </c>
      <c r="B10" s="2" t="s">
        <v>4626</v>
      </c>
    </row>
    <row r="11" spans="1:2">
      <c r="A11" s="2" t="s">
        <v>4859</v>
      </c>
      <c r="B11" s="2" t="s">
        <v>4860</v>
      </c>
    </row>
    <row r="12" spans="1:2">
      <c r="A12" s="2" t="s">
        <v>4861</v>
      </c>
      <c r="B12" s="2" t="s">
        <v>4862</v>
      </c>
    </row>
    <row r="13" spans="1:2">
      <c r="A13" s="2" t="s">
        <v>4863</v>
      </c>
      <c r="B13" s="2" t="s">
        <v>4864</v>
      </c>
    </row>
    <row r="14" spans="1:2">
      <c r="A14" s="2" t="s">
        <v>4865</v>
      </c>
      <c r="B14" s="2" t="s">
        <v>4866</v>
      </c>
    </row>
  </sheetData>
  <autoFilter ref="A1:B14"/>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AK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37" width="28.7109375" customWidth="1"/>
  </cols>
  <sheetData>
    <row r="1" spans="1:37" ht="32" customHeight="1">
      <c r="A1" s="1" t="s">
        <v>4867</v>
      </c>
      <c r="B1" s="1" t="s">
        <v>4868</v>
      </c>
      <c r="C1" s="1" t="s">
        <v>4869</v>
      </c>
      <c r="D1" s="1" t="s">
        <v>394</v>
      </c>
      <c r="E1" s="1" t="s">
        <v>4870</v>
      </c>
      <c r="F1" s="1" t="s">
        <v>4871</v>
      </c>
      <c r="G1" s="1" t="s">
        <v>4872</v>
      </c>
      <c r="H1" s="1" t="s">
        <v>4873</v>
      </c>
      <c r="I1" s="1" t="s">
        <v>4874</v>
      </c>
      <c r="J1" s="1" t="s">
        <v>4875</v>
      </c>
      <c r="K1" s="1" t="s">
        <v>4876</v>
      </c>
      <c r="L1" s="1" t="s">
        <v>4877</v>
      </c>
      <c r="M1" s="1" t="s">
        <v>606</v>
      </c>
      <c r="N1" s="1" t="s">
        <v>4878</v>
      </c>
      <c r="O1" s="1" t="s">
        <v>646</v>
      </c>
      <c r="P1" s="1" t="s">
        <v>4879</v>
      </c>
      <c r="Q1" s="1" t="s">
        <v>4880</v>
      </c>
      <c r="R1" s="1" t="s">
        <v>4881</v>
      </c>
      <c r="S1" s="1" t="s">
        <v>4882</v>
      </c>
      <c r="T1" s="1" t="s">
        <v>4883</v>
      </c>
      <c r="U1" s="1" t="s">
        <v>4884</v>
      </c>
      <c r="V1" s="1" t="s">
        <v>4885</v>
      </c>
      <c r="W1" s="1" t="s">
        <v>4886</v>
      </c>
      <c r="X1" s="1" t="s">
        <v>4887</v>
      </c>
      <c r="Y1" s="1" t="s">
        <v>4888</v>
      </c>
      <c r="Z1" s="1" t="s">
        <v>4889</v>
      </c>
      <c r="AA1" s="1" t="s">
        <v>4890</v>
      </c>
      <c r="AB1" s="1" t="s">
        <v>4891</v>
      </c>
      <c r="AC1" s="1" t="s">
        <v>4892</v>
      </c>
      <c r="AD1" s="1" t="s">
        <v>4893</v>
      </c>
      <c r="AE1" s="1" t="s">
        <v>4894</v>
      </c>
      <c r="AF1" s="1" t="s">
        <v>4895</v>
      </c>
      <c r="AG1" s="1" t="s">
        <v>4896</v>
      </c>
      <c r="AH1" s="1" t="s">
        <v>4897</v>
      </c>
      <c r="AI1" s="1" t="s">
        <v>4898</v>
      </c>
      <c r="AJ1" s="1" t="s">
        <v>4899</v>
      </c>
      <c r="AK1" s="1" t="s">
        <v>4900</v>
      </c>
    </row>
    <row r="2" spans="1:37">
      <c r="A2" s="2" t="s">
        <v>3643</v>
      </c>
      <c r="B2" s="2" t="s">
        <v>7</v>
      </c>
      <c r="C2" s="2" t="s">
        <v>4901</v>
      </c>
      <c r="D2" s="2" t="s">
        <v>4902</v>
      </c>
      <c r="E2" s="2" t="s">
        <v>4903</v>
      </c>
      <c r="F2" s="2" t="s">
        <v>4904</v>
      </c>
      <c r="G2" s="2" t="s">
        <v>4905</v>
      </c>
      <c r="H2" s="2" t="s">
        <v>4906</v>
      </c>
      <c r="I2" s="2" t="s">
        <v>4907</v>
      </c>
      <c r="J2" s="2" t="s">
        <v>4908</v>
      </c>
      <c r="K2" s="2" t="s">
        <v>4909</v>
      </c>
      <c r="L2" s="2" t="s">
        <v>4910</v>
      </c>
      <c r="M2" s="2" t="s">
        <v>4911</v>
      </c>
      <c r="N2" s="2" t="s">
        <v>4912</v>
      </c>
      <c r="O2" s="2" t="s">
        <v>4913</v>
      </c>
      <c r="P2" s="2" t="s">
        <v>4914</v>
      </c>
      <c r="Q2" s="2" t="s">
        <v>4915</v>
      </c>
      <c r="R2" s="2" t="s">
        <v>4916</v>
      </c>
      <c r="S2" s="2" t="s">
        <v>4917</v>
      </c>
      <c r="T2" s="2" t="s">
        <v>4918</v>
      </c>
      <c r="U2" s="2" t="s">
        <v>4587</v>
      </c>
      <c r="V2" s="2" t="s">
        <v>4587</v>
      </c>
      <c r="W2" s="2" t="s">
        <v>4587</v>
      </c>
      <c r="X2" s="2" t="s">
        <v>4587</v>
      </c>
      <c r="Y2" s="2" t="s">
        <v>4919</v>
      </c>
      <c r="Z2" s="2" t="s">
        <v>4920</v>
      </c>
      <c r="AA2" s="2" t="s">
        <v>4903</v>
      </c>
      <c r="AB2" s="2" t="s">
        <v>4921</v>
      </c>
      <c r="AC2" s="2" t="s">
        <v>4922</v>
      </c>
      <c r="AD2" s="2"/>
      <c r="AE2" s="2"/>
      <c r="AF2" s="2"/>
      <c r="AG2" s="2"/>
      <c r="AH2" s="2"/>
      <c r="AI2" s="2"/>
      <c r="AJ2" s="2"/>
      <c r="AK2" s="2"/>
    </row>
    <row r="3" spans="1:37">
      <c r="A3" s="2" t="s">
        <v>4923</v>
      </c>
      <c r="B3" s="2" t="s">
        <v>4924</v>
      </c>
      <c r="C3" s="2" t="s">
        <v>4901</v>
      </c>
      <c r="D3" s="2" t="s">
        <v>4925</v>
      </c>
      <c r="E3" s="2" t="s">
        <v>4926</v>
      </c>
      <c r="F3" s="2" t="s">
        <v>4927</v>
      </c>
      <c r="G3" s="2" t="s">
        <v>4928</v>
      </c>
      <c r="H3" s="2" t="s">
        <v>4929</v>
      </c>
      <c r="I3" s="2" t="s">
        <v>4930</v>
      </c>
      <c r="J3" s="2" t="s">
        <v>4931</v>
      </c>
      <c r="K3" s="2" t="s">
        <v>4932</v>
      </c>
      <c r="L3" s="2" t="s">
        <v>4933</v>
      </c>
      <c r="M3" s="2" t="s">
        <v>4934</v>
      </c>
      <c r="N3" s="2" t="s">
        <v>4920</v>
      </c>
      <c r="O3" s="2" t="s">
        <v>4913</v>
      </c>
      <c r="P3" s="2" t="s">
        <v>4587</v>
      </c>
      <c r="Q3" s="2" t="s">
        <v>4915</v>
      </c>
      <c r="R3" s="2" t="s">
        <v>4916</v>
      </c>
      <c r="S3" s="2" t="s">
        <v>4917</v>
      </c>
      <c r="T3" s="2" t="s">
        <v>4918</v>
      </c>
      <c r="U3" s="2" t="s">
        <v>4649</v>
      </c>
      <c r="V3" s="2" t="s">
        <v>4587</v>
      </c>
      <c r="W3" s="2" t="s">
        <v>4587</v>
      </c>
      <c r="X3" s="2" t="s">
        <v>4587</v>
      </c>
      <c r="Y3" s="2" t="s">
        <v>4935</v>
      </c>
      <c r="Z3" s="2" t="s">
        <v>4936</v>
      </c>
      <c r="AA3" s="2" t="s">
        <v>4937</v>
      </c>
      <c r="AB3" s="2" t="s">
        <v>4938</v>
      </c>
      <c r="AC3" s="2" t="s">
        <v>4922</v>
      </c>
      <c r="AD3" s="2"/>
      <c r="AE3" s="2"/>
      <c r="AF3" s="2"/>
      <c r="AG3" s="2"/>
      <c r="AH3" s="2"/>
      <c r="AI3" s="2"/>
      <c r="AJ3" s="2"/>
      <c r="AK3" s="2"/>
    </row>
    <row r="4" spans="1:37">
      <c r="A4" s="2" t="s">
        <v>4939</v>
      </c>
      <c r="B4" s="2" t="s">
        <v>2196</v>
      </c>
      <c r="C4" s="2" t="s">
        <v>4901</v>
      </c>
      <c r="D4" s="2" t="s">
        <v>4940</v>
      </c>
      <c r="E4" s="2" t="s">
        <v>4941</v>
      </c>
      <c r="F4" s="2" t="s">
        <v>4942</v>
      </c>
      <c r="G4" s="2" t="s">
        <v>4943</v>
      </c>
      <c r="H4" s="2" t="s">
        <v>4944</v>
      </c>
      <c r="I4" s="2" t="s">
        <v>4945</v>
      </c>
      <c r="J4" s="2" t="s">
        <v>4946</v>
      </c>
      <c r="K4" s="2" t="s">
        <v>4947</v>
      </c>
      <c r="L4" s="2" t="s">
        <v>4948</v>
      </c>
      <c r="M4" s="2" t="s">
        <v>4949</v>
      </c>
      <c r="N4" s="2" t="s">
        <v>4936</v>
      </c>
      <c r="O4" s="2" t="s">
        <v>4950</v>
      </c>
      <c r="P4" s="2" t="s">
        <v>4587</v>
      </c>
      <c r="Q4" s="2" t="s">
        <v>4951</v>
      </c>
      <c r="R4" s="2" t="s">
        <v>4952</v>
      </c>
      <c r="S4" s="2" t="s">
        <v>4953</v>
      </c>
      <c r="T4" s="2" t="s">
        <v>4918</v>
      </c>
      <c r="U4" s="2" t="s">
        <v>4587</v>
      </c>
      <c r="V4" s="2" t="s">
        <v>4587</v>
      </c>
      <c r="W4" s="2" t="s">
        <v>4587</v>
      </c>
      <c r="X4" s="2" t="s">
        <v>4587</v>
      </c>
      <c r="Y4" s="2" t="s">
        <v>4954</v>
      </c>
      <c r="Z4" s="2" t="s">
        <v>4955</v>
      </c>
      <c r="AA4" s="2" t="s">
        <v>4956</v>
      </c>
      <c r="AB4" s="2" t="s">
        <v>4957</v>
      </c>
      <c r="AC4" s="2" t="s">
        <v>4922</v>
      </c>
      <c r="AD4" s="2"/>
      <c r="AE4" s="2"/>
      <c r="AF4" s="2"/>
      <c r="AG4" s="2"/>
      <c r="AH4" s="2"/>
      <c r="AI4" s="2"/>
      <c r="AJ4" s="2"/>
      <c r="AK4" s="2"/>
    </row>
    <row r="5" spans="1:37">
      <c r="A5" s="2"/>
      <c r="B5" s="2"/>
      <c r="C5" s="2"/>
      <c r="D5" s="2"/>
      <c r="E5" s="2"/>
      <c r="F5" s="2"/>
      <c r="G5" s="2"/>
      <c r="H5" s="2"/>
      <c r="I5" s="2"/>
      <c r="J5" s="2"/>
      <c r="K5" s="2"/>
      <c r="L5" s="2"/>
      <c r="M5" s="2"/>
      <c r="N5" s="2"/>
      <c r="O5" s="2"/>
      <c r="P5" s="2"/>
      <c r="Q5" s="2"/>
      <c r="R5" s="2"/>
      <c r="S5" s="2"/>
      <c r="T5" s="2"/>
      <c r="U5" s="2"/>
      <c r="V5" s="2"/>
      <c r="W5" s="2"/>
      <c r="X5" s="2"/>
      <c r="Y5" s="2"/>
      <c r="Z5" s="2"/>
      <c r="AA5" s="2"/>
      <c r="AB5" s="2"/>
      <c r="AC5" s="2"/>
      <c r="AD5" s="2" t="s">
        <v>4958</v>
      </c>
      <c r="AE5" s="2" t="s">
        <v>4955</v>
      </c>
      <c r="AF5" s="2" t="s">
        <v>4936</v>
      </c>
      <c r="AG5" s="2" t="s">
        <v>4924</v>
      </c>
      <c r="AH5" s="2" t="s">
        <v>4959</v>
      </c>
      <c r="AI5" s="2" t="s">
        <v>4960</v>
      </c>
      <c r="AJ5" s="2" t="s">
        <v>4961</v>
      </c>
      <c r="AK5" s="2" t="s">
        <v>4962</v>
      </c>
    </row>
  </sheetData>
  <autoFilter ref="A1:AK5"/>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B1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4609</v>
      </c>
      <c r="B1" s="1" t="s">
        <v>4610</v>
      </c>
    </row>
    <row r="2" spans="1:2">
      <c r="A2" s="2" t="s">
        <v>4611</v>
      </c>
      <c r="B2" s="2" t="s">
        <v>4963</v>
      </c>
    </row>
    <row r="3" spans="1:2">
      <c r="A3" s="2" t="s">
        <v>4613</v>
      </c>
      <c r="B3" s="2" t="s">
        <v>4964</v>
      </c>
    </row>
    <row r="4" spans="1:2">
      <c r="A4" s="2" t="s">
        <v>4615</v>
      </c>
      <c r="B4" s="2" t="s">
        <v>7</v>
      </c>
    </row>
    <row r="5" spans="1:2">
      <c r="A5" s="2" t="s">
        <v>4616</v>
      </c>
      <c r="B5" s="2" t="s">
        <v>4965</v>
      </c>
    </row>
    <row r="6" spans="1:2">
      <c r="A6" s="2" t="s">
        <v>4617</v>
      </c>
      <c r="B6" s="2" t="s">
        <v>4966</v>
      </c>
    </row>
    <row r="7" spans="1:2">
      <c r="A7" s="2" t="s">
        <v>4619</v>
      </c>
      <c r="B7" s="2" t="s">
        <v>4967</v>
      </c>
    </row>
    <row r="8" spans="1:2">
      <c r="A8" s="2" t="s">
        <v>4621</v>
      </c>
      <c r="B8" s="2" t="s">
        <v>4968</v>
      </c>
    </row>
    <row r="9" spans="1:2">
      <c r="A9" s="2" t="s">
        <v>4623</v>
      </c>
      <c r="B9" s="2" t="s">
        <v>4969</v>
      </c>
    </row>
    <row r="10" spans="1:2">
      <c r="A10" s="2" t="s">
        <v>4625</v>
      </c>
      <c r="B10" s="2" t="s">
        <v>4626</v>
      </c>
    </row>
    <row r="11" spans="1:2">
      <c r="A11" s="2" t="s">
        <v>4970</v>
      </c>
      <c r="B11" s="2" t="s">
        <v>4971</v>
      </c>
    </row>
    <row r="12" spans="1:2">
      <c r="A12" s="2" t="s">
        <v>4972</v>
      </c>
      <c r="B12" s="2" t="s">
        <v>4973</v>
      </c>
    </row>
    <row r="13" spans="1:2">
      <c r="A13" s="2" t="s">
        <v>4974</v>
      </c>
      <c r="B13" s="2" t="s">
        <v>4975</v>
      </c>
    </row>
    <row r="14" spans="1:2">
      <c r="A14" s="2" t="s">
        <v>4976</v>
      </c>
      <c r="B14" s="2" t="s">
        <v>4977</v>
      </c>
    </row>
  </sheetData>
  <autoFilter ref="A1:B14"/>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AK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37" width="28.7109375" customWidth="1"/>
  </cols>
  <sheetData>
    <row r="1" spans="1:37" ht="32" customHeight="1">
      <c r="A1" s="1" t="s">
        <v>4867</v>
      </c>
      <c r="B1" s="1" t="s">
        <v>4868</v>
      </c>
      <c r="C1" s="1" t="s">
        <v>4869</v>
      </c>
      <c r="D1" s="1" t="s">
        <v>394</v>
      </c>
      <c r="E1" s="1" t="s">
        <v>4870</v>
      </c>
      <c r="F1" s="1" t="s">
        <v>4871</v>
      </c>
      <c r="G1" s="1" t="s">
        <v>4872</v>
      </c>
      <c r="H1" s="1" t="s">
        <v>4873</v>
      </c>
      <c r="I1" s="1" t="s">
        <v>4874</v>
      </c>
      <c r="J1" s="1" t="s">
        <v>4875</v>
      </c>
      <c r="K1" s="1" t="s">
        <v>4876</v>
      </c>
      <c r="L1" s="1" t="s">
        <v>4877</v>
      </c>
      <c r="M1" s="1" t="s">
        <v>606</v>
      </c>
      <c r="N1" s="1" t="s">
        <v>4878</v>
      </c>
      <c r="O1" s="1" t="s">
        <v>646</v>
      </c>
      <c r="P1" s="1" t="s">
        <v>4879</v>
      </c>
      <c r="Q1" s="1" t="s">
        <v>4880</v>
      </c>
      <c r="R1" s="1" t="s">
        <v>4881</v>
      </c>
      <c r="S1" s="1" t="s">
        <v>4882</v>
      </c>
      <c r="T1" s="1" t="s">
        <v>4883</v>
      </c>
      <c r="U1" s="1" t="s">
        <v>4884</v>
      </c>
      <c r="V1" s="1" t="s">
        <v>4885</v>
      </c>
      <c r="W1" s="1" t="s">
        <v>4886</v>
      </c>
      <c r="X1" s="1" t="s">
        <v>4887</v>
      </c>
      <c r="Y1" s="1" t="s">
        <v>4888</v>
      </c>
      <c r="Z1" s="1" t="s">
        <v>4889</v>
      </c>
      <c r="AA1" s="1" t="s">
        <v>4890</v>
      </c>
      <c r="AB1" s="1" t="s">
        <v>4891</v>
      </c>
      <c r="AC1" s="1" t="s">
        <v>4892</v>
      </c>
      <c r="AD1" s="1" t="s">
        <v>4893</v>
      </c>
      <c r="AE1" s="1" t="s">
        <v>4894</v>
      </c>
      <c r="AF1" s="1" t="s">
        <v>4895</v>
      </c>
      <c r="AG1" s="1" t="s">
        <v>4896</v>
      </c>
      <c r="AH1" s="1" t="s">
        <v>4897</v>
      </c>
      <c r="AI1" s="1" t="s">
        <v>4898</v>
      </c>
      <c r="AJ1" s="1" t="s">
        <v>4899</v>
      </c>
      <c r="AK1" s="1" t="s">
        <v>4900</v>
      </c>
    </row>
    <row r="2" spans="1:37">
      <c r="A2" s="2" t="s">
        <v>3643</v>
      </c>
      <c r="B2" s="2" t="s">
        <v>7</v>
      </c>
      <c r="C2" s="2" t="s">
        <v>4901</v>
      </c>
      <c r="D2" s="2" t="s">
        <v>4978</v>
      </c>
      <c r="E2" s="2" t="s">
        <v>4979</v>
      </c>
      <c r="F2" s="2" t="s">
        <v>4980</v>
      </c>
      <c r="G2" s="2" t="s">
        <v>4905</v>
      </c>
      <c r="H2" s="2" t="s">
        <v>4981</v>
      </c>
      <c r="I2" s="2" t="s">
        <v>4982</v>
      </c>
      <c r="J2" s="2" t="s">
        <v>4908</v>
      </c>
      <c r="K2" s="2" t="s">
        <v>4983</v>
      </c>
      <c r="L2" s="2" t="s">
        <v>4984</v>
      </c>
      <c r="M2" s="2" t="s">
        <v>4985</v>
      </c>
      <c r="N2" s="2" t="s">
        <v>4912</v>
      </c>
      <c r="O2" s="2" t="s">
        <v>4913</v>
      </c>
      <c r="P2" s="2" t="s">
        <v>4914</v>
      </c>
      <c r="Q2" s="2" t="s">
        <v>4915</v>
      </c>
      <c r="R2" s="2" t="s">
        <v>4916</v>
      </c>
      <c r="S2" s="2" t="s">
        <v>4917</v>
      </c>
      <c r="T2" s="2" t="s">
        <v>4918</v>
      </c>
      <c r="U2" s="2" t="s">
        <v>4587</v>
      </c>
      <c r="V2" s="2" t="s">
        <v>4587</v>
      </c>
      <c r="W2" s="2" t="s">
        <v>4587</v>
      </c>
      <c r="X2" s="2" t="s">
        <v>4587</v>
      </c>
      <c r="Y2" s="2" t="s">
        <v>4919</v>
      </c>
      <c r="Z2" s="2" t="s">
        <v>4986</v>
      </c>
      <c r="AA2" s="2" t="s">
        <v>4979</v>
      </c>
      <c r="AB2" s="2" t="s">
        <v>4921</v>
      </c>
      <c r="AC2" s="2" t="s">
        <v>4922</v>
      </c>
      <c r="AD2" s="2"/>
      <c r="AE2" s="2"/>
      <c r="AF2" s="2"/>
      <c r="AG2" s="2"/>
      <c r="AH2" s="2"/>
      <c r="AI2" s="2"/>
      <c r="AJ2" s="2"/>
      <c r="AK2" s="2"/>
    </row>
    <row r="3" spans="1:37">
      <c r="A3" s="2" t="s">
        <v>4923</v>
      </c>
      <c r="B3" s="2" t="s">
        <v>4924</v>
      </c>
      <c r="C3" s="2" t="s">
        <v>4901</v>
      </c>
      <c r="D3" s="2" t="s">
        <v>4987</v>
      </c>
      <c r="E3" s="2" t="s">
        <v>4988</v>
      </c>
      <c r="F3" s="2" t="s">
        <v>4989</v>
      </c>
      <c r="G3" s="2" t="s">
        <v>4928</v>
      </c>
      <c r="H3" s="2" t="s">
        <v>4990</v>
      </c>
      <c r="I3" s="2" t="s">
        <v>4991</v>
      </c>
      <c r="J3" s="2" t="s">
        <v>4931</v>
      </c>
      <c r="K3" s="2" t="s">
        <v>4992</v>
      </c>
      <c r="L3" s="2" t="s">
        <v>4993</v>
      </c>
      <c r="M3" s="2" t="s">
        <v>4994</v>
      </c>
      <c r="N3" s="2" t="s">
        <v>4986</v>
      </c>
      <c r="O3" s="2" t="s">
        <v>4913</v>
      </c>
      <c r="P3" s="2" t="s">
        <v>4587</v>
      </c>
      <c r="Q3" s="2" t="s">
        <v>4915</v>
      </c>
      <c r="R3" s="2" t="s">
        <v>4916</v>
      </c>
      <c r="S3" s="2" t="s">
        <v>4917</v>
      </c>
      <c r="T3" s="2" t="s">
        <v>4918</v>
      </c>
      <c r="U3" s="2" t="s">
        <v>4649</v>
      </c>
      <c r="V3" s="2" t="s">
        <v>4587</v>
      </c>
      <c r="W3" s="2" t="s">
        <v>4587</v>
      </c>
      <c r="X3" s="2" t="s">
        <v>4587</v>
      </c>
      <c r="Y3" s="2" t="s">
        <v>4935</v>
      </c>
      <c r="Z3" s="2" t="s">
        <v>4995</v>
      </c>
      <c r="AA3" s="2" t="s">
        <v>4996</v>
      </c>
      <c r="AB3" s="2" t="s">
        <v>4938</v>
      </c>
      <c r="AC3" s="2" t="s">
        <v>4997</v>
      </c>
      <c r="AD3" s="2"/>
      <c r="AE3" s="2"/>
      <c r="AF3" s="2"/>
      <c r="AG3" s="2"/>
      <c r="AH3" s="2"/>
      <c r="AI3" s="2"/>
      <c r="AJ3" s="2"/>
      <c r="AK3" s="2"/>
    </row>
    <row r="4" spans="1:37">
      <c r="A4" s="2" t="s">
        <v>4939</v>
      </c>
      <c r="B4" s="2" t="s">
        <v>2196</v>
      </c>
      <c r="C4" s="2" t="s">
        <v>4901</v>
      </c>
      <c r="D4" s="2" t="s">
        <v>4998</v>
      </c>
      <c r="E4" s="2" t="s">
        <v>4999</v>
      </c>
      <c r="F4" s="2" t="s">
        <v>5000</v>
      </c>
      <c r="G4" s="2" t="s">
        <v>4943</v>
      </c>
      <c r="H4" s="2" t="s">
        <v>5001</v>
      </c>
      <c r="I4" s="2" t="s">
        <v>5002</v>
      </c>
      <c r="J4" s="2" t="s">
        <v>4946</v>
      </c>
      <c r="K4" s="2" t="s">
        <v>5003</v>
      </c>
      <c r="L4" s="2" t="s">
        <v>5004</v>
      </c>
      <c r="M4" s="2" t="s">
        <v>5005</v>
      </c>
      <c r="N4" s="2" t="s">
        <v>4995</v>
      </c>
      <c r="O4" s="2" t="s">
        <v>4950</v>
      </c>
      <c r="P4" s="2" t="s">
        <v>4587</v>
      </c>
      <c r="Q4" s="2" t="s">
        <v>4951</v>
      </c>
      <c r="R4" s="2" t="s">
        <v>4952</v>
      </c>
      <c r="S4" s="2" t="s">
        <v>4953</v>
      </c>
      <c r="T4" s="2" t="s">
        <v>4918</v>
      </c>
      <c r="U4" s="2" t="s">
        <v>4587</v>
      </c>
      <c r="V4" s="2" t="s">
        <v>4587</v>
      </c>
      <c r="W4" s="2" t="s">
        <v>4587</v>
      </c>
      <c r="X4" s="2" t="s">
        <v>4587</v>
      </c>
      <c r="Y4" s="2" t="s">
        <v>4954</v>
      </c>
      <c r="Z4" s="2" t="s">
        <v>5006</v>
      </c>
      <c r="AA4" s="2" t="s">
        <v>5007</v>
      </c>
      <c r="AB4" s="2" t="s">
        <v>4957</v>
      </c>
      <c r="AC4" s="2" t="s">
        <v>4997</v>
      </c>
      <c r="AD4" s="2"/>
      <c r="AE4" s="2"/>
      <c r="AF4" s="2"/>
      <c r="AG4" s="2"/>
      <c r="AH4" s="2"/>
      <c r="AI4" s="2"/>
      <c r="AJ4" s="2"/>
      <c r="AK4" s="2"/>
    </row>
    <row r="5" spans="1:37">
      <c r="A5" s="2"/>
      <c r="B5" s="2"/>
      <c r="C5" s="2"/>
      <c r="D5" s="2"/>
      <c r="E5" s="2"/>
      <c r="F5" s="2"/>
      <c r="G5" s="2"/>
      <c r="H5" s="2"/>
      <c r="I5" s="2"/>
      <c r="J5" s="2"/>
      <c r="K5" s="2"/>
      <c r="L5" s="2"/>
      <c r="M5" s="2"/>
      <c r="N5" s="2"/>
      <c r="O5" s="2"/>
      <c r="P5" s="2"/>
      <c r="Q5" s="2"/>
      <c r="R5" s="2"/>
      <c r="S5" s="2"/>
      <c r="T5" s="2"/>
      <c r="U5" s="2"/>
      <c r="V5" s="2"/>
      <c r="W5" s="2"/>
      <c r="X5" s="2"/>
      <c r="Y5" s="2"/>
      <c r="Z5" s="2"/>
      <c r="AA5" s="2"/>
      <c r="AB5" s="2"/>
      <c r="AC5" s="2"/>
      <c r="AD5" s="2" t="s">
        <v>4958</v>
      </c>
      <c r="AE5" s="2" t="s">
        <v>5006</v>
      </c>
      <c r="AF5" s="2" t="s">
        <v>4995</v>
      </c>
      <c r="AG5" s="2" t="s">
        <v>4924</v>
      </c>
      <c r="AH5" s="2" t="s">
        <v>5008</v>
      </c>
      <c r="AI5" s="2" t="s">
        <v>5009</v>
      </c>
      <c r="AJ5" s="2" t="s">
        <v>5010</v>
      </c>
      <c r="AK5" s="2" t="s">
        <v>4587</v>
      </c>
    </row>
  </sheetData>
  <autoFilter ref="A1:AK5"/>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B1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4609</v>
      </c>
      <c r="B1" s="1" t="s">
        <v>4610</v>
      </c>
    </row>
    <row r="2" spans="1:2">
      <c r="A2" s="2" t="s">
        <v>4611</v>
      </c>
      <c r="B2" s="2" t="s">
        <v>5011</v>
      </c>
    </row>
    <row r="3" spans="1:2">
      <c r="A3" s="2" t="s">
        <v>4613</v>
      </c>
      <c r="B3" s="2" t="s">
        <v>4964</v>
      </c>
    </row>
    <row r="4" spans="1:2">
      <c r="A4" s="2" t="s">
        <v>4615</v>
      </c>
      <c r="B4" s="2" t="s">
        <v>7</v>
      </c>
    </row>
    <row r="5" spans="1:2">
      <c r="A5" s="2" t="s">
        <v>4616</v>
      </c>
      <c r="B5" s="2" t="s">
        <v>4965</v>
      </c>
    </row>
    <row r="6" spans="1:2">
      <c r="A6" s="2" t="s">
        <v>4617</v>
      </c>
      <c r="B6" s="2" t="s">
        <v>4966</v>
      </c>
    </row>
    <row r="7" spans="1:2">
      <c r="A7" s="2" t="s">
        <v>4619</v>
      </c>
      <c r="B7" s="2" t="s">
        <v>4967</v>
      </c>
    </row>
    <row r="8" spans="1:2">
      <c r="A8" s="2" t="s">
        <v>4621</v>
      </c>
      <c r="B8" s="2" t="s">
        <v>4968</v>
      </c>
    </row>
    <row r="9" spans="1:2">
      <c r="A9" s="2" t="s">
        <v>4623</v>
      </c>
      <c r="B9" s="2" t="s">
        <v>5012</v>
      </c>
    </row>
    <row r="10" spans="1:2">
      <c r="A10" s="2" t="s">
        <v>4625</v>
      </c>
      <c r="B10" s="2" t="s">
        <v>4626</v>
      </c>
    </row>
    <row r="11" spans="1:2">
      <c r="A11" s="2" t="s">
        <v>5013</v>
      </c>
      <c r="B11" s="2" t="s">
        <v>5014</v>
      </c>
    </row>
    <row r="12" spans="1:2">
      <c r="A12" s="2" t="s">
        <v>5015</v>
      </c>
      <c r="B12" s="2" t="s">
        <v>5016</v>
      </c>
    </row>
    <row r="13" spans="1:2">
      <c r="A13" s="2" t="s">
        <v>5017</v>
      </c>
      <c r="B13" s="2" t="s">
        <v>5018</v>
      </c>
    </row>
    <row r="14" spans="1:2">
      <c r="A14" s="2" t="s">
        <v>5019</v>
      </c>
      <c r="B14" s="2" t="s">
        <v>5020</v>
      </c>
    </row>
  </sheetData>
  <autoFilter ref="A1:B14"/>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AK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37" width="28.7109375" customWidth="1"/>
  </cols>
  <sheetData>
    <row r="1" spans="1:37" ht="32" customHeight="1">
      <c r="A1" s="1" t="s">
        <v>4867</v>
      </c>
      <c r="B1" s="1" t="s">
        <v>4868</v>
      </c>
      <c r="C1" s="1" t="s">
        <v>4869</v>
      </c>
      <c r="D1" s="1" t="s">
        <v>394</v>
      </c>
      <c r="E1" s="1" t="s">
        <v>4870</v>
      </c>
      <c r="F1" s="1" t="s">
        <v>4871</v>
      </c>
      <c r="G1" s="1" t="s">
        <v>4872</v>
      </c>
      <c r="H1" s="1" t="s">
        <v>4873</v>
      </c>
      <c r="I1" s="1" t="s">
        <v>4874</v>
      </c>
      <c r="J1" s="1" t="s">
        <v>4875</v>
      </c>
      <c r="K1" s="1" t="s">
        <v>4876</v>
      </c>
      <c r="L1" s="1" t="s">
        <v>4877</v>
      </c>
      <c r="M1" s="1" t="s">
        <v>606</v>
      </c>
      <c r="N1" s="1" t="s">
        <v>4878</v>
      </c>
      <c r="O1" s="1" t="s">
        <v>646</v>
      </c>
      <c r="P1" s="1" t="s">
        <v>4879</v>
      </c>
      <c r="Q1" s="1" t="s">
        <v>4880</v>
      </c>
      <c r="R1" s="1" t="s">
        <v>4881</v>
      </c>
      <c r="S1" s="1" t="s">
        <v>4882</v>
      </c>
      <c r="T1" s="1" t="s">
        <v>4883</v>
      </c>
      <c r="U1" s="1" t="s">
        <v>4884</v>
      </c>
      <c r="V1" s="1" t="s">
        <v>4885</v>
      </c>
      <c r="W1" s="1" t="s">
        <v>4886</v>
      </c>
      <c r="X1" s="1" t="s">
        <v>4887</v>
      </c>
      <c r="Y1" s="1" t="s">
        <v>4888</v>
      </c>
      <c r="Z1" s="1" t="s">
        <v>4889</v>
      </c>
      <c r="AA1" s="1" t="s">
        <v>4890</v>
      </c>
      <c r="AB1" s="1" t="s">
        <v>4891</v>
      </c>
      <c r="AC1" s="1" t="s">
        <v>4892</v>
      </c>
      <c r="AD1" s="1" t="s">
        <v>4893</v>
      </c>
      <c r="AE1" s="1" t="s">
        <v>4894</v>
      </c>
      <c r="AF1" s="1" t="s">
        <v>4895</v>
      </c>
      <c r="AG1" s="1" t="s">
        <v>4896</v>
      </c>
      <c r="AH1" s="1" t="s">
        <v>4897</v>
      </c>
      <c r="AI1" s="1" t="s">
        <v>4898</v>
      </c>
      <c r="AJ1" s="1" t="s">
        <v>4899</v>
      </c>
      <c r="AK1" s="1" t="s">
        <v>4900</v>
      </c>
    </row>
    <row r="2" spans="1:37">
      <c r="A2" s="2" t="s">
        <v>3643</v>
      </c>
      <c r="B2" s="2" t="s">
        <v>7</v>
      </c>
      <c r="C2" s="2" t="s">
        <v>4901</v>
      </c>
      <c r="D2" s="2" t="s">
        <v>5021</v>
      </c>
      <c r="E2" s="2" t="s">
        <v>5022</v>
      </c>
      <c r="F2" s="2" t="s">
        <v>5023</v>
      </c>
      <c r="G2" s="2" t="s">
        <v>4905</v>
      </c>
      <c r="H2" s="2" t="s">
        <v>5024</v>
      </c>
      <c r="I2" s="2" t="s">
        <v>5025</v>
      </c>
      <c r="J2" s="2" t="s">
        <v>4908</v>
      </c>
      <c r="K2" s="2" t="s">
        <v>5026</v>
      </c>
      <c r="L2" s="2" t="s">
        <v>4910</v>
      </c>
      <c r="M2" s="2" t="s">
        <v>5027</v>
      </c>
      <c r="N2" s="2" t="s">
        <v>4912</v>
      </c>
      <c r="O2" s="2" t="s">
        <v>4913</v>
      </c>
      <c r="P2" s="2" t="s">
        <v>4914</v>
      </c>
      <c r="Q2" s="2" t="s">
        <v>4915</v>
      </c>
      <c r="R2" s="2" t="s">
        <v>4916</v>
      </c>
      <c r="S2" s="2" t="s">
        <v>4917</v>
      </c>
      <c r="T2" s="2" t="s">
        <v>4918</v>
      </c>
      <c r="U2" s="2" t="s">
        <v>4587</v>
      </c>
      <c r="V2" s="2" t="s">
        <v>4587</v>
      </c>
      <c r="W2" s="2" t="s">
        <v>4587</v>
      </c>
      <c r="X2" s="2" t="s">
        <v>4587</v>
      </c>
      <c r="Y2" s="2" t="s">
        <v>4919</v>
      </c>
      <c r="Z2" s="2" t="s">
        <v>5028</v>
      </c>
      <c r="AA2" s="2" t="s">
        <v>5022</v>
      </c>
      <c r="AB2" s="2" t="s">
        <v>4921</v>
      </c>
      <c r="AC2" s="2" t="s">
        <v>4922</v>
      </c>
      <c r="AD2" s="2"/>
      <c r="AE2" s="2"/>
      <c r="AF2" s="2"/>
      <c r="AG2" s="2"/>
      <c r="AH2" s="2"/>
      <c r="AI2" s="2"/>
      <c r="AJ2" s="2"/>
      <c r="AK2" s="2"/>
    </row>
    <row r="3" spans="1:37">
      <c r="A3" s="2" t="s">
        <v>4923</v>
      </c>
      <c r="B3" s="2" t="s">
        <v>4924</v>
      </c>
      <c r="C3" s="2" t="s">
        <v>4901</v>
      </c>
      <c r="D3" s="2" t="s">
        <v>5029</v>
      </c>
      <c r="E3" s="2" t="s">
        <v>5030</v>
      </c>
      <c r="F3" s="2" t="s">
        <v>5031</v>
      </c>
      <c r="G3" s="2" t="s">
        <v>4928</v>
      </c>
      <c r="H3" s="2" t="s">
        <v>5032</v>
      </c>
      <c r="I3" s="2" t="s">
        <v>5025</v>
      </c>
      <c r="J3" s="2" t="s">
        <v>4931</v>
      </c>
      <c r="K3" s="2" t="s">
        <v>5033</v>
      </c>
      <c r="L3" s="2" t="s">
        <v>4933</v>
      </c>
      <c r="M3" s="2" t="s">
        <v>5034</v>
      </c>
      <c r="N3" s="2" t="s">
        <v>5028</v>
      </c>
      <c r="O3" s="2" t="s">
        <v>4913</v>
      </c>
      <c r="P3" s="2" t="s">
        <v>4587</v>
      </c>
      <c r="Q3" s="2" t="s">
        <v>4915</v>
      </c>
      <c r="R3" s="2" t="s">
        <v>4916</v>
      </c>
      <c r="S3" s="2" t="s">
        <v>4917</v>
      </c>
      <c r="T3" s="2" t="s">
        <v>4918</v>
      </c>
      <c r="U3" s="2" t="s">
        <v>4649</v>
      </c>
      <c r="V3" s="2" t="s">
        <v>4587</v>
      </c>
      <c r="W3" s="2" t="s">
        <v>4587</v>
      </c>
      <c r="X3" s="2" t="s">
        <v>4587</v>
      </c>
      <c r="Y3" s="2" t="s">
        <v>4935</v>
      </c>
      <c r="Z3" s="2" t="s">
        <v>5035</v>
      </c>
      <c r="AA3" s="2" t="s">
        <v>5036</v>
      </c>
      <c r="AB3" s="2" t="s">
        <v>4938</v>
      </c>
      <c r="AC3" s="2" t="s">
        <v>4922</v>
      </c>
      <c r="AD3" s="2"/>
      <c r="AE3" s="2"/>
      <c r="AF3" s="2"/>
      <c r="AG3" s="2"/>
      <c r="AH3" s="2"/>
      <c r="AI3" s="2"/>
      <c r="AJ3" s="2"/>
      <c r="AK3" s="2"/>
    </row>
    <row r="4" spans="1:37">
      <c r="A4" s="2" t="s">
        <v>4939</v>
      </c>
      <c r="B4" s="2" t="s">
        <v>2196</v>
      </c>
      <c r="C4" s="2" t="s">
        <v>4901</v>
      </c>
      <c r="D4" s="2" t="s">
        <v>5037</v>
      </c>
      <c r="E4" s="2" t="s">
        <v>5038</v>
      </c>
      <c r="F4" s="2" t="s">
        <v>5039</v>
      </c>
      <c r="G4" s="2" t="s">
        <v>4943</v>
      </c>
      <c r="H4" s="2" t="s">
        <v>5040</v>
      </c>
      <c r="I4" s="2" t="s">
        <v>5025</v>
      </c>
      <c r="J4" s="2" t="s">
        <v>4946</v>
      </c>
      <c r="K4" s="2" t="s">
        <v>5041</v>
      </c>
      <c r="L4" s="2" t="s">
        <v>4948</v>
      </c>
      <c r="M4" s="2" t="s">
        <v>5042</v>
      </c>
      <c r="N4" s="2" t="s">
        <v>5035</v>
      </c>
      <c r="O4" s="2" t="s">
        <v>4950</v>
      </c>
      <c r="P4" s="2" t="s">
        <v>4587</v>
      </c>
      <c r="Q4" s="2" t="s">
        <v>4951</v>
      </c>
      <c r="R4" s="2" t="s">
        <v>4952</v>
      </c>
      <c r="S4" s="2" t="s">
        <v>4953</v>
      </c>
      <c r="T4" s="2" t="s">
        <v>4918</v>
      </c>
      <c r="U4" s="2" t="s">
        <v>4587</v>
      </c>
      <c r="V4" s="2" t="s">
        <v>4587</v>
      </c>
      <c r="W4" s="2" t="s">
        <v>4587</v>
      </c>
      <c r="X4" s="2" t="s">
        <v>4587</v>
      </c>
      <c r="Y4" s="2" t="s">
        <v>4954</v>
      </c>
      <c r="Z4" s="2" t="s">
        <v>5043</v>
      </c>
      <c r="AA4" s="2" t="s">
        <v>5044</v>
      </c>
      <c r="AB4" s="2" t="s">
        <v>4957</v>
      </c>
      <c r="AC4" s="2" t="s">
        <v>4922</v>
      </c>
      <c r="AD4" s="2"/>
      <c r="AE4" s="2"/>
      <c r="AF4" s="2"/>
      <c r="AG4" s="2"/>
      <c r="AH4" s="2"/>
      <c r="AI4" s="2"/>
      <c r="AJ4" s="2"/>
      <c r="AK4" s="2"/>
    </row>
    <row r="5" spans="1:37">
      <c r="A5" s="2"/>
      <c r="B5" s="2"/>
      <c r="C5" s="2"/>
      <c r="D5" s="2"/>
      <c r="E5" s="2"/>
      <c r="F5" s="2"/>
      <c r="G5" s="2"/>
      <c r="H5" s="2"/>
      <c r="I5" s="2"/>
      <c r="J5" s="2"/>
      <c r="K5" s="2"/>
      <c r="L5" s="2"/>
      <c r="M5" s="2"/>
      <c r="N5" s="2"/>
      <c r="O5" s="2"/>
      <c r="P5" s="2"/>
      <c r="Q5" s="2"/>
      <c r="R5" s="2"/>
      <c r="S5" s="2"/>
      <c r="T5" s="2"/>
      <c r="U5" s="2"/>
      <c r="V5" s="2"/>
      <c r="W5" s="2"/>
      <c r="X5" s="2"/>
      <c r="Y5" s="2"/>
      <c r="Z5" s="2"/>
      <c r="AA5" s="2"/>
      <c r="AB5" s="2"/>
      <c r="AC5" s="2"/>
      <c r="AD5" s="2" t="s">
        <v>4958</v>
      </c>
      <c r="AE5" s="2" t="s">
        <v>5043</v>
      </c>
      <c r="AF5" s="2" t="s">
        <v>5035</v>
      </c>
      <c r="AG5" s="2" t="s">
        <v>4924</v>
      </c>
      <c r="AH5" s="2" t="s">
        <v>5045</v>
      </c>
      <c r="AI5" s="2" t="s">
        <v>5046</v>
      </c>
      <c r="AJ5" s="2" t="s">
        <v>5047</v>
      </c>
      <c r="AK5" s="2" t="s">
        <v>5048</v>
      </c>
    </row>
  </sheetData>
  <autoFilter ref="A1:AK5"/>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B1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4609</v>
      </c>
      <c r="B1" s="1" t="s">
        <v>4610</v>
      </c>
    </row>
    <row r="2" spans="1:2">
      <c r="A2" s="2" t="s">
        <v>4611</v>
      </c>
      <c r="B2" s="2" t="s">
        <v>5049</v>
      </c>
    </row>
    <row r="3" spans="1:2">
      <c r="A3" s="2" t="s">
        <v>4613</v>
      </c>
      <c r="B3" s="2" t="s">
        <v>4964</v>
      </c>
    </row>
    <row r="4" spans="1:2">
      <c r="A4" s="2" t="s">
        <v>4615</v>
      </c>
      <c r="B4" s="2" t="s">
        <v>7</v>
      </c>
    </row>
    <row r="5" spans="1:2">
      <c r="A5" s="2" t="s">
        <v>4616</v>
      </c>
      <c r="B5" s="2" t="s">
        <v>4965</v>
      </c>
    </row>
    <row r="6" spans="1:2">
      <c r="A6" s="2" t="s">
        <v>4617</v>
      </c>
      <c r="B6" s="2" t="s">
        <v>4966</v>
      </c>
    </row>
    <row r="7" spans="1:2">
      <c r="A7" s="2" t="s">
        <v>4619</v>
      </c>
      <c r="B7" s="2" t="s">
        <v>4967</v>
      </c>
    </row>
    <row r="8" spans="1:2">
      <c r="A8" s="2" t="s">
        <v>4621</v>
      </c>
      <c r="B8" s="2" t="s">
        <v>4968</v>
      </c>
    </row>
    <row r="9" spans="1:2">
      <c r="A9" s="2" t="s">
        <v>4623</v>
      </c>
      <c r="B9" s="2" t="s">
        <v>5050</v>
      </c>
    </row>
    <row r="10" spans="1:2">
      <c r="A10" s="2" t="s">
        <v>4625</v>
      </c>
      <c r="B10" s="2" t="s">
        <v>4626</v>
      </c>
    </row>
    <row r="11" spans="1:2">
      <c r="A11" s="2" t="s">
        <v>5051</v>
      </c>
      <c r="B11" s="2" t="s">
        <v>5052</v>
      </c>
    </row>
    <row r="12" spans="1:2">
      <c r="A12" s="2" t="s">
        <v>5053</v>
      </c>
      <c r="B12" s="2" t="s">
        <v>5054</v>
      </c>
    </row>
    <row r="13" spans="1:2">
      <c r="A13" s="2" t="s">
        <v>5055</v>
      </c>
      <c r="B13" s="2" t="s">
        <v>5056</v>
      </c>
    </row>
    <row r="14" spans="1:2">
      <c r="A14" s="2" t="s">
        <v>5057</v>
      </c>
      <c r="B14" s="2" t="s">
        <v>5058</v>
      </c>
    </row>
  </sheetData>
  <autoFilter ref="A1:B14"/>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Z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6" width="28.7109375" customWidth="1"/>
  </cols>
  <sheetData>
    <row r="1" spans="1:26" ht="32" customHeight="1">
      <c r="A1" s="1" t="s">
        <v>5059</v>
      </c>
      <c r="B1" s="1" t="s">
        <v>5060</v>
      </c>
      <c r="C1" s="1" t="s">
        <v>5061</v>
      </c>
      <c r="D1" s="1" t="s">
        <v>5062</v>
      </c>
      <c r="E1" s="1" t="s">
        <v>5063</v>
      </c>
      <c r="F1" s="1" t="s">
        <v>5064</v>
      </c>
      <c r="G1" s="1" t="s">
        <v>5065</v>
      </c>
      <c r="H1" s="1" t="s">
        <v>5066</v>
      </c>
      <c r="I1" s="1" t="s">
        <v>5067</v>
      </c>
      <c r="J1" s="1" t="s">
        <v>5068</v>
      </c>
      <c r="K1" s="1" t="s">
        <v>5069</v>
      </c>
      <c r="L1" s="1" t="s">
        <v>5070</v>
      </c>
      <c r="M1" s="1" t="s">
        <v>5071</v>
      </c>
      <c r="N1" s="1" t="s">
        <v>5072</v>
      </c>
      <c r="O1" s="1" t="s">
        <v>5073</v>
      </c>
      <c r="P1" s="1" t="s">
        <v>5074</v>
      </c>
      <c r="Q1" s="1" t="s">
        <v>5075</v>
      </c>
      <c r="R1" s="1" t="s">
        <v>5076</v>
      </c>
      <c r="S1" s="1" t="s">
        <v>5077</v>
      </c>
      <c r="T1" s="1" t="s">
        <v>5078</v>
      </c>
      <c r="U1" s="1" t="s">
        <v>5079</v>
      </c>
      <c r="V1" s="1" t="s">
        <v>5080</v>
      </c>
      <c r="W1" s="1" t="s">
        <v>5081</v>
      </c>
      <c r="X1" s="1" t="s">
        <v>5082</v>
      </c>
      <c r="Y1" s="1" t="s">
        <v>4621</v>
      </c>
      <c r="Z1" s="1" t="s">
        <v>5083</v>
      </c>
    </row>
    <row r="2" spans="1:26">
      <c r="A2" s="2" t="s">
        <v>54</v>
      </c>
      <c r="B2" s="2" t="b">
        <v>0</v>
      </c>
      <c r="C2" s="2" t="s">
        <v>5084</v>
      </c>
      <c r="D2" s="2" t="s">
        <v>5085</v>
      </c>
      <c r="E2" s="2" t="s">
        <v>5086</v>
      </c>
      <c r="F2" s="2" t="s">
        <v>5087</v>
      </c>
      <c r="G2" s="2" t="s">
        <v>5088</v>
      </c>
      <c r="H2" s="2" t="s">
        <v>5089</v>
      </c>
      <c r="I2" s="2" t="s">
        <v>5090</v>
      </c>
      <c r="J2" s="2" t="s">
        <v>5091</v>
      </c>
      <c r="K2" s="2" t="s">
        <v>5092</v>
      </c>
      <c r="L2" s="2" t="s">
        <v>5093</v>
      </c>
      <c r="M2" s="2" t="s">
        <v>5094</v>
      </c>
      <c r="N2" s="2" t="s">
        <v>5095</v>
      </c>
      <c r="O2" s="2" t="s">
        <v>5096</v>
      </c>
      <c r="P2" s="2" t="s">
        <v>5097</v>
      </c>
      <c r="Q2" s="2" t="s">
        <v>5098</v>
      </c>
      <c r="R2" s="2" t="s">
        <v>5099</v>
      </c>
      <c r="S2" s="2" t="s">
        <v>5100</v>
      </c>
      <c r="T2" s="2" t="s">
        <v>5101</v>
      </c>
      <c r="U2" s="2" t="s">
        <v>5102</v>
      </c>
      <c r="V2" s="2" t="s">
        <v>5103</v>
      </c>
      <c r="W2" s="2" t="s">
        <v>5104</v>
      </c>
      <c r="X2" s="2" t="s">
        <v>5105</v>
      </c>
      <c r="Y2" s="2" t="s">
        <v>5106</v>
      </c>
      <c r="Z2" s="2" t="s">
        <v>5107</v>
      </c>
    </row>
  </sheetData>
  <autoFilter ref="A1:Z2"/>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B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4609</v>
      </c>
      <c r="B1" s="1" t="s">
        <v>4610</v>
      </c>
    </row>
    <row r="2" spans="1:2">
      <c r="A2" s="2" t="s">
        <v>4611</v>
      </c>
      <c r="B2" s="2" t="s">
        <v>5108</v>
      </c>
    </row>
    <row r="3" spans="1:2">
      <c r="A3" s="2" t="s">
        <v>4613</v>
      </c>
      <c r="B3" s="2" t="s">
        <v>5109</v>
      </c>
    </row>
    <row r="4" spans="1:2">
      <c r="A4" s="2" t="s">
        <v>4615</v>
      </c>
      <c r="B4" s="2" t="s">
        <v>7</v>
      </c>
    </row>
    <row r="5" spans="1:2">
      <c r="A5" s="2" t="s">
        <v>4616</v>
      </c>
      <c r="B5" s="2" t="s">
        <v>5110</v>
      </c>
    </row>
    <row r="6" spans="1:2">
      <c r="A6" s="2" t="s">
        <v>4617</v>
      </c>
      <c r="B6" s="2" t="s">
        <v>5111</v>
      </c>
    </row>
    <row r="7" spans="1:2">
      <c r="A7" s="2" t="s">
        <v>4619</v>
      </c>
      <c r="B7" s="2" t="s">
        <v>5112</v>
      </c>
    </row>
    <row r="8" spans="1:2">
      <c r="A8" s="2" t="s">
        <v>4621</v>
      </c>
      <c r="B8" s="2" t="s">
        <v>5113</v>
      </c>
    </row>
    <row r="9" spans="1:2">
      <c r="A9" s="2" t="s">
        <v>4623</v>
      </c>
      <c r="B9" s="2" t="s">
        <v>5114</v>
      </c>
    </row>
    <row r="10" spans="1:2">
      <c r="A10" s="2" t="s">
        <v>4625</v>
      </c>
      <c r="B10" s="2" t="s">
        <v>4626</v>
      </c>
    </row>
    <row r="11" spans="1:2">
      <c r="A11" s="2" t="s">
        <v>5115</v>
      </c>
      <c r="B11" s="2" t="s">
        <v>5116</v>
      </c>
    </row>
    <row r="12" spans="1:2">
      <c r="A12" s="2" t="s">
        <v>5117</v>
      </c>
      <c r="B12" s="2" t="s">
        <v>5118</v>
      </c>
    </row>
  </sheetData>
  <autoFilter ref="A1:B12"/>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K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1" width="28.7109375" customWidth="1"/>
  </cols>
  <sheetData>
    <row r="1" spans="1:11" ht="32" customHeight="1">
      <c r="A1" s="1" t="s">
        <v>5119</v>
      </c>
      <c r="B1" s="1" t="s">
        <v>5120</v>
      </c>
      <c r="C1" s="1" t="s">
        <v>431</v>
      </c>
      <c r="D1" s="1" t="s">
        <v>5121</v>
      </c>
      <c r="E1" s="1" t="s">
        <v>5122</v>
      </c>
      <c r="F1" s="1" t="s">
        <v>5123</v>
      </c>
      <c r="G1" s="1" t="s">
        <v>5124</v>
      </c>
      <c r="H1" s="1" t="s">
        <v>5125</v>
      </c>
      <c r="I1" s="1" t="s">
        <v>5126</v>
      </c>
      <c r="J1" s="1" t="s">
        <v>5127</v>
      </c>
      <c r="K1" s="1" t="s">
        <v>4687</v>
      </c>
    </row>
    <row r="2" spans="1:11">
      <c r="A2" s="2" t="s">
        <v>5128</v>
      </c>
      <c r="B2" s="2" t="s">
        <v>4734</v>
      </c>
      <c r="C2" s="2" t="s">
        <v>4847</v>
      </c>
      <c r="D2" s="2" t="s">
        <v>5129</v>
      </c>
      <c r="E2" s="2" t="s">
        <v>5130</v>
      </c>
      <c r="F2" s="2" t="s">
        <v>5131</v>
      </c>
      <c r="G2" s="2" t="s">
        <v>5132</v>
      </c>
      <c r="H2" s="2" t="s">
        <v>5133</v>
      </c>
      <c r="I2" s="2" t="s">
        <v>5133</v>
      </c>
      <c r="J2" s="2" t="s">
        <v>5134</v>
      </c>
      <c r="K2" s="2"/>
    </row>
    <row r="3" spans="1:11">
      <c r="A3" s="2" t="s">
        <v>5135</v>
      </c>
      <c r="B3" s="2" t="s">
        <v>4734</v>
      </c>
      <c r="C3" s="2" t="s">
        <v>4847</v>
      </c>
      <c r="D3" s="2" t="s">
        <v>5129</v>
      </c>
      <c r="E3" s="2" t="s">
        <v>5130</v>
      </c>
      <c r="F3" s="2"/>
      <c r="G3" s="2"/>
      <c r="H3" s="2" t="s">
        <v>5133</v>
      </c>
      <c r="I3" s="2" t="s">
        <v>5133</v>
      </c>
      <c r="J3" s="2" t="s">
        <v>5134</v>
      </c>
      <c r="K3" s="2" t="s">
        <v>5136</v>
      </c>
    </row>
    <row r="4" spans="1:11">
      <c r="A4" s="2" t="s">
        <v>5137</v>
      </c>
      <c r="B4" s="2" t="s">
        <v>4739</v>
      </c>
      <c r="C4" s="2" t="s">
        <v>4847</v>
      </c>
      <c r="D4" s="2" t="s">
        <v>5138</v>
      </c>
      <c r="E4" s="2" t="s">
        <v>5139</v>
      </c>
      <c r="F4" s="2"/>
      <c r="G4" s="2"/>
      <c r="H4" s="2" t="s">
        <v>5140</v>
      </c>
      <c r="I4" s="2" t="s">
        <v>5140</v>
      </c>
      <c r="J4" s="2"/>
      <c r="K4" s="2" t="s">
        <v>5141</v>
      </c>
    </row>
    <row r="5" spans="1:11">
      <c r="A5" s="2" t="s">
        <v>5142</v>
      </c>
      <c r="B5" s="2" t="s">
        <v>4734</v>
      </c>
      <c r="C5" s="2" t="s">
        <v>5143</v>
      </c>
      <c r="D5" s="2" t="s">
        <v>5144</v>
      </c>
      <c r="E5" s="2" t="s">
        <v>5145</v>
      </c>
      <c r="F5" s="2"/>
      <c r="G5" s="2"/>
      <c r="H5" s="2" t="s">
        <v>5146</v>
      </c>
      <c r="I5" s="2" t="s">
        <v>5146</v>
      </c>
      <c r="J5" s="2"/>
      <c r="K5" s="2" t="s">
        <v>5147</v>
      </c>
    </row>
    <row r="6" spans="1:11">
      <c r="A6" s="2" t="s">
        <v>5148</v>
      </c>
      <c r="B6" s="2" t="s">
        <v>4739</v>
      </c>
      <c r="C6" s="2" t="s">
        <v>5143</v>
      </c>
      <c r="D6" s="2" t="s">
        <v>5149</v>
      </c>
      <c r="E6" s="2" t="s">
        <v>5149</v>
      </c>
      <c r="F6" s="2"/>
      <c r="G6" s="2"/>
      <c r="H6" s="2" t="s">
        <v>5150</v>
      </c>
      <c r="I6" s="2" t="s">
        <v>5150</v>
      </c>
      <c r="J6" s="2"/>
      <c r="K6" s="2" t="s">
        <v>5151</v>
      </c>
    </row>
    <row r="7" spans="1:11">
      <c r="A7" s="2" t="s">
        <v>5152</v>
      </c>
      <c r="B7" s="2" t="s">
        <v>4734</v>
      </c>
      <c r="C7" s="2" t="s">
        <v>5153</v>
      </c>
      <c r="D7" s="2" t="s">
        <v>5154</v>
      </c>
      <c r="E7" s="2" t="s">
        <v>5155</v>
      </c>
      <c r="F7" s="2"/>
      <c r="G7" s="2"/>
      <c r="H7" s="2" t="s">
        <v>5156</v>
      </c>
      <c r="I7" s="2" t="s">
        <v>5156</v>
      </c>
      <c r="J7" s="2"/>
      <c r="K7" s="2" t="s">
        <v>5157</v>
      </c>
    </row>
    <row r="8" spans="1:11">
      <c r="A8" s="2" t="s">
        <v>5158</v>
      </c>
      <c r="B8" s="2"/>
      <c r="C8" s="2"/>
      <c r="D8" s="2"/>
      <c r="E8" s="2"/>
      <c r="F8" s="2"/>
      <c r="G8" s="2"/>
      <c r="H8" s="2"/>
      <c r="I8" s="2"/>
      <c r="J8" s="2"/>
      <c r="K8" s="2" t="s">
        <v>5159</v>
      </c>
    </row>
  </sheetData>
  <autoFilter ref="A1:K8"/>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B10"/>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4609</v>
      </c>
      <c r="B1" s="1" t="s">
        <v>4610</v>
      </c>
    </row>
    <row r="2" spans="1:2">
      <c r="A2" s="2" t="s">
        <v>4611</v>
      </c>
      <c r="B2" s="2" t="s">
        <v>5160</v>
      </c>
    </row>
    <row r="3" spans="1:2">
      <c r="A3" s="2" t="s">
        <v>4613</v>
      </c>
      <c r="B3" s="2" t="s">
        <v>5161</v>
      </c>
    </row>
    <row r="4" spans="1:2">
      <c r="A4" s="2" t="s">
        <v>4615</v>
      </c>
      <c r="B4" s="2" t="s">
        <v>7</v>
      </c>
    </row>
    <row r="5" spans="1:2">
      <c r="A5" s="2" t="s">
        <v>4616</v>
      </c>
      <c r="B5" s="2" t="s">
        <v>5162</v>
      </c>
    </row>
    <row r="6" spans="1:2">
      <c r="A6" s="2" t="s">
        <v>4617</v>
      </c>
      <c r="B6" s="2" t="s">
        <v>5163</v>
      </c>
    </row>
    <row r="7" spans="1:2">
      <c r="A7" s="2" t="s">
        <v>4619</v>
      </c>
      <c r="B7" s="2" t="s">
        <v>5164</v>
      </c>
    </row>
    <row r="8" spans="1:2">
      <c r="A8" s="2" t="s">
        <v>4621</v>
      </c>
      <c r="B8" s="2" t="s">
        <v>5165</v>
      </c>
    </row>
    <row r="9" spans="1:2">
      <c r="A9" s="2" t="s">
        <v>4623</v>
      </c>
      <c r="B9" s="2" t="s">
        <v>5166</v>
      </c>
    </row>
    <row r="10" spans="1:2">
      <c r="A10" s="2" t="s">
        <v>4625</v>
      </c>
      <c r="B10" s="2" t="s">
        <v>4626</v>
      </c>
    </row>
  </sheetData>
  <autoFilter ref="A1:B10"/>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J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0" width="28.7109375" customWidth="1"/>
  </cols>
  <sheetData>
    <row r="1" spans="1:10" ht="32" customHeight="1">
      <c r="A1" s="1" t="s">
        <v>5167</v>
      </c>
      <c r="B1" s="1" t="s">
        <v>5168</v>
      </c>
      <c r="C1" s="1" t="s">
        <v>5169</v>
      </c>
      <c r="D1" s="1" t="s">
        <v>5170</v>
      </c>
      <c r="E1" s="1" t="s">
        <v>5171</v>
      </c>
      <c r="F1" s="1" t="s">
        <v>5172</v>
      </c>
      <c r="G1" s="1" t="s">
        <v>5173</v>
      </c>
      <c r="H1" s="1" t="s">
        <v>5174</v>
      </c>
      <c r="I1" s="1" t="s">
        <v>5175</v>
      </c>
      <c r="J1" s="1" t="s">
        <v>5176</v>
      </c>
    </row>
    <row r="2" spans="1:10">
      <c r="A2" s="2" t="s">
        <v>52</v>
      </c>
      <c r="B2" s="2" t="s">
        <v>5177</v>
      </c>
      <c r="C2" s="2" t="s">
        <v>5178</v>
      </c>
      <c r="D2" s="2" t="s">
        <v>5179</v>
      </c>
      <c r="E2" s="2" t="s">
        <v>5180</v>
      </c>
      <c r="F2" s="2" t="s">
        <v>5181</v>
      </c>
      <c r="G2" s="2" t="s">
        <v>5182</v>
      </c>
      <c r="H2" s="2" t="s">
        <v>5183</v>
      </c>
      <c r="I2" s="2" t="s">
        <v>5184</v>
      </c>
      <c r="J2" s="2" t="s">
        <v>5185</v>
      </c>
    </row>
    <row r="3" spans="1:10">
      <c r="A3" s="2" t="s">
        <v>5186</v>
      </c>
      <c r="B3" s="2" t="s">
        <v>5177</v>
      </c>
      <c r="C3" s="2" t="s">
        <v>5178</v>
      </c>
      <c r="D3" s="2" t="s">
        <v>5187</v>
      </c>
      <c r="E3" s="2" t="s">
        <v>5188</v>
      </c>
      <c r="F3" s="2" t="s">
        <v>5189</v>
      </c>
      <c r="G3" s="2" t="s">
        <v>5190</v>
      </c>
      <c r="H3" s="2" t="s">
        <v>5191</v>
      </c>
      <c r="I3" s="2" t="s">
        <v>5192</v>
      </c>
      <c r="J3" s="2" t="s">
        <v>5193</v>
      </c>
    </row>
    <row r="4" spans="1:10">
      <c r="A4" s="2" t="s">
        <v>5194</v>
      </c>
      <c r="B4" s="2" t="s">
        <v>5177</v>
      </c>
      <c r="C4" s="2" t="s">
        <v>5178</v>
      </c>
      <c r="D4" s="2" t="s">
        <v>5195</v>
      </c>
      <c r="E4" s="2" t="s">
        <v>5196</v>
      </c>
      <c r="F4" s="2" t="s">
        <v>5197</v>
      </c>
      <c r="G4" s="2" t="s">
        <v>5198</v>
      </c>
      <c r="H4" s="2" t="s">
        <v>5199</v>
      </c>
      <c r="I4" s="2" t="s">
        <v>5200</v>
      </c>
      <c r="J4" s="2" t="s">
        <v>5201</v>
      </c>
    </row>
  </sheetData>
  <autoFilter ref="A1:J4"/>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B19"/>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4609</v>
      </c>
      <c r="B1" s="1" t="s">
        <v>4610</v>
      </c>
    </row>
    <row r="2" spans="1:2">
      <c r="A2" s="2" t="s">
        <v>4611</v>
      </c>
      <c r="B2" s="2" t="s">
        <v>5202</v>
      </c>
    </row>
    <row r="3" spans="1:2">
      <c r="A3" s="2" t="s">
        <v>4613</v>
      </c>
      <c r="B3" s="2" t="s">
        <v>5203</v>
      </c>
    </row>
    <row r="4" spans="1:2">
      <c r="A4" s="2" t="s">
        <v>4615</v>
      </c>
      <c r="B4" s="2" t="s">
        <v>7</v>
      </c>
    </row>
    <row r="5" spans="1:2">
      <c r="A5" s="2" t="s">
        <v>4616</v>
      </c>
      <c r="B5" s="2" t="s">
        <v>4403</v>
      </c>
    </row>
    <row r="6" spans="1:2">
      <c r="A6" s="2" t="s">
        <v>4617</v>
      </c>
      <c r="B6" s="2" t="s">
        <v>5204</v>
      </c>
    </row>
    <row r="7" spans="1:2">
      <c r="A7" s="2" t="s">
        <v>4619</v>
      </c>
      <c r="B7" s="2" t="s">
        <v>5205</v>
      </c>
    </row>
    <row r="8" spans="1:2">
      <c r="A8" s="2" t="s">
        <v>4621</v>
      </c>
      <c r="B8" s="2" t="s">
        <v>5206</v>
      </c>
    </row>
    <row r="9" spans="1:2">
      <c r="A9" s="2" t="s">
        <v>4623</v>
      </c>
      <c r="B9" s="2" t="s">
        <v>5207</v>
      </c>
    </row>
    <row r="10" spans="1:2">
      <c r="A10" s="2" t="s">
        <v>4625</v>
      </c>
      <c r="B10" s="2" t="s">
        <v>4626</v>
      </c>
    </row>
    <row r="11" spans="1:2">
      <c r="A11" s="2" t="s">
        <v>5208</v>
      </c>
      <c r="B11" s="2" t="s">
        <v>5209</v>
      </c>
    </row>
    <row r="12" spans="1:2">
      <c r="A12" s="2" t="s">
        <v>5210</v>
      </c>
      <c r="B12" s="2" t="s">
        <v>5211</v>
      </c>
    </row>
    <row r="13" spans="1:2">
      <c r="A13" s="2" t="s">
        <v>5212</v>
      </c>
      <c r="B13" s="2" t="s">
        <v>5213</v>
      </c>
    </row>
    <row r="14" spans="1:2">
      <c r="A14" s="2" t="s">
        <v>5214</v>
      </c>
      <c r="B14" s="2" t="s">
        <v>5215</v>
      </c>
    </row>
    <row r="15" spans="1:2">
      <c r="A15" s="2" t="s">
        <v>5216</v>
      </c>
      <c r="B15" s="2" t="s">
        <v>5217</v>
      </c>
    </row>
    <row r="16" spans="1:2">
      <c r="A16" s="2" t="s">
        <v>5218</v>
      </c>
      <c r="B16" s="2" t="s">
        <v>5219</v>
      </c>
    </row>
    <row r="17" spans="1:2">
      <c r="A17" s="2" t="s">
        <v>5220</v>
      </c>
      <c r="B17" s="2" t="s">
        <v>5221</v>
      </c>
    </row>
    <row r="18" spans="1:2">
      <c r="A18" s="2" t="s">
        <v>5222</v>
      </c>
      <c r="B18" s="2" t="s">
        <v>5223</v>
      </c>
    </row>
    <row r="19" spans="1:2">
      <c r="A19" s="2" t="s">
        <v>5224</v>
      </c>
      <c r="B19" s="2" t="s">
        <v>5225</v>
      </c>
    </row>
  </sheetData>
  <autoFilter ref="A1:B19"/>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E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5" width="28.7109375" customWidth="1"/>
  </cols>
  <sheetData>
    <row r="1" spans="1:5" ht="32" customHeight="1">
      <c r="A1" s="1" t="s">
        <v>5226</v>
      </c>
      <c r="B1" s="1" t="s">
        <v>5227</v>
      </c>
      <c r="C1" s="1" t="s">
        <v>5228</v>
      </c>
      <c r="D1" s="1" t="s">
        <v>5229</v>
      </c>
      <c r="E1" s="1" t="s">
        <v>5230</v>
      </c>
    </row>
    <row r="2" spans="1:5">
      <c r="A2" s="2" t="s">
        <v>5231</v>
      </c>
      <c r="B2" s="2" t="s">
        <v>5232</v>
      </c>
      <c r="C2" s="2" t="s">
        <v>5233</v>
      </c>
      <c r="D2" s="2" t="s">
        <v>5234</v>
      </c>
      <c r="E2" s="2" t="s">
        <v>5235</v>
      </c>
    </row>
    <row r="3" spans="1:5">
      <c r="A3" s="2" t="s">
        <v>5236</v>
      </c>
      <c r="B3" s="2" t="s">
        <v>5237</v>
      </c>
      <c r="C3" s="2" t="s">
        <v>5238</v>
      </c>
      <c r="D3" s="2" t="s">
        <v>5239</v>
      </c>
      <c r="E3" s="2" t="s">
        <v>5235</v>
      </c>
    </row>
    <row r="4" spans="1:5">
      <c r="A4" s="2" t="s">
        <v>5240</v>
      </c>
      <c r="B4" s="2" t="s">
        <v>5241</v>
      </c>
      <c r="C4" s="2" t="s">
        <v>5101</v>
      </c>
      <c r="D4" s="2" t="s">
        <v>5242</v>
      </c>
      <c r="E4" s="2" t="s">
        <v>5235</v>
      </c>
    </row>
    <row r="5" spans="1:5">
      <c r="A5" s="2" t="s">
        <v>5243</v>
      </c>
      <c r="B5" s="2" t="s">
        <v>5244</v>
      </c>
      <c r="C5" s="2" t="s">
        <v>5245</v>
      </c>
      <c r="D5" s="2" t="s">
        <v>5246</v>
      </c>
      <c r="E5" s="2" t="s">
        <v>5235</v>
      </c>
    </row>
  </sheetData>
  <autoFilter ref="A1:E5"/>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B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4609</v>
      </c>
      <c r="B1" s="1" t="s">
        <v>4610</v>
      </c>
    </row>
    <row r="2" spans="1:2">
      <c r="A2" s="2" t="s">
        <v>4611</v>
      </c>
      <c r="B2" s="2" t="s">
        <v>5247</v>
      </c>
    </row>
    <row r="3" spans="1:2">
      <c r="A3" s="2" t="s">
        <v>4613</v>
      </c>
      <c r="B3" s="2" t="s">
        <v>5248</v>
      </c>
    </row>
    <row r="4" spans="1:2">
      <c r="A4" s="2" t="s">
        <v>4615</v>
      </c>
      <c r="B4" s="2" t="s">
        <v>7</v>
      </c>
    </row>
    <row r="5" spans="1:2">
      <c r="A5" s="2" t="s">
        <v>4616</v>
      </c>
      <c r="B5" s="2" t="s">
        <v>4411</v>
      </c>
    </row>
    <row r="6" spans="1:2">
      <c r="A6" s="2" t="s">
        <v>4617</v>
      </c>
      <c r="B6" s="2" t="s">
        <v>5249</v>
      </c>
    </row>
    <row r="7" spans="1:2">
      <c r="A7" s="2" t="s">
        <v>4619</v>
      </c>
      <c r="B7" s="2" t="s">
        <v>5250</v>
      </c>
    </row>
    <row r="8" spans="1:2">
      <c r="A8" s="2" t="s">
        <v>4621</v>
      </c>
      <c r="B8" s="2" t="s">
        <v>5251</v>
      </c>
    </row>
    <row r="9" spans="1:2">
      <c r="A9" s="2" t="s">
        <v>4623</v>
      </c>
      <c r="B9" s="2" t="s">
        <v>5252</v>
      </c>
    </row>
    <row r="10" spans="1:2">
      <c r="A10" s="2" t="s">
        <v>4625</v>
      </c>
      <c r="B10" s="2" t="s">
        <v>4626</v>
      </c>
    </row>
    <row r="11" spans="1:2">
      <c r="A11" s="2" t="s">
        <v>5253</v>
      </c>
      <c r="B11" s="2" t="s">
        <v>5254</v>
      </c>
    </row>
    <row r="12" spans="1:2">
      <c r="A12" s="2" t="s">
        <v>5255</v>
      </c>
      <c r="B12" s="2" t="s">
        <v>5256</v>
      </c>
    </row>
  </sheetData>
  <autoFilter ref="A1:B1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3</vt:i4>
      </vt:variant>
    </vt:vector>
  </HeadingPairs>
  <TitlesOfParts>
    <vt:vector size="38" baseType="lpstr">
      <vt:lpstr>Readme</vt:lpstr>
      <vt:lpstr>Facts</vt:lpstr>
      <vt:lpstr>Calculations</vt:lpstr>
      <vt:lpstr>Reconciliations</vt:lpstr>
      <vt:lpstr>Sources</vt:lpstr>
      <vt:lpstr>Evidence</vt:lpstr>
      <vt:lpstr>Findings</vt:lpstr>
      <vt:lpstr>Procedures</vt:lpstr>
      <vt:lpstr>Requests</vt:lpstr>
      <vt:lpstr>Quant1</vt:lpstr>
      <vt:lpstr>Quant1Notes</vt:lpstr>
      <vt:lpstr>Quant2</vt:lpstr>
      <vt:lpstr>Quant2Notes</vt:lpstr>
      <vt:lpstr>Quant3</vt:lpstr>
      <vt:lpstr>Quant3Notes</vt:lpstr>
      <vt:lpstr>Quant4</vt:lpstr>
      <vt:lpstr>Quant4Notes</vt:lpstr>
      <vt:lpstr>Quant5</vt:lpstr>
      <vt:lpstr>Quant5Notes</vt:lpstr>
      <vt:lpstr>Quant6</vt:lpstr>
      <vt:lpstr>Quant6Notes</vt:lpstr>
      <vt:lpstr>Quant7</vt:lpstr>
      <vt:lpstr>Quant7Notes</vt:lpstr>
      <vt:lpstr>Quant8</vt:lpstr>
      <vt:lpstr>Quant8Notes</vt:lpstr>
      <vt:lpstr>Quant9</vt:lpstr>
      <vt:lpstr>Quant9Notes</vt:lpstr>
      <vt:lpstr>Quant10</vt:lpstr>
      <vt:lpstr>Quant10Notes</vt:lpstr>
      <vt:lpstr>Quant11</vt:lpstr>
      <vt:lpstr>Quant11Notes</vt:lpstr>
      <vt:lpstr>Quant12</vt:lpstr>
      <vt:lpstr>Quant12Notes</vt:lpstr>
      <vt:lpstr>Quant13</vt:lpstr>
      <vt:lpstr>Quant13Notes</vt:lpstr>
      <vt:lpstr>Calculations!Print_Titles</vt:lpstr>
      <vt:lpstr>Readme!Print_Titles</vt:lpstr>
      <vt:lpstr>Reconciliations!Print_Titles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科顺股份与科顺转债：年报及信用研究</dc:title>
  <dc:creator/>
  <dc:description>Workpaper keshun-public-research-2026-06-30</dc:description>
  <cp:lastModifiedBy/>
  <dcterms:created xsi:type="dcterms:W3CDTF">2026-10-03T10:34:16Z</dcterms:created>
  <dcterms:modified xsi:type="dcterms:W3CDTF">2026-10-03T10:34:16Z</dcterms:modified>
</cp:coreProperties>
</file>